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Clean Data" sheetId="2" state="visible" r:id="rId2"/>
    <sheet xmlns:r="http://schemas.openxmlformats.org/officeDocument/2006/relationships" name="Formula Demo" sheetId="3" state="hidden" r:id="rId3"/>
    <sheet xmlns:r="http://schemas.openxmlformats.org/officeDocument/2006/relationships" name="Pivot Tabl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Data Dictionary" sheetId="6" state="visible" r:id="rId6"/>
    <sheet xmlns:r="http://schemas.openxmlformats.org/officeDocument/2006/relationships" name="Insights" sheetId="7" state="visible" r:id="rId7"/>
    <sheet xmlns:r="http://schemas.openxmlformats.org/officeDocument/2006/relationships" name="Documentation" sheetId="8" state="visible" r:id="rId8"/>
  </sheets>
  <definedNames>
    <definedName name="CategoryList">"Furniture,Office Supplies,Technology,Home Decor,Outdoor"</definedName>
    <definedName name="MonthList">"Jan,Feb,Mar,Apr,May,Jun,Jul,Aug,Sep,Oct,Nov,Dec"</definedName>
    <definedName name="RegionList">"East,West,South,Central,North"</definedName>
    <definedName name="RepList">"Ava Patel,Liam Chen,Mia Rodriguez,Noah Kim,Sophia Singh,Ethan Brooks,Olivia Martin,James Carter"</definedName>
    <definedName name="SalesData">'Clean Data'!$A$1:$AF$1501</definedName>
    <definedName name="SegmentList">"Consumer,Corporate,Home Office"</definedName>
    <definedName name="YearList">"2023,2024,2025"</definedName>
    <definedName name="_xlnm._FilterDatabase" localSheetId="0" hidden="1">'Raw Data'!$A$1:$X$7501</definedName>
    <definedName name="_xlnm._FilterDatabase" localSheetId="1" hidden="1">'Clean Data'!$A$1:$AF$7501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0F172A"/>
      <sz val="24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F766E"/>
      <sz val="14"/>
      <scheme val="minor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8FAFC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4" borderId="0" pivotButton="0" quotePrefix="0" xfId="0"/>
    <xf numFmtId="0" fontId="4" fillId="3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Sales vs Profit</a:t>
            </a:r>
          </a:p>
        </rich>
      </tx>
      <layout/>
    </title>
    <plotArea>
      <layout/>
      <lineChart>
        <grouping val="standard"/>
        <ser>
          <idx val="0"/>
          <order val="0"/>
          <tx>
            <v>Sales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Dashboard!$A$26:$A$37</f>
              <strCache>
                <ptCount val="12"/>
                <pt idx="0">
                  <v>Month</v>
                </pt>
                <pt idx="1">
                  <v>Jan</v>
                </pt>
                <pt idx="2">
                  <v>Feb</v>
                </pt>
                <pt idx="3">
                  <v>Mar</v>
                </pt>
                <pt idx="4">
                  <v>Apr</v>
                </pt>
                <pt idx="5">
                  <v>May</v>
                </pt>
                <pt idx="6">
                  <v>Jun</v>
                </pt>
                <pt idx="7">
                  <v>Jul</v>
                </pt>
                <pt idx="8">
                  <v>Aug</v>
                </pt>
                <pt idx="9">
                  <v>Sep</v>
                </pt>
                <pt idx="10">
                  <v>Oct</v>
                </pt>
                <pt idx="11">
                  <v>Nov</v>
                </pt>
              </strCache>
            </strRef>
          </cat>
          <val>
            <numRef>
              <f>Dashboard!$B$26:$B$37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Profit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Dashboard!$A$26:$A$37</f>
              <strCache>
                <ptCount val="12"/>
                <pt idx="0">
                  <v>Month</v>
                </pt>
                <pt idx="1">
                  <v>Jan</v>
                </pt>
                <pt idx="2">
                  <v>Feb</v>
                </pt>
                <pt idx="3">
                  <v>Mar</v>
                </pt>
                <pt idx="4">
                  <v>Apr</v>
                </pt>
                <pt idx="5">
                  <v>May</v>
                </pt>
                <pt idx="6">
                  <v>Jun</v>
                </pt>
                <pt idx="7">
                  <v>Jul</v>
                </pt>
                <pt idx="8">
                  <v>Aug</v>
                </pt>
                <pt idx="9">
                  <v>Sep</v>
                </pt>
                <pt idx="10">
                  <v>Oct</v>
                </pt>
                <pt idx="11">
                  <v>Nov</v>
                </pt>
              </strCache>
            </strRef>
          </cat>
          <val>
            <numRef>
              <f>Dashboard!$C$26:$C$37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layout/>
        </title>
        <majorTickMark val="none"/>
        <minorTickMark val="none"/>
        <tickLblPos val="nextTo"/>
        <crossAx val="50010002"/>
        <crosses val="autoZero"/>
        <auto val="1"/>
        <lblAlgn val="ctr"/>
        <lblOffset val="100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Amount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Category Sales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v>Sales</v>
          </tx>
          <spPr>
            <a:ln xmlns:a="http://schemas.openxmlformats.org/drawingml/2006/main">
              <a:prstDash val="solid"/>
            </a:ln>
          </spPr>
          <cat>
            <strRef>
              <f>Dashboard!$A$42:$A$46</f>
              <strCache>
                <ptCount val="5"/>
                <pt idx="0">
                  <v>Category</v>
                </pt>
                <pt idx="1">
                  <v>Furniture</v>
                </pt>
                <pt idx="2">
                  <v>Technology</v>
                </pt>
                <pt idx="3">
                  <v>Office Supplies</v>
                </pt>
                <pt idx="4">
                  <v>Home Decor</v>
                </pt>
              </strCache>
            </strRef>
          </cat>
          <val>
            <numRef>
              <f>Dashboard!$B$42:$B$46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v>Profit</v>
          </tx>
          <spPr>
            <a:ln xmlns:a="http://schemas.openxmlformats.org/drawingml/2006/main">
              <a:prstDash val="solid"/>
            </a:ln>
          </spPr>
          <cat>
            <strRef>
              <f>Dashboard!$A$42:$A$46</f>
              <strCache>
                <ptCount val="5"/>
                <pt idx="0">
                  <v>Category</v>
                </pt>
                <pt idx="1">
                  <v>Furniture</v>
                </pt>
                <pt idx="2">
                  <v>Technology</v>
                </pt>
                <pt idx="3">
                  <v>Office Supplies</v>
                </pt>
                <pt idx="4">
                  <v>Home Decor</v>
                </pt>
              </strCache>
            </strRef>
          </cat>
          <val>
            <numRef>
              <f>Dashboard!$C$42:$C$46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axId val="50020001"/>
        <axId val="50020002"/>
      </barChart>
      <catAx>
        <axId val="5002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Category</a:t>
                </a:r>
              </a:p>
            </rich>
          </tx>
          <layout/>
        </title>
        <majorTickMark val="none"/>
        <minorTickMark val="none"/>
        <tickLblPos val="nextTo"/>
        <crossAx val="50020002"/>
        <crosses val="autoZero"/>
        <auto val="1"/>
        <lblAlgn val="ctr"/>
        <lblOffset val="100"/>
      </catAx>
      <valAx>
        <axId val="50020002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Sales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Sales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v>Sales</v>
          </tx>
          <spPr>
            <a:ln xmlns:a="http://schemas.openxmlformats.org/drawingml/2006/main">
              <a:prstDash val="solid"/>
            </a:ln>
          </spPr>
          <cat>
            <strRef>
              <f>Dashboard!$A$58:$A$62</f>
              <strCache>
                <ptCount val="5"/>
                <pt idx="0">
                  <v>Region</v>
                </pt>
                <pt idx="1">
                  <v>East</v>
                </pt>
                <pt idx="2">
                  <v>West</v>
                </pt>
                <pt idx="3">
                  <v>South</v>
                </pt>
                <pt idx="4">
                  <v>Central</v>
                </pt>
              </strCache>
            </strRef>
          </cat>
          <val>
            <numRef>
              <f>Dashboard!$B$58:$B$62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v>Profit</v>
          </tx>
          <spPr>
            <a:ln xmlns:a="http://schemas.openxmlformats.org/drawingml/2006/main">
              <a:prstDash val="solid"/>
            </a:ln>
          </spPr>
          <cat>
            <strRef>
              <f>Dashboard!$A$58:$A$62</f>
              <strCache>
                <ptCount val="5"/>
                <pt idx="0">
                  <v>Region</v>
                </pt>
                <pt idx="1">
                  <v>East</v>
                </pt>
                <pt idx="2">
                  <v>West</v>
                </pt>
                <pt idx="3">
                  <v>South</v>
                </pt>
                <pt idx="4">
                  <v>Central</v>
                </pt>
              </strCache>
            </strRef>
          </cat>
          <val>
            <numRef>
              <f>Dashboard!$C$58:$C$62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axId val="50030001"/>
        <axId val="50030002"/>
      </barChart>
      <catAx>
        <axId val="50030001"/>
        <scaling>
          <orientation val="minMax"/>
        </scaling>
        <axPos val="l"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Region</a:t>
                </a:r>
              </a:p>
            </rich>
          </tx>
          <layout/>
        </title>
        <majorTickMark val="none"/>
        <minorTickMark val="none"/>
        <tickLblPos val="nextTo"/>
        <crossAx val="50030002"/>
        <crosses val="autoZero"/>
        <auto val="1"/>
        <lblAlgn val="ctr"/>
        <lblOffset val="100"/>
      </catAx>
      <valAx>
        <axId val="50030002"/>
        <scaling>
          <orientation val="minMax"/>
        </scaling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Sales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3</col>
      <colOff>76200</colOff>
      <row>23</row>
      <rowOff>19050</rowOff>
    </from>
    <to>
      <col>12</col>
      <colOff>561975</colOff>
      <row>40</row>
      <rowOff>76200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76200</colOff>
      <row>39</row>
      <rowOff>19050</rowOff>
    </from>
    <to>
      <col>12</col>
      <colOff>561975</colOff>
      <row>56</row>
      <rowOff>76200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76200</colOff>
      <row>55</row>
      <rowOff>19050</rowOff>
    </from>
    <to>
      <col>12</col>
      <colOff>561975</colOff>
      <row>72</row>
      <rowOff>76200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alesTableRaw" displayName="SalesTableRaw" ref="A1:X1501" headerRowCount="1" totalsRowShown="0">
  <autoFilter ref="A1:X7501"/>
  <tableColumns count="2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alesTableClean" displayName="SalesTableClean" ref="A1:AF1501" headerRowCount="1" totalsRowShown="0">
  <autoFilter ref="A1:AF7501"/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5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.7109375" customWidth="1" min="1" max="24"/>
  </cols>
  <sheetData>
    <row r="1" ht="20" customFormat="1" customHeight="1" s="1">
      <c r="A1" s="1" t="inlineStr">
        <is>
          <t>Order ID</t>
        </is>
      </c>
      <c r="B1" s="1" t="inlineStr">
        <is>
          <t>Order Date</t>
        </is>
      </c>
      <c r="C1" s="1" t="inlineStr">
        <is>
          <t>Ship Date</t>
        </is>
      </c>
      <c r="D1" s="1" t="inlineStr">
        <is>
          <t>Customer ID</t>
        </is>
      </c>
      <c r="E1" s="1" t="inlineStr">
        <is>
          <t>Customer Name</t>
        </is>
      </c>
      <c r="F1" s="1" t="inlineStr">
        <is>
          <t>Customer Segment</t>
        </is>
      </c>
      <c r="G1" s="1" t="inlineStr">
        <is>
          <t>Product ID</t>
        </is>
      </c>
      <c r="H1" s="1" t="inlineStr">
        <is>
          <t>Product Name</t>
        </is>
      </c>
      <c r="I1" s="1" t="inlineStr">
        <is>
          <t>Category</t>
        </is>
      </c>
      <c r="J1" s="1" t="inlineStr">
        <is>
          <t>Sub-Category</t>
        </is>
      </c>
      <c r="K1" s="1" t="inlineStr">
        <is>
          <t>Region</t>
        </is>
      </c>
      <c r="L1" s="1" t="inlineStr">
        <is>
          <t>State</t>
        </is>
      </c>
      <c r="M1" s="1" t="inlineStr">
        <is>
          <t>City</t>
        </is>
      </c>
      <c r="N1" s="1" t="inlineStr">
        <is>
          <t>Sales Representative</t>
        </is>
      </c>
      <c r="O1" s="1" t="inlineStr">
        <is>
          <t>Quantity</t>
        </is>
      </c>
      <c r="P1" s="1" t="inlineStr">
        <is>
          <t>Unit Price</t>
        </is>
      </c>
      <c r="Q1" s="1" t="inlineStr">
        <is>
          <t>Discount (%)</t>
        </is>
      </c>
      <c r="R1" s="1" t="inlineStr">
        <is>
          <t>Sales</t>
        </is>
      </c>
      <c r="S1" s="1" t="inlineStr">
        <is>
          <t>Cost</t>
        </is>
      </c>
      <c r="T1" s="1" t="inlineStr">
        <is>
          <t>Profit</t>
        </is>
      </c>
      <c r="U1" s="1" t="inlineStr">
        <is>
          <t>Profit Margin</t>
        </is>
      </c>
      <c r="V1" s="1" t="inlineStr">
        <is>
          <t>Shipping Cost</t>
        </is>
      </c>
      <c r="W1" s="1" t="inlineStr">
        <is>
          <t>Payment Method</t>
        </is>
      </c>
      <c r="X1" s="1" t="inlineStr">
        <is>
          <t>Order Priority</t>
        </is>
      </c>
    </row>
    <row r="2">
      <c r="A2" t="inlineStr">
        <is>
          <t>ORD-00001</t>
        </is>
      </c>
      <c r="B2" s="2" t="n">
        <v>45532</v>
      </c>
      <c r="C2" s="2" t="n">
        <v>45537</v>
      </c>
      <c r="D2" t="inlineStr">
        <is>
          <t>CUST-00001</t>
        </is>
      </c>
      <c r="E2" t="inlineStr">
        <is>
          <t>CUSTOMER 1</t>
        </is>
      </c>
      <c r="F2" t="inlineStr">
        <is>
          <t>Consumer</t>
        </is>
      </c>
      <c r="G2" t="inlineStr">
        <is>
          <t>P1018</t>
        </is>
      </c>
      <c r="H2" t="inlineStr">
        <is>
          <t>Northstar Lantern</t>
        </is>
      </c>
      <c r="I2" t="inlineStr">
        <is>
          <t>Technology</t>
        </is>
      </c>
      <c r="J2" t="inlineStr">
        <is>
          <t>Peripherals</t>
        </is>
      </c>
      <c r="K2" t="inlineStr">
        <is>
          <t>East</t>
        </is>
      </c>
      <c r="L2" t="inlineStr">
        <is>
          <t>New Jersey</t>
        </is>
      </c>
      <c r="M2" t="inlineStr">
        <is>
          <t>New York</t>
        </is>
      </c>
      <c r="N2" t="inlineStr">
        <is>
          <t>Noah Kim</t>
        </is>
      </c>
      <c r="O2" t="n">
        <v>2</v>
      </c>
      <c r="P2" s="3" t="n">
        <v>96.20999999999999</v>
      </c>
      <c r="Q2" s="4" t="n">
        <v>0.03</v>
      </c>
      <c r="R2" s="3" t="n">
        <v>186.65</v>
      </c>
      <c r="S2" s="3" t="n">
        <v>85.25</v>
      </c>
      <c r="T2" s="3" t="n">
        <v>92.8</v>
      </c>
      <c r="U2" s="4" t="n">
        <v>0.4972</v>
      </c>
      <c r="V2" s="3" t="n">
        <v>8.6</v>
      </c>
      <c r="W2" t="inlineStr">
        <is>
          <t>Debit Card</t>
        </is>
      </c>
      <c r="X2" t="inlineStr">
        <is>
          <t>Medium</t>
        </is>
      </c>
    </row>
    <row r="3">
      <c r="A3" t="inlineStr">
        <is>
          <t>ORD-00002</t>
        </is>
      </c>
      <c r="B3" s="2" t="n">
        <v>45983</v>
      </c>
      <c r="C3" s="2" t="n">
        <v>45990</v>
      </c>
      <c r="D3" t="inlineStr">
        <is>
          <t>CUST-00002</t>
        </is>
      </c>
      <c r="E3" t="inlineStr">
        <is>
          <t>CUSTOMER 2</t>
        </is>
      </c>
      <c r="F3" t="inlineStr">
        <is>
          <t>Consumer</t>
        </is>
      </c>
      <c r="G3" t="inlineStr">
        <is>
          <t>P1011</t>
        </is>
      </c>
      <c r="H3" t="inlineStr">
        <is>
          <t>Cove Wall Clock</t>
        </is>
      </c>
      <c r="I3" t="inlineStr">
        <is>
          <t>Technology</t>
        </is>
      </c>
      <c r="J3" t="inlineStr">
        <is>
          <t>Paper</t>
        </is>
      </c>
      <c r="K3" t="inlineStr">
        <is>
          <t>South</t>
        </is>
      </c>
      <c r="L3" t="inlineStr">
        <is>
          <t>North Carolina</t>
        </is>
      </c>
      <c r="M3" t="inlineStr">
        <is>
          <t>Miami</t>
        </is>
      </c>
      <c r="N3" t="inlineStr">
        <is>
          <t>James Carter</t>
        </is>
      </c>
      <c r="O3" t="n">
        <v>3</v>
      </c>
      <c r="P3" s="3" t="n">
        <v>89.81999999999999</v>
      </c>
      <c r="Q3" s="4" t="n">
        <v>0.046</v>
      </c>
      <c r="R3" s="3" t="n">
        <v>257.06</v>
      </c>
      <c r="S3" s="3" t="n">
        <v>126.37</v>
      </c>
      <c r="T3" s="3" t="n">
        <v>122.29</v>
      </c>
      <c r="U3" s="4" t="n">
        <v>0.4757</v>
      </c>
      <c r="V3" s="3" t="n">
        <v>8.4</v>
      </c>
      <c r="W3" t="inlineStr">
        <is>
          <t>Bank Transfer</t>
        </is>
      </c>
      <c r="X3" t="inlineStr">
        <is>
          <t>High</t>
        </is>
      </c>
    </row>
    <row r="4">
      <c r="A4" t="inlineStr">
        <is>
          <t>ORD-00003</t>
        </is>
      </c>
      <c r="B4" s="2" t="n">
        <v>45729</v>
      </c>
      <c r="C4" s="2" t="n">
        <v>45736</v>
      </c>
      <c r="D4" t="inlineStr">
        <is>
          <t>CUST-00003</t>
        </is>
      </c>
      <c r="E4" t="inlineStr">
        <is>
          <t>CUSTOMER 3</t>
        </is>
      </c>
      <c r="F4" t="inlineStr">
        <is>
          <t>Consumer</t>
        </is>
      </c>
      <c r="G4" t="inlineStr">
        <is>
          <t>P1011</t>
        </is>
      </c>
      <c r="H4" t="inlineStr">
        <is>
          <t>Harbor Rug</t>
        </is>
      </c>
      <c r="I4" t="inlineStr">
        <is>
          <t>Outdoor</t>
        </is>
      </c>
      <c r="J4" t="inlineStr">
        <is>
          <t>Lighting</t>
        </is>
      </c>
      <c r="K4" t="inlineStr">
        <is>
          <t>North</t>
        </is>
      </c>
      <c r="L4" t="inlineStr">
        <is>
          <t>Quebec</t>
        </is>
      </c>
      <c r="M4" t="inlineStr">
        <is>
          <t>Montreal</t>
        </is>
      </c>
      <c r="N4" t="inlineStr">
        <is>
          <t>Ava Patel</t>
        </is>
      </c>
      <c r="O4" t="n">
        <v>4</v>
      </c>
      <c r="P4" s="3" t="n">
        <v>84.03</v>
      </c>
      <c r="Q4" s="4" t="n">
        <v>0.05</v>
      </c>
      <c r="R4" s="3" t="n">
        <v>319.31</v>
      </c>
      <c r="S4" s="3" t="n">
        <v>153.69</v>
      </c>
      <c r="T4" s="3" t="n">
        <v>156.42</v>
      </c>
      <c r="U4" s="4" t="n">
        <v>0.4899</v>
      </c>
      <c r="V4" s="3" t="n">
        <v>9.199999999999999</v>
      </c>
      <c r="W4" t="inlineStr">
        <is>
          <t>Credit Card</t>
        </is>
      </c>
      <c r="X4" t="inlineStr">
        <is>
          <t>Critical</t>
        </is>
      </c>
    </row>
    <row r="5">
      <c r="A5" t="inlineStr">
        <is>
          <t>ORD-00004</t>
        </is>
      </c>
      <c r="B5" s="2" t="n">
        <v>45367</v>
      </c>
      <c r="C5" s="2" t="n">
        <v>45371</v>
      </c>
      <c r="D5" t="inlineStr">
        <is>
          <t>CUST-00004</t>
        </is>
      </c>
      <c r="E5" t="inlineStr">
        <is>
          <t>CUSTOMER 4</t>
        </is>
      </c>
      <c r="F5" t="inlineStr">
        <is>
          <t>Corporate</t>
        </is>
      </c>
      <c r="G5" t="inlineStr">
        <is>
          <t>P1016</t>
        </is>
      </c>
      <c r="H5" t="inlineStr">
        <is>
          <t>FlexNote Notebook</t>
        </is>
      </c>
      <c r="I5" t="inlineStr">
        <is>
          <t>Outdoor</t>
        </is>
      </c>
      <c r="J5" t="inlineStr">
        <is>
          <t>Furniture</t>
        </is>
      </c>
      <c r="K5" t="inlineStr">
        <is>
          <t>Central</t>
        </is>
      </c>
      <c r="L5" t="inlineStr">
        <is>
          <t>Minnesota</t>
        </is>
      </c>
      <c r="M5" t="inlineStr">
        <is>
          <t>St. Louis</t>
        </is>
      </c>
      <c r="N5" t="inlineStr">
        <is>
          <t>Sophia Singh</t>
        </is>
      </c>
      <c r="O5" t="n">
        <v>3</v>
      </c>
      <c r="P5" s="3" t="n">
        <v>37.05</v>
      </c>
      <c r="Q5" s="4" t="n">
        <v>0.039</v>
      </c>
      <c r="R5" s="3" t="n">
        <v>106.82</v>
      </c>
      <c r="S5" s="3" t="n">
        <v>50.25</v>
      </c>
      <c r="T5" s="3" t="n">
        <v>48.17</v>
      </c>
      <c r="U5" s="4" t="n">
        <v>0.4509</v>
      </c>
      <c r="V5" s="3" t="n">
        <v>8.4</v>
      </c>
      <c r="W5" t="inlineStr">
        <is>
          <t>Credit Card</t>
        </is>
      </c>
      <c r="X5" t="inlineStr">
        <is>
          <t>High</t>
        </is>
      </c>
    </row>
    <row r="6">
      <c r="A6" t="inlineStr">
        <is>
          <t>ORD-00005</t>
        </is>
      </c>
      <c r="B6" s="2" t="n">
        <v>45151</v>
      </c>
      <c r="C6" s="2" t="n">
        <v>45152</v>
      </c>
      <c r="D6" t="inlineStr">
        <is>
          <t>CUST-00005</t>
        </is>
      </c>
      <c r="E6" t="inlineStr">
        <is>
          <t>CUSTOMER 5</t>
        </is>
      </c>
      <c r="F6" t="inlineStr">
        <is>
          <t>Corporate</t>
        </is>
      </c>
      <c r="G6" t="inlineStr">
        <is>
          <t>P1008</t>
        </is>
      </c>
      <c r="H6" t="inlineStr">
        <is>
          <t>Tide Cooler</t>
        </is>
      </c>
      <c r="I6" t="inlineStr">
        <is>
          <t>Technology</t>
        </is>
      </c>
      <c r="J6" t="inlineStr">
        <is>
          <t>Coolers</t>
        </is>
      </c>
      <c r="K6" t="inlineStr">
        <is>
          <t>Central</t>
        </is>
      </c>
      <c r="L6" t="inlineStr">
        <is>
          <t>Kansas</t>
        </is>
      </c>
      <c r="M6" t="inlineStr">
        <is>
          <t>Kansas City</t>
        </is>
      </c>
      <c r="N6" t="inlineStr">
        <is>
          <t>Liam Chen</t>
        </is>
      </c>
      <c r="O6" t="n">
        <v>1</v>
      </c>
      <c r="P6" s="3" t="n">
        <v>34.67</v>
      </c>
      <c r="Q6" s="4" t="n">
        <v>0.038</v>
      </c>
      <c r="R6" s="3" t="n">
        <v>33.35</v>
      </c>
      <c r="S6" s="3" t="n">
        <v>23.1</v>
      </c>
      <c r="T6" s="3" t="n">
        <v>3.45</v>
      </c>
      <c r="U6" s="4" t="n">
        <v>0.1034</v>
      </c>
      <c r="V6" s="3" t="n">
        <v>6.8</v>
      </c>
      <c r="W6" t="inlineStr">
        <is>
          <t>Bank Transfer</t>
        </is>
      </c>
      <c r="X6" t="inlineStr">
        <is>
          <t>Medium</t>
        </is>
      </c>
    </row>
    <row r="7">
      <c r="A7" t="inlineStr">
        <is>
          <t>ORD-00006</t>
        </is>
      </c>
      <c r="B7" s="2" t="n">
        <v>45264</v>
      </c>
      <c r="C7" s="2" t="n">
        <v>45268</v>
      </c>
      <c r="D7" t="inlineStr">
        <is>
          <t>CUST-00006</t>
        </is>
      </c>
      <c r="E7" t="inlineStr">
        <is>
          <t>CUSTOMER 6</t>
        </is>
      </c>
      <c r="F7" t="inlineStr">
        <is>
          <t>Consumer</t>
        </is>
      </c>
      <c r="G7" t="inlineStr">
        <is>
          <t>P1002</t>
        </is>
      </c>
      <c r="H7" t="inlineStr">
        <is>
          <t>Halo Planter</t>
        </is>
      </c>
      <c r="I7" t="inlineStr">
        <is>
          <t>Home Decor</t>
        </is>
      </c>
      <c r="J7" t="inlineStr">
        <is>
          <t>Decor</t>
        </is>
      </c>
      <c r="K7" t="inlineStr">
        <is>
          <t>Central</t>
        </is>
      </c>
      <c r="L7" t="inlineStr">
        <is>
          <t>Illinois</t>
        </is>
      </c>
      <c r="M7" t="inlineStr">
        <is>
          <t>Kansas City</t>
        </is>
      </c>
      <c r="N7" t="inlineStr">
        <is>
          <t>Ethan Brooks</t>
        </is>
      </c>
      <c r="O7" t="n">
        <v>2</v>
      </c>
      <c r="P7" s="3" t="n">
        <v>85.59999999999999</v>
      </c>
      <c r="Q7" s="4" t="n">
        <v>0.01</v>
      </c>
      <c r="R7" s="3" t="n">
        <v>169.49</v>
      </c>
      <c r="S7" s="3" t="n">
        <v>79.72</v>
      </c>
      <c r="T7" s="3" t="n">
        <v>82.17</v>
      </c>
      <c r="U7" s="4" t="n">
        <v>0.4848</v>
      </c>
      <c r="V7" s="3" t="n">
        <v>7.6</v>
      </c>
      <c r="W7" t="inlineStr">
        <is>
          <t>Debit Card</t>
        </is>
      </c>
      <c r="X7" t="inlineStr">
        <is>
          <t>Medium</t>
        </is>
      </c>
    </row>
    <row r="8">
      <c r="A8" t="inlineStr">
        <is>
          <t>ORD-00007</t>
        </is>
      </c>
      <c r="B8" s="2" t="n">
        <v>45081</v>
      </c>
      <c r="C8" s="2" t="n">
        <v>45082</v>
      </c>
      <c r="D8" t="inlineStr">
        <is>
          <t>CUST-00007</t>
        </is>
      </c>
      <c r="E8" t="inlineStr">
        <is>
          <t>CUSTOMER 7</t>
        </is>
      </c>
      <c r="F8" t="inlineStr">
        <is>
          <t>Consumer</t>
        </is>
      </c>
      <c r="G8" t="inlineStr">
        <is>
          <t>P1010</t>
        </is>
      </c>
      <c r="H8" t="inlineStr">
        <is>
          <t>Pulse Keyboard</t>
        </is>
      </c>
      <c r="I8" t="inlineStr">
        <is>
          <t>Furniture</t>
        </is>
      </c>
      <c r="J8" t="inlineStr">
        <is>
          <t>Peripherals</t>
        </is>
      </c>
      <c r="K8" t="inlineStr">
        <is>
          <t>Central</t>
        </is>
      </c>
      <c r="L8" t="inlineStr">
        <is>
          <t>Illinois</t>
        </is>
      </c>
      <c r="M8" t="inlineStr">
        <is>
          <t>Chicago</t>
        </is>
      </c>
      <c r="N8" t="inlineStr">
        <is>
          <t>Ava Patel</t>
        </is>
      </c>
      <c r="O8" t="n">
        <v>4</v>
      </c>
      <c r="P8" s="3" t="n">
        <v>55.36</v>
      </c>
      <c r="Q8" s="4" t="n">
        <v>0.038</v>
      </c>
      <c r="R8" s="3" t="n">
        <v>213.03</v>
      </c>
      <c r="S8" s="3" t="n">
        <v>93.59999999999999</v>
      </c>
      <c r="T8" s="3" t="n">
        <v>110.23</v>
      </c>
      <c r="U8" s="4" t="n">
        <v>0.5174</v>
      </c>
      <c r="V8" s="3" t="n">
        <v>9.199999999999999</v>
      </c>
      <c r="W8" t="inlineStr">
        <is>
          <t>PayPal</t>
        </is>
      </c>
      <c r="X8" t="inlineStr">
        <is>
          <t>High</t>
        </is>
      </c>
    </row>
    <row r="9">
      <c r="A9" t="inlineStr">
        <is>
          <t>ORD-00008</t>
        </is>
      </c>
      <c r="B9" s="2" t="n">
        <v>45788</v>
      </c>
      <c r="C9" s="2" t="n">
        <v>45794</v>
      </c>
      <c r="D9" t="inlineStr">
        <is>
          <t>CUST-00008</t>
        </is>
      </c>
      <c r="E9" t="inlineStr">
        <is>
          <t>CUSTOMER 8</t>
        </is>
      </c>
      <c r="F9" t="inlineStr">
        <is>
          <t>Consumer</t>
        </is>
      </c>
      <c r="G9" t="inlineStr">
        <is>
          <t>P1006</t>
        </is>
      </c>
      <c r="H9" t="inlineStr">
        <is>
          <t>Northstar Lantern</t>
        </is>
      </c>
      <c r="I9" t="inlineStr">
        <is>
          <t>Technology</t>
        </is>
      </c>
      <c r="J9" t="inlineStr">
        <is>
          <t>Furniture</t>
        </is>
      </c>
      <c r="K9" t="inlineStr">
        <is>
          <t>East</t>
        </is>
      </c>
      <c r="L9" t="inlineStr">
        <is>
          <t>Virginia</t>
        </is>
      </c>
      <c r="M9" t="inlineStr">
        <is>
          <t>New York</t>
        </is>
      </c>
      <c r="N9" t="inlineStr">
        <is>
          <t>Noah Kim</t>
        </is>
      </c>
      <c r="O9" t="n">
        <v>4</v>
      </c>
      <c r="P9" s="3" t="n">
        <v>18.45</v>
      </c>
      <c r="Q9" s="4" t="n">
        <v>0.024</v>
      </c>
      <c r="R9" s="3" t="n">
        <v>72.03</v>
      </c>
      <c r="S9" s="3" t="n">
        <v>32.66</v>
      </c>
      <c r="T9" s="3" t="n">
        <v>29.17</v>
      </c>
      <c r="U9" s="4" t="n">
        <v>0.405</v>
      </c>
      <c r="V9" s="3" t="n">
        <v>10.2</v>
      </c>
      <c r="W9" t="inlineStr">
        <is>
          <t>Bank Transfer</t>
        </is>
      </c>
      <c r="X9" t="inlineStr">
        <is>
          <t>High</t>
        </is>
      </c>
    </row>
    <row r="10">
      <c r="A10" t="inlineStr">
        <is>
          <t>ORD-00009</t>
        </is>
      </c>
      <c r="B10" s="2" t="n">
        <v>45558</v>
      </c>
      <c r="C10" s="2" t="n">
        <v>45562</v>
      </c>
      <c r="D10" t="inlineStr">
        <is>
          <t>CUST-00009</t>
        </is>
      </c>
      <c r="E10" t="inlineStr">
        <is>
          <t>CUSTOMER 9</t>
        </is>
      </c>
      <c r="F10" t="inlineStr">
        <is>
          <t>Home Office</t>
        </is>
      </c>
      <c r="G10" t="inlineStr">
        <is>
          <t>P1004</t>
        </is>
      </c>
      <c r="H10" t="inlineStr">
        <is>
          <t>FlexNote Notebook</t>
        </is>
      </c>
      <c r="I10" t="inlineStr">
        <is>
          <t>Furniture</t>
        </is>
      </c>
      <c r="J10" t="inlineStr">
        <is>
          <t>Peripherals</t>
        </is>
      </c>
      <c r="K10" t="inlineStr">
        <is>
          <t>South</t>
        </is>
      </c>
      <c r="L10" t="inlineStr">
        <is>
          <t>Florida</t>
        </is>
      </c>
      <c r="M10" t="inlineStr">
        <is>
          <t>Dallas</t>
        </is>
      </c>
      <c r="N10" t="inlineStr">
        <is>
          <t>Ethan Brooks</t>
        </is>
      </c>
      <c r="O10" t="n">
        <v>4</v>
      </c>
      <c r="P10" s="3" t="n">
        <v>605.1</v>
      </c>
      <c r="Q10" s="4" t="n">
        <v>0.014</v>
      </c>
      <c r="R10" s="3" t="n">
        <v>2386.51</v>
      </c>
      <c r="S10" s="3" t="n">
        <v>1508.58</v>
      </c>
      <c r="T10" s="3" t="n">
        <v>868.73</v>
      </c>
      <c r="U10" s="4" t="n">
        <v>0.364</v>
      </c>
      <c r="V10" s="3" t="n">
        <v>9.199999999999999</v>
      </c>
      <c r="W10" t="inlineStr">
        <is>
          <t>Credit Card</t>
        </is>
      </c>
      <c r="X10" t="inlineStr">
        <is>
          <t>Low</t>
        </is>
      </c>
    </row>
    <row r="11">
      <c r="A11" t="inlineStr">
        <is>
          <t>ORD-00010</t>
        </is>
      </c>
      <c r="B11" s="2" t="n">
        <v>46005</v>
      </c>
      <c r="C11" s="2" t="n">
        <v>46007</v>
      </c>
      <c r="D11" t="inlineStr">
        <is>
          <t>CUST-00010</t>
        </is>
      </c>
      <c r="E11" t="inlineStr">
        <is>
          <t>CUSTOMER 10</t>
        </is>
      </c>
      <c r="F11" t="inlineStr">
        <is>
          <t>Home Office</t>
        </is>
      </c>
      <c r="G11" t="inlineStr">
        <is>
          <t>P1005</t>
        </is>
      </c>
      <c r="H11" t="inlineStr">
        <is>
          <t>SmartInk Pen Set</t>
        </is>
      </c>
      <c r="I11" t="inlineStr">
        <is>
          <t>Outdoor</t>
        </is>
      </c>
      <c r="J11" t="inlineStr">
        <is>
          <t>Lighting</t>
        </is>
      </c>
      <c r="K11" t="inlineStr">
        <is>
          <t>South</t>
        </is>
      </c>
      <c r="L11" t="inlineStr">
        <is>
          <t>Georgia</t>
        </is>
      </c>
      <c r="M11" t="inlineStr">
        <is>
          <t>Atlanta</t>
        </is>
      </c>
      <c r="N11" t="inlineStr">
        <is>
          <t>Sophia Singh</t>
        </is>
      </c>
      <c r="O11" t="n">
        <v>3</v>
      </c>
      <c r="P11" s="3" t="n">
        <v>12.9</v>
      </c>
      <c r="Q11" s="4" t="n">
        <v>0.027</v>
      </c>
      <c r="R11" s="3" t="n">
        <v>37.66</v>
      </c>
      <c r="S11" s="3" t="n">
        <v>22.58</v>
      </c>
      <c r="T11" s="3" t="n">
        <v>6.68</v>
      </c>
      <c r="U11" s="4" t="n">
        <v>0.1774</v>
      </c>
      <c r="V11" s="3" t="n">
        <v>8.4</v>
      </c>
      <c r="W11" t="inlineStr">
        <is>
          <t>Debit Card</t>
        </is>
      </c>
      <c r="X11" t="inlineStr">
        <is>
          <t>Medium</t>
        </is>
      </c>
    </row>
    <row r="12">
      <c r="A12" t="inlineStr">
        <is>
          <t>ORD-00011</t>
        </is>
      </c>
      <c r="B12" s="2" t="n">
        <v>45233</v>
      </c>
      <c r="C12" s="2" t="n">
        <v>45236</v>
      </c>
      <c r="D12" t="inlineStr">
        <is>
          <t>CUST-00011</t>
        </is>
      </c>
      <c r="E12" t="inlineStr">
        <is>
          <t>CUSTOMER 11</t>
        </is>
      </c>
      <c r="F12" t="inlineStr">
        <is>
          <t>Consumer</t>
        </is>
      </c>
      <c r="G12" t="inlineStr">
        <is>
          <t>P1011</t>
        </is>
      </c>
      <c r="H12" t="inlineStr">
        <is>
          <t>Lumen Desk Lamp</t>
        </is>
      </c>
      <c r="I12" t="inlineStr">
        <is>
          <t>Outdoor</t>
        </is>
      </c>
      <c r="J12" t="inlineStr">
        <is>
          <t>Peripherals</t>
        </is>
      </c>
      <c r="K12" t="inlineStr">
        <is>
          <t>East</t>
        </is>
      </c>
      <c r="L12" t="inlineStr">
        <is>
          <t>New York</t>
        </is>
      </c>
      <c r="M12" t="inlineStr">
        <is>
          <t>New York</t>
        </is>
      </c>
      <c r="N12" t="inlineStr">
        <is>
          <t>James Carter</t>
        </is>
      </c>
      <c r="O12" t="n">
        <v>3</v>
      </c>
      <c r="P12" s="3" t="n">
        <v>93.98</v>
      </c>
      <c r="Q12" s="4" t="n">
        <v>0.012</v>
      </c>
      <c r="R12" s="3" t="n">
        <v>278.56</v>
      </c>
      <c r="S12" s="3" t="n">
        <v>137.99</v>
      </c>
      <c r="T12" s="3" t="n">
        <v>131.17</v>
      </c>
      <c r="U12" s="4" t="n">
        <v>0.4709</v>
      </c>
      <c r="V12" s="3" t="n">
        <v>9.4</v>
      </c>
      <c r="W12" t="inlineStr">
        <is>
          <t>PayPal</t>
        </is>
      </c>
      <c r="X12" t="inlineStr">
        <is>
          <t>Medium</t>
        </is>
      </c>
    </row>
    <row r="13">
      <c r="A13" t="inlineStr">
        <is>
          <t>ORD-00012</t>
        </is>
      </c>
      <c r="B13" s="2" t="n">
        <v>46018</v>
      </c>
      <c r="C13" s="2" t="n">
        <v>46022</v>
      </c>
      <c r="D13" t="inlineStr">
        <is>
          <t>CUST-00012</t>
        </is>
      </c>
      <c r="E13" t="inlineStr">
        <is>
          <t>CUSTOMER 12</t>
        </is>
      </c>
      <c r="F13" t="inlineStr">
        <is>
          <t>Home Office</t>
        </is>
      </c>
      <c r="G13" t="inlineStr">
        <is>
          <t>P1012</t>
        </is>
      </c>
      <c r="H13" t="inlineStr">
        <is>
          <t>Northstar Lantern</t>
        </is>
      </c>
      <c r="I13" t="inlineStr">
        <is>
          <t>Technology</t>
        </is>
      </c>
      <c r="J13" t="inlineStr">
        <is>
          <t>Chairs</t>
        </is>
      </c>
      <c r="K13" t="inlineStr">
        <is>
          <t>North</t>
        </is>
      </c>
      <c r="L13" t="inlineStr">
        <is>
          <t>British Columbia</t>
        </is>
      </c>
      <c r="M13" t="inlineStr">
        <is>
          <t>Toronto</t>
        </is>
      </c>
      <c r="N13" t="inlineStr">
        <is>
          <t>Sophia Singh</t>
        </is>
      </c>
      <c r="O13" t="n">
        <v>2</v>
      </c>
      <c r="P13" s="3" t="n">
        <v>140.05</v>
      </c>
      <c r="Q13" s="4" t="n">
        <v>0.017</v>
      </c>
      <c r="R13" s="3" t="n">
        <v>275.34</v>
      </c>
      <c r="S13" s="3" t="n">
        <v>141.3</v>
      </c>
      <c r="T13" s="3" t="n">
        <v>126.44</v>
      </c>
      <c r="U13" s="4" t="n">
        <v>0.4592</v>
      </c>
      <c r="V13" s="3" t="n">
        <v>7.6</v>
      </c>
      <c r="W13" t="inlineStr">
        <is>
          <t>PayPal</t>
        </is>
      </c>
      <c r="X13" t="inlineStr">
        <is>
          <t>Medium</t>
        </is>
      </c>
    </row>
    <row r="14">
      <c r="A14" t="inlineStr">
        <is>
          <t>ORD-00013</t>
        </is>
      </c>
      <c r="B14" s="2" t="n">
        <v>45676</v>
      </c>
      <c r="C14" s="2" t="n">
        <v>45681</v>
      </c>
      <c r="D14" t="inlineStr">
        <is>
          <t>CUST-00013</t>
        </is>
      </c>
      <c r="E14" t="inlineStr">
        <is>
          <t>CUSTOMER 13</t>
        </is>
      </c>
      <c r="F14" t="inlineStr">
        <is>
          <t>Consumer</t>
        </is>
      </c>
      <c r="G14" t="inlineStr">
        <is>
          <t>P1016</t>
        </is>
      </c>
      <c r="H14" t="inlineStr">
        <is>
          <t>Atlas Throw Pillow</t>
        </is>
      </c>
      <c r="I14" t="inlineStr">
        <is>
          <t>Furniture</t>
        </is>
      </c>
      <c r="J14" t="inlineStr">
        <is>
          <t>Decor</t>
        </is>
      </c>
      <c r="K14" t="inlineStr">
        <is>
          <t>East</t>
        </is>
      </c>
      <c r="L14" t="inlineStr">
        <is>
          <t>Massachusetts</t>
        </is>
      </c>
      <c r="M14" t="inlineStr">
        <is>
          <t>New York</t>
        </is>
      </c>
      <c r="N14" t="inlineStr">
        <is>
          <t>Ethan Brooks</t>
        </is>
      </c>
      <c r="O14" t="n">
        <v>3</v>
      </c>
      <c r="P14" s="3" t="n">
        <v>37.89</v>
      </c>
      <c r="Q14" s="4" t="n">
        <v>0.002</v>
      </c>
      <c r="R14" s="3" t="n">
        <v>113.44</v>
      </c>
      <c r="S14" s="3" t="n">
        <v>51.13</v>
      </c>
      <c r="T14" s="3" t="n">
        <v>52.91</v>
      </c>
      <c r="U14" s="4" t="n">
        <v>0.4664</v>
      </c>
      <c r="V14" s="3" t="n">
        <v>9.4</v>
      </c>
      <c r="W14" t="inlineStr">
        <is>
          <t>Bank Transfer</t>
        </is>
      </c>
      <c r="X14" t="inlineStr">
        <is>
          <t>Medium</t>
        </is>
      </c>
    </row>
    <row r="15">
      <c r="A15" t="inlineStr">
        <is>
          <t>ORD-00014</t>
        </is>
      </c>
      <c r="B15" s="2" t="n">
        <v>44979</v>
      </c>
      <c r="C15" s="2" t="n">
        <v>44982</v>
      </c>
      <c r="D15" t="inlineStr">
        <is>
          <t>CUST-00014</t>
        </is>
      </c>
      <c r="E15" t="inlineStr">
        <is>
          <t>CUSTOMER 14</t>
        </is>
      </c>
      <c r="F15" t="inlineStr">
        <is>
          <t>Corporate</t>
        </is>
      </c>
      <c r="G15" t="inlineStr">
        <is>
          <t>P1020</t>
        </is>
      </c>
      <c r="H15" t="inlineStr">
        <is>
          <t>Nimbus Monitor Arm</t>
        </is>
      </c>
      <c r="I15" t="inlineStr">
        <is>
          <t>Home Decor</t>
        </is>
      </c>
      <c r="J15" t="inlineStr">
        <is>
          <t>Peripherals</t>
        </is>
      </c>
      <c r="K15" t="inlineStr">
        <is>
          <t>East</t>
        </is>
      </c>
      <c r="L15" t="inlineStr">
        <is>
          <t>Massachusetts</t>
        </is>
      </c>
      <c r="M15" t="inlineStr">
        <is>
          <t>Philadelphia</t>
        </is>
      </c>
      <c r="N15" t="inlineStr">
        <is>
          <t>Liam Chen</t>
        </is>
      </c>
      <c r="O15" t="n">
        <v>3</v>
      </c>
      <c r="P15" s="3" t="n">
        <v>75.98</v>
      </c>
      <c r="Q15" s="4" t="n">
        <v>0.022</v>
      </c>
      <c r="R15" s="3" t="n">
        <v>222.93</v>
      </c>
      <c r="S15" s="3" t="n">
        <v>110.97</v>
      </c>
      <c r="T15" s="3" t="n">
        <v>102.56</v>
      </c>
      <c r="U15" s="4" t="n">
        <v>0.4601</v>
      </c>
      <c r="V15" s="3" t="n">
        <v>9.4</v>
      </c>
      <c r="W15" t="inlineStr">
        <is>
          <t>Debit Card</t>
        </is>
      </c>
      <c r="X15" t="inlineStr">
        <is>
          <t>Low</t>
        </is>
      </c>
    </row>
    <row r="16">
      <c r="A16" t="inlineStr">
        <is>
          <t>ORD-00015</t>
        </is>
      </c>
      <c r="B16" s="2" t="n">
        <v>45194</v>
      </c>
      <c r="C16" s="2" t="n">
        <v>45197</v>
      </c>
      <c r="D16" t="inlineStr">
        <is>
          <t>CUST-00015</t>
        </is>
      </c>
      <c r="E16" t="inlineStr">
        <is>
          <t>CUSTOMER 15</t>
        </is>
      </c>
      <c r="F16" t="inlineStr">
        <is>
          <t>Home Office</t>
        </is>
      </c>
      <c r="G16" t="inlineStr">
        <is>
          <t>P1014</t>
        </is>
      </c>
      <c r="H16" t="inlineStr">
        <is>
          <t>Orbit Wireless Mouse</t>
        </is>
      </c>
      <c r="I16" t="inlineStr">
        <is>
          <t>Furniture</t>
        </is>
      </c>
      <c r="J16" t="inlineStr">
        <is>
          <t>Peripherals</t>
        </is>
      </c>
      <c r="K16" t="inlineStr">
        <is>
          <t>East</t>
        </is>
      </c>
      <c r="L16" t="inlineStr">
        <is>
          <t>New Jersey</t>
        </is>
      </c>
      <c r="M16" t="inlineStr">
        <is>
          <t>Washington</t>
        </is>
      </c>
      <c r="N16" t="inlineStr">
        <is>
          <t>Olivia Martin</t>
        </is>
      </c>
      <c r="O16" t="n">
        <v>3</v>
      </c>
      <c r="P16" s="3" t="n">
        <v>43.09</v>
      </c>
      <c r="Q16" s="4" t="n">
        <v>0</v>
      </c>
      <c r="R16" s="3" t="n">
        <v>129.27</v>
      </c>
      <c r="S16" s="3" t="n">
        <v>56.47</v>
      </c>
      <c r="T16" s="3" t="n">
        <v>63.4</v>
      </c>
      <c r="U16" s="4" t="n">
        <v>0.4904</v>
      </c>
      <c r="V16" s="3" t="n">
        <v>9.4</v>
      </c>
      <c r="W16" t="inlineStr">
        <is>
          <t>Credit Card</t>
        </is>
      </c>
      <c r="X16" t="inlineStr">
        <is>
          <t>Low</t>
        </is>
      </c>
    </row>
    <row r="17">
      <c r="A17" t="inlineStr">
        <is>
          <t>ORD-00016</t>
        </is>
      </c>
      <c r="B17" s="2" t="n">
        <v>45231</v>
      </c>
      <c r="C17" s="2" t="n">
        <v>45232</v>
      </c>
      <c r="D17" t="inlineStr">
        <is>
          <t>CUST-00016</t>
        </is>
      </c>
      <c r="E17" t="inlineStr">
        <is>
          <t>CUSTOMER 16</t>
        </is>
      </c>
      <c r="F17" t="inlineStr">
        <is>
          <t>Consumer</t>
        </is>
      </c>
      <c r="G17" t="inlineStr">
        <is>
          <t>P1014</t>
        </is>
      </c>
      <c r="H17" t="inlineStr">
        <is>
          <t>Echo Web Camera</t>
        </is>
      </c>
      <c r="I17" t="inlineStr">
        <is>
          <t>Outdoor</t>
        </is>
      </c>
      <c r="J17" t="inlineStr">
        <is>
          <t>Peripherals</t>
        </is>
      </c>
      <c r="K17" t="inlineStr">
        <is>
          <t>West</t>
        </is>
      </c>
      <c r="L17" t="inlineStr">
        <is>
          <t>Washington</t>
        </is>
      </c>
      <c r="M17" t="inlineStr">
        <is>
          <t>Seattle</t>
        </is>
      </c>
      <c r="N17" t="inlineStr">
        <is>
          <t>Sophia Singh</t>
        </is>
      </c>
      <c r="O17" t="n">
        <v>2</v>
      </c>
      <c r="P17" s="3" t="n">
        <v>47.35</v>
      </c>
      <c r="Q17" s="4" t="n">
        <v>0.024</v>
      </c>
      <c r="R17" s="3" t="n">
        <v>92.43000000000001</v>
      </c>
      <c r="S17" s="3" t="n">
        <v>42.29</v>
      </c>
      <c r="T17" s="3" t="n">
        <v>41.54</v>
      </c>
      <c r="U17" s="4" t="n">
        <v>0.4494</v>
      </c>
      <c r="V17" s="3" t="n">
        <v>8.6</v>
      </c>
      <c r="W17" t="inlineStr">
        <is>
          <t>Bank Transfer</t>
        </is>
      </c>
      <c r="X17" t="inlineStr">
        <is>
          <t>Medium</t>
        </is>
      </c>
    </row>
    <row r="18">
      <c r="A18" t="inlineStr">
        <is>
          <t>ORD-00017</t>
        </is>
      </c>
      <c r="B18" s="2" t="n">
        <v>45417</v>
      </c>
      <c r="C18" s="2" t="n">
        <v>45421</v>
      </c>
      <c r="D18" t="inlineStr">
        <is>
          <t>CUST-00017</t>
        </is>
      </c>
      <c r="E18" t="inlineStr">
        <is>
          <t>CUSTOMER 17</t>
        </is>
      </c>
      <c r="F18" t="inlineStr">
        <is>
          <t>Corporate</t>
        </is>
      </c>
      <c r="G18" t="inlineStr">
        <is>
          <t>P1020</t>
        </is>
      </c>
      <c r="H18" t="inlineStr">
        <is>
          <t>Lumen Desk Lamp</t>
        </is>
      </c>
      <c r="I18" t="inlineStr">
        <is>
          <t>Office Supplies</t>
        </is>
      </c>
      <c r="J18" t="inlineStr">
        <is>
          <t>Bags</t>
        </is>
      </c>
      <c r="K18" t="inlineStr">
        <is>
          <t>South</t>
        </is>
      </c>
      <c r="L18" t="inlineStr">
        <is>
          <t>Georgia</t>
        </is>
      </c>
      <c r="M18" t="inlineStr">
        <is>
          <t>Dallas</t>
        </is>
      </c>
      <c r="N18" t="inlineStr">
        <is>
          <t>Ava Patel</t>
        </is>
      </c>
      <c r="O18" t="n">
        <v>5</v>
      </c>
      <c r="P18" s="3" t="n">
        <v>71.22</v>
      </c>
      <c r="Q18" s="4" t="n">
        <v>0.037</v>
      </c>
      <c r="R18" s="3" t="n">
        <v>342.92</v>
      </c>
      <c r="S18" s="3" t="n">
        <v>160.26</v>
      </c>
      <c r="T18" s="3" t="n">
        <v>172.66</v>
      </c>
      <c r="U18" s="4" t="n">
        <v>0.5034999999999999</v>
      </c>
      <c r="V18" s="3" t="n">
        <v>10</v>
      </c>
      <c r="W18" t="inlineStr">
        <is>
          <t>Bank Transfer</t>
        </is>
      </c>
      <c r="X18" t="inlineStr">
        <is>
          <t>Medium</t>
        </is>
      </c>
    </row>
    <row r="19">
      <c r="A19" t="inlineStr">
        <is>
          <t>ORD-00018</t>
        </is>
      </c>
      <c r="B19" s="2" t="n">
        <v>45399</v>
      </c>
      <c r="C19" s="2" t="n">
        <v>45405</v>
      </c>
      <c r="D19" t="inlineStr">
        <is>
          <t>CUST-00018</t>
        </is>
      </c>
      <c r="E19" t="inlineStr">
        <is>
          <t>CUSTOMER 18</t>
        </is>
      </c>
      <c r="F19" t="inlineStr">
        <is>
          <t>Consumer</t>
        </is>
      </c>
      <c r="G19" t="inlineStr">
        <is>
          <t>P1020</t>
        </is>
      </c>
      <c r="H19" t="inlineStr">
        <is>
          <t>CloudDrive File Box</t>
        </is>
      </c>
      <c r="I19" t="inlineStr">
        <is>
          <t>Outdoor</t>
        </is>
      </c>
      <c r="J19" t="inlineStr">
        <is>
          <t>Paper</t>
        </is>
      </c>
      <c r="K19" t="inlineStr">
        <is>
          <t>East</t>
        </is>
      </c>
      <c r="L19" t="inlineStr">
        <is>
          <t>New York</t>
        </is>
      </c>
      <c r="M19" t="inlineStr">
        <is>
          <t>Washington</t>
        </is>
      </c>
      <c r="N19" t="inlineStr">
        <is>
          <t>Sophia Singh</t>
        </is>
      </c>
      <c r="O19" t="n">
        <v>2</v>
      </c>
      <c r="P19" s="3" t="n">
        <v>69.92</v>
      </c>
      <c r="Q19" s="4" t="n">
        <v>0.012</v>
      </c>
      <c r="R19" s="3" t="n">
        <v>138.16</v>
      </c>
      <c r="S19" s="3" t="n">
        <v>68.58</v>
      </c>
      <c r="T19" s="3" t="n">
        <v>60.98</v>
      </c>
      <c r="U19" s="4" t="n">
        <v>0.4414</v>
      </c>
      <c r="V19" s="3" t="n">
        <v>8.6</v>
      </c>
      <c r="W19" t="inlineStr">
        <is>
          <t>Debit Card</t>
        </is>
      </c>
      <c r="X19" t="inlineStr">
        <is>
          <t>Low</t>
        </is>
      </c>
    </row>
    <row r="20">
      <c r="A20" t="inlineStr">
        <is>
          <t>ORD-00019</t>
        </is>
      </c>
      <c r="B20" s="2" t="n">
        <v>45597</v>
      </c>
      <c r="C20" s="2" t="n">
        <v>45604</v>
      </c>
      <c r="D20" t="inlineStr">
        <is>
          <t>CUST-00019</t>
        </is>
      </c>
      <c r="E20" t="inlineStr">
        <is>
          <t>CUSTOMER 19</t>
        </is>
      </c>
      <c r="F20" t="inlineStr">
        <is>
          <t>Consumer</t>
        </is>
      </c>
      <c r="G20" t="inlineStr">
        <is>
          <t>P1015</t>
        </is>
      </c>
      <c r="H20" t="inlineStr">
        <is>
          <t>Nova Laptop Stand</t>
        </is>
      </c>
      <c r="I20" t="inlineStr">
        <is>
          <t>Office Supplies</t>
        </is>
      </c>
      <c r="J20" t="inlineStr">
        <is>
          <t>Paper</t>
        </is>
      </c>
      <c r="K20" t="inlineStr">
        <is>
          <t>Central</t>
        </is>
      </c>
      <c r="L20" t="inlineStr">
        <is>
          <t>Kansas</t>
        </is>
      </c>
      <c r="M20" t="inlineStr">
        <is>
          <t>St. Louis</t>
        </is>
      </c>
      <c r="N20" t="inlineStr">
        <is>
          <t>Ethan Brooks</t>
        </is>
      </c>
      <c r="O20" t="n">
        <v>4</v>
      </c>
      <c r="P20" s="3" t="n">
        <v>73.28</v>
      </c>
      <c r="Q20" s="4" t="n">
        <v>0.011</v>
      </c>
      <c r="R20" s="3" t="n">
        <v>289.9</v>
      </c>
      <c r="S20" s="3" t="n">
        <v>127.01</v>
      </c>
      <c r="T20" s="3" t="n">
        <v>153.69</v>
      </c>
      <c r="U20" s="4" t="n">
        <v>0.5301</v>
      </c>
      <c r="V20" s="3" t="n">
        <v>9.199999999999999</v>
      </c>
      <c r="W20" t="inlineStr">
        <is>
          <t>Bank Transfer</t>
        </is>
      </c>
      <c r="X20" t="inlineStr">
        <is>
          <t>High</t>
        </is>
      </c>
    </row>
    <row r="21">
      <c r="A21" t="inlineStr">
        <is>
          <t>ORD-00020</t>
        </is>
      </c>
      <c r="B21" s="2" t="n">
        <v>44976</v>
      </c>
      <c r="C21" s="2" t="n">
        <v>44979</v>
      </c>
      <c r="D21" t="inlineStr">
        <is>
          <t>CUST-00020</t>
        </is>
      </c>
      <c r="E21" t="inlineStr">
        <is>
          <t>CUSTOMER 20</t>
        </is>
      </c>
      <c r="F21" t="inlineStr">
        <is>
          <t>Corporate</t>
        </is>
      </c>
      <c r="G21" t="inlineStr">
        <is>
          <t>P1008</t>
        </is>
      </c>
      <c r="H21" t="inlineStr">
        <is>
          <t>Trail Tote</t>
        </is>
      </c>
      <c r="I21" t="inlineStr">
        <is>
          <t>Office Supplies</t>
        </is>
      </c>
      <c r="J21" t="inlineStr">
        <is>
          <t>Decor</t>
        </is>
      </c>
      <c r="K21" t="inlineStr">
        <is>
          <t>East</t>
        </is>
      </c>
      <c r="L21" t="inlineStr">
        <is>
          <t>Virginia</t>
        </is>
      </c>
      <c r="M21" t="inlineStr">
        <is>
          <t>Washington</t>
        </is>
      </c>
      <c r="N21" t="inlineStr">
        <is>
          <t>Noah Kim</t>
        </is>
      </c>
      <c r="O21" t="n">
        <v>2</v>
      </c>
      <c r="P21" s="3" t="n">
        <v>35.51</v>
      </c>
      <c r="Q21" s="4" t="n">
        <v>0.037</v>
      </c>
      <c r="R21" s="3" t="n">
        <v>68.39</v>
      </c>
      <c r="S21" s="3" t="n">
        <v>32.67</v>
      </c>
      <c r="T21" s="3" t="n">
        <v>27.12</v>
      </c>
      <c r="U21" s="4" t="n">
        <v>0.3965</v>
      </c>
      <c r="V21" s="3" t="n">
        <v>8.6</v>
      </c>
      <c r="W21" t="inlineStr">
        <is>
          <t>Credit Card</t>
        </is>
      </c>
      <c r="X21" t="inlineStr">
        <is>
          <t>Medium</t>
        </is>
      </c>
    </row>
    <row r="22">
      <c r="A22" t="inlineStr">
        <is>
          <t>ORD-00021</t>
        </is>
      </c>
      <c r="B22" s="2" t="n">
        <v>45462</v>
      </c>
      <c r="C22" s="2" t="n">
        <v>45467</v>
      </c>
      <c r="D22" t="inlineStr">
        <is>
          <t>CUST-00021</t>
        </is>
      </c>
      <c r="E22" t="inlineStr">
        <is>
          <t>CUSTOMER 21</t>
        </is>
      </c>
      <c r="F22" t="inlineStr">
        <is>
          <t>Home Office</t>
        </is>
      </c>
      <c r="G22" t="inlineStr">
        <is>
          <t>P1005</t>
        </is>
      </c>
      <c r="H22" t="inlineStr">
        <is>
          <t>Echo Web Camera</t>
        </is>
      </c>
      <c r="I22" t="inlineStr">
        <is>
          <t>Furniture</t>
        </is>
      </c>
      <c r="J22" t="inlineStr">
        <is>
          <t>Paper</t>
        </is>
      </c>
      <c r="K22" t="inlineStr">
        <is>
          <t>South</t>
        </is>
      </c>
      <c r="L22" t="inlineStr">
        <is>
          <t>Texas</t>
        </is>
      </c>
      <c r="M22" t="inlineStr">
        <is>
          <t>Atlanta</t>
        </is>
      </c>
      <c r="N22" t="inlineStr">
        <is>
          <t>Sophia Singh</t>
        </is>
      </c>
      <c r="O22" t="n">
        <v>1</v>
      </c>
      <c r="P22" s="3" t="n">
        <v>13.33</v>
      </c>
      <c r="Q22" s="4" t="n">
        <v>0.07000000000000001</v>
      </c>
      <c r="R22" s="3" t="n">
        <v>12.4</v>
      </c>
      <c r="S22" s="3" t="n">
        <v>10.04</v>
      </c>
      <c r="T22" s="3" t="n">
        <v>-4.44</v>
      </c>
      <c r="U22" s="4" t="n">
        <v>-0.3581</v>
      </c>
      <c r="V22" s="3" t="n">
        <v>6.8</v>
      </c>
      <c r="W22" t="inlineStr">
        <is>
          <t>Credit Card</t>
        </is>
      </c>
      <c r="X22" t="inlineStr">
        <is>
          <t>Critical</t>
        </is>
      </c>
    </row>
    <row r="23">
      <c r="A23" t="inlineStr">
        <is>
          <t>ORD-00022</t>
        </is>
      </c>
      <c r="B23" s="2" t="n">
        <v>45111</v>
      </c>
      <c r="C23" s="2" t="n">
        <v>45117</v>
      </c>
      <c r="D23" t="inlineStr">
        <is>
          <t>CUST-00022</t>
        </is>
      </c>
      <c r="E23" t="inlineStr">
        <is>
          <t>CUSTOMER 22</t>
        </is>
      </c>
      <c r="F23" t="inlineStr">
        <is>
          <t>Consumer</t>
        </is>
      </c>
      <c r="G23" t="inlineStr">
        <is>
          <t>P1009</t>
        </is>
      </c>
      <c r="H23" t="inlineStr">
        <is>
          <t>FlexNote Notebook</t>
        </is>
      </c>
      <c r="I23" t="inlineStr">
        <is>
          <t>Home Decor</t>
        </is>
      </c>
      <c r="J23" t="inlineStr">
        <is>
          <t>Binders</t>
        </is>
      </c>
      <c r="K23" t="inlineStr">
        <is>
          <t>West</t>
        </is>
      </c>
      <c r="L23" t="inlineStr">
        <is>
          <t>Washington</t>
        </is>
      </c>
      <c r="M23" t="inlineStr">
        <is>
          <t>Denver</t>
        </is>
      </c>
      <c r="N23" t="inlineStr">
        <is>
          <t>Noah Kim</t>
        </is>
      </c>
      <c r="O23" t="n">
        <v>4</v>
      </c>
      <c r="P23" s="3" t="n">
        <v>93.84</v>
      </c>
      <c r="Q23" s="4" t="n">
        <v>0.063</v>
      </c>
      <c r="R23" s="3" t="n">
        <v>351.71</v>
      </c>
      <c r="S23" s="3" t="n">
        <v>173.43</v>
      </c>
      <c r="T23" s="3" t="n">
        <v>168.08</v>
      </c>
      <c r="U23" s="4" t="n">
        <v>0.4779</v>
      </c>
      <c r="V23" s="3" t="n">
        <v>10.2</v>
      </c>
      <c r="W23" t="inlineStr">
        <is>
          <t>Debit Card</t>
        </is>
      </c>
      <c r="X23" t="inlineStr">
        <is>
          <t>High</t>
        </is>
      </c>
    </row>
    <row r="24">
      <c r="A24" t="inlineStr">
        <is>
          <t>ORD-00023</t>
        </is>
      </c>
      <c r="B24" s="2" t="n">
        <v>45157</v>
      </c>
      <c r="C24" s="2" t="n">
        <v>45163</v>
      </c>
      <c r="D24" t="inlineStr">
        <is>
          <t>CUST-00023</t>
        </is>
      </c>
      <c r="E24" t="inlineStr">
        <is>
          <t>CUSTOMER 23</t>
        </is>
      </c>
      <c r="F24" t="inlineStr">
        <is>
          <t>Home Office</t>
        </is>
      </c>
      <c r="G24" t="inlineStr">
        <is>
          <t>P1016</t>
        </is>
      </c>
      <c r="H24" t="inlineStr">
        <is>
          <t>Harbor Rug</t>
        </is>
      </c>
      <c r="I24" t="inlineStr">
        <is>
          <t>Outdoor</t>
        </is>
      </c>
      <c r="J24" t="inlineStr">
        <is>
          <t>Textiles</t>
        </is>
      </c>
      <c r="K24" t="inlineStr">
        <is>
          <t>North</t>
        </is>
      </c>
      <c r="L24" t="inlineStr">
        <is>
          <t>British Columbia</t>
        </is>
      </c>
      <c r="M24" t="inlineStr">
        <is>
          <t>Toronto</t>
        </is>
      </c>
      <c r="N24" t="inlineStr">
        <is>
          <t>Sophia Singh</t>
        </is>
      </c>
      <c r="O24" t="n">
        <v>5</v>
      </c>
      <c r="P24" s="3" t="n">
        <v>41.23</v>
      </c>
      <c r="Q24" s="4" t="n">
        <v>0.004</v>
      </c>
      <c r="R24" s="3" t="n">
        <v>205.33</v>
      </c>
      <c r="S24" s="3" t="n">
        <v>80.03</v>
      </c>
      <c r="T24" s="3" t="n">
        <v>115.3</v>
      </c>
      <c r="U24" s="4" t="n">
        <v>0.5615</v>
      </c>
      <c r="V24" s="3" t="n">
        <v>10</v>
      </c>
      <c r="W24" t="inlineStr">
        <is>
          <t>Debit Card</t>
        </is>
      </c>
      <c r="X24" t="inlineStr">
        <is>
          <t>Medium</t>
        </is>
      </c>
    </row>
    <row r="25">
      <c r="A25" t="inlineStr">
        <is>
          <t>ORD-00024</t>
        </is>
      </c>
      <c r="B25" s="2" t="n">
        <v>45571</v>
      </c>
      <c r="C25" s="2" t="n">
        <v>45576</v>
      </c>
      <c r="D25" t="inlineStr">
        <is>
          <t>CUST-00024</t>
        </is>
      </c>
      <c r="E25" t="inlineStr">
        <is>
          <t>CUSTOMER 24</t>
        </is>
      </c>
      <c r="F25" t="inlineStr">
        <is>
          <t>Home Office</t>
        </is>
      </c>
      <c r="G25" t="inlineStr">
        <is>
          <t>P1003</t>
        </is>
      </c>
      <c r="H25" t="inlineStr">
        <is>
          <t>FlexNote Notebook</t>
        </is>
      </c>
      <c r="I25" t="inlineStr">
        <is>
          <t>Furniture</t>
        </is>
      </c>
      <c r="J25" t="inlineStr">
        <is>
          <t>Plants</t>
        </is>
      </c>
      <c r="K25" t="inlineStr">
        <is>
          <t>Central</t>
        </is>
      </c>
      <c r="L25" t="inlineStr">
        <is>
          <t>Minnesota</t>
        </is>
      </c>
      <c r="M25" t="inlineStr">
        <is>
          <t>St. Louis</t>
        </is>
      </c>
      <c r="N25" t="inlineStr">
        <is>
          <t>Liam Chen</t>
        </is>
      </c>
      <c r="O25" t="n">
        <v>2</v>
      </c>
      <c r="P25" s="3" t="n">
        <v>162.75</v>
      </c>
      <c r="Q25" s="4" t="n">
        <v>0.03</v>
      </c>
      <c r="R25" s="3" t="n">
        <v>315.74</v>
      </c>
      <c r="S25" s="3" t="n">
        <v>166.71</v>
      </c>
      <c r="T25" s="3" t="n">
        <v>141.43</v>
      </c>
      <c r="U25" s="4" t="n">
        <v>0.4479</v>
      </c>
      <c r="V25" s="3" t="n">
        <v>7.6</v>
      </c>
      <c r="W25" t="inlineStr">
        <is>
          <t>Credit Card</t>
        </is>
      </c>
      <c r="X25" t="inlineStr">
        <is>
          <t>Critical</t>
        </is>
      </c>
    </row>
    <row r="26">
      <c r="A26" t="inlineStr">
        <is>
          <t>ORD-00025</t>
        </is>
      </c>
      <c r="B26" s="2" t="n">
        <v>45471</v>
      </c>
      <c r="C26" s="2" t="n">
        <v>45478</v>
      </c>
      <c r="D26" t="inlineStr">
        <is>
          <t>CUST-00025</t>
        </is>
      </c>
      <c r="E26" t="inlineStr">
        <is>
          <t>CUSTOMER 25</t>
        </is>
      </c>
      <c r="F26" t="inlineStr">
        <is>
          <t>Consumer</t>
        </is>
      </c>
      <c r="G26" t="inlineStr">
        <is>
          <t>P1012</t>
        </is>
      </c>
      <c r="H26" t="inlineStr">
        <is>
          <t>Halo Planter</t>
        </is>
      </c>
      <c r="I26" t="inlineStr">
        <is>
          <t>Home Decor</t>
        </is>
      </c>
      <c r="J26" t="inlineStr">
        <is>
          <t>Binders</t>
        </is>
      </c>
      <c r="K26" t="inlineStr">
        <is>
          <t>East</t>
        </is>
      </c>
      <c r="L26" t="inlineStr">
        <is>
          <t>Massachusetts</t>
        </is>
      </c>
      <c r="M26" t="inlineStr">
        <is>
          <t>Washington</t>
        </is>
      </c>
      <c r="N26" t="inlineStr">
        <is>
          <t>James Carter</t>
        </is>
      </c>
      <c r="O26" t="n">
        <v>3</v>
      </c>
      <c r="P26" s="3" t="n">
        <v>141.27</v>
      </c>
      <c r="Q26" s="4" t="n">
        <v>0</v>
      </c>
      <c r="R26" s="3" t="n">
        <v>423.81</v>
      </c>
      <c r="S26" s="3" t="n">
        <v>219.28</v>
      </c>
      <c r="T26" s="3" t="n">
        <v>195.13</v>
      </c>
      <c r="U26" s="4" t="n">
        <v>0.4604</v>
      </c>
      <c r="V26" s="3" t="n">
        <v>9.4</v>
      </c>
      <c r="W26" t="inlineStr">
        <is>
          <t>Credit Card</t>
        </is>
      </c>
      <c r="X26" t="inlineStr">
        <is>
          <t>Medium</t>
        </is>
      </c>
    </row>
    <row r="27">
      <c r="A27" t="inlineStr">
        <is>
          <t>ORD-00026</t>
        </is>
      </c>
      <c r="B27" s="2" t="n">
        <v>45915</v>
      </c>
      <c r="C27" s="2" t="n">
        <v>45920</v>
      </c>
      <c r="D27" t="inlineStr">
        <is>
          <t>CUST-00026</t>
        </is>
      </c>
      <c r="E27" t="inlineStr">
        <is>
          <t>CUSTOMER 26</t>
        </is>
      </c>
      <c r="F27" t="inlineStr">
        <is>
          <t>Consumer</t>
        </is>
      </c>
      <c r="G27" t="inlineStr">
        <is>
          <t>P1007</t>
        </is>
      </c>
      <c r="H27" t="inlineStr">
        <is>
          <t>FlexNote Notebook</t>
        </is>
      </c>
      <c r="I27" t="inlineStr">
        <is>
          <t>Home Decor</t>
        </is>
      </c>
      <c r="J27" t="inlineStr">
        <is>
          <t>Bags</t>
        </is>
      </c>
      <c r="K27" t="inlineStr">
        <is>
          <t>South</t>
        </is>
      </c>
      <c r="L27" t="inlineStr">
        <is>
          <t>Georgia</t>
        </is>
      </c>
      <c r="M27" t="inlineStr">
        <is>
          <t>Dallas</t>
        </is>
      </c>
      <c r="N27" t="inlineStr">
        <is>
          <t>Ava Patel</t>
        </is>
      </c>
      <c r="O27" t="n">
        <v>4</v>
      </c>
      <c r="P27" s="3" t="n">
        <v>23.45</v>
      </c>
      <c r="Q27" s="4" t="n">
        <v>0.007</v>
      </c>
      <c r="R27" s="3" t="n">
        <v>93.14</v>
      </c>
      <c r="S27" s="3" t="n">
        <v>35.88</v>
      </c>
      <c r="T27" s="3" t="n">
        <v>48.06</v>
      </c>
      <c r="U27" s="4" t="n">
        <v>0.516</v>
      </c>
      <c r="V27" s="3" t="n">
        <v>9.199999999999999</v>
      </c>
      <c r="W27" t="inlineStr">
        <is>
          <t>Bank Transfer</t>
        </is>
      </c>
      <c r="X27" t="inlineStr">
        <is>
          <t>Low</t>
        </is>
      </c>
    </row>
    <row r="28">
      <c r="A28" t="inlineStr">
        <is>
          <t>ORD-00027</t>
        </is>
      </c>
      <c r="B28" s="2" t="n">
        <v>45142</v>
      </c>
      <c r="C28" s="2" t="n">
        <v>45143</v>
      </c>
      <c r="D28" t="inlineStr">
        <is>
          <t>CUST-00027</t>
        </is>
      </c>
      <c r="E28" t="inlineStr">
        <is>
          <t>CUSTOMER 27</t>
        </is>
      </c>
      <c r="F28" t="inlineStr">
        <is>
          <t>Corporate</t>
        </is>
      </c>
      <c r="G28" t="inlineStr">
        <is>
          <t>P1017</t>
        </is>
      </c>
      <c r="H28" t="inlineStr">
        <is>
          <t>FlexNote Notebook</t>
        </is>
      </c>
      <c r="I28" t="inlineStr">
        <is>
          <t>Home Decor</t>
        </is>
      </c>
      <c r="J28" t="inlineStr">
        <is>
          <t>Textiles</t>
        </is>
      </c>
      <c r="K28" t="inlineStr">
        <is>
          <t>North</t>
        </is>
      </c>
      <c r="L28" t="inlineStr">
        <is>
          <t>Alberta</t>
        </is>
      </c>
      <c r="M28" t="inlineStr">
        <is>
          <t>Toronto</t>
        </is>
      </c>
      <c r="N28" t="inlineStr">
        <is>
          <t>Noah Kim</t>
        </is>
      </c>
      <c r="O28" t="n">
        <v>2</v>
      </c>
      <c r="P28" s="3" t="n">
        <v>559.98</v>
      </c>
      <c r="Q28" s="4" t="n">
        <v>0.013</v>
      </c>
      <c r="R28" s="3" t="n">
        <v>1105.4</v>
      </c>
      <c r="S28" s="3" t="n">
        <v>738.05</v>
      </c>
      <c r="T28" s="3" t="n">
        <v>359.75</v>
      </c>
      <c r="U28" s="4" t="n">
        <v>0.3254</v>
      </c>
      <c r="V28" s="3" t="n">
        <v>7.6</v>
      </c>
      <c r="W28" t="inlineStr">
        <is>
          <t>Bank Transfer</t>
        </is>
      </c>
      <c r="X28" t="inlineStr">
        <is>
          <t>Low</t>
        </is>
      </c>
    </row>
    <row r="29">
      <c r="A29" t="inlineStr">
        <is>
          <t>ORD-00028</t>
        </is>
      </c>
      <c r="B29" s="2" t="n">
        <v>45528</v>
      </c>
      <c r="C29" s="2" t="n">
        <v>45530</v>
      </c>
      <c r="D29" t="inlineStr">
        <is>
          <t>CUST-00028</t>
        </is>
      </c>
      <c r="E29" t="inlineStr">
        <is>
          <t>CUSTOMER 28</t>
        </is>
      </c>
      <c r="F29" t="inlineStr">
        <is>
          <t>Corporate</t>
        </is>
      </c>
      <c r="G29" t="inlineStr">
        <is>
          <t>P1015</t>
        </is>
      </c>
      <c r="H29" t="inlineStr">
        <is>
          <t>Aero Standing Desk</t>
        </is>
      </c>
      <c r="I29" t="inlineStr">
        <is>
          <t>Office Supplies</t>
        </is>
      </c>
      <c r="J29" t="inlineStr">
        <is>
          <t>Lighting</t>
        </is>
      </c>
      <c r="K29" t="inlineStr">
        <is>
          <t>West</t>
        </is>
      </c>
      <c r="L29" t="inlineStr">
        <is>
          <t>Oregon</t>
        </is>
      </c>
      <c r="M29" t="inlineStr">
        <is>
          <t>Los Angeles</t>
        </is>
      </c>
      <c r="N29" t="inlineStr">
        <is>
          <t>Sophia Singh</t>
        </is>
      </c>
      <c r="O29" t="n">
        <v>2</v>
      </c>
      <c r="P29" s="3" t="n">
        <v>74.45999999999999</v>
      </c>
      <c r="Q29" s="4" t="n">
        <v>0.05</v>
      </c>
      <c r="R29" s="3" t="n">
        <v>141.47</v>
      </c>
      <c r="S29" s="3" t="n">
        <v>66.56</v>
      </c>
      <c r="T29" s="3" t="n">
        <v>66.31</v>
      </c>
      <c r="U29" s="4" t="n">
        <v>0.4687</v>
      </c>
      <c r="V29" s="3" t="n">
        <v>8.6</v>
      </c>
      <c r="W29" t="inlineStr">
        <is>
          <t>Credit Card</t>
        </is>
      </c>
      <c r="X29" t="inlineStr">
        <is>
          <t>High</t>
        </is>
      </c>
    </row>
    <row r="30">
      <c r="A30" t="inlineStr">
        <is>
          <t>ORD-00029</t>
        </is>
      </c>
      <c r="B30" s="2" t="n">
        <v>45536</v>
      </c>
      <c r="C30" s="2" t="n">
        <v>45543</v>
      </c>
      <c r="D30" t="inlineStr">
        <is>
          <t>CUST-00029</t>
        </is>
      </c>
      <c r="E30" t="inlineStr">
        <is>
          <t>CUSTOMER 29</t>
        </is>
      </c>
      <c r="F30" t="inlineStr">
        <is>
          <t>Consumer</t>
        </is>
      </c>
      <c r="G30" t="inlineStr">
        <is>
          <t>P1015</t>
        </is>
      </c>
      <c r="H30" t="inlineStr">
        <is>
          <t>Atlas Throw Pillow</t>
        </is>
      </c>
      <c r="I30" t="inlineStr">
        <is>
          <t>Furniture</t>
        </is>
      </c>
      <c r="J30" t="inlineStr">
        <is>
          <t>Bags</t>
        </is>
      </c>
      <c r="K30" t="inlineStr">
        <is>
          <t>East</t>
        </is>
      </c>
      <c r="L30" t="inlineStr">
        <is>
          <t>New Jersey</t>
        </is>
      </c>
      <c r="M30" t="inlineStr">
        <is>
          <t>Boston</t>
        </is>
      </c>
      <c r="N30" t="inlineStr">
        <is>
          <t>Mia Rodriguez</t>
        </is>
      </c>
      <c r="O30" t="n">
        <v>3</v>
      </c>
      <c r="P30" s="3" t="n">
        <v>68.87</v>
      </c>
      <c r="Q30" s="4" t="n">
        <v>0.008</v>
      </c>
      <c r="R30" s="3" t="n">
        <v>204.96</v>
      </c>
      <c r="S30" s="3" t="n">
        <v>96.62</v>
      </c>
      <c r="T30" s="3" t="n">
        <v>98.94</v>
      </c>
      <c r="U30" s="4" t="n">
        <v>0.4827</v>
      </c>
      <c r="V30" s="3" t="n">
        <v>9.4</v>
      </c>
      <c r="W30" t="inlineStr">
        <is>
          <t>Debit Card</t>
        </is>
      </c>
      <c r="X30" t="inlineStr">
        <is>
          <t>Medium</t>
        </is>
      </c>
    </row>
    <row r="31">
      <c r="A31" t="inlineStr">
        <is>
          <t>ORD-00030</t>
        </is>
      </c>
      <c r="B31" s="2" t="n">
        <v>45040</v>
      </c>
      <c r="C31" s="2" t="n">
        <v>45044</v>
      </c>
      <c r="D31" t="inlineStr">
        <is>
          <t>CUST-00030</t>
        </is>
      </c>
      <c r="E31" t="inlineStr">
        <is>
          <t>CUSTOMER 30</t>
        </is>
      </c>
      <c r="F31" t="inlineStr">
        <is>
          <t>Home Office</t>
        </is>
      </c>
      <c r="G31" t="inlineStr">
        <is>
          <t>P1012</t>
        </is>
      </c>
      <c r="H31" t="inlineStr">
        <is>
          <t>Tide Cooler</t>
        </is>
      </c>
      <c r="I31" t="inlineStr">
        <is>
          <t>Furniture</t>
        </is>
      </c>
      <c r="J31" t="inlineStr">
        <is>
          <t>Flooring</t>
        </is>
      </c>
      <c r="K31" t="inlineStr">
        <is>
          <t>Central</t>
        </is>
      </c>
      <c r="L31" t="inlineStr">
        <is>
          <t>Kansas</t>
        </is>
      </c>
      <c r="M31" t="inlineStr">
        <is>
          <t>St. Louis</t>
        </is>
      </c>
      <c r="N31" t="inlineStr">
        <is>
          <t>Mia Rodriguez</t>
        </is>
      </c>
      <c r="O31" t="n">
        <v>3</v>
      </c>
      <c r="P31" s="3" t="n">
        <v>130.86</v>
      </c>
      <c r="Q31" s="4" t="n">
        <v>0.043</v>
      </c>
      <c r="R31" s="3" t="n">
        <v>375.7</v>
      </c>
      <c r="S31" s="3" t="n">
        <v>192.91</v>
      </c>
      <c r="T31" s="3" t="n">
        <v>174.39</v>
      </c>
      <c r="U31" s="4" t="n">
        <v>0.4642</v>
      </c>
      <c r="V31" s="3" t="n">
        <v>8.4</v>
      </c>
      <c r="W31" t="inlineStr">
        <is>
          <t>PayPal</t>
        </is>
      </c>
      <c r="X31" t="inlineStr">
        <is>
          <t>Critical</t>
        </is>
      </c>
    </row>
    <row r="32">
      <c r="A32" t="inlineStr">
        <is>
          <t>ORD-00031</t>
        </is>
      </c>
      <c r="B32" s="2" t="n">
        <v>45349</v>
      </c>
      <c r="C32" s="2" t="n">
        <v>45352</v>
      </c>
      <c r="D32" t="inlineStr">
        <is>
          <t>CUST-00031</t>
        </is>
      </c>
      <c r="E32" t="inlineStr">
        <is>
          <t>CUSTOMER 31</t>
        </is>
      </c>
      <c r="F32" t="inlineStr">
        <is>
          <t>Corporate</t>
        </is>
      </c>
      <c r="G32" t="inlineStr">
        <is>
          <t>P1002</t>
        </is>
      </c>
      <c r="H32" t="inlineStr">
        <is>
          <t>Orbit Wireless Mouse</t>
        </is>
      </c>
      <c r="I32" t="inlineStr">
        <is>
          <t>Outdoor</t>
        </is>
      </c>
      <c r="J32" t="inlineStr">
        <is>
          <t>Lighting</t>
        </is>
      </c>
      <c r="K32" t="inlineStr">
        <is>
          <t>South</t>
        </is>
      </c>
      <c r="L32" t="inlineStr">
        <is>
          <t>Florida</t>
        </is>
      </c>
      <c r="M32" t="inlineStr">
        <is>
          <t>Atlanta</t>
        </is>
      </c>
      <c r="N32" t="inlineStr">
        <is>
          <t>Olivia Martin</t>
        </is>
      </c>
      <c r="O32" t="n">
        <v>3</v>
      </c>
      <c r="P32" s="3" t="n">
        <v>78.79000000000001</v>
      </c>
      <c r="Q32" s="4" t="n">
        <v>0.039</v>
      </c>
      <c r="R32" s="3" t="n">
        <v>227.15</v>
      </c>
      <c r="S32" s="3" t="n">
        <v>107.29</v>
      </c>
      <c r="T32" s="3" t="n">
        <v>111.46</v>
      </c>
      <c r="U32" s="4" t="n">
        <v>0.4907</v>
      </c>
      <c r="V32" s="3" t="n">
        <v>8.4</v>
      </c>
      <c r="W32" t="inlineStr">
        <is>
          <t>Debit Card</t>
        </is>
      </c>
      <c r="X32" t="inlineStr">
        <is>
          <t>High</t>
        </is>
      </c>
    </row>
    <row r="33">
      <c r="A33" t="inlineStr">
        <is>
          <t>ORD-00032</t>
        </is>
      </c>
      <c r="B33" s="2" t="n">
        <v>45002</v>
      </c>
      <c r="C33" s="2" t="n">
        <v>45006</v>
      </c>
      <c r="D33" t="inlineStr">
        <is>
          <t>CUST-00032</t>
        </is>
      </c>
      <c r="E33" t="inlineStr">
        <is>
          <t>CUSTOMER 32</t>
        </is>
      </c>
      <c r="F33" t="inlineStr">
        <is>
          <t>Consumer</t>
        </is>
      </c>
      <c r="G33" t="inlineStr">
        <is>
          <t>P1008</t>
        </is>
      </c>
      <c r="H33" t="inlineStr">
        <is>
          <t>Trail Tote</t>
        </is>
      </c>
      <c r="I33" t="inlineStr">
        <is>
          <t>Office Supplies</t>
        </is>
      </c>
      <c r="J33" t="inlineStr">
        <is>
          <t>Flooring</t>
        </is>
      </c>
      <c r="K33" t="inlineStr">
        <is>
          <t>North</t>
        </is>
      </c>
      <c r="L33" t="inlineStr">
        <is>
          <t>Quebec</t>
        </is>
      </c>
      <c r="M33" t="inlineStr">
        <is>
          <t>Vancouver</t>
        </is>
      </c>
      <c r="N33" t="inlineStr">
        <is>
          <t>Ava Patel</t>
        </is>
      </c>
      <c r="O33" t="n">
        <v>3</v>
      </c>
      <c r="P33" s="3" t="n">
        <v>33.97</v>
      </c>
      <c r="Q33" s="4" t="n">
        <v>0.003</v>
      </c>
      <c r="R33" s="3" t="n">
        <v>101.6</v>
      </c>
      <c r="S33" s="3" t="n">
        <v>50.53</v>
      </c>
      <c r="T33" s="3" t="n">
        <v>42.67</v>
      </c>
      <c r="U33" s="4" t="n">
        <v>0.42</v>
      </c>
      <c r="V33" s="3" t="n">
        <v>8.4</v>
      </c>
      <c r="W33" t="inlineStr">
        <is>
          <t>Cash on Delivery</t>
        </is>
      </c>
      <c r="X33" t="inlineStr">
        <is>
          <t>Low</t>
        </is>
      </c>
    </row>
    <row r="34">
      <c r="A34" t="inlineStr">
        <is>
          <t>ORD-00033</t>
        </is>
      </c>
      <c r="B34" s="2" t="n">
        <v>45027</v>
      </c>
      <c r="C34" s="2" t="n">
        <v>45033</v>
      </c>
      <c r="D34" t="inlineStr">
        <is>
          <t>CUST-00033</t>
        </is>
      </c>
      <c r="E34" t="inlineStr">
        <is>
          <t>CUSTOMER 33</t>
        </is>
      </c>
      <c r="F34" t="inlineStr">
        <is>
          <t>Corporate</t>
        </is>
      </c>
      <c r="G34" t="inlineStr">
        <is>
          <t>P1005</t>
        </is>
      </c>
      <c r="H34" t="inlineStr">
        <is>
          <t>Nimbus Monitor Arm</t>
        </is>
      </c>
      <c r="I34" t="inlineStr">
        <is>
          <t>Furniture</t>
        </is>
      </c>
      <c r="J34" t="inlineStr">
        <is>
          <t>Storage</t>
        </is>
      </c>
      <c r="K34" t="inlineStr">
        <is>
          <t>South</t>
        </is>
      </c>
      <c r="L34" t="inlineStr">
        <is>
          <t>North Carolina</t>
        </is>
      </c>
      <c r="M34" t="inlineStr">
        <is>
          <t>Atlanta</t>
        </is>
      </c>
      <c r="N34" t="inlineStr">
        <is>
          <t>James Carter</t>
        </is>
      </c>
      <c r="O34" t="n">
        <v>4</v>
      </c>
      <c r="P34" s="3" t="n">
        <v>12.2</v>
      </c>
      <c r="Q34" s="4" t="n">
        <v>0.014</v>
      </c>
      <c r="R34" s="3" t="n">
        <v>48.12</v>
      </c>
      <c r="S34" s="3" t="n">
        <v>25.51</v>
      </c>
      <c r="T34" s="3" t="n">
        <v>13.41</v>
      </c>
      <c r="U34" s="4" t="n">
        <v>0.2787</v>
      </c>
      <c r="V34" s="3" t="n">
        <v>9.199999999999999</v>
      </c>
      <c r="W34" t="inlineStr">
        <is>
          <t>Debit Card</t>
        </is>
      </c>
      <c r="X34" t="inlineStr">
        <is>
          <t>Medium</t>
        </is>
      </c>
    </row>
    <row r="35">
      <c r="A35" t="inlineStr">
        <is>
          <t>ORD-00034</t>
        </is>
      </c>
      <c r="B35" s="2" t="n">
        <v>45855</v>
      </c>
      <c r="C35" s="2" t="n">
        <v>45858</v>
      </c>
      <c r="D35" t="inlineStr">
        <is>
          <t>CUST-00034</t>
        </is>
      </c>
      <c r="E35" t="inlineStr">
        <is>
          <t>CUSTOMER 34</t>
        </is>
      </c>
      <c r="F35" t="inlineStr">
        <is>
          <t>Consumer</t>
        </is>
      </c>
      <c r="G35" t="inlineStr">
        <is>
          <t>P1003</t>
        </is>
      </c>
      <c r="H35" t="inlineStr">
        <is>
          <t>Orbit Wireless Mouse</t>
        </is>
      </c>
      <c r="I35" t="inlineStr">
        <is>
          <t>Office Supplies</t>
        </is>
      </c>
      <c r="J35" t="inlineStr">
        <is>
          <t>Binders</t>
        </is>
      </c>
      <c r="K35" t="inlineStr">
        <is>
          <t>South</t>
        </is>
      </c>
      <c r="L35" t="inlineStr">
        <is>
          <t>North Carolina</t>
        </is>
      </c>
      <c r="M35" t="inlineStr">
        <is>
          <t>Houston</t>
        </is>
      </c>
      <c r="N35" t="inlineStr">
        <is>
          <t>Olivia Martin</t>
        </is>
      </c>
      <c r="O35" t="n">
        <v>2</v>
      </c>
      <c r="P35" s="3" t="n">
        <v>152.33</v>
      </c>
      <c r="Q35" s="4" t="n">
        <v>0.001</v>
      </c>
      <c r="R35" s="3" t="n">
        <v>304.36</v>
      </c>
      <c r="S35" s="3" t="n">
        <v>163.31</v>
      </c>
      <c r="T35" s="3" t="n">
        <v>133.45</v>
      </c>
      <c r="U35" s="4" t="n">
        <v>0.4385</v>
      </c>
      <c r="V35" s="3" t="n">
        <v>7.6</v>
      </c>
      <c r="W35" t="inlineStr">
        <is>
          <t>Debit Card</t>
        </is>
      </c>
      <c r="X35" t="inlineStr">
        <is>
          <t>Medium</t>
        </is>
      </c>
    </row>
    <row r="36">
      <c r="A36" t="inlineStr">
        <is>
          <t>ORD-00035</t>
        </is>
      </c>
      <c r="B36" s="2" t="n">
        <v>45984</v>
      </c>
      <c r="C36" s="2" t="n">
        <v>45991</v>
      </c>
      <c r="D36" t="inlineStr">
        <is>
          <t>CUST-00035</t>
        </is>
      </c>
      <c r="E36" t="inlineStr">
        <is>
          <t>CUSTOMER 35</t>
        </is>
      </c>
      <c r="F36" t="inlineStr">
        <is>
          <t>Consumer</t>
        </is>
      </c>
      <c r="G36" t="inlineStr">
        <is>
          <t>P1001</t>
        </is>
      </c>
      <c r="H36" t="inlineStr">
        <is>
          <t>Harbor Rug</t>
        </is>
      </c>
      <c r="I36" t="inlineStr">
        <is>
          <t>Furniture</t>
        </is>
      </c>
      <c r="J36" t="inlineStr">
        <is>
          <t>Furniture</t>
        </is>
      </c>
      <c r="K36" t="inlineStr">
        <is>
          <t>North</t>
        </is>
      </c>
      <c r="L36" t="inlineStr">
        <is>
          <t>Ontario</t>
        </is>
      </c>
      <c r="M36" t="inlineStr">
        <is>
          <t>Toronto</t>
        </is>
      </c>
      <c r="N36" t="inlineStr">
        <is>
          <t>Ethan Brooks</t>
        </is>
      </c>
      <c r="O36" t="n">
        <v>1</v>
      </c>
      <c r="P36" s="3" t="n">
        <v>313.11</v>
      </c>
      <c r="Q36" s="4" t="n">
        <v>0.025</v>
      </c>
      <c r="R36" s="3" t="n">
        <v>305.28</v>
      </c>
      <c r="S36" s="3" t="n">
        <v>182.11</v>
      </c>
      <c r="T36" s="3" t="n">
        <v>116.37</v>
      </c>
      <c r="U36" s="4" t="n">
        <v>0.3812</v>
      </c>
      <c r="V36" s="3" t="n">
        <v>6.8</v>
      </c>
      <c r="W36" t="inlineStr">
        <is>
          <t>Credit Card</t>
        </is>
      </c>
      <c r="X36" t="inlineStr">
        <is>
          <t>High</t>
        </is>
      </c>
    </row>
    <row r="37">
      <c r="A37" t="inlineStr">
        <is>
          <t>ORD-00036</t>
        </is>
      </c>
      <c r="B37" s="2" t="n">
        <v>45931</v>
      </c>
      <c r="C37" s="2" t="n">
        <v>45932</v>
      </c>
      <c r="D37" t="inlineStr">
        <is>
          <t>CUST-00036</t>
        </is>
      </c>
      <c r="E37" t="inlineStr">
        <is>
          <t>CUSTOMER 36</t>
        </is>
      </c>
      <c r="F37" t="inlineStr">
        <is>
          <t>Home Office</t>
        </is>
      </c>
      <c r="G37" t="inlineStr">
        <is>
          <t>P1016</t>
        </is>
      </c>
      <c r="H37" t="inlineStr">
        <is>
          <t>Nimbus Monitor Arm</t>
        </is>
      </c>
      <c r="I37" t="inlineStr">
        <is>
          <t>Technology</t>
        </is>
      </c>
      <c r="J37" t="inlineStr">
        <is>
          <t>Paper</t>
        </is>
      </c>
      <c r="K37" t="inlineStr">
        <is>
          <t>West</t>
        </is>
      </c>
      <c r="L37" t="inlineStr">
        <is>
          <t>Colorado</t>
        </is>
      </c>
      <c r="M37" t="inlineStr">
        <is>
          <t>Los Angeles</t>
        </is>
      </c>
      <c r="N37" t="inlineStr">
        <is>
          <t>Noah Kim</t>
        </is>
      </c>
      <c r="O37" t="n">
        <v>2</v>
      </c>
      <c r="P37" s="3" t="n">
        <v>43.52</v>
      </c>
      <c r="Q37" s="4" t="n">
        <v>0.022</v>
      </c>
      <c r="R37" s="3" t="n">
        <v>85.13</v>
      </c>
      <c r="S37" s="3" t="n">
        <v>35.92</v>
      </c>
      <c r="T37" s="3" t="n">
        <v>40.61</v>
      </c>
      <c r="U37" s="4" t="n">
        <v>0.477</v>
      </c>
      <c r="V37" s="3" t="n">
        <v>8.6</v>
      </c>
      <c r="W37" t="inlineStr">
        <is>
          <t>Credit Card</t>
        </is>
      </c>
      <c r="X37" t="inlineStr">
        <is>
          <t>Medium</t>
        </is>
      </c>
    </row>
    <row r="38">
      <c r="A38" t="inlineStr">
        <is>
          <t>ORD-00037</t>
        </is>
      </c>
      <c r="B38" s="2" t="n">
        <v>45605</v>
      </c>
      <c r="C38" s="2" t="n">
        <v>45609</v>
      </c>
      <c r="D38" t="inlineStr">
        <is>
          <t>CUST-00037</t>
        </is>
      </c>
      <c r="E38" t="inlineStr">
        <is>
          <t>CUSTOMER 37</t>
        </is>
      </c>
      <c r="F38" t="inlineStr">
        <is>
          <t>Home Office</t>
        </is>
      </c>
      <c r="G38" t="inlineStr">
        <is>
          <t>P1010</t>
        </is>
      </c>
      <c r="H38" t="inlineStr">
        <is>
          <t>Aero Standing Desk</t>
        </is>
      </c>
      <c r="I38" t="inlineStr">
        <is>
          <t>Home Decor</t>
        </is>
      </c>
      <c r="J38" t="inlineStr">
        <is>
          <t>Storage</t>
        </is>
      </c>
      <c r="K38" t="inlineStr">
        <is>
          <t>South</t>
        </is>
      </c>
      <c r="L38" t="inlineStr">
        <is>
          <t>Florida</t>
        </is>
      </c>
      <c r="M38" t="inlineStr">
        <is>
          <t>Dallas</t>
        </is>
      </c>
      <c r="N38" t="inlineStr">
        <is>
          <t>Olivia Martin</t>
        </is>
      </c>
      <c r="O38" t="n">
        <v>4</v>
      </c>
      <c r="P38" s="3" t="n">
        <v>59.29</v>
      </c>
      <c r="Q38" s="4" t="n">
        <v>0.008</v>
      </c>
      <c r="R38" s="3" t="n">
        <v>235.26</v>
      </c>
      <c r="S38" s="3" t="n">
        <v>104.49</v>
      </c>
      <c r="T38" s="3" t="n">
        <v>121.57</v>
      </c>
      <c r="U38" s="4" t="n">
        <v>0.5167</v>
      </c>
      <c r="V38" s="3" t="n">
        <v>9.199999999999999</v>
      </c>
      <c r="W38" t="inlineStr">
        <is>
          <t>Bank Transfer</t>
        </is>
      </c>
      <c r="X38" t="inlineStr">
        <is>
          <t>Medium</t>
        </is>
      </c>
    </row>
    <row r="39">
      <c r="A39" t="inlineStr">
        <is>
          <t>ORD-00038</t>
        </is>
      </c>
      <c r="B39" s="2" t="n">
        <v>45091</v>
      </c>
      <c r="C39" s="2" t="n">
        <v>45092</v>
      </c>
      <c r="D39" t="inlineStr">
        <is>
          <t>CUST-00038</t>
        </is>
      </c>
      <c r="E39" t="inlineStr">
        <is>
          <t>CUSTOMER 38</t>
        </is>
      </c>
      <c r="F39" t="inlineStr">
        <is>
          <t>Consumer</t>
        </is>
      </c>
      <c r="G39" t="inlineStr">
        <is>
          <t>P1010</t>
        </is>
      </c>
      <c r="H39" t="inlineStr">
        <is>
          <t>Harbor Rug</t>
        </is>
      </c>
      <c r="I39" t="inlineStr">
        <is>
          <t>Technology</t>
        </is>
      </c>
      <c r="J39" t="inlineStr">
        <is>
          <t>Coolers</t>
        </is>
      </c>
      <c r="K39" t="inlineStr">
        <is>
          <t>Central</t>
        </is>
      </c>
      <c r="L39" t="inlineStr">
        <is>
          <t>Illinois</t>
        </is>
      </c>
      <c r="M39" t="inlineStr">
        <is>
          <t>Minneapolis</t>
        </is>
      </c>
      <c r="N39" t="inlineStr">
        <is>
          <t>Liam Chen</t>
        </is>
      </c>
      <c r="O39" t="n">
        <v>1</v>
      </c>
      <c r="P39" s="3" t="n">
        <v>54.36</v>
      </c>
      <c r="Q39" s="4" t="n">
        <v>0.012</v>
      </c>
      <c r="R39" s="3" t="n">
        <v>53.71</v>
      </c>
      <c r="S39" s="3" t="n">
        <v>31.12</v>
      </c>
      <c r="T39" s="3" t="n">
        <v>15.79</v>
      </c>
      <c r="U39" s="4" t="n">
        <v>0.294</v>
      </c>
      <c r="V39" s="3" t="n">
        <v>6.8</v>
      </c>
      <c r="W39" t="inlineStr">
        <is>
          <t>Cash on Delivery</t>
        </is>
      </c>
      <c r="X39" t="inlineStr">
        <is>
          <t>Medium</t>
        </is>
      </c>
    </row>
    <row r="40">
      <c r="A40" t="inlineStr">
        <is>
          <t>ORD-00039</t>
        </is>
      </c>
      <c r="B40" s="2" t="n">
        <v>45823</v>
      </c>
      <c r="C40" s="2" t="n">
        <v>45824</v>
      </c>
      <c r="D40" t="inlineStr">
        <is>
          <t>CUST-00039</t>
        </is>
      </c>
      <c r="E40" t="inlineStr">
        <is>
          <t>CUSTOMER 39</t>
        </is>
      </c>
      <c r="F40" t="inlineStr">
        <is>
          <t>Corporate</t>
        </is>
      </c>
      <c r="G40" t="inlineStr">
        <is>
          <t>P1011</t>
        </is>
      </c>
      <c r="H40" t="inlineStr">
        <is>
          <t>Cove Wall Clock</t>
        </is>
      </c>
      <c r="I40" t="inlineStr">
        <is>
          <t>Home Decor</t>
        </is>
      </c>
      <c r="J40" t="inlineStr">
        <is>
          <t>Lighting</t>
        </is>
      </c>
      <c r="K40" t="inlineStr">
        <is>
          <t>South</t>
        </is>
      </c>
      <c r="L40" t="inlineStr">
        <is>
          <t>Florida</t>
        </is>
      </c>
      <c r="M40" t="inlineStr">
        <is>
          <t>Atlanta</t>
        </is>
      </c>
      <c r="N40" t="inlineStr">
        <is>
          <t>Ethan Brooks</t>
        </is>
      </c>
      <c r="O40" t="n">
        <v>2</v>
      </c>
      <c r="P40" s="3" t="n">
        <v>87.62</v>
      </c>
      <c r="Q40" s="4" t="n">
        <v>0.023</v>
      </c>
      <c r="R40" s="3" t="n">
        <v>171.21</v>
      </c>
      <c r="S40" s="3" t="n">
        <v>87.90000000000001</v>
      </c>
      <c r="T40" s="3" t="n">
        <v>75.70999999999999</v>
      </c>
      <c r="U40" s="4" t="n">
        <v>0.4422</v>
      </c>
      <c r="V40" s="3" t="n">
        <v>7.6</v>
      </c>
      <c r="W40" t="inlineStr">
        <is>
          <t>Credit Card</t>
        </is>
      </c>
      <c r="X40" t="inlineStr">
        <is>
          <t>Medium</t>
        </is>
      </c>
    </row>
    <row r="41">
      <c r="A41" t="inlineStr">
        <is>
          <t>ORD-00040</t>
        </is>
      </c>
      <c r="B41" s="2" t="n">
        <v>45467</v>
      </c>
      <c r="C41" s="2" t="n">
        <v>45474</v>
      </c>
      <c r="D41" t="inlineStr">
        <is>
          <t>CUST-00040</t>
        </is>
      </c>
      <c r="E41" t="inlineStr">
        <is>
          <t>CUSTOMER 40</t>
        </is>
      </c>
      <c r="F41" t="inlineStr">
        <is>
          <t>Corporate</t>
        </is>
      </c>
      <c r="G41" t="inlineStr">
        <is>
          <t>P1012</t>
        </is>
      </c>
      <c r="H41" t="inlineStr">
        <is>
          <t>Aero Standing Desk</t>
        </is>
      </c>
      <c r="I41" t="inlineStr">
        <is>
          <t>Furniture</t>
        </is>
      </c>
      <c r="J41" t="inlineStr">
        <is>
          <t>Video</t>
        </is>
      </c>
      <c r="K41" t="inlineStr">
        <is>
          <t>West</t>
        </is>
      </c>
      <c r="L41" t="inlineStr">
        <is>
          <t>Oregon</t>
        </is>
      </c>
      <c r="M41" t="inlineStr">
        <is>
          <t>San Francisco</t>
        </is>
      </c>
      <c r="N41" t="inlineStr">
        <is>
          <t>Liam Chen</t>
        </is>
      </c>
      <c r="O41" t="n">
        <v>4</v>
      </c>
      <c r="P41" s="3" t="n">
        <v>146.75</v>
      </c>
      <c r="Q41" s="4" t="n">
        <v>0.04</v>
      </c>
      <c r="R41" s="3" t="n">
        <v>563.52</v>
      </c>
      <c r="S41" s="3" t="n">
        <v>283.72</v>
      </c>
      <c r="T41" s="3" t="n">
        <v>269.6</v>
      </c>
      <c r="U41" s="4" t="n">
        <v>0.4784</v>
      </c>
      <c r="V41" s="3" t="n">
        <v>10.2</v>
      </c>
      <c r="W41" t="inlineStr">
        <is>
          <t>Bank Transfer</t>
        </is>
      </c>
      <c r="X41" t="inlineStr">
        <is>
          <t>Medium</t>
        </is>
      </c>
    </row>
    <row r="42">
      <c r="A42" t="inlineStr">
        <is>
          <t>ORD-00041</t>
        </is>
      </c>
      <c r="B42" s="2" t="n">
        <v>45017</v>
      </c>
      <c r="C42" s="2" t="n">
        <v>45021</v>
      </c>
      <c r="D42" t="inlineStr">
        <is>
          <t>CUST-00041</t>
        </is>
      </c>
      <c r="E42" t="inlineStr">
        <is>
          <t>CUSTOMER 41</t>
        </is>
      </c>
      <c r="F42" t="inlineStr">
        <is>
          <t>Consumer</t>
        </is>
      </c>
      <c r="G42" t="inlineStr">
        <is>
          <t>P1008</t>
        </is>
      </c>
      <c r="H42" t="inlineStr">
        <is>
          <t>Echo Web Camera</t>
        </is>
      </c>
      <c r="I42" t="inlineStr">
        <is>
          <t>Technology</t>
        </is>
      </c>
      <c r="J42" t="inlineStr">
        <is>
          <t>Video</t>
        </is>
      </c>
      <c r="K42" t="inlineStr">
        <is>
          <t>South</t>
        </is>
      </c>
      <c r="L42" t="inlineStr">
        <is>
          <t>Florida</t>
        </is>
      </c>
      <c r="M42" t="inlineStr">
        <is>
          <t>Dallas</t>
        </is>
      </c>
      <c r="N42" t="inlineStr">
        <is>
          <t>Ava Patel</t>
        </is>
      </c>
      <c r="O42" t="n">
        <v>1</v>
      </c>
      <c r="P42" s="3" t="n">
        <v>33.13</v>
      </c>
      <c r="Q42" s="4" t="n">
        <v>0.014</v>
      </c>
      <c r="R42" s="3" t="n">
        <v>32.67</v>
      </c>
      <c r="S42" s="3" t="n">
        <v>20.74</v>
      </c>
      <c r="T42" s="3" t="n">
        <v>5.13</v>
      </c>
      <c r="U42" s="4" t="n">
        <v>0.157</v>
      </c>
      <c r="V42" s="3" t="n">
        <v>6.8</v>
      </c>
      <c r="W42" t="inlineStr">
        <is>
          <t>Debit Card</t>
        </is>
      </c>
      <c r="X42" t="inlineStr">
        <is>
          <t>Medium</t>
        </is>
      </c>
    </row>
    <row r="43">
      <c r="A43" t="inlineStr">
        <is>
          <t>ORD-00042</t>
        </is>
      </c>
      <c r="B43" s="2" t="n">
        <v>45324</v>
      </c>
      <c r="C43" s="2" t="n">
        <v>45328</v>
      </c>
      <c r="D43" t="inlineStr">
        <is>
          <t>CUST-00042</t>
        </is>
      </c>
      <c r="E43" t="inlineStr">
        <is>
          <t>CUSTOMER 42</t>
        </is>
      </c>
      <c r="F43" t="inlineStr">
        <is>
          <t>Consumer</t>
        </is>
      </c>
      <c r="G43" t="inlineStr">
        <is>
          <t>P1005</t>
        </is>
      </c>
      <c r="H43" t="inlineStr">
        <is>
          <t>Atlas Throw Pillow</t>
        </is>
      </c>
      <c r="I43" t="inlineStr">
        <is>
          <t>Office Supplies</t>
        </is>
      </c>
      <c r="J43" t="inlineStr">
        <is>
          <t>Flooring</t>
        </is>
      </c>
      <c r="K43" t="inlineStr">
        <is>
          <t>West</t>
        </is>
      </c>
      <c r="L43" t="inlineStr">
        <is>
          <t>Colorado</t>
        </is>
      </c>
      <c r="M43" t="inlineStr">
        <is>
          <t>Seattle</t>
        </is>
      </c>
      <c r="N43" t="inlineStr">
        <is>
          <t>Liam Chen</t>
        </is>
      </c>
      <c r="O43" t="n">
        <v>3</v>
      </c>
      <c r="P43" s="3" t="n">
        <v>13.1</v>
      </c>
      <c r="Q43" s="4" t="n">
        <v>0.04799999999999999</v>
      </c>
      <c r="R43" s="3" t="n">
        <v>37.41</v>
      </c>
      <c r="S43" s="3" t="n">
        <v>18.59</v>
      </c>
      <c r="T43" s="3" t="n">
        <v>9.42</v>
      </c>
      <c r="U43" s="4" t="n">
        <v>0.2518</v>
      </c>
      <c r="V43" s="3" t="n">
        <v>9.4</v>
      </c>
      <c r="W43" t="inlineStr">
        <is>
          <t>Debit Card</t>
        </is>
      </c>
      <c r="X43" t="inlineStr">
        <is>
          <t>High</t>
        </is>
      </c>
    </row>
    <row r="44">
      <c r="A44" t="inlineStr">
        <is>
          <t>ORD-00043</t>
        </is>
      </c>
      <c r="B44" s="2" t="n">
        <v>45156</v>
      </c>
      <c r="C44" s="2" t="n">
        <v>45163</v>
      </c>
      <c r="D44" t="inlineStr">
        <is>
          <t>CUST-00043</t>
        </is>
      </c>
      <c r="E44" t="inlineStr">
        <is>
          <t>CUSTOMER 43</t>
        </is>
      </c>
      <c r="F44" t="inlineStr">
        <is>
          <t>Corporate</t>
        </is>
      </c>
      <c r="G44" t="inlineStr">
        <is>
          <t>P1009</t>
        </is>
      </c>
      <c r="H44" t="inlineStr">
        <is>
          <t>Orbit Wireless Mouse</t>
        </is>
      </c>
      <c r="I44" t="inlineStr">
        <is>
          <t>Technology</t>
        </is>
      </c>
      <c r="J44" t="inlineStr">
        <is>
          <t>Desks</t>
        </is>
      </c>
      <c r="K44" t="inlineStr">
        <is>
          <t>North</t>
        </is>
      </c>
      <c r="L44" t="inlineStr">
        <is>
          <t>Ontario</t>
        </is>
      </c>
      <c r="M44" t="inlineStr">
        <is>
          <t>Calgary</t>
        </is>
      </c>
      <c r="N44" t="inlineStr">
        <is>
          <t>James Carter</t>
        </is>
      </c>
      <c r="O44" t="n">
        <v>3</v>
      </c>
      <c r="P44" s="3" t="n">
        <v>94.95999999999999</v>
      </c>
      <c r="Q44" s="4" t="n">
        <v>0.031</v>
      </c>
      <c r="R44" s="3" t="n">
        <v>276.05</v>
      </c>
      <c r="S44" s="3" t="n">
        <v>137.92</v>
      </c>
      <c r="T44" s="3" t="n">
        <v>129.73</v>
      </c>
      <c r="U44" s="4" t="n">
        <v>0.47</v>
      </c>
      <c r="V44" s="3" t="n">
        <v>8.4</v>
      </c>
      <c r="W44" t="inlineStr">
        <is>
          <t>Credit Card</t>
        </is>
      </c>
      <c r="X44" t="inlineStr">
        <is>
          <t>High</t>
        </is>
      </c>
    </row>
    <row r="45">
      <c r="A45" t="inlineStr">
        <is>
          <t>ORD-00044</t>
        </is>
      </c>
      <c r="B45" s="2" t="n">
        <v>46009</v>
      </c>
      <c r="C45" s="2" t="n">
        <v>46016</v>
      </c>
      <c r="D45" t="inlineStr">
        <is>
          <t>CUST-00044</t>
        </is>
      </c>
      <c r="E45" t="inlineStr">
        <is>
          <t>CUSTOMER 44</t>
        </is>
      </c>
      <c r="F45" t="inlineStr">
        <is>
          <t>Corporate</t>
        </is>
      </c>
      <c r="G45" t="inlineStr">
        <is>
          <t>P1011</t>
        </is>
      </c>
      <c r="H45" t="inlineStr">
        <is>
          <t>Trail Tote</t>
        </is>
      </c>
      <c r="I45" t="inlineStr">
        <is>
          <t>Technology</t>
        </is>
      </c>
      <c r="J45" t="inlineStr">
        <is>
          <t>Peripherals</t>
        </is>
      </c>
      <c r="K45" t="inlineStr">
        <is>
          <t>East</t>
        </is>
      </c>
      <c r="L45" t="inlineStr">
        <is>
          <t>Virginia</t>
        </is>
      </c>
      <c r="M45" t="inlineStr">
        <is>
          <t>Boston</t>
        </is>
      </c>
      <c r="N45" t="inlineStr">
        <is>
          <t>James Carter</t>
        </is>
      </c>
      <c r="O45" t="n">
        <v>1</v>
      </c>
      <c r="P45" s="3" t="n">
        <v>93.7</v>
      </c>
      <c r="Q45" s="4" t="n">
        <v>0.024</v>
      </c>
      <c r="R45" s="3" t="n">
        <v>91.45</v>
      </c>
      <c r="S45" s="3" t="n">
        <v>52.58</v>
      </c>
      <c r="T45" s="3" t="n">
        <v>31.07</v>
      </c>
      <c r="U45" s="4" t="n">
        <v>0.3397</v>
      </c>
      <c r="V45" s="3" t="n">
        <v>7.8</v>
      </c>
      <c r="W45" t="inlineStr">
        <is>
          <t>PayPal</t>
        </is>
      </c>
      <c r="X45" t="inlineStr">
        <is>
          <t>Medium</t>
        </is>
      </c>
    </row>
    <row r="46">
      <c r="A46" t="inlineStr">
        <is>
          <t>ORD-00045</t>
        </is>
      </c>
      <c r="B46" s="2" t="n">
        <v>44991</v>
      </c>
      <c r="C46" s="2" t="n">
        <v>44994</v>
      </c>
      <c r="D46" t="inlineStr">
        <is>
          <t>CUST-00045</t>
        </is>
      </c>
      <c r="E46" t="inlineStr">
        <is>
          <t>CUSTOMER 45</t>
        </is>
      </c>
      <c r="F46" t="inlineStr">
        <is>
          <t>Consumer</t>
        </is>
      </c>
      <c r="G46" t="inlineStr">
        <is>
          <t>P1015</t>
        </is>
      </c>
      <c r="H46" t="inlineStr">
        <is>
          <t>Summit Patio Set</t>
        </is>
      </c>
      <c r="I46" t="inlineStr">
        <is>
          <t>Office Supplies</t>
        </is>
      </c>
      <c r="J46" t="inlineStr">
        <is>
          <t>Textiles</t>
        </is>
      </c>
      <c r="K46" t="inlineStr">
        <is>
          <t>Central</t>
        </is>
      </c>
      <c r="L46" t="inlineStr">
        <is>
          <t>Minnesota</t>
        </is>
      </c>
      <c r="M46" t="inlineStr">
        <is>
          <t>Minneapolis</t>
        </is>
      </c>
      <c r="N46" t="inlineStr">
        <is>
          <t>Sophia Singh</t>
        </is>
      </c>
      <c r="O46" t="n">
        <v>1</v>
      </c>
      <c r="P46" s="3" t="n">
        <v>65.09</v>
      </c>
      <c r="Q46" s="4" t="n">
        <v>0.004</v>
      </c>
      <c r="R46" s="3" t="n">
        <v>64.83</v>
      </c>
      <c r="S46" s="3" t="n">
        <v>36.88</v>
      </c>
      <c r="T46" s="3" t="n">
        <v>21.15</v>
      </c>
      <c r="U46" s="4" t="n">
        <v>0.3262</v>
      </c>
      <c r="V46" s="3" t="n">
        <v>6.8</v>
      </c>
      <c r="W46" t="inlineStr">
        <is>
          <t>Cash on Delivery</t>
        </is>
      </c>
      <c r="X46" t="inlineStr">
        <is>
          <t>Low</t>
        </is>
      </c>
    </row>
    <row r="47">
      <c r="A47" t="inlineStr">
        <is>
          <t>ORD-00046</t>
        </is>
      </c>
      <c r="B47" s="2" t="n">
        <v>45677</v>
      </c>
      <c r="C47" s="2" t="n">
        <v>45683</v>
      </c>
      <c r="D47" t="inlineStr">
        <is>
          <t>CUST-00046</t>
        </is>
      </c>
      <c r="E47" t="inlineStr">
        <is>
          <t>CUSTOMER 46</t>
        </is>
      </c>
      <c r="F47" t="inlineStr">
        <is>
          <t>Consumer</t>
        </is>
      </c>
      <c r="G47" t="inlineStr">
        <is>
          <t>P1017</t>
        </is>
      </c>
      <c r="H47" t="inlineStr">
        <is>
          <t>SmartInk Pen Set</t>
        </is>
      </c>
      <c r="I47" t="inlineStr">
        <is>
          <t>Outdoor</t>
        </is>
      </c>
      <c r="J47" t="inlineStr">
        <is>
          <t>Paper</t>
        </is>
      </c>
      <c r="K47" t="inlineStr">
        <is>
          <t>East</t>
        </is>
      </c>
      <c r="L47" t="inlineStr">
        <is>
          <t>New Jersey</t>
        </is>
      </c>
      <c r="M47" t="inlineStr">
        <is>
          <t>New York</t>
        </is>
      </c>
      <c r="N47" t="inlineStr">
        <is>
          <t>Ethan Brooks</t>
        </is>
      </c>
      <c r="O47" t="n">
        <v>5</v>
      </c>
      <c r="P47" s="3" t="n">
        <v>533.34</v>
      </c>
      <c r="Q47" s="4" t="n">
        <v>0.026</v>
      </c>
      <c r="R47" s="3" t="n">
        <v>2597.37</v>
      </c>
      <c r="S47" s="3" t="n">
        <v>1718.41</v>
      </c>
      <c r="T47" s="3" t="n">
        <v>867.96</v>
      </c>
      <c r="U47" s="4" t="n">
        <v>0.3342</v>
      </c>
      <c r="V47" s="3" t="n">
        <v>11</v>
      </c>
      <c r="W47" t="inlineStr">
        <is>
          <t>Credit Card</t>
        </is>
      </c>
      <c r="X47" t="inlineStr">
        <is>
          <t>Medium</t>
        </is>
      </c>
    </row>
    <row r="48">
      <c r="A48" t="inlineStr">
        <is>
          <t>ORD-00047</t>
        </is>
      </c>
      <c r="B48" s="2" t="n">
        <v>45604</v>
      </c>
      <c r="C48" s="2" t="n">
        <v>45610</v>
      </c>
      <c r="D48" t="inlineStr">
        <is>
          <t>CUST-00047</t>
        </is>
      </c>
      <c r="E48" t="inlineStr">
        <is>
          <t>CUSTOMER 47</t>
        </is>
      </c>
      <c r="F48" t="inlineStr">
        <is>
          <t>Consumer</t>
        </is>
      </c>
      <c r="G48" t="inlineStr">
        <is>
          <t>P1011</t>
        </is>
      </c>
      <c r="H48" t="inlineStr">
        <is>
          <t>Aero Standing Desk</t>
        </is>
      </c>
      <c r="I48" t="inlineStr">
        <is>
          <t>Technology</t>
        </is>
      </c>
      <c r="J48" t="inlineStr">
        <is>
          <t>Video</t>
        </is>
      </c>
      <c r="K48" t="inlineStr">
        <is>
          <t>South</t>
        </is>
      </c>
      <c r="L48" t="inlineStr">
        <is>
          <t>Georgia</t>
        </is>
      </c>
      <c r="M48" t="inlineStr">
        <is>
          <t>Dallas</t>
        </is>
      </c>
      <c r="N48" t="inlineStr">
        <is>
          <t>James Carter</t>
        </is>
      </c>
      <c r="O48" t="n">
        <v>5</v>
      </c>
      <c r="P48" s="3" t="n">
        <v>89.53</v>
      </c>
      <c r="Q48" s="4" t="n">
        <v>0.023</v>
      </c>
      <c r="R48" s="3" t="n">
        <v>437.35</v>
      </c>
      <c r="S48" s="3" t="n">
        <v>206.29</v>
      </c>
      <c r="T48" s="3" t="n">
        <v>221.06</v>
      </c>
      <c r="U48" s="4" t="n">
        <v>0.5054999999999999</v>
      </c>
      <c r="V48" s="3" t="n">
        <v>10</v>
      </c>
      <c r="W48" t="inlineStr">
        <is>
          <t>Credit Card</t>
        </is>
      </c>
      <c r="X48" t="inlineStr">
        <is>
          <t>Medium</t>
        </is>
      </c>
    </row>
    <row r="49">
      <c r="A49" t="inlineStr">
        <is>
          <t>ORD-00048</t>
        </is>
      </c>
      <c r="B49" s="2" t="n">
        <v>45383</v>
      </c>
      <c r="C49" s="2" t="n">
        <v>45390</v>
      </c>
      <c r="D49" t="inlineStr">
        <is>
          <t>CUST-00048</t>
        </is>
      </c>
      <c r="E49" t="inlineStr">
        <is>
          <t>CUSTOMER 48</t>
        </is>
      </c>
      <c r="F49" t="inlineStr">
        <is>
          <t>Consumer</t>
        </is>
      </c>
      <c r="G49" t="inlineStr">
        <is>
          <t>P1013</t>
        </is>
      </c>
      <c r="H49" t="inlineStr">
        <is>
          <t>Echo Web Camera</t>
        </is>
      </c>
      <c r="I49" t="inlineStr">
        <is>
          <t>Technology</t>
        </is>
      </c>
      <c r="J49" t="inlineStr">
        <is>
          <t>Textiles</t>
        </is>
      </c>
      <c r="K49" t="inlineStr">
        <is>
          <t>West</t>
        </is>
      </c>
      <c r="L49" t="inlineStr">
        <is>
          <t>Colorado</t>
        </is>
      </c>
      <c r="M49" t="inlineStr">
        <is>
          <t>San Francisco</t>
        </is>
      </c>
      <c r="N49" t="inlineStr">
        <is>
          <t>Ava Patel</t>
        </is>
      </c>
      <c r="O49" t="n">
        <v>4</v>
      </c>
      <c r="P49" s="3" t="n">
        <v>168.13</v>
      </c>
      <c r="Q49" s="4" t="n">
        <v>0.008</v>
      </c>
      <c r="R49" s="3" t="n">
        <v>667.14</v>
      </c>
      <c r="S49" s="3" t="n">
        <v>382.79</v>
      </c>
      <c r="T49" s="3" t="n">
        <v>274.15</v>
      </c>
      <c r="U49" s="4" t="n">
        <v>0.4109</v>
      </c>
      <c r="V49" s="3" t="n">
        <v>10.2</v>
      </c>
      <c r="W49" t="inlineStr">
        <is>
          <t>PayPal</t>
        </is>
      </c>
      <c r="X49" t="inlineStr">
        <is>
          <t>Low</t>
        </is>
      </c>
    </row>
    <row r="50">
      <c r="A50" t="inlineStr">
        <is>
          <t>ORD-00049</t>
        </is>
      </c>
      <c r="B50" s="2" t="n">
        <v>45611</v>
      </c>
      <c r="C50" s="2" t="n">
        <v>45616</v>
      </c>
      <c r="D50" t="inlineStr">
        <is>
          <t>CUST-00049</t>
        </is>
      </c>
      <c r="E50" t="inlineStr">
        <is>
          <t>CUSTOMER 49</t>
        </is>
      </c>
      <c r="F50" t="inlineStr">
        <is>
          <t>Corporate</t>
        </is>
      </c>
      <c r="G50" t="inlineStr">
        <is>
          <t>P1017</t>
        </is>
      </c>
      <c r="H50" t="inlineStr">
        <is>
          <t>Orbit Wireless Mouse</t>
        </is>
      </c>
      <c r="I50" t="inlineStr">
        <is>
          <t>Home Decor</t>
        </is>
      </c>
      <c r="J50" t="inlineStr">
        <is>
          <t>Plants</t>
        </is>
      </c>
      <c r="K50" t="inlineStr">
        <is>
          <t>North</t>
        </is>
      </c>
      <c r="L50" t="inlineStr">
        <is>
          <t>Alberta</t>
        </is>
      </c>
      <c r="M50" t="inlineStr">
        <is>
          <t>Vancouver</t>
        </is>
      </c>
      <c r="N50" t="inlineStr">
        <is>
          <t>Ethan Brooks</t>
        </is>
      </c>
      <c r="O50" t="n">
        <v>3</v>
      </c>
      <c r="P50" s="3" t="n">
        <v>604.86</v>
      </c>
      <c r="Q50" s="4" t="n">
        <v>0.057</v>
      </c>
      <c r="R50" s="3" t="n">
        <v>1711.15</v>
      </c>
      <c r="S50" s="3" t="n">
        <v>1137.2</v>
      </c>
      <c r="T50" s="3" t="n">
        <v>565.55</v>
      </c>
      <c r="U50" s="4" t="n">
        <v>0.3305</v>
      </c>
      <c r="V50" s="3" t="n">
        <v>8.4</v>
      </c>
      <c r="W50" t="inlineStr">
        <is>
          <t>Credit Card</t>
        </is>
      </c>
      <c r="X50" t="inlineStr">
        <is>
          <t>High</t>
        </is>
      </c>
    </row>
    <row r="51">
      <c r="A51" t="inlineStr">
        <is>
          <t>ORD-00050</t>
        </is>
      </c>
      <c r="B51" s="2" t="n">
        <v>45209</v>
      </c>
      <c r="C51" s="2" t="n">
        <v>45210</v>
      </c>
      <c r="D51" t="inlineStr">
        <is>
          <t>CUST-00050</t>
        </is>
      </c>
      <c r="E51" t="inlineStr">
        <is>
          <t>CUSTOMER 50</t>
        </is>
      </c>
      <c r="F51" t="inlineStr">
        <is>
          <t>Consumer</t>
        </is>
      </c>
      <c r="G51" t="inlineStr">
        <is>
          <t>P1007</t>
        </is>
      </c>
      <c r="H51" t="inlineStr">
        <is>
          <t>Lumen Desk Lamp</t>
        </is>
      </c>
      <c r="I51" t="inlineStr">
        <is>
          <t>Technology</t>
        </is>
      </c>
      <c r="J51" t="inlineStr">
        <is>
          <t>Lighting</t>
        </is>
      </c>
      <c r="K51" t="inlineStr">
        <is>
          <t>South</t>
        </is>
      </c>
      <c r="L51" t="inlineStr">
        <is>
          <t>Georgia</t>
        </is>
      </c>
      <c r="M51" t="inlineStr">
        <is>
          <t>Miami</t>
        </is>
      </c>
      <c r="N51" t="inlineStr">
        <is>
          <t>Noah Kim</t>
        </is>
      </c>
      <c r="O51" t="n">
        <v>3</v>
      </c>
      <c r="P51" s="3" t="n">
        <v>24.63</v>
      </c>
      <c r="Q51" s="4" t="n">
        <v>0.004</v>
      </c>
      <c r="R51" s="3" t="n">
        <v>73.59</v>
      </c>
      <c r="S51" s="3" t="n">
        <v>30.05</v>
      </c>
      <c r="T51" s="3" t="n">
        <v>35.14</v>
      </c>
      <c r="U51" s="4" t="n">
        <v>0.4775</v>
      </c>
      <c r="V51" s="3" t="n">
        <v>8.4</v>
      </c>
      <c r="W51" t="inlineStr">
        <is>
          <t>Debit Card</t>
        </is>
      </c>
      <c r="X51" t="inlineStr">
        <is>
          <t>Medium</t>
        </is>
      </c>
    </row>
    <row r="52">
      <c r="A52" t="inlineStr">
        <is>
          <t>ORD-00051</t>
        </is>
      </c>
      <c r="B52" s="2" t="n">
        <v>45995</v>
      </c>
      <c r="C52" s="2" t="n">
        <v>46001</v>
      </c>
      <c r="D52" t="inlineStr">
        <is>
          <t>CUST-00051</t>
        </is>
      </c>
      <c r="E52" t="inlineStr">
        <is>
          <t>CUSTOMER 51</t>
        </is>
      </c>
      <c r="F52" t="inlineStr">
        <is>
          <t>Consumer</t>
        </is>
      </c>
      <c r="G52" t="inlineStr">
        <is>
          <t>P1009</t>
        </is>
      </c>
      <c r="H52" t="inlineStr">
        <is>
          <t>Cove Wall Clock</t>
        </is>
      </c>
      <c r="I52" t="inlineStr">
        <is>
          <t>Home Decor</t>
        </is>
      </c>
      <c r="J52" t="inlineStr">
        <is>
          <t>Textiles</t>
        </is>
      </c>
      <c r="K52" t="inlineStr">
        <is>
          <t>Central</t>
        </is>
      </c>
      <c r="L52" t="inlineStr">
        <is>
          <t>Missouri</t>
        </is>
      </c>
      <c r="M52" t="inlineStr">
        <is>
          <t>St. Louis</t>
        </is>
      </c>
      <c r="N52" t="inlineStr">
        <is>
          <t>Liam Chen</t>
        </is>
      </c>
      <c r="O52" t="n">
        <v>4</v>
      </c>
      <c r="P52" s="3" t="n">
        <v>94.19</v>
      </c>
      <c r="Q52" s="4" t="n">
        <v>0.004</v>
      </c>
      <c r="R52" s="3" t="n">
        <v>375.25</v>
      </c>
      <c r="S52" s="3" t="n">
        <v>181.79</v>
      </c>
      <c r="T52" s="3" t="n">
        <v>184.26</v>
      </c>
      <c r="U52" s="4" t="n">
        <v>0.491</v>
      </c>
      <c r="V52" s="3" t="n">
        <v>9.199999999999999</v>
      </c>
      <c r="W52" t="inlineStr">
        <is>
          <t>Credit Card</t>
        </is>
      </c>
      <c r="X52" t="inlineStr">
        <is>
          <t>Medium</t>
        </is>
      </c>
    </row>
    <row r="53">
      <c r="A53" t="inlineStr">
        <is>
          <t>ORD-00052</t>
        </is>
      </c>
      <c r="B53" s="2" t="n">
        <v>45818</v>
      </c>
      <c r="C53" s="2" t="n">
        <v>45820</v>
      </c>
      <c r="D53" t="inlineStr">
        <is>
          <t>CUST-00052</t>
        </is>
      </c>
      <c r="E53" t="inlineStr">
        <is>
          <t>CUSTOMER 52</t>
        </is>
      </c>
      <c r="F53" t="inlineStr">
        <is>
          <t>Home Office</t>
        </is>
      </c>
      <c r="G53" t="inlineStr">
        <is>
          <t>P1018</t>
        </is>
      </c>
      <c r="H53" t="inlineStr">
        <is>
          <t>CloudDrive File Box</t>
        </is>
      </c>
      <c r="I53" t="inlineStr">
        <is>
          <t>Furniture</t>
        </is>
      </c>
      <c r="J53" t="inlineStr">
        <is>
          <t>Peripherals</t>
        </is>
      </c>
      <c r="K53" t="inlineStr">
        <is>
          <t>South</t>
        </is>
      </c>
      <c r="L53" t="inlineStr">
        <is>
          <t>Florida</t>
        </is>
      </c>
      <c r="M53" t="inlineStr">
        <is>
          <t>Dallas</t>
        </is>
      </c>
      <c r="N53" t="inlineStr">
        <is>
          <t>Sophia Singh</t>
        </is>
      </c>
      <c r="O53" t="n">
        <v>3</v>
      </c>
      <c r="P53" s="3" t="n">
        <v>85.33</v>
      </c>
      <c r="Q53" s="4" t="n">
        <v>0.036</v>
      </c>
      <c r="R53" s="3" t="n">
        <v>246.77</v>
      </c>
      <c r="S53" s="3" t="n">
        <v>113.56</v>
      </c>
      <c r="T53" s="3" t="n">
        <v>124.81</v>
      </c>
      <c r="U53" s="4" t="n">
        <v>0.5058</v>
      </c>
      <c r="V53" s="3" t="n">
        <v>8.4</v>
      </c>
      <c r="W53" t="inlineStr">
        <is>
          <t>Cash on Delivery</t>
        </is>
      </c>
      <c r="X53" t="inlineStr">
        <is>
          <t>High</t>
        </is>
      </c>
    </row>
    <row r="54">
      <c r="A54" t="inlineStr">
        <is>
          <t>ORD-00053</t>
        </is>
      </c>
      <c r="B54" s="2" t="n">
        <v>45911</v>
      </c>
      <c r="C54" s="2" t="n">
        <v>45918</v>
      </c>
      <c r="D54" t="inlineStr">
        <is>
          <t>CUST-00053</t>
        </is>
      </c>
      <c r="E54" t="inlineStr">
        <is>
          <t>CUSTOMER 53</t>
        </is>
      </c>
      <c r="F54" t="inlineStr">
        <is>
          <t>Consumer</t>
        </is>
      </c>
      <c r="G54" t="inlineStr">
        <is>
          <t>P1018</t>
        </is>
      </c>
      <c r="H54" t="inlineStr">
        <is>
          <t>Orbit Wireless Mouse</t>
        </is>
      </c>
      <c r="I54" t="inlineStr">
        <is>
          <t>Home Decor</t>
        </is>
      </c>
      <c r="J54" t="inlineStr">
        <is>
          <t>Accessories</t>
        </is>
      </c>
      <c r="K54" t="inlineStr">
        <is>
          <t>West</t>
        </is>
      </c>
      <c r="L54" t="inlineStr">
        <is>
          <t>California</t>
        </is>
      </c>
      <c r="M54" t="inlineStr">
        <is>
          <t>Denver</t>
        </is>
      </c>
      <c r="N54" t="inlineStr">
        <is>
          <t>Olivia Martin</t>
        </is>
      </c>
      <c r="O54" t="n">
        <v>4</v>
      </c>
      <c r="P54" s="3" t="n">
        <v>95.15000000000001</v>
      </c>
      <c r="Q54" s="4" t="n">
        <v>0.026</v>
      </c>
      <c r="R54" s="3" t="n">
        <v>370.7</v>
      </c>
      <c r="S54" s="3" t="n">
        <v>170.54</v>
      </c>
      <c r="T54" s="3" t="n">
        <v>189.96</v>
      </c>
      <c r="U54" s="4" t="n">
        <v>0.5124</v>
      </c>
      <c r="V54" s="3" t="n">
        <v>10.2</v>
      </c>
      <c r="W54" t="inlineStr">
        <is>
          <t>Debit Card</t>
        </is>
      </c>
      <c r="X54" t="inlineStr">
        <is>
          <t>High</t>
        </is>
      </c>
    </row>
    <row r="55">
      <c r="A55" t="inlineStr">
        <is>
          <t>ORD-00054</t>
        </is>
      </c>
      <c r="B55" s="2" t="n">
        <v>45843</v>
      </c>
      <c r="C55" s="2" t="n">
        <v>45850</v>
      </c>
      <c r="D55" t="inlineStr">
        <is>
          <t>CUST-00054</t>
        </is>
      </c>
      <c r="E55" t="inlineStr">
        <is>
          <t>CUSTOMER 54</t>
        </is>
      </c>
      <c r="F55" t="inlineStr">
        <is>
          <t>Consumer</t>
        </is>
      </c>
      <c r="G55" t="inlineStr">
        <is>
          <t>P1010</t>
        </is>
      </c>
      <c r="H55" t="inlineStr">
        <is>
          <t>ProClip Binder</t>
        </is>
      </c>
      <c r="I55" t="inlineStr">
        <is>
          <t>Furniture</t>
        </is>
      </c>
      <c r="J55" t="inlineStr">
        <is>
          <t>Lighting</t>
        </is>
      </c>
      <c r="K55" t="inlineStr">
        <is>
          <t>West</t>
        </is>
      </c>
      <c r="L55" t="inlineStr">
        <is>
          <t>Washington</t>
        </is>
      </c>
      <c r="M55" t="inlineStr">
        <is>
          <t>Denver</t>
        </is>
      </c>
      <c r="N55" t="inlineStr">
        <is>
          <t>James Carter</t>
        </is>
      </c>
      <c r="O55" t="n">
        <v>2</v>
      </c>
      <c r="P55" s="3" t="n">
        <v>59.93</v>
      </c>
      <c r="Q55" s="4" t="n">
        <v>0.034</v>
      </c>
      <c r="R55" s="3" t="n">
        <v>115.78</v>
      </c>
      <c r="S55" s="3" t="n">
        <v>58.39</v>
      </c>
      <c r="T55" s="3" t="n">
        <v>48.79</v>
      </c>
      <c r="U55" s="4" t="n">
        <v>0.4214</v>
      </c>
      <c r="V55" s="3" t="n">
        <v>8.6</v>
      </c>
      <c r="W55" t="inlineStr">
        <is>
          <t>Credit Card</t>
        </is>
      </c>
      <c r="X55" t="inlineStr">
        <is>
          <t>Medium</t>
        </is>
      </c>
    </row>
    <row r="56">
      <c r="A56" t="inlineStr">
        <is>
          <t>ORD-00055</t>
        </is>
      </c>
      <c r="B56" s="2" t="n">
        <v>45544</v>
      </c>
      <c r="C56" s="2" t="n">
        <v>45547</v>
      </c>
      <c r="D56" t="inlineStr">
        <is>
          <t>CUST-00055</t>
        </is>
      </c>
      <c r="E56" t="inlineStr">
        <is>
          <t>CUSTOMER 55</t>
        </is>
      </c>
      <c r="F56" t="inlineStr">
        <is>
          <t>Home Office</t>
        </is>
      </c>
      <c r="G56" t="inlineStr">
        <is>
          <t>P1012</t>
        </is>
      </c>
      <c r="H56" t="inlineStr">
        <is>
          <t>Lumen Desk Lamp</t>
        </is>
      </c>
      <c r="I56" t="inlineStr">
        <is>
          <t>Furniture</t>
        </is>
      </c>
      <c r="J56" t="inlineStr">
        <is>
          <t>Coolers</t>
        </is>
      </c>
      <c r="K56" t="inlineStr">
        <is>
          <t>East</t>
        </is>
      </c>
      <c r="L56" t="inlineStr">
        <is>
          <t>Massachusetts</t>
        </is>
      </c>
      <c r="M56" t="inlineStr">
        <is>
          <t>New York</t>
        </is>
      </c>
      <c r="N56" t="inlineStr">
        <is>
          <t>Ethan Brooks</t>
        </is>
      </c>
      <c r="O56" t="n">
        <v>3</v>
      </c>
      <c r="P56" s="3" t="n">
        <v>132.6</v>
      </c>
      <c r="Q56" s="4" t="n">
        <v>0.049</v>
      </c>
      <c r="R56" s="3" t="n">
        <v>378.31</v>
      </c>
      <c r="S56" s="3" t="n">
        <v>191.02</v>
      </c>
      <c r="T56" s="3" t="n">
        <v>177.89</v>
      </c>
      <c r="U56" s="4" t="n">
        <v>0.4702</v>
      </c>
      <c r="V56" s="3" t="n">
        <v>9.4</v>
      </c>
      <c r="W56" t="inlineStr">
        <is>
          <t>Credit Card</t>
        </is>
      </c>
      <c r="X56" t="inlineStr">
        <is>
          <t>High</t>
        </is>
      </c>
    </row>
    <row r="57">
      <c r="A57" t="inlineStr">
        <is>
          <t>ORD-00056</t>
        </is>
      </c>
      <c r="B57" s="2" t="n">
        <v>45843</v>
      </c>
      <c r="C57" s="2" t="n">
        <v>45850</v>
      </c>
      <c r="D57" t="inlineStr">
        <is>
          <t>CUST-00056</t>
        </is>
      </c>
      <c r="E57" t="inlineStr">
        <is>
          <t>CUSTOMER 56</t>
        </is>
      </c>
      <c r="F57" t="inlineStr">
        <is>
          <t>Corporate</t>
        </is>
      </c>
      <c r="G57" t="inlineStr">
        <is>
          <t>P1018</t>
        </is>
      </c>
      <c r="H57" t="inlineStr">
        <is>
          <t>Cove Wall Clock</t>
        </is>
      </c>
      <c r="I57" t="inlineStr">
        <is>
          <t>Technology</t>
        </is>
      </c>
      <c r="J57" t="inlineStr">
        <is>
          <t>Flooring</t>
        </is>
      </c>
      <c r="K57" t="inlineStr">
        <is>
          <t>East</t>
        </is>
      </c>
      <c r="L57" t="inlineStr">
        <is>
          <t>New Jersey</t>
        </is>
      </c>
      <c r="M57" t="inlineStr">
        <is>
          <t>New York</t>
        </is>
      </c>
      <c r="N57" t="inlineStr">
        <is>
          <t>Ethan Brooks</t>
        </is>
      </c>
      <c r="O57" t="n">
        <v>3</v>
      </c>
      <c r="P57" s="3" t="n">
        <v>91.23</v>
      </c>
      <c r="Q57" s="4" t="n">
        <v>0.023</v>
      </c>
      <c r="R57" s="3" t="n">
        <v>267.4</v>
      </c>
      <c r="S57" s="3" t="n">
        <v>126.84</v>
      </c>
      <c r="T57" s="3" t="n">
        <v>131.16</v>
      </c>
      <c r="U57" s="4" t="n">
        <v>0.4905</v>
      </c>
      <c r="V57" s="3" t="n">
        <v>9.4</v>
      </c>
      <c r="W57" t="inlineStr">
        <is>
          <t>Credit Card</t>
        </is>
      </c>
      <c r="X57" t="inlineStr">
        <is>
          <t>High</t>
        </is>
      </c>
    </row>
    <row r="58">
      <c r="A58" t="inlineStr">
        <is>
          <t>ORD-00057</t>
        </is>
      </c>
      <c r="B58" s="2" t="n">
        <v>45027</v>
      </c>
      <c r="C58" s="2" t="n">
        <v>45030</v>
      </c>
      <c r="D58" t="inlineStr">
        <is>
          <t>CUST-00057</t>
        </is>
      </c>
      <c r="E58" t="inlineStr">
        <is>
          <t>CUSTOMER 57</t>
        </is>
      </c>
      <c r="F58" t="inlineStr">
        <is>
          <t>Corporate</t>
        </is>
      </c>
      <c r="G58" t="inlineStr">
        <is>
          <t>P1009</t>
        </is>
      </c>
      <c r="H58" t="inlineStr">
        <is>
          <t>Pulse Keyboard</t>
        </is>
      </c>
      <c r="I58" t="inlineStr">
        <is>
          <t>Technology</t>
        </is>
      </c>
      <c r="J58" t="inlineStr">
        <is>
          <t>Flooring</t>
        </is>
      </c>
      <c r="K58" t="inlineStr">
        <is>
          <t>East</t>
        </is>
      </c>
      <c r="L58" t="inlineStr">
        <is>
          <t>New York</t>
        </is>
      </c>
      <c r="M58" t="inlineStr">
        <is>
          <t>Boston</t>
        </is>
      </c>
      <c r="N58" t="inlineStr">
        <is>
          <t>Olivia Martin</t>
        </is>
      </c>
      <c r="O58" t="n">
        <v>6</v>
      </c>
      <c r="P58" s="3" t="n">
        <v>92.64</v>
      </c>
      <c r="Q58" s="4" t="n">
        <v>0.023</v>
      </c>
      <c r="R58" s="3" t="n">
        <v>543.0599999999999</v>
      </c>
      <c r="S58" s="3" t="n">
        <v>260.82</v>
      </c>
      <c r="T58" s="3" t="n">
        <v>270.44</v>
      </c>
      <c r="U58" s="4" t="n">
        <v>0.498</v>
      </c>
      <c r="V58" s="3" t="n">
        <v>11.8</v>
      </c>
      <c r="W58" t="inlineStr">
        <is>
          <t>Debit Card</t>
        </is>
      </c>
      <c r="X58" t="inlineStr">
        <is>
          <t>Medium</t>
        </is>
      </c>
    </row>
    <row r="59">
      <c r="A59" t="inlineStr">
        <is>
          <t>ORD-00058</t>
        </is>
      </c>
      <c r="B59" s="2" t="n">
        <v>45110</v>
      </c>
      <c r="C59" s="2" t="n">
        <v>45115</v>
      </c>
      <c r="D59" t="inlineStr">
        <is>
          <t>CUST-00058</t>
        </is>
      </c>
      <c r="E59" t="inlineStr">
        <is>
          <t>CUSTOMER 58</t>
        </is>
      </c>
      <c r="F59" t="inlineStr">
        <is>
          <t>Consumer</t>
        </is>
      </c>
      <c r="G59" t="inlineStr">
        <is>
          <t>P1009</t>
        </is>
      </c>
      <c r="H59" t="inlineStr">
        <is>
          <t>Lumen Desk Lamp</t>
        </is>
      </c>
      <c r="I59" t="inlineStr">
        <is>
          <t>Office Supplies</t>
        </is>
      </c>
      <c r="J59" t="inlineStr">
        <is>
          <t>Storage</t>
        </is>
      </c>
      <c r="K59" t="inlineStr">
        <is>
          <t>East</t>
        </is>
      </c>
      <c r="L59" t="inlineStr">
        <is>
          <t>Massachusetts</t>
        </is>
      </c>
      <c r="M59" t="inlineStr">
        <is>
          <t>Washington</t>
        </is>
      </c>
      <c r="N59" t="inlineStr">
        <is>
          <t>Liam Chen</t>
        </is>
      </c>
      <c r="O59" t="n">
        <v>4</v>
      </c>
      <c r="P59" s="3" t="n">
        <v>95.65000000000001</v>
      </c>
      <c r="Q59" s="4" t="n">
        <v>0.035</v>
      </c>
      <c r="R59" s="3" t="n">
        <v>369.21</v>
      </c>
      <c r="S59" s="3" t="n">
        <v>178.84</v>
      </c>
      <c r="T59" s="3" t="n">
        <v>180.17</v>
      </c>
      <c r="U59" s="4" t="n">
        <v>0.488</v>
      </c>
      <c r="V59" s="3" t="n">
        <v>10.2</v>
      </c>
      <c r="W59" t="inlineStr">
        <is>
          <t>Credit Card</t>
        </is>
      </c>
      <c r="X59" t="inlineStr">
        <is>
          <t>Critical</t>
        </is>
      </c>
    </row>
    <row r="60">
      <c r="A60" t="inlineStr">
        <is>
          <t>ORD-00059</t>
        </is>
      </c>
      <c r="B60" s="2" t="n">
        <v>45165</v>
      </c>
      <c r="C60" s="2" t="n">
        <v>45170</v>
      </c>
      <c r="D60" t="inlineStr">
        <is>
          <t>CUST-00059</t>
        </is>
      </c>
      <c r="E60" t="inlineStr">
        <is>
          <t>CUSTOMER 59</t>
        </is>
      </c>
      <c r="F60" t="inlineStr">
        <is>
          <t>Consumer</t>
        </is>
      </c>
      <c r="G60" t="inlineStr">
        <is>
          <t>P1010</t>
        </is>
      </c>
      <c r="H60" t="inlineStr">
        <is>
          <t>Aero Standing Desk</t>
        </is>
      </c>
      <c r="I60" t="inlineStr">
        <is>
          <t>Furniture</t>
        </is>
      </c>
      <c r="J60" t="inlineStr">
        <is>
          <t>Peripherals</t>
        </is>
      </c>
      <c r="K60" t="inlineStr">
        <is>
          <t>South</t>
        </is>
      </c>
      <c r="L60" t="inlineStr">
        <is>
          <t>Florida</t>
        </is>
      </c>
      <c r="M60" t="inlineStr">
        <is>
          <t>Miami</t>
        </is>
      </c>
      <c r="N60" t="inlineStr">
        <is>
          <t>Ava Patel</t>
        </is>
      </c>
      <c r="O60" t="n">
        <v>2</v>
      </c>
      <c r="P60" s="3" t="n">
        <v>53.26</v>
      </c>
      <c r="Q60" s="4" t="n">
        <v>0.007</v>
      </c>
      <c r="R60" s="3" t="n">
        <v>105.77</v>
      </c>
      <c r="S60" s="3" t="n">
        <v>48.18</v>
      </c>
      <c r="T60" s="3" t="n">
        <v>49.99</v>
      </c>
      <c r="U60" s="4" t="n">
        <v>0.4726</v>
      </c>
      <c r="V60" s="3" t="n">
        <v>7.6</v>
      </c>
      <c r="W60" t="inlineStr">
        <is>
          <t>PayPal</t>
        </is>
      </c>
      <c r="X60" t="inlineStr">
        <is>
          <t>Medium</t>
        </is>
      </c>
    </row>
    <row r="61">
      <c r="A61" t="inlineStr">
        <is>
          <t>ORD-00060</t>
        </is>
      </c>
      <c r="B61" s="2" t="n">
        <v>45600</v>
      </c>
      <c r="C61" s="2" t="n">
        <v>45607</v>
      </c>
      <c r="D61" t="inlineStr">
        <is>
          <t>CUST-00060</t>
        </is>
      </c>
      <c r="E61" t="inlineStr">
        <is>
          <t>CUSTOMER 60</t>
        </is>
      </c>
      <c r="F61" t="inlineStr">
        <is>
          <t>Corporate</t>
        </is>
      </c>
      <c r="G61" t="inlineStr">
        <is>
          <t>P1001</t>
        </is>
      </c>
      <c r="H61" t="inlineStr">
        <is>
          <t>ProClip Binder</t>
        </is>
      </c>
      <c r="I61" t="inlineStr">
        <is>
          <t>Technology</t>
        </is>
      </c>
      <c r="J61" t="inlineStr">
        <is>
          <t>Furniture</t>
        </is>
      </c>
      <c r="K61" t="inlineStr">
        <is>
          <t>North</t>
        </is>
      </c>
      <c r="L61" t="inlineStr">
        <is>
          <t>Alberta</t>
        </is>
      </c>
      <c r="M61" t="inlineStr">
        <is>
          <t>Vancouver</t>
        </is>
      </c>
      <c r="N61" t="inlineStr">
        <is>
          <t>Ava Patel</t>
        </is>
      </c>
      <c r="O61" t="n">
        <v>1</v>
      </c>
      <c r="P61" s="3" t="n">
        <v>319.38</v>
      </c>
      <c r="Q61" s="4" t="n">
        <v>0.023</v>
      </c>
      <c r="R61" s="3" t="n">
        <v>312.03</v>
      </c>
      <c r="S61" s="3" t="n">
        <v>186.39</v>
      </c>
      <c r="T61" s="3" t="n">
        <v>118.84</v>
      </c>
      <c r="U61" s="4" t="n">
        <v>0.3809</v>
      </c>
      <c r="V61" s="3" t="n">
        <v>6.8</v>
      </c>
      <c r="W61" t="inlineStr">
        <is>
          <t>Bank Transfer</t>
        </is>
      </c>
      <c r="X61" t="inlineStr">
        <is>
          <t>Medium</t>
        </is>
      </c>
    </row>
    <row r="62">
      <c r="A62" t="inlineStr">
        <is>
          <t>ORD-00061</t>
        </is>
      </c>
      <c r="B62" s="2" t="n">
        <v>45575</v>
      </c>
      <c r="C62" s="2" t="n">
        <v>45576</v>
      </c>
      <c r="D62" t="inlineStr">
        <is>
          <t>CUST-00061</t>
        </is>
      </c>
      <c r="E62" t="inlineStr">
        <is>
          <t>CUSTOMER 61</t>
        </is>
      </c>
      <c r="F62" t="inlineStr">
        <is>
          <t>Corporate</t>
        </is>
      </c>
      <c r="G62" t="inlineStr">
        <is>
          <t>P1011</t>
        </is>
      </c>
      <c r="H62" t="inlineStr">
        <is>
          <t>Aero Standing Desk</t>
        </is>
      </c>
      <c r="I62" t="inlineStr">
        <is>
          <t>Furniture</t>
        </is>
      </c>
      <c r="J62" t="inlineStr">
        <is>
          <t>Chairs</t>
        </is>
      </c>
      <c r="K62" t="inlineStr">
        <is>
          <t>Central</t>
        </is>
      </c>
      <c r="L62" t="inlineStr">
        <is>
          <t>Missouri</t>
        </is>
      </c>
      <c r="M62" t="inlineStr">
        <is>
          <t>Kansas City</t>
        </is>
      </c>
      <c r="N62" t="inlineStr">
        <is>
          <t>Liam Chen</t>
        </is>
      </c>
      <c r="O62" t="n">
        <v>3</v>
      </c>
      <c r="P62" s="3" t="n">
        <v>95.33</v>
      </c>
      <c r="Q62" s="4" t="n">
        <v>0.017</v>
      </c>
      <c r="R62" s="3" t="n">
        <v>281.13</v>
      </c>
      <c r="S62" s="3" t="n">
        <v>135.87</v>
      </c>
      <c r="T62" s="3" t="n">
        <v>136.86</v>
      </c>
      <c r="U62" s="4" t="n">
        <v>0.4868</v>
      </c>
      <c r="V62" s="3" t="n">
        <v>8.4</v>
      </c>
      <c r="W62" t="inlineStr">
        <is>
          <t>Bank Transfer</t>
        </is>
      </c>
      <c r="X62" t="inlineStr">
        <is>
          <t>Medium</t>
        </is>
      </c>
    </row>
    <row r="63">
      <c r="A63" t="inlineStr">
        <is>
          <t>ORD-00062</t>
        </is>
      </c>
      <c r="B63" s="2" t="n">
        <v>45176</v>
      </c>
      <c r="C63" s="2" t="n">
        <v>45179</v>
      </c>
      <c r="D63" t="inlineStr">
        <is>
          <t>CUST-00062</t>
        </is>
      </c>
      <c r="E63" t="inlineStr">
        <is>
          <t>CUSTOMER 62</t>
        </is>
      </c>
      <c r="F63" t="inlineStr">
        <is>
          <t>Consumer</t>
        </is>
      </c>
      <c r="G63" t="inlineStr">
        <is>
          <t>P1014</t>
        </is>
      </c>
      <c r="H63" t="inlineStr">
        <is>
          <t>FlexNote Notebook</t>
        </is>
      </c>
      <c r="I63" t="inlineStr">
        <is>
          <t>Furniture</t>
        </is>
      </c>
      <c r="J63" t="inlineStr">
        <is>
          <t>Textiles</t>
        </is>
      </c>
      <c r="K63" t="inlineStr">
        <is>
          <t>East</t>
        </is>
      </c>
      <c r="L63" t="inlineStr">
        <is>
          <t>New York</t>
        </is>
      </c>
      <c r="M63" t="inlineStr">
        <is>
          <t>Washington</t>
        </is>
      </c>
      <c r="N63" t="inlineStr">
        <is>
          <t>Ethan Brooks</t>
        </is>
      </c>
      <c r="O63" t="n">
        <v>3</v>
      </c>
      <c r="P63" s="3" t="n">
        <v>42.23</v>
      </c>
      <c r="Q63" s="4" t="n">
        <v>0.007</v>
      </c>
      <c r="R63" s="3" t="n">
        <v>125.8</v>
      </c>
      <c r="S63" s="3" t="n">
        <v>56.95</v>
      </c>
      <c r="T63" s="3" t="n">
        <v>59.45</v>
      </c>
      <c r="U63" s="4" t="n">
        <v>0.4726</v>
      </c>
      <c r="V63" s="3" t="n">
        <v>9.4</v>
      </c>
      <c r="W63" t="inlineStr">
        <is>
          <t>PayPal</t>
        </is>
      </c>
      <c r="X63" t="inlineStr">
        <is>
          <t>Medium</t>
        </is>
      </c>
    </row>
    <row r="64">
      <c r="A64" t="inlineStr">
        <is>
          <t>ORD-00063</t>
        </is>
      </c>
      <c r="B64" s="2" t="n">
        <v>45689</v>
      </c>
      <c r="C64" s="2" t="n">
        <v>45692</v>
      </c>
      <c r="D64" t="inlineStr">
        <is>
          <t>CUST-00063</t>
        </is>
      </c>
      <c r="E64" t="inlineStr">
        <is>
          <t>CUSTOMER 63</t>
        </is>
      </c>
      <c r="F64" t="inlineStr">
        <is>
          <t>Consumer</t>
        </is>
      </c>
      <c r="G64" t="inlineStr">
        <is>
          <t>P1010</t>
        </is>
      </c>
      <c r="H64" t="inlineStr">
        <is>
          <t>ProClip Binder</t>
        </is>
      </c>
      <c r="I64" t="inlineStr">
        <is>
          <t>Furniture</t>
        </is>
      </c>
      <c r="J64" t="inlineStr">
        <is>
          <t>Peripherals</t>
        </is>
      </c>
      <c r="K64" t="inlineStr">
        <is>
          <t>South</t>
        </is>
      </c>
      <c r="L64" t="inlineStr">
        <is>
          <t>Georgia</t>
        </is>
      </c>
      <c r="M64" t="inlineStr">
        <is>
          <t>Miami</t>
        </is>
      </c>
      <c r="N64" t="inlineStr">
        <is>
          <t>James Carter</t>
        </is>
      </c>
      <c r="O64" t="n">
        <v>4</v>
      </c>
      <c r="P64" s="3" t="n">
        <v>51.77</v>
      </c>
      <c r="Q64" s="4" t="n">
        <v>0.012</v>
      </c>
      <c r="R64" s="3" t="n">
        <v>204.6</v>
      </c>
      <c r="S64" s="3" t="n">
        <v>90.87</v>
      </c>
      <c r="T64" s="3" t="n">
        <v>104.53</v>
      </c>
      <c r="U64" s="4" t="n">
        <v>0.5109</v>
      </c>
      <c r="V64" s="3" t="n">
        <v>9.199999999999999</v>
      </c>
      <c r="W64" t="inlineStr">
        <is>
          <t>Bank Transfer</t>
        </is>
      </c>
      <c r="X64" t="inlineStr">
        <is>
          <t>Medium</t>
        </is>
      </c>
    </row>
    <row r="65">
      <c r="A65" t="inlineStr">
        <is>
          <t>ORD-00064</t>
        </is>
      </c>
      <c r="B65" s="2" t="n">
        <v>45592</v>
      </c>
      <c r="C65" s="2" t="n">
        <v>45594</v>
      </c>
      <c r="D65" t="inlineStr">
        <is>
          <t>CUST-00064</t>
        </is>
      </c>
      <c r="E65" t="inlineStr">
        <is>
          <t>CUSTOMER 64</t>
        </is>
      </c>
      <c r="F65" t="inlineStr">
        <is>
          <t>Home Office</t>
        </is>
      </c>
      <c r="G65" t="inlineStr">
        <is>
          <t>P1014</t>
        </is>
      </c>
      <c r="H65" t="inlineStr">
        <is>
          <t>Nova Laptop Stand</t>
        </is>
      </c>
      <c r="I65" t="inlineStr">
        <is>
          <t>Home Decor</t>
        </is>
      </c>
      <c r="J65" t="inlineStr">
        <is>
          <t>Chairs</t>
        </is>
      </c>
      <c r="K65" t="inlineStr">
        <is>
          <t>West</t>
        </is>
      </c>
      <c r="L65" t="inlineStr">
        <is>
          <t>Colorado</t>
        </is>
      </c>
      <c r="M65" t="inlineStr">
        <is>
          <t>Los Angeles</t>
        </is>
      </c>
      <c r="N65" t="inlineStr">
        <is>
          <t>Ava Patel</t>
        </is>
      </c>
      <c r="O65" t="n">
        <v>2</v>
      </c>
      <c r="P65" s="3" t="n">
        <v>49.88</v>
      </c>
      <c r="Q65" s="4" t="n">
        <v>0.021</v>
      </c>
      <c r="R65" s="3" t="n">
        <v>97.67</v>
      </c>
      <c r="S65" s="3" t="n">
        <v>46.91</v>
      </c>
      <c r="T65" s="3" t="n">
        <v>42.16</v>
      </c>
      <c r="U65" s="4" t="n">
        <v>0.4317</v>
      </c>
      <c r="V65" s="3" t="n">
        <v>8.6</v>
      </c>
      <c r="W65" t="inlineStr">
        <is>
          <t>PayPal</t>
        </is>
      </c>
      <c r="X65" t="inlineStr">
        <is>
          <t>Medium</t>
        </is>
      </c>
    </row>
    <row r="66">
      <c r="A66" t="inlineStr">
        <is>
          <t>ORD-00065</t>
        </is>
      </c>
      <c r="B66" s="2" t="n">
        <v>45113</v>
      </c>
      <c r="C66" s="2" t="n">
        <v>45114</v>
      </c>
      <c r="D66" t="inlineStr">
        <is>
          <t>CUST-00065</t>
        </is>
      </c>
      <c r="E66" t="inlineStr">
        <is>
          <t>CUSTOMER 65</t>
        </is>
      </c>
      <c r="F66" t="inlineStr">
        <is>
          <t>Consumer</t>
        </is>
      </c>
      <c r="G66" t="inlineStr">
        <is>
          <t>P1019</t>
        </is>
      </c>
      <c r="H66" t="inlineStr">
        <is>
          <t>Atlas Throw Pillow</t>
        </is>
      </c>
      <c r="I66" t="inlineStr">
        <is>
          <t>Technology</t>
        </is>
      </c>
      <c r="J66" t="inlineStr">
        <is>
          <t>Binders</t>
        </is>
      </c>
      <c r="K66" t="inlineStr">
        <is>
          <t>South</t>
        </is>
      </c>
      <c r="L66" t="inlineStr">
        <is>
          <t>Texas</t>
        </is>
      </c>
      <c r="M66" t="inlineStr">
        <is>
          <t>Dallas</t>
        </is>
      </c>
      <c r="N66" t="inlineStr">
        <is>
          <t>James Carter</t>
        </is>
      </c>
      <c r="O66" t="n">
        <v>5</v>
      </c>
      <c r="P66" s="3" t="n">
        <v>58.83</v>
      </c>
      <c r="Q66" s="4" t="n">
        <v>0.054</v>
      </c>
      <c r="R66" s="3" t="n">
        <v>278.27</v>
      </c>
      <c r="S66" s="3" t="n">
        <v>119.38</v>
      </c>
      <c r="T66" s="3" t="n">
        <v>148.89</v>
      </c>
      <c r="U66" s="4" t="n">
        <v>0.5351</v>
      </c>
      <c r="V66" s="3" t="n">
        <v>10</v>
      </c>
      <c r="W66" t="inlineStr">
        <is>
          <t>Credit Card</t>
        </is>
      </c>
      <c r="X66" t="inlineStr">
        <is>
          <t>High</t>
        </is>
      </c>
    </row>
    <row r="67">
      <c r="A67" t="inlineStr">
        <is>
          <t>ORD-00066</t>
        </is>
      </c>
      <c r="B67" s="2" t="n">
        <v>45634</v>
      </c>
      <c r="C67" s="2" t="n">
        <v>45635</v>
      </c>
      <c r="D67" t="inlineStr">
        <is>
          <t>CUST-00066</t>
        </is>
      </c>
      <c r="E67" t="inlineStr">
        <is>
          <t>CUSTOMER 66</t>
        </is>
      </c>
      <c r="F67" t="inlineStr">
        <is>
          <t>Consumer</t>
        </is>
      </c>
      <c r="G67" t="inlineStr">
        <is>
          <t>P1010</t>
        </is>
      </c>
      <c r="H67" t="inlineStr">
        <is>
          <t>Pulse Keyboard</t>
        </is>
      </c>
      <c r="I67" t="inlineStr">
        <is>
          <t>Office Supplies</t>
        </is>
      </c>
      <c r="J67" t="inlineStr">
        <is>
          <t>Video</t>
        </is>
      </c>
      <c r="K67" t="inlineStr">
        <is>
          <t>South</t>
        </is>
      </c>
      <c r="L67" t="inlineStr">
        <is>
          <t>Texas</t>
        </is>
      </c>
      <c r="M67" t="inlineStr">
        <is>
          <t>Miami</t>
        </is>
      </c>
      <c r="N67" t="inlineStr">
        <is>
          <t>Mia Rodriguez</t>
        </is>
      </c>
      <c r="O67" t="n">
        <v>3</v>
      </c>
      <c r="P67" s="3" t="n">
        <v>55.76</v>
      </c>
      <c r="Q67" s="4" t="n">
        <v>0.014</v>
      </c>
      <c r="R67" s="3" t="n">
        <v>164.94</v>
      </c>
      <c r="S67" s="3" t="n">
        <v>74.98999999999999</v>
      </c>
      <c r="T67" s="3" t="n">
        <v>81.55</v>
      </c>
      <c r="U67" s="4" t="n">
        <v>0.4944</v>
      </c>
      <c r="V67" s="3" t="n">
        <v>8.4</v>
      </c>
      <c r="W67" t="inlineStr">
        <is>
          <t>PayPal</t>
        </is>
      </c>
      <c r="X67" t="inlineStr">
        <is>
          <t>High</t>
        </is>
      </c>
    </row>
    <row r="68">
      <c r="A68" t="inlineStr">
        <is>
          <t>ORD-00067</t>
        </is>
      </c>
      <c r="B68" s="2" t="n">
        <v>45277</v>
      </c>
      <c r="C68" s="2" t="n">
        <v>45283</v>
      </c>
      <c r="D68" t="inlineStr">
        <is>
          <t>CUST-00067</t>
        </is>
      </c>
      <c r="E68" t="inlineStr">
        <is>
          <t>CUSTOMER 67</t>
        </is>
      </c>
      <c r="F68" t="inlineStr">
        <is>
          <t>Consumer</t>
        </is>
      </c>
      <c r="G68" t="inlineStr">
        <is>
          <t>P1017</t>
        </is>
      </c>
      <c r="H68" t="inlineStr">
        <is>
          <t>Pulse Keyboard</t>
        </is>
      </c>
      <c r="I68" t="inlineStr">
        <is>
          <t>Home Decor</t>
        </is>
      </c>
      <c r="J68" t="inlineStr">
        <is>
          <t>Textiles</t>
        </is>
      </c>
      <c r="K68" t="inlineStr">
        <is>
          <t>East</t>
        </is>
      </c>
      <c r="L68" t="inlineStr">
        <is>
          <t>Massachusetts</t>
        </is>
      </c>
      <c r="M68" t="inlineStr">
        <is>
          <t>Philadelphia</t>
        </is>
      </c>
      <c r="N68" t="inlineStr">
        <is>
          <t>James Carter</t>
        </is>
      </c>
      <c r="O68" t="n">
        <v>4</v>
      </c>
      <c r="P68" s="3" t="n">
        <v>602.96</v>
      </c>
      <c r="Q68" s="4" t="n">
        <v>0.01</v>
      </c>
      <c r="R68" s="3" t="n">
        <v>2387.72</v>
      </c>
      <c r="S68" s="3" t="n">
        <v>1587.02</v>
      </c>
      <c r="T68" s="3" t="n">
        <v>790.5</v>
      </c>
      <c r="U68" s="4" t="n">
        <v>0.3311</v>
      </c>
      <c r="V68" s="3" t="n">
        <v>10.2</v>
      </c>
      <c r="W68" t="inlineStr">
        <is>
          <t>Bank Transfer</t>
        </is>
      </c>
      <c r="X68" t="inlineStr">
        <is>
          <t>Low</t>
        </is>
      </c>
    </row>
    <row r="69">
      <c r="A69" t="inlineStr">
        <is>
          <t>ORD-00068</t>
        </is>
      </c>
      <c r="B69" s="2" t="n">
        <v>45712</v>
      </c>
      <c r="C69" s="2" t="n">
        <v>45717</v>
      </c>
      <c r="D69" t="inlineStr">
        <is>
          <t>CUST-00068</t>
        </is>
      </c>
      <c r="E69" t="inlineStr">
        <is>
          <t>CUSTOMER 68</t>
        </is>
      </c>
      <c r="F69" t="inlineStr">
        <is>
          <t>Home Office</t>
        </is>
      </c>
      <c r="G69" t="inlineStr">
        <is>
          <t>P1002</t>
        </is>
      </c>
      <c r="H69" t="inlineStr">
        <is>
          <t>Orbit Wireless Mouse</t>
        </is>
      </c>
      <c r="I69" t="inlineStr">
        <is>
          <t>Outdoor</t>
        </is>
      </c>
      <c r="J69" t="inlineStr">
        <is>
          <t>Peripherals</t>
        </is>
      </c>
      <c r="K69" t="inlineStr">
        <is>
          <t>North</t>
        </is>
      </c>
      <c r="L69" t="inlineStr">
        <is>
          <t>British Columbia</t>
        </is>
      </c>
      <c r="M69" t="inlineStr">
        <is>
          <t>Toronto</t>
        </is>
      </c>
      <c r="N69" t="inlineStr">
        <is>
          <t>Ethan Brooks</t>
        </is>
      </c>
      <c r="O69" t="n">
        <v>4</v>
      </c>
      <c r="P69" s="3" t="n">
        <v>80.47</v>
      </c>
      <c r="Q69" s="4" t="n">
        <v>0.003</v>
      </c>
      <c r="R69" s="3" t="n">
        <v>320.91</v>
      </c>
      <c r="S69" s="3" t="n">
        <v>150.23</v>
      </c>
      <c r="T69" s="3" t="n">
        <v>161.48</v>
      </c>
      <c r="U69" s="4" t="n">
        <v>0.5032</v>
      </c>
      <c r="V69" s="3" t="n">
        <v>9.199999999999999</v>
      </c>
      <c r="W69" t="inlineStr">
        <is>
          <t>Bank Transfer</t>
        </is>
      </c>
      <c r="X69" t="inlineStr">
        <is>
          <t>Low</t>
        </is>
      </c>
    </row>
    <row r="70">
      <c r="A70" t="inlineStr">
        <is>
          <t>ORD-00069</t>
        </is>
      </c>
      <c r="B70" s="2" t="n">
        <v>45237</v>
      </c>
      <c r="C70" s="2" t="n">
        <v>45243</v>
      </c>
      <c r="D70" t="inlineStr">
        <is>
          <t>CUST-00069</t>
        </is>
      </c>
      <c r="E70" t="inlineStr">
        <is>
          <t>CUSTOMER 69</t>
        </is>
      </c>
      <c r="F70" t="inlineStr">
        <is>
          <t>Home Office</t>
        </is>
      </c>
      <c r="G70" t="inlineStr">
        <is>
          <t>P1014</t>
        </is>
      </c>
      <c r="H70" t="inlineStr">
        <is>
          <t>ErgoMesh Chair</t>
        </is>
      </c>
      <c r="I70" t="inlineStr">
        <is>
          <t>Furniture</t>
        </is>
      </c>
      <c r="J70" t="inlineStr">
        <is>
          <t>Coolers</t>
        </is>
      </c>
      <c r="K70" t="inlineStr">
        <is>
          <t>South</t>
        </is>
      </c>
      <c r="L70" t="inlineStr">
        <is>
          <t>Georgia</t>
        </is>
      </c>
      <c r="M70" t="inlineStr">
        <is>
          <t>Atlanta</t>
        </is>
      </c>
      <c r="N70" t="inlineStr">
        <is>
          <t>James Carter</t>
        </is>
      </c>
      <c r="O70" t="n">
        <v>5</v>
      </c>
      <c r="P70" s="3" t="n">
        <v>42.87</v>
      </c>
      <c r="Q70" s="4" t="n">
        <v>0.018</v>
      </c>
      <c r="R70" s="3" t="n">
        <v>210.49</v>
      </c>
      <c r="S70" s="3" t="n">
        <v>91.09</v>
      </c>
      <c r="T70" s="3" t="n">
        <v>109.4</v>
      </c>
      <c r="U70" s="4" t="n">
        <v>0.5197000000000001</v>
      </c>
      <c r="V70" s="3" t="n">
        <v>10</v>
      </c>
      <c r="W70" t="inlineStr">
        <is>
          <t>Debit Card</t>
        </is>
      </c>
      <c r="X70" t="inlineStr">
        <is>
          <t>High</t>
        </is>
      </c>
    </row>
    <row r="71">
      <c r="A71" t="inlineStr">
        <is>
          <t>ORD-00070</t>
        </is>
      </c>
      <c r="B71" s="2" t="n">
        <v>45658</v>
      </c>
      <c r="C71" s="2" t="n">
        <v>45659</v>
      </c>
      <c r="D71" t="inlineStr">
        <is>
          <t>CUST-00070</t>
        </is>
      </c>
      <c r="E71" t="inlineStr">
        <is>
          <t>CUSTOMER 70</t>
        </is>
      </c>
      <c r="F71" t="inlineStr">
        <is>
          <t>Corporate</t>
        </is>
      </c>
      <c r="G71" t="inlineStr">
        <is>
          <t>P1018</t>
        </is>
      </c>
      <c r="H71" t="inlineStr">
        <is>
          <t>Summit Patio Set</t>
        </is>
      </c>
      <c r="I71" t="inlineStr">
        <is>
          <t>Office Supplies</t>
        </is>
      </c>
      <c r="J71" t="inlineStr">
        <is>
          <t>Lighting</t>
        </is>
      </c>
      <c r="K71" t="inlineStr">
        <is>
          <t>Central</t>
        </is>
      </c>
      <c r="L71" t="inlineStr">
        <is>
          <t>Kansas</t>
        </is>
      </c>
      <c r="M71" t="inlineStr">
        <is>
          <t>Chicago</t>
        </is>
      </c>
      <c r="N71" t="inlineStr">
        <is>
          <t>James Carter</t>
        </is>
      </c>
      <c r="O71" t="n">
        <v>3</v>
      </c>
      <c r="P71" s="3" t="n">
        <v>83.69</v>
      </c>
      <c r="Q71" s="4" t="n">
        <v>0.027</v>
      </c>
      <c r="R71" s="3" t="n">
        <v>244.29</v>
      </c>
      <c r="S71" s="3" t="n">
        <v>115.44</v>
      </c>
      <c r="T71" s="3" t="n">
        <v>120.45</v>
      </c>
      <c r="U71" s="4" t="n">
        <v>0.4931</v>
      </c>
      <c r="V71" s="3" t="n">
        <v>8.4</v>
      </c>
      <c r="W71" t="inlineStr">
        <is>
          <t>Credit Card</t>
        </is>
      </c>
      <c r="X71" t="inlineStr">
        <is>
          <t>Low</t>
        </is>
      </c>
    </row>
    <row r="72">
      <c r="A72" t="inlineStr">
        <is>
          <t>ORD-00071</t>
        </is>
      </c>
      <c r="B72" s="2" t="n">
        <v>45817</v>
      </c>
      <c r="C72" s="2" t="n">
        <v>45824</v>
      </c>
      <c r="D72" t="inlineStr">
        <is>
          <t>CUST-00071</t>
        </is>
      </c>
      <c r="E72" t="inlineStr">
        <is>
          <t>CUSTOMER 71</t>
        </is>
      </c>
      <c r="F72" t="inlineStr">
        <is>
          <t>Consumer</t>
        </is>
      </c>
      <c r="G72" t="inlineStr">
        <is>
          <t>P1002</t>
        </is>
      </c>
      <c r="H72" t="inlineStr">
        <is>
          <t>CloudDrive File Box</t>
        </is>
      </c>
      <c r="I72" t="inlineStr">
        <is>
          <t>Office Supplies</t>
        </is>
      </c>
      <c r="J72" t="inlineStr">
        <is>
          <t>Furniture</t>
        </is>
      </c>
      <c r="K72" t="inlineStr">
        <is>
          <t>West</t>
        </is>
      </c>
      <c r="L72" t="inlineStr">
        <is>
          <t>California</t>
        </is>
      </c>
      <c r="M72" t="inlineStr">
        <is>
          <t>Los Angeles</t>
        </is>
      </c>
      <c r="N72" t="inlineStr">
        <is>
          <t>James Carter</t>
        </is>
      </c>
      <c r="O72" t="n">
        <v>4</v>
      </c>
      <c r="P72" s="3" t="n">
        <v>82.73</v>
      </c>
      <c r="Q72" s="4" t="n">
        <v>0.044</v>
      </c>
      <c r="R72" s="3" t="n">
        <v>316.36</v>
      </c>
      <c r="S72" s="3" t="n">
        <v>150.15</v>
      </c>
      <c r="T72" s="3" t="n">
        <v>156.01</v>
      </c>
      <c r="U72" s="4" t="n">
        <v>0.4931</v>
      </c>
      <c r="V72" s="3" t="n">
        <v>10.2</v>
      </c>
      <c r="W72" t="inlineStr">
        <is>
          <t>Debit Card</t>
        </is>
      </c>
      <c r="X72" t="inlineStr">
        <is>
          <t>High</t>
        </is>
      </c>
    </row>
    <row r="73">
      <c r="A73" t="inlineStr">
        <is>
          <t>ORD-00072</t>
        </is>
      </c>
      <c r="B73" s="2" t="n">
        <v>45149</v>
      </c>
      <c r="C73" s="2" t="n">
        <v>45151</v>
      </c>
      <c r="D73" t="inlineStr">
        <is>
          <t>CUST-00072</t>
        </is>
      </c>
      <c r="E73" t="inlineStr">
        <is>
          <t>CUSTOMER 72</t>
        </is>
      </c>
      <c r="F73" t="inlineStr">
        <is>
          <t>Consumer</t>
        </is>
      </c>
      <c r="G73" t="inlineStr">
        <is>
          <t>P1020</t>
        </is>
      </c>
      <c r="H73" t="inlineStr">
        <is>
          <t>Atlas Throw Pillow</t>
        </is>
      </c>
      <c r="I73" t="inlineStr">
        <is>
          <t>Furniture</t>
        </is>
      </c>
      <c r="J73" t="inlineStr">
        <is>
          <t>Furniture</t>
        </is>
      </c>
      <c r="K73" t="inlineStr">
        <is>
          <t>East</t>
        </is>
      </c>
      <c r="L73" t="inlineStr">
        <is>
          <t>New Jersey</t>
        </is>
      </c>
      <c r="M73" t="inlineStr">
        <is>
          <t>Washington</t>
        </is>
      </c>
      <c r="N73" t="inlineStr">
        <is>
          <t>Ava Patel</t>
        </is>
      </c>
      <c r="O73" t="n">
        <v>4</v>
      </c>
      <c r="P73" s="3" t="n">
        <v>79.93000000000001</v>
      </c>
      <c r="Q73" s="4" t="n">
        <v>0.059</v>
      </c>
      <c r="R73" s="3" t="n">
        <v>300.86</v>
      </c>
      <c r="S73" s="3" t="n">
        <v>139.5</v>
      </c>
      <c r="T73" s="3" t="n">
        <v>151.16</v>
      </c>
      <c r="U73" s="4" t="n">
        <v>0.5024</v>
      </c>
      <c r="V73" s="3" t="n">
        <v>10.2</v>
      </c>
      <c r="W73" t="inlineStr">
        <is>
          <t>PayPal</t>
        </is>
      </c>
      <c r="X73" t="inlineStr">
        <is>
          <t>High</t>
        </is>
      </c>
    </row>
    <row r="74">
      <c r="A74" t="inlineStr">
        <is>
          <t>ORD-00073</t>
        </is>
      </c>
      <c r="B74" s="2" t="n">
        <v>45004</v>
      </c>
      <c r="C74" s="2" t="n">
        <v>45011</v>
      </c>
      <c r="D74" t="inlineStr">
        <is>
          <t>CUST-00073</t>
        </is>
      </c>
      <c r="E74" t="inlineStr">
        <is>
          <t>CUSTOMER 73</t>
        </is>
      </c>
      <c r="F74" t="inlineStr">
        <is>
          <t>Consumer</t>
        </is>
      </c>
      <c r="G74" t="inlineStr">
        <is>
          <t>P1019</t>
        </is>
      </c>
      <c r="H74" t="inlineStr">
        <is>
          <t>ProClip Binder</t>
        </is>
      </c>
      <c r="I74" t="inlineStr">
        <is>
          <t>Office Supplies</t>
        </is>
      </c>
      <c r="J74" t="inlineStr">
        <is>
          <t>Bags</t>
        </is>
      </c>
      <c r="K74" t="inlineStr">
        <is>
          <t>South</t>
        </is>
      </c>
      <c r="L74" t="inlineStr">
        <is>
          <t>North Carolina</t>
        </is>
      </c>
      <c r="M74" t="inlineStr">
        <is>
          <t>Atlanta</t>
        </is>
      </c>
      <c r="N74" t="inlineStr">
        <is>
          <t>James Carter</t>
        </is>
      </c>
      <c r="O74" t="n">
        <v>3</v>
      </c>
      <c r="P74" s="3" t="n">
        <v>54.06</v>
      </c>
      <c r="Q74" s="4" t="n">
        <v>0.017</v>
      </c>
      <c r="R74" s="3" t="n">
        <v>159.42</v>
      </c>
      <c r="S74" s="3" t="n">
        <v>73.69</v>
      </c>
      <c r="T74" s="3" t="n">
        <v>77.33</v>
      </c>
      <c r="U74" s="4" t="n">
        <v>0.4851</v>
      </c>
      <c r="V74" s="3" t="n">
        <v>8.4</v>
      </c>
      <c r="W74" t="inlineStr">
        <is>
          <t>Debit Card</t>
        </is>
      </c>
      <c r="X74" t="inlineStr">
        <is>
          <t>High</t>
        </is>
      </c>
    </row>
    <row r="75">
      <c r="A75" t="inlineStr">
        <is>
          <t>ORD-00074</t>
        </is>
      </c>
      <c r="B75" s="2" t="n">
        <v>45932</v>
      </c>
      <c r="C75" s="2" t="n">
        <v>45939</v>
      </c>
      <c r="D75" t="inlineStr">
        <is>
          <t>CUST-00074</t>
        </is>
      </c>
      <c r="E75" t="inlineStr">
        <is>
          <t>CUSTOMER 74</t>
        </is>
      </c>
      <c r="F75" t="inlineStr">
        <is>
          <t>Corporate</t>
        </is>
      </c>
      <c r="G75" t="inlineStr">
        <is>
          <t>P1008</t>
        </is>
      </c>
      <c r="H75" t="inlineStr">
        <is>
          <t>Cove Wall Clock</t>
        </is>
      </c>
      <c r="I75" t="inlineStr">
        <is>
          <t>Office Supplies</t>
        </is>
      </c>
      <c r="J75" t="inlineStr">
        <is>
          <t>Desks</t>
        </is>
      </c>
      <c r="K75" t="inlineStr">
        <is>
          <t>North</t>
        </is>
      </c>
      <c r="L75" t="inlineStr">
        <is>
          <t>Quebec</t>
        </is>
      </c>
      <c r="M75" t="inlineStr">
        <is>
          <t>Toronto</t>
        </is>
      </c>
      <c r="N75" t="inlineStr">
        <is>
          <t>Olivia Martin</t>
        </is>
      </c>
      <c r="O75" t="n">
        <v>3</v>
      </c>
      <c r="P75" s="3" t="n">
        <v>36.46</v>
      </c>
      <c r="Q75" s="4" t="n">
        <v>0.014</v>
      </c>
      <c r="R75" s="3" t="n">
        <v>107.85</v>
      </c>
      <c r="S75" s="3" t="n">
        <v>45.6</v>
      </c>
      <c r="T75" s="3" t="n">
        <v>53.85</v>
      </c>
      <c r="U75" s="4" t="n">
        <v>0.4993</v>
      </c>
      <c r="V75" s="3" t="n">
        <v>8.4</v>
      </c>
      <c r="W75" t="inlineStr">
        <is>
          <t>Credit Card</t>
        </is>
      </c>
      <c r="X75" t="inlineStr">
        <is>
          <t>Medium</t>
        </is>
      </c>
    </row>
    <row r="76">
      <c r="A76" t="inlineStr">
        <is>
          <t>ORD-00075</t>
        </is>
      </c>
      <c r="B76" s="2" t="n">
        <v>45680</v>
      </c>
      <c r="C76" s="2" t="n">
        <v>45681</v>
      </c>
      <c r="D76" t="inlineStr">
        <is>
          <t>CUST-00075</t>
        </is>
      </c>
      <c r="E76" t="inlineStr">
        <is>
          <t>CUSTOMER 75</t>
        </is>
      </c>
      <c r="F76" t="inlineStr">
        <is>
          <t>Corporate</t>
        </is>
      </c>
      <c r="G76" t="inlineStr">
        <is>
          <t>P1006</t>
        </is>
      </c>
      <c r="H76" t="inlineStr">
        <is>
          <t>Lumen Desk Lamp</t>
        </is>
      </c>
      <c r="I76" t="inlineStr">
        <is>
          <t>Furniture</t>
        </is>
      </c>
      <c r="J76" t="inlineStr">
        <is>
          <t>Binders</t>
        </is>
      </c>
      <c r="K76" t="inlineStr">
        <is>
          <t>South</t>
        </is>
      </c>
      <c r="L76" t="inlineStr">
        <is>
          <t>Texas</t>
        </is>
      </c>
      <c r="M76" t="inlineStr">
        <is>
          <t>Miami</t>
        </is>
      </c>
      <c r="N76" t="inlineStr">
        <is>
          <t>James Carter</t>
        </is>
      </c>
      <c r="O76" t="n">
        <v>5</v>
      </c>
      <c r="P76" s="3" t="n">
        <v>17.26</v>
      </c>
      <c r="Q76" s="4" t="n">
        <v>0.021</v>
      </c>
      <c r="R76" s="3" t="n">
        <v>84.48999999999999</v>
      </c>
      <c r="S76" s="3" t="n">
        <v>33.98</v>
      </c>
      <c r="T76" s="3" t="n">
        <v>40.51</v>
      </c>
      <c r="U76" s="4" t="n">
        <v>0.4795</v>
      </c>
      <c r="V76" s="3" t="n">
        <v>10</v>
      </c>
      <c r="W76" t="inlineStr">
        <is>
          <t>Credit Card</t>
        </is>
      </c>
      <c r="X76" t="inlineStr">
        <is>
          <t>Low</t>
        </is>
      </c>
    </row>
    <row r="77">
      <c r="A77" t="inlineStr">
        <is>
          <t>ORD-00076</t>
        </is>
      </c>
      <c r="B77" s="2" t="n">
        <v>45727</v>
      </c>
      <c r="C77" s="2" t="n">
        <v>45733</v>
      </c>
      <c r="D77" t="inlineStr">
        <is>
          <t>CUST-00076</t>
        </is>
      </c>
      <c r="E77" t="inlineStr">
        <is>
          <t>CUSTOMER 76</t>
        </is>
      </c>
      <c r="F77" t="inlineStr">
        <is>
          <t>Home Office</t>
        </is>
      </c>
      <c r="G77" t="inlineStr">
        <is>
          <t>P1020</t>
        </is>
      </c>
      <c r="H77" t="inlineStr">
        <is>
          <t>Nova Laptop Stand</t>
        </is>
      </c>
      <c r="I77" t="inlineStr">
        <is>
          <t>Office Supplies</t>
        </is>
      </c>
      <c r="J77" t="inlineStr">
        <is>
          <t>Plants</t>
        </is>
      </c>
      <c r="K77" t="inlineStr">
        <is>
          <t>East</t>
        </is>
      </c>
      <c r="L77" t="inlineStr">
        <is>
          <t>Massachusetts</t>
        </is>
      </c>
      <c r="M77" t="inlineStr">
        <is>
          <t>New York</t>
        </is>
      </c>
      <c r="N77" t="inlineStr">
        <is>
          <t>James Carter</t>
        </is>
      </c>
      <c r="O77" t="n">
        <v>1</v>
      </c>
      <c r="P77" s="3" t="n">
        <v>72.33</v>
      </c>
      <c r="Q77" s="4" t="n">
        <v>0.022</v>
      </c>
      <c r="R77" s="3" t="n">
        <v>70.73999999999999</v>
      </c>
      <c r="S77" s="3" t="n">
        <v>38.66</v>
      </c>
      <c r="T77" s="3" t="n">
        <v>24.28</v>
      </c>
      <c r="U77" s="4" t="n">
        <v>0.3432</v>
      </c>
      <c r="V77" s="3" t="n">
        <v>7.8</v>
      </c>
      <c r="W77" t="inlineStr">
        <is>
          <t>Credit Card</t>
        </is>
      </c>
      <c r="X77" t="inlineStr">
        <is>
          <t>Medium</t>
        </is>
      </c>
    </row>
    <row r="78">
      <c r="A78" t="inlineStr">
        <is>
          <t>ORD-00077</t>
        </is>
      </c>
      <c r="B78" s="2" t="n">
        <v>45872</v>
      </c>
      <c r="C78" s="2" t="n">
        <v>45876</v>
      </c>
      <c r="D78" t="inlineStr">
        <is>
          <t>CUST-00077</t>
        </is>
      </c>
      <c r="E78" t="inlineStr">
        <is>
          <t>CUSTOMER 77</t>
        </is>
      </c>
      <c r="F78" t="inlineStr">
        <is>
          <t>Consumer</t>
        </is>
      </c>
      <c r="G78" t="inlineStr">
        <is>
          <t>P1007</t>
        </is>
      </c>
      <c r="H78" t="inlineStr">
        <is>
          <t>Aero Standing Desk</t>
        </is>
      </c>
      <c r="I78" t="inlineStr">
        <is>
          <t>Furniture</t>
        </is>
      </c>
      <c r="J78" t="inlineStr">
        <is>
          <t>Peripherals</t>
        </is>
      </c>
      <c r="K78" t="inlineStr">
        <is>
          <t>South</t>
        </is>
      </c>
      <c r="L78" t="inlineStr">
        <is>
          <t>Georgia</t>
        </is>
      </c>
      <c r="M78" t="inlineStr">
        <is>
          <t>Dallas</t>
        </is>
      </c>
      <c r="N78" t="inlineStr">
        <is>
          <t>Noah Kim</t>
        </is>
      </c>
      <c r="O78" t="n">
        <v>5</v>
      </c>
      <c r="P78" s="3" t="n">
        <v>24.71</v>
      </c>
      <c r="Q78" s="4" t="n">
        <v>0.001</v>
      </c>
      <c r="R78" s="3" t="n">
        <v>123.43</v>
      </c>
      <c r="S78" s="3" t="n">
        <v>45</v>
      </c>
      <c r="T78" s="3" t="n">
        <v>68.43000000000001</v>
      </c>
      <c r="U78" s="4" t="n">
        <v>0.5544</v>
      </c>
      <c r="V78" s="3" t="n">
        <v>10</v>
      </c>
      <c r="W78" t="inlineStr">
        <is>
          <t>Credit Card</t>
        </is>
      </c>
      <c r="X78" t="inlineStr">
        <is>
          <t>Low</t>
        </is>
      </c>
    </row>
    <row r="79">
      <c r="A79" t="inlineStr">
        <is>
          <t>ORD-00078</t>
        </is>
      </c>
      <c r="B79" s="2" t="n">
        <v>45216</v>
      </c>
      <c r="C79" s="2" t="n">
        <v>45223</v>
      </c>
      <c r="D79" t="inlineStr">
        <is>
          <t>CUST-00078</t>
        </is>
      </c>
      <c r="E79" t="inlineStr">
        <is>
          <t>CUSTOMER 78</t>
        </is>
      </c>
      <c r="F79" t="inlineStr">
        <is>
          <t>Corporate</t>
        </is>
      </c>
      <c r="G79" t="inlineStr">
        <is>
          <t>P1013</t>
        </is>
      </c>
      <c r="H79" t="inlineStr">
        <is>
          <t>Northstar Lantern</t>
        </is>
      </c>
      <c r="I79" t="inlineStr">
        <is>
          <t>Outdoor</t>
        </is>
      </c>
      <c r="J79" t="inlineStr">
        <is>
          <t>Coolers</t>
        </is>
      </c>
      <c r="K79" t="inlineStr">
        <is>
          <t>West</t>
        </is>
      </c>
      <c r="L79" t="inlineStr">
        <is>
          <t>Washington</t>
        </is>
      </c>
      <c r="M79" t="inlineStr">
        <is>
          <t>San Francisco</t>
        </is>
      </c>
      <c r="N79" t="inlineStr">
        <is>
          <t>Liam Chen</t>
        </is>
      </c>
      <c r="O79" t="n">
        <v>3</v>
      </c>
      <c r="P79" s="3" t="n">
        <v>187.17</v>
      </c>
      <c r="Q79" s="4" t="n">
        <v>0.042</v>
      </c>
      <c r="R79" s="3" t="n">
        <v>537.9299999999999</v>
      </c>
      <c r="S79" s="3" t="n">
        <v>308.98</v>
      </c>
      <c r="T79" s="3" t="n">
        <v>219.55</v>
      </c>
      <c r="U79" s="4" t="n">
        <v>0.4081</v>
      </c>
      <c r="V79" s="3" t="n">
        <v>9.4</v>
      </c>
      <c r="W79" t="inlineStr">
        <is>
          <t>Cash on Delivery</t>
        </is>
      </c>
      <c r="X79" t="inlineStr">
        <is>
          <t>High</t>
        </is>
      </c>
    </row>
    <row r="80">
      <c r="A80" t="inlineStr">
        <is>
          <t>ORD-00079</t>
        </is>
      </c>
      <c r="B80" s="2" t="n">
        <v>45636</v>
      </c>
      <c r="C80" s="2" t="n">
        <v>45643</v>
      </c>
      <c r="D80" t="inlineStr">
        <is>
          <t>CUST-00079</t>
        </is>
      </c>
      <c r="E80" t="inlineStr">
        <is>
          <t>CUSTOMER 79</t>
        </is>
      </c>
      <c r="F80" t="inlineStr">
        <is>
          <t>Corporate</t>
        </is>
      </c>
      <c r="G80" t="inlineStr">
        <is>
          <t>P1002</t>
        </is>
      </c>
      <c r="H80" t="inlineStr">
        <is>
          <t>Summit Patio Set</t>
        </is>
      </c>
      <c r="I80" t="inlineStr">
        <is>
          <t>Outdoor</t>
        </is>
      </c>
      <c r="J80" t="inlineStr">
        <is>
          <t>Furniture</t>
        </is>
      </c>
      <c r="K80" t="inlineStr">
        <is>
          <t>West</t>
        </is>
      </c>
      <c r="L80" t="inlineStr">
        <is>
          <t>Colorado</t>
        </is>
      </c>
      <c r="M80" t="inlineStr">
        <is>
          <t>Los Angeles</t>
        </is>
      </c>
      <c r="N80" t="inlineStr">
        <is>
          <t>Ethan Brooks</t>
        </is>
      </c>
      <c r="O80" t="n">
        <v>2</v>
      </c>
      <c r="P80" s="3" t="n">
        <v>89.54000000000001</v>
      </c>
      <c r="Q80" s="4" t="n">
        <v>0.058</v>
      </c>
      <c r="R80" s="3" t="n">
        <v>168.69</v>
      </c>
      <c r="S80" s="3" t="n">
        <v>78.58</v>
      </c>
      <c r="T80" s="3" t="n">
        <v>81.51000000000001</v>
      </c>
      <c r="U80" s="4" t="n">
        <v>0.4832</v>
      </c>
      <c r="V80" s="3" t="n">
        <v>8.6</v>
      </c>
      <c r="W80" t="inlineStr">
        <is>
          <t>Debit Card</t>
        </is>
      </c>
      <c r="X80" t="inlineStr">
        <is>
          <t>High</t>
        </is>
      </c>
    </row>
    <row r="81">
      <c r="A81" t="inlineStr">
        <is>
          <t>ORD-00080</t>
        </is>
      </c>
      <c r="B81" s="2" t="n">
        <v>45202</v>
      </c>
      <c r="C81" s="2" t="n">
        <v>45206</v>
      </c>
      <c r="D81" t="inlineStr">
        <is>
          <t>CUST-00080</t>
        </is>
      </c>
      <c r="E81" t="inlineStr">
        <is>
          <t>CUSTOMER 80</t>
        </is>
      </c>
      <c r="F81" t="inlineStr">
        <is>
          <t>Consumer</t>
        </is>
      </c>
      <c r="G81" t="inlineStr">
        <is>
          <t>P1007</t>
        </is>
      </c>
      <c r="H81" t="inlineStr">
        <is>
          <t>ErgoMesh Chair</t>
        </is>
      </c>
      <c r="I81" t="inlineStr">
        <is>
          <t>Technology</t>
        </is>
      </c>
      <c r="J81" t="inlineStr">
        <is>
          <t>Lighting</t>
        </is>
      </c>
      <c r="K81" t="inlineStr">
        <is>
          <t>North</t>
        </is>
      </c>
      <c r="L81" t="inlineStr">
        <is>
          <t>Alberta</t>
        </is>
      </c>
      <c r="M81" t="inlineStr">
        <is>
          <t>Vancouver</t>
        </is>
      </c>
      <c r="N81" t="inlineStr">
        <is>
          <t>Mia Rodriguez</t>
        </is>
      </c>
      <c r="O81" t="n">
        <v>3</v>
      </c>
      <c r="P81" s="3" t="n">
        <v>26.33</v>
      </c>
      <c r="Q81" s="4" t="n">
        <v>0.06</v>
      </c>
      <c r="R81" s="3" t="n">
        <v>74.25</v>
      </c>
      <c r="S81" s="3" t="n">
        <v>33.15</v>
      </c>
      <c r="T81" s="3" t="n">
        <v>32.7</v>
      </c>
      <c r="U81" s="4" t="n">
        <v>0.4404</v>
      </c>
      <c r="V81" s="3" t="n">
        <v>8.4</v>
      </c>
      <c r="W81" t="inlineStr">
        <is>
          <t>Credit Card</t>
        </is>
      </c>
      <c r="X81" t="inlineStr">
        <is>
          <t>High</t>
        </is>
      </c>
    </row>
    <row r="82">
      <c r="A82" t="inlineStr">
        <is>
          <t>ORD-00081</t>
        </is>
      </c>
      <c r="B82" s="2" t="n">
        <v>45922</v>
      </c>
      <c r="C82" s="2" t="n">
        <v>45924</v>
      </c>
      <c r="D82" t="inlineStr">
        <is>
          <t>CUST-00081</t>
        </is>
      </c>
      <c r="E82" t="inlineStr">
        <is>
          <t>CUSTOMER 81</t>
        </is>
      </c>
      <c r="F82" t="inlineStr">
        <is>
          <t>Consumer</t>
        </is>
      </c>
      <c r="G82" t="inlineStr">
        <is>
          <t>P1001</t>
        </is>
      </c>
      <c r="H82" t="inlineStr">
        <is>
          <t>Lumen Desk Lamp</t>
        </is>
      </c>
      <c r="I82" t="inlineStr">
        <is>
          <t>Furniture</t>
        </is>
      </c>
      <c r="J82" t="inlineStr">
        <is>
          <t>Flooring</t>
        </is>
      </c>
      <c r="K82" t="inlineStr">
        <is>
          <t>Central</t>
        </is>
      </c>
      <c r="L82" t="inlineStr">
        <is>
          <t>Minnesota</t>
        </is>
      </c>
      <c r="M82" t="inlineStr">
        <is>
          <t>Minneapolis</t>
        </is>
      </c>
      <c r="N82" t="inlineStr">
        <is>
          <t>Liam Chen</t>
        </is>
      </c>
      <c r="O82" t="n">
        <v>3</v>
      </c>
      <c r="P82" s="3" t="n">
        <v>280.59</v>
      </c>
      <c r="Q82" s="4" t="n">
        <v>0.019</v>
      </c>
      <c r="R82" s="3" t="n">
        <v>825.78</v>
      </c>
      <c r="S82" s="3" t="n">
        <v>484.57</v>
      </c>
      <c r="T82" s="3" t="n">
        <v>332.81</v>
      </c>
      <c r="U82" s="4" t="n">
        <v>0.403</v>
      </c>
      <c r="V82" s="3" t="n">
        <v>8.4</v>
      </c>
      <c r="W82" t="inlineStr">
        <is>
          <t>PayPal</t>
        </is>
      </c>
      <c r="X82" t="inlineStr">
        <is>
          <t>Low</t>
        </is>
      </c>
    </row>
    <row r="83">
      <c r="A83" t="inlineStr">
        <is>
          <t>ORD-00082</t>
        </is>
      </c>
      <c r="B83" s="2" t="n">
        <v>45446</v>
      </c>
      <c r="C83" s="2" t="n">
        <v>45451</v>
      </c>
      <c r="D83" t="inlineStr">
        <is>
          <t>CUST-00082</t>
        </is>
      </c>
      <c r="E83" t="inlineStr">
        <is>
          <t>CUSTOMER 82</t>
        </is>
      </c>
      <c r="F83" t="inlineStr">
        <is>
          <t>Corporate</t>
        </is>
      </c>
      <c r="G83" t="inlineStr">
        <is>
          <t>P1006</t>
        </is>
      </c>
      <c r="H83" t="inlineStr">
        <is>
          <t>Summit Patio Set</t>
        </is>
      </c>
      <c r="I83" t="inlineStr">
        <is>
          <t>Home Decor</t>
        </is>
      </c>
      <c r="J83" t="inlineStr">
        <is>
          <t>Binders</t>
        </is>
      </c>
      <c r="K83" t="inlineStr">
        <is>
          <t>South</t>
        </is>
      </c>
      <c r="L83" t="inlineStr">
        <is>
          <t>Florida</t>
        </is>
      </c>
      <c r="M83" t="inlineStr">
        <is>
          <t>Atlanta</t>
        </is>
      </c>
      <c r="N83" t="inlineStr">
        <is>
          <t>Ethan Brooks</t>
        </is>
      </c>
      <c r="O83" t="n">
        <v>1</v>
      </c>
      <c r="P83" s="3" t="n">
        <v>18.21</v>
      </c>
      <c r="Q83" s="4" t="n">
        <v>0.074</v>
      </c>
      <c r="R83" s="3" t="n">
        <v>16.86</v>
      </c>
      <c r="S83" s="3" t="n">
        <v>9.619999999999999</v>
      </c>
      <c r="T83" s="3" t="n">
        <v>0.44</v>
      </c>
      <c r="U83" s="4" t="n">
        <v>0.0261</v>
      </c>
      <c r="V83" s="3" t="n">
        <v>6.8</v>
      </c>
      <c r="W83" t="inlineStr">
        <is>
          <t>PayPal</t>
        </is>
      </c>
      <c r="X83" t="inlineStr">
        <is>
          <t>Critical</t>
        </is>
      </c>
    </row>
    <row r="84">
      <c r="A84" t="inlineStr">
        <is>
          <t>ORD-00083</t>
        </is>
      </c>
      <c r="B84" s="2" t="n">
        <v>45312</v>
      </c>
      <c r="C84" s="2" t="n">
        <v>45315</v>
      </c>
      <c r="D84" t="inlineStr">
        <is>
          <t>CUST-00083</t>
        </is>
      </c>
      <c r="E84" t="inlineStr">
        <is>
          <t>CUSTOMER 83</t>
        </is>
      </c>
      <c r="F84" t="inlineStr">
        <is>
          <t>Home Office</t>
        </is>
      </c>
      <c r="G84" t="inlineStr">
        <is>
          <t>P1016</t>
        </is>
      </c>
      <c r="H84" t="inlineStr">
        <is>
          <t>Lumen Desk Lamp</t>
        </is>
      </c>
      <c r="I84" t="inlineStr">
        <is>
          <t>Furniture</t>
        </is>
      </c>
      <c r="J84" t="inlineStr">
        <is>
          <t>Peripherals</t>
        </is>
      </c>
      <c r="K84" t="inlineStr">
        <is>
          <t>West</t>
        </is>
      </c>
      <c r="L84" t="inlineStr">
        <is>
          <t>Oregon</t>
        </is>
      </c>
      <c r="M84" t="inlineStr">
        <is>
          <t>San Francisco</t>
        </is>
      </c>
      <c r="N84" t="inlineStr">
        <is>
          <t>Ava Patel</t>
        </is>
      </c>
      <c r="O84" t="n">
        <v>3</v>
      </c>
      <c r="P84" s="3" t="n">
        <v>40.4</v>
      </c>
      <c r="Q84" s="4" t="n">
        <v>0.016</v>
      </c>
      <c r="R84" s="3" t="n">
        <v>119.26</v>
      </c>
      <c r="S84" s="3" t="n">
        <v>52.21</v>
      </c>
      <c r="T84" s="3" t="n">
        <v>57.65</v>
      </c>
      <c r="U84" s="4" t="n">
        <v>0.4834</v>
      </c>
      <c r="V84" s="3" t="n">
        <v>9.4</v>
      </c>
      <c r="W84" t="inlineStr">
        <is>
          <t>PayPal</t>
        </is>
      </c>
      <c r="X84" t="inlineStr">
        <is>
          <t>High</t>
        </is>
      </c>
    </row>
    <row r="85">
      <c r="A85" t="inlineStr">
        <is>
          <t>ORD-00084</t>
        </is>
      </c>
      <c r="B85" s="2" t="n">
        <v>45010</v>
      </c>
      <c r="C85" s="2" t="n">
        <v>45011</v>
      </c>
      <c r="D85" t="inlineStr">
        <is>
          <t>CUST-00084</t>
        </is>
      </c>
      <c r="E85" t="inlineStr">
        <is>
          <t>CUSTOMER 84</t>
        </is>
      </c>
      <c r="F85" t="inlineStr">
        <is>
          <t>Consumer</t>
        </is>
      </c>
      <c r="G85" t="inlineStr">
        <is>
          <t>P1008</t>
        </is>
      </c>
      <c r="H85" t="inlineStr">
        <is>
          <t>Nimbus Monitor Arm</t>
        </is>
      </c>
      <c r="I85" t="inlineStr">
        <is>
          <t>Furniture</t>
        </is>
      </c>
      <c r="J85" t="inlineStr">
        <is>
          <t>Bags</t>
        </is>
      </c>
      <c r="K85" t="inlineStr">
        <is>
          <t>East</t>
        </is>
      </c>
      <c r="L85" t="inlineStr">
        <is>
          <t>Virginia</t>
        </is>
      </c>
      <c r="M85" t="inlineStr">
        <is>
          <t>New York</t>
        </is>
      </c>
      <c r="N85" t="inlineStr">
        <is>
          <t>Mia Rodriguez</t>
        </is>
      </c>
      <c r="O85" t="n">
        <v>5</v>
      </c>
      <c r="P85" s="3" t="n">
        <v>35.23</v>
      </c>
      <c r="Q85" s="4" t="n">
        <v>0.008</v>
      </c>
      <c r="R85" s="3" t="n">
        <v>174.74</v>
      </c>
      <c r="S85" s="3" t="n">
        <v>75.55</v>
      </c>
      <c r="T85" s="3" t="n">
        <v>88.19</v>
      </c>
      <c r="U85" s="4" t="n">
        <v>0.5047</v>
      </c>
      <c r="V85" s="3" t="n">
        <v>11</v>
      </c>
      <c r="W85" t="inlineStr">
        <is>
          <t>Cash on Delivery</t>
        </is>
      </c>
      <c r="X85" t="inlineStr">
        <is>
          <t>Low</t>
        </is>
      </c>
    </row>
    <row r="86">
      <c r="A86" t="inlineStr">
        <is>
          <t>ORD-00085</t>
        </is>
      </c>
      <c r="B86" s="2" t="n">
        <v>45511</v>
      </c>
      <c r="C86" s="2" t="n">
        <v>45517</v>
      </c>
      <c r="D86" t="inlineStr">
        <is>
          <t>CUST-00085</t>
        </is>
      </c>
      <c r="E86" t="inlineStr">
        <is>
          <t>CUSTOMER 85</t>
        </is>
      </c>
      <c r="F86" t="inlineStr">
        <is>
          <t>Home Office</t>
        </is>
      </c>
      <c r="G86" t="inlineStr">
        <is>
          <t>P1013</t>
        </is>
      </c>
      <c r="H86" t="inlineStr">
        <is>
          <t>Aero Standing Desk</t>
        </is>
      </c>
      <c r="I86" t="inlineStr">
        <is>
          <t>Technology</t>
        </is>
      </c>
      <c r="J86" t="inlineStr">
        <is>
          <t>Writing</t>
        </is>
      </c>
      <c r="K86" t="inlineStr">
        <is>
          <t>West</t>
        </is>
      </c>
      <c r="L86" t="inlineStr">
        <is>
          <t>Oregon</t>
        </is>
      </c>
      <c r="M86" t="inlineStr">
        <is>
          <t>Seattle</t>
        </is>
      </c>
      <c r="N86" t="inlineStr">
        <is>
          <t>Liam Chen</t>
        </is>
      </c>
      <c r="O86" t="n">
        <v>6</v>
      </c>
      <c r="P86" s="3" t="n">
        <v>166.58</v>
      </c>
      <c r="Q86" s="4" t="n">
        <v>0.008</v>
      </c>
      <c r="R86" s="3" t="n">
        <v>991.48</v>
      </c>
      <c r="S86" s="3" t="n">
        <v>562.76</v>
      </c>
      <c r="T86" s="3" t="n">
        <v>416.92</v>
      </c>
      <c r="U86" s="4" t="n">
        <v>0.4205</v>
      </c>
      <c r="V86" s="3" t="n">
        <v>11.8</v>
      </c>
      <c r="W86" t="inlineStr">
        <is>
          <t>Credit Card</t>
        </is>
      </c>
      <c r="X86" t="inlineStr">
        <is>
          <t>Low</t>
        </is>
      </c>
    </row>
    <row r="87">
      <c r="A87" t="inlineStr">
        <is>
          <t>ORD-00086</t>
        </is>
      </c>
      <c r="B87" s="2" t="n">
        <v>45537</v>
      </c>
      <c r="C87" s="2" t="n">
        <v>45542</v>
      </c>
      <c r="D87" t="inlineStr">
        <is>
          <t>CUST-00086</t>
        </is>
      </c>
      <c r="E87" t="inlineStr">
        <is>
          <t>CUSTOMER 86</t>
        </is>
      </c>
      <c r="F87" t="inlineStr">
        <is>
          <t>Corporate</t>
        </is>
      </c>
      <c r="G87" t="inlineStr">
        <is>
          <t>P1018</t>
        </is>
      </c>
      <c r="H87" t="inlineStr">
        <is>
          <t>Harbor Rug</t>
        </is>
      </c>
      <c r="I87" t="inlineStr">
        <is>
          <t>Outdoor</t>
        </is>
      </c>
      <c r="J87" t="inlineStr">
        <is>
          <t>Coolers</t>
        </is>
      </c>
      <c r="K87" t="inlineStr">
        <is>
          <t>South</t>
        </is>
      </c>
      <c r="L87" t="inlineStr">
        <is>
          <t>Florida</t>
        </is>
      </c>
      <c r="M87" t="inlineStr">
        <is>
          <t>Atlanta</t>
        </is>
      </c>
      <c r="N87" t="inlineStr">
        <is>
          <t>Ava Patel</t>
        </is>
      </c>
      <c r="O87" t="n">
        <v>3</v>
      </c>
      <c r="P87" s="3" t="n">
        <v>90</v>
      </c>
      <c r="Q87" s="4" t="n">
        <v>0.048</v>
      </c>
      <c r="R87" s="3" t="n">
        <v>257.04</v>
      </c>
      <c r="S87" s="3" t="n">
        <v>120.13</v>
      </c>
      <c r="T87" s="3" t="n">
        <v>128.51</v>
      </c>
      <c r="U87" s="4" t="n">
        <v>0.5</v>
      </c>
      <c r="V87" s="3" t="n">
        <v>8.4</v>
      </c>
      <c r="W87" t="inlineStr">
        <is>
          <t>Bank Transfer</t>
        </is>
      </c>
      <c r="X87" t="inlineStr">
        <is>
          <t>High</t>
        </is>
      </c>
    </row>
    <row r="88">
      <c r="A88" t="inlineStr">
        <is>
          <t>ORD-00087</t>
        </is>
      </c>
      <c r="B88" s="2" t="n">
        <v>45809</v>
      </c>
      <c r="C88" s="2" t="n">
        <v>45815</v>
      </c>
      <c r="D88" t="inlineStr">
        <is>
          <t>CUST-00087</t>
        </is>
      </c>
      <c r="E88" t="inlineStr">
        <is>
          <t>CUSTOMER 87</t>
        </is>
      </c>
      <c r="F88" t="inlineStr">
        <is>
          <t>Consumer</t>
        </is>
      </c>
      <c r="G88" t="inlineStr">
        <is>
          <t>P1014</t>
        </is>
      </c>
      <c r="H88" t="inlineStr">
        <is>
          <t>Echo Web Camera</t>
        </is>
      </c>
      <c r="I88" t="inlineStr">
        <is>
          <t>Technology</t>
        </is>
      </c>
      <c r="J88" t="inlineStr">
        <is>
          <t>Furniture</t>
        </is>
      </c>
      <c r="K88" t="inlineStr">
        <is>
          <t>East</t>
        </is>
      </c>
      <c r="L88" t="inlineStr">
        <is>
          <t>Virginia</t>
        </is>
      </c>
      <c r="M88" t="inlineStr">
        <is>
          <t>Philadelphia</t>
        </is>
      </c>
      <c r="N88" t="inlineStr">
        <is>
          <t>Ethan Brooks</t>
        </is>
      </c>
      <c r="O88" t="n">
        <v>2</v>
      </c>
      <c r="P88" s="3" t="n">
        <v>46.74</v>
      </c>
      <c r="Q88" s="4" t="n">
        <v>0.004</v>
      </c>
      <c r="R88" s="3" t="n">
        <v>93.11</v>
      </c>
      <c r="S88" s="3" t="n">
        <v>44.82</v>
      </c>
      <c r="T88" s="3" t="n">
        <v>39.69</v>
      </c>
      <c r="U88" s="4" t="n">
        <v>0.4263</v>
      </c>
      <c r="V88" s="3" t="n">
        <v>8.6</v>
      </c>
      <c r="W88" t="inlineStr">
        <is>
          <t>Cash on Delivery</t>
        </is>
      </c>
      <c r="X88" t="inlineStr">
        <is>
          <t>Medium</t>
        </is>
      </c>
    </row>
    <row r="89">
      <c r="A89" t="inlineStr">
        <is>
          <t>ORD-00088</t>
        </is>
      </c>
      <c r="B89" s="2" t="n">
        <v>45572</v>
      </c>
      <c r="C89" s="2" t="n">
        <v>45577</v>
      </c>
      <c r="D89" t="inlineStr">
        <is>
          <t>CUST-00088</t>
        </is>
      </c>
      <c r="E89" t="inlineStr">
        <is>
          <t>CUSTOMER 88</t>
        </is>
      </c>
      <c r="F89" t="inlineStr">
        <is>
          <t>Consumer</t>
        </is>
      </c>
      <c r="G89" t="inlineStr">
        <is>
          <t>P1018</t>
        </is>
      </c>
      <c r="H89" t="inlineStr">
        <is>
          <t>FlexNote Notebook</t>
        </is>
      </c>
      <c r="I89" t="inlineStr">
        <is>
          <t>Office Supplies</t>
        </is>
      </c>
      <c r="J89" t="inlineStr">
        <is>
          <t>Flooring</t>
        </is>
      </c>
      <c r="K89" t="inlineStr">
        <is>
          <t>West</t>
        </is>
      </c>
      <c r="L89" t="inlineStr">
        <is>
          <t>Colorado</t>
        </is>
      </c>
      <c r="M89" t="inlineStr">
        <is>
          <t>Denver</t>
        </is>
      </c>
      <c r="N89" t="inlineStr">
        <is>
          <t>Ava Patel</t>
        </is>
      </c>
      <c r="O89" t="n">
        <v>3</v>
      </c>
      <c r="P89" s="3" t="n">
        <v>99.45999999999999</v>
      </c>
      <c r="Q89" s="4" t="n">
        <v>0.079</v>
      </c>
      <c r="R89" s="3" t="n">
        <v>274.81</v>
      </c>
      <c r="S89" s="3" t="n">
        <v>126.87</v>
      </c>
      <c r="T89" s="3" t="n">
        <v>138.54</v>
      </c>
      <c r="U89" s="4" t="n">
        <v>0.5041</v>
      </c>
      <c r="V89" s="3" t="n">
        <v>9.4</v>
      </c>
      <c r="W89" t="inlineStr">
        <is>
          <t>Debit Card</t>
        </is>
      </c>
      <c r="X89" t="inlineStr">
        <is>
          <t>Critical</t>
        </is>
      </c>
    </row>
    <row r="90">
      <c r="A90" t="inlineStr">
        <is>
          <t>ORD-00089</t>
        </is>
      </c>
      <c r="B90" s="2" t="n">
        <v>45858</v>
      </c>
      <c r="C90" s="2" t="n">
        <v>45859</v>
      </c>
      <c r="D90" t="inlineStr">
        <is>
          <t>CUST-00089</t>
        </is>
      </c>
      <c r="E90" t="inlineStr">
        <is>
          <t>CUSTOMER 89</t>
        </is>
      </c>
      <c r="F90" t="inlineStr">
        <is>
          <t>Consumer</t>
        </is>
      </c>
      <c r="G90" t="inlineStr">
        <is>
          <t>P1004</t>
        </is>
      </c>
      <c r="H90" t="inlineStr">
        <is>
          <t>Cove Wall Clock</t>
        </is>
      </c>
      <c r="I90" t="inlineStr">
        <is>
          <t>Office Supplies</t>
        </is>
      </c>
      <c r="J90" t="inlineStr">
        <is>
          <t>Decor</t>
        </is>
      </c>
      <c r="K90" t="inlineStr">
        <is>
          <t>West</t>
        </is>
      </c>
      <c r="L90" t="inlineStr">
        <is>
          <t>Colorado</t>
        </is>
      </c>
      <c r="M90" t="inlineStr">
        <is>
          <t>Denver</t>
        </is>
      </c>
      <c r="N90" t="inlineStr">
        <is>
          <t>Ethan Brooks</t>
        </is>
      </c>
      <c r="O90" t="n">
        <v>1</v>
      </c>
      <c r="P90" s="3" t="n">
        <v>668.0599999999999</v>
      </c>
      <c r="Q90" s="4" t="n">
        <v>0.044</v>
      </c>
      <c r="R90" s="3" t="n">
        <v>638.67</v>
      </c>
      <c r="S90" s="3" t="n">
        <v>407.29</v>
      </c>
      <c r="T90" s="3" t="n">
        <v>223.58</v>
      </c>
      <c r="U90" s="4" t="n">
        <v>0.3501</v>
      </c>
      <c r="V90" s="3" t="n">
        <v>7.8</v>
      </c>
      <c r="W90" t="inlineStr">
        <is>
          <t>Cash on Delivery</t>
        </is>
      </c>
      <c r="X90" t="inlineStr">
        <is>
          <t>High</t>
        </is>
      </c>
    </row>
    <row r="91">
      <c r="A91" t="inlineStr">
        <is>
          <t>ORD-00090</t>
        </is>
      </c>
      <c r="B91" s="2" t="n">
        <v>45333</v>
      </c>
      <c r="C91" s="2" t="n">
        <v>45336</v>
      </c>
      <c r="D91" t="inlineStr">
        <is>
          <t>CUST-00090</t>
        </is>
      </c>
      <c r="E91" t="inlineStr">
        <is>
          <t>CUSTOMER 90</t>
        </is>
      </c>
      <c r="F91" t="inlineStr">
        <is>
          <t>Consumer</t>
        </is>
      </c>
      <c r="G91" t="inlineStr">
        <is>
          <t>P1015</t>
        </is>
      </c>
      <c r="H91" t="inlineStr">
        <is>
          <t>ProClip Binder</t>
        </is>
      </c>
      <c r="I91" t="inlineStr">
        <is>
          <t>Home Decor</t>
        </is>
      </c>
      <c r="J91" t="inlineStr">
        <is>
          <t>Accessories</t>
        </is>
      </c>
      <c r="K91" t="inlineStr">
        <is>
          <t>South</t>
        </is>
      </c>
      <c r="L91" t="inlineStr">
        <is>
          <t>Georgia</t>
        </is>
      </c>
      <c r="M91" t="inlineStr">
        <is>
          <t>Miami</t>
        </is>
      </c>
      <c r="N91" t="inlineStr">
        <is>
          <t>Liam Chen</t>
        </is>
      </c>
      <c r="O91" t="n">
        <v>5</v>
      </c>
      <c r="P91" s="3" t="n">
        <v>63.17</v>
      </c>
      <c r="Q91" s="4" t="n">
        <v>0.037</v>
      </c>
      <c r="R91" s="3" t="n">
        <v>304.16</v>
      </c>
      <c r="S91" s="3" t="n">
        <v>135.25</v>
      </c>
      <c r="T91" s="3" t="n">
        <v>158.91</v>
      </c>
      <c r="U91" s="4" t="n">
        <v>0.5225</v>
      </c>
      <c r="V91" s="3" t="n">
        <v>10</v>
      </c>
      <c r="W91" t="inlineStr">
        <is>
          <t>Credit Card</t>
        </is>
      </c>
      <c r="X91" t="inlineStr">
        <is>
          <t>High</t>
        </is>
      </c>
    </row>
    <row r="92">
      <c r="A92" t="inlineStr">
        <is>
          <t>ORD-00091</t>
        </is>
      </c>
      <c r="B92" s="2" t="n">
        <v>45039</v>
      </c>
      <c r="C92" s="2" t="n">
        <v>45040</v>
      </c>
      <c r="D92" t="inlineStr">
        <is>
          <t>CUST-00091</t>
        </is>
      </c>
      <c r="E92" t="inlineStr">
        <is>
          <t>CUSTOMER 91</t>
        </is>
      </c>
      <c r="F92" t="inlineStr">
        <is>
          <t>Consumer</t>
        </is>
      </c>
      <c r="G92" t="inlineStr">
        <is>
          <t>P1005</t>
        </is>
      </c>
      <c r="H92" t="inlineStr">
        <is>
          <t>ErgoMesh Chair</t>
        </is>
      </c>
      <c r="I92" t="inlineStr">
        <is>
          <t>Outdoor</t>
        </is>
      </c>
      <c r="J92" t="inlineStr">
        <is>
          <t>Flooring</t>
        </is>
      </c>
      <c r="K92" t="inlineStr">
        <is>
          <t>Central</t>
        </is>
      </c>
      <c r="L92" t="inlineStr">
        <is>
          <t>Illinois</t>
        </is>
      </c>
      <c r="M92" t="inlineStr">
        <is>
          <t>St. Louis</t>
        </is>
      </c>
      <c r="N92" t="inlineStr">
        <is>
          <t>Ethan Brooks</t>
        </is>
      </c>
      <c r="O92" t="n">
        <v>4</v>
      </c>
      <c r="P92" s="3" t="n">
        <v>12.23</v>
      </c>
      <c r="Q92" s="4" t="n">
        <v>0.025</v>
      </c>
      <c r="R92" s="3" t="n">
        <v>47.7</v>
      </c>
      <c r="S92" s="3" t="n">
        <v>23.62</v>
      </c>
      <c r="T92" s="3" t="n">
        <v>14.88</v>
      </c>
      <c r="U92" s="4" t="n">
        <v>0.3119</v>
      </c>
      <c r="V92" s="3" t="n">
        <v>9.199999999999999</v>
      </c>
      <c r="W92" t="inlineStr">
        <is>
          <t>Credit Card</t>
        </is>
      </c>
      <c r="X92" t="inlineStr">
        <is>
          <t>Medium</t>
        </is>
      </c>
    </row>
    <row r="93">
      <c r="A93" t="inlineStr">
        <is>
          <t>ORD-00092</t>
        </is>
      </c>
      <c r="B93" s="2" t="n">
        <v>45967</v>
      </c>
      <c r="C93" s="2" t="n">
        <v>45970</v>
      </c>
      <c r="D93" t="inlineStr">
        <is>
          <t>CUST-00092</t>
        </is>
      </c>
      <c r="E93" t="inlineStr">
        <is>
          <t>CUSTOMER 92</t>
        </is>
      </c>
      <c r="F93" t="inlineStr">
        <is>
          <t>Consumer</t>
        </is>
      </c>
      <c r="G93" t="inlineStr">
        <is>
          <t>P1014</t>
        </is>
      </c>
      <c r="H93" t="inlineStr">
        <is>
          <t>Atlas Throw Pillow</t>
        </is>
      </c>
      <c r="I93" t="inlineStr">
        <is>
          <t>Outdoor</t>
        </is>
      </c>
      <c r="J93" t="inlineStr">
        <is>
          <t>Binders</t>
        </is>
      </c>
      <c r="K93" t="inlineStr">
        <is>
          <t>East</t>
        </is>
      </c>
      <c r="L93" t="inlineStr">
        <is>
          <t>Massachusetts</t>
        </is>
      </c>
      <c r="M93" t="inlineStr">
        <is>
          <t>New York</t>
        </is>
      </c>
      <c r="N93" t="inlineStr">
        <is>
          <t>Liam Chen</t>
        </is>
      </c>
      <c r="O93" t="n">
        <v>2</v>
      </c>
      <c r="P93" s="3" t="n">
        <v>45.18</v>
      </c>
      <c r="Q93" s="4" t="n">
        <v>0.008999999999999999</v>
      </c>
      <c r="R93" s="3" t="n">
        <v>89.55</v>
      </c>
      <c r="S93" s="3" t="n">
        <v>45.56</v>
      </c>
      <c r="T93" s="3" t="n">
        <v>35.39</v>
      </c>
      <c r="U93" s="4" t="n">
        <v>0.3952</v>
      </c>
      <c r="V93" s="3" t="n">
        <v>8.6</v>
      </c>
      <c r="W93" t="inlineStr">
        <is>
          <t>Bank Transfer</t>
        </is>
      </c>
      <c r="X93" t="inlineStr">
        <is>
          <t>Medium</t>
        </is>
      </c>
    </row>
    <row r="94">
      <c r="A94" t="inlineStr">
        <is>
          <t>ORD-00093</t>
        </is>
      </c>
      <c r="B94" s="2" t="n">
        <v>45953</v>
      </c>
      <c r="C94" s="2" t="n">
        <v>45959</v>
      </c>
      <c r="D94" t="inlineStr">
        <is>
          <t>CUST-00093</t>
        </is>
      </c>
      <c r="E94" t="inlineStr">
        <is>
          <t>CUSTOMER 93</t>
        </is>
      </c>
      <c r="F94" t="inlineStr">
        <is>
          <t>Home Office</t>
        </is>
      </c>
      <c r="G94" t="inlineStr">
        <is>
          <t>P1016</t>
        </is>
      </c>
      <c r="H94" t="inlineStr">
        <is>
          <t>ProClip Binder</t>
        </is>
      </c>
      <c r="I94" t="inlineStr">
        <is>
          <t>Outdoor</t>
        </is>
      </c>
      <c r="J94" t="inlineStr">
        <is>
          <t>Chairs</t>
        </is>
      </c>
      <c r="K94" t="inlineStr">
        <is>
          <t>West</t>
        </is>
      </c>
      <c r="L94" t="inlineStr">
        <is>
          <t>California</t>
        </is>
      </c>
      <c r="M94" t="inlineStr">
        <is>
          <t>Los Angeles</t>
        </is>
      </c>
      <c r="N94" t="inlineStr">
        <is>
          <t>James Carter</t>
        </is>
      </c>
      <c r="O94" t="n">
        <v>3</v>
      </c>
      <c r="P94" s="3" t="n">
        <v>41.99</v>
      </c>
      <c r="Q94" s="4" t="n">
        <v>0.059</v>
      </c>
      <c r="R94" s="3" t="n">
        <v>118.54</v>
      </c>
      <c r="S94" s="3" t="n">
        <v>53.84</v>
      </c>
      <c r="T94" s="3" t="n">
        <v>55.3</v>
      </c>
      <c r="U94" s="4" t="n">
        <v>0.4665</v>
      </c>
      <c r="V94" s="3" t="n">
        <v>9.4</v>
      </c>
      <c r="W94" t="inlineStr">
        <is>
          <t>Cash on Delivery</t>
        </is>
      </c>
      <c r="X94" t="inlineStr">
        <is>
          <t>High</t>
        </is>
      </c>
    </row>
    <row r="95">
      <c r="A95" t="inlineStr">
        <is>
          <t>ORD-00094</t>
        </is>
      </c>
      <c r="B95" s="2" t="n">
        <v>45630</v>
      </c>
      <c r="C95" s="2" t="n">
        <v>45632</v>
      </c>
      <c r="D95" t="inlineStr">
        <is>
          <t>CUST-00094</t>
        </is>
      </c>
      <c r="E95" t="inlineStr">
        <is>
          <t>CUSTOMER 94</t>
        </is>
      </c>
      <c r="F95" t="inlineStr">
        <is>
          <t>Corporate</t>
        </is>
      </c>
      <c r="G95" t="inlineStr">
        <is>
          <t>P1015</t>
        </is>
      </c>
      <c r="H95" t="inlineStr">
        <is>
          <t>Harbor Rug</t>
        </is>
      </c>
      <c r="I95" t="inlineStr">
        <is>
          <t>Home Decor</t>
        </is>
      </c>
      <c r="J95" t="inlineStr">
        <is>
          <t>Chairs</t>
        </is>
      </c>
      <c r="K95" t="inlineStr">
        <is>
          <t>West</t>
        </is>
      </c>
      <c r="L95" t="inlineStr">
        <is>
          <t>Colorado</t>
        </is>
      </c>
      <c r="M95" t="inlineStr">
        <is>
          <t>Los Angeles</t>
        </is>
      </c>
      <c r="N95" t="inlineStr">
        <is>
          <t>Liam Chen</t>
        </is>
      </c>
      <c r="O95" t="n">
        <v>1</v>
      </c>
      <c r="P95" s="3" t="n">
        <v>78.45</v>
      </c>
      <c r="Q95" s="4" t="n">
        <v>0.04</v>
      </c>
      <c r="R95" s="3" t="n">
        <v>75.31</v>
      </c>
      <c r="S95" s="3" t="n">
        <v>41.2</v>
      </c>
      <c r="T95" s="3" t="n">
        <v>26.31</v>
      </c>
      <c r="U95" s="4" t="n">
        <v>0.3494</v>
      </c>
      <c r="V95" s="3" t="n">
        <v>7.8</v>
      </c>
      <c r="W95" t="inlineStr">
        <is>
          <t>Credit Card</t>
        </is>
      </c>
      <c r="X95" t="inlineStr">
        <is>
          <t>Medium</t>
        </is>
      </c>
    </row>
    <row r="96">
      <c r="A96" t="inlineStr">
        <is>
          <t>ORD-00095</t>
        </is>
      </c>
      <c r="B96" s="2" t="n">
        <v>45735</v>
      </c>
      <c r="C96" s="2" t="n">
        <v>45738</v>
      </c>
      <c r="D96" t="inlineStr">
        <is>
          <t>CUST-00095</t>
        </is>
      </c>
      <c r="E96" t="inlineStr">
        <is>
          <t>CUSTOMER 95</t>
        </is>
      </c>
      <c r="F96" t="inlineStr">
        <is>
          <t>Corporate</t>
        </is>
      </c>
      <c r="G96" t="inlineStr">
        <is>
          <t>P1011</t>
        </is>
      </c>
      <c r="H96" t="inlineStr">
        <is>
          <t>Harbor Rug</t>
        </is>
      </c>
      <c r="I96" t="inlineStr">
        <is>
          <t>Outdoor</t>
        </is>
      </c>
      <c r="J96" t="inlineStr">
        <is>
          <t>Desks</t>
        </is>
      </c>
      <c r="K96" t="inlineStr">
        <is>
          <t>South</t>
        </is>
      </c>
      <c r="L96" t="inlineStr">
        <is>
          <t>Florida</t>
        </is>
      </c>
      <c r="M96" t="inlineStr">
        <is>
          <t>Miami</t>
        </is>
      </c>
      <c r="N96" t="inlineStr">
        <is>
          <t>Mia Rodriguez</t>
        </is>
      </c>
      <c r="O96" t="n">
        <v>2</v>
      </c>
      <c r="P96" s="3" t="n">
        <v>89.06</v>
      </c>
      <c r="Q96" s="4" t="n">
        <v>0.02</v>
      </c>
      <c r="R96" s="3" t="n">
        <v>174.56</v>
      </c>
      <c r="S96" s="3" t="n">
        <v>90.63</v>
      </c>
      <c r="T96" s="3" t="n">
        <v>76.33</v>
      </c>
      <c r="U96" s="4" t="n">
        <v>0.4373</v>
      </c>
      <c r="V96" s="3" t="n">
        <v>7.6</v>
      </c>
      <c r="W96" t="inlineStr">
        <is>
          <t>PayPal</t>
        </is>
      </c>
      <c r="X96" t="inlineStr">
        <is>
          <t>Medium</t>
        </is>
      </c>
    </row>
    <row r="97">
      <c r="A97" t="inlineStr">
        <is>
          <t>ORD-00096</t>
        </is>
      </c>
      <c r="B97" s="2" t="n">
        <v>45654</v>
      </c>
      <c r="C97" s="2" t="n">
        <v>45659</v>
      </c>
      <c r="D97" t="inlineStr">
        <is>
          <t>CUST-00096</t>
        </is>
      </c>
      <c r="E97" t="inlineStr">
        <is>
          <t>CUSTOMER 96</t>
        </is>
      </c>
      <c r="F97" t="inlineStr">
        <is>
          <t>Consumer</t>
        </is>
      </c>
      <c r="G97" t="inlineStr">
        <is>
          <t>P1002</t>
        </is>
      </c>
      <c r="H97" t="inlineStr">
        <is>
          <t>Pulse Keyboard</t>
        </is>
      </c>
      <c r="I97" t="inlineStr">
        <is>
          <t>Outdoor</t>
        </is>
      </c>
      <c r="J97" t="inlineStr">
        <is>
          <t>Decor</t>
        </is>
      </c>
      <c r="K97" t="inlineStr">
        <is>
          <t>West</t>
        </is>
      </c>
      <c r="L97" t="inlineStr">
        <is>
          <t>Washington</t>
        </is>
      </c>
      <c r="M97" t="inlineStr">
        <is>
          <t>Seattle</t>
        </is>
      </c>
      <c r="N97" t="inlineStr">
        <is>
          <t>James Carter</t>
        </is>
      </c>
      <c r="O97" t="n">
        <v>2</v>
      </c>
      <c r="P97" s="3" t="n">
        <v>90.94</v>
      </c>
      <c r="Q97" s="4" t="n">
        <v>0.03</v>
      </c>
      <c r="R97" s="3" t="n">
        <v>176.42</v>
      </c>
      <c r="S97" s="3" t="n">
        <v>87.41</v>
      </c>
      <c r="T97" s="3" t="n">
        <v>80.41</v>
      </c>
      <c r="U97" s="4" t="n">
        <v>0.4558</v>
      </c>
      <c r="V97" s="3" t="n">
        <v>8.6</v>
      </c>
      <c r="W97" t="inlineStr">
        <is>
          <t>Cash on Delivery</t>
        </is>
      </c>
      <c r="X97" t="inlineStr">
        <is>
          <t>Medium</t>
        </is>
      </c>
    </row>
    <row r="98">
      <c r="A98" t="inlineStr">
        <is>
          <t>ORD-00097</t>
        </is>
      </c>
      <c r="B98" s="2" t="n">
        <v>45403</v>
      </c>
      <c r="C98" s="2" t="n">
        <v>45405</v>
      </c>
      <c r="D98" t="inlineStr">
        <is>
          <t>CUST-00097</t>
        </is>
      </c>
      <c r="E98" t="inlineStr">
        <is>
          <t>CUSTOMER 97</t>
        </is>
      </c>
      <c r="F98" t="inlineStr">
        <is>
          <t>Consumer</t>
        </is>
      </c>
      <c r="G98" t="inlineStr">
        <is>
          <t>P1018</t>
        </is>
      </c>
      <c r="H98" t="inlineStr">
        <is>
          <t>Atlas Throw Pillow</t>
        </is>
      </c>
      <c r="I98" t="inlineStr">
        <is>
          <t>Outdoor</t>
        </is>
      </c>
      <c r="J98" t="inlineStr">
        <is>
          <t>Coolers</t>
        </is>
      </c>
      <c r="K98" t="inlineStr">
        <is>
          <t>East</t>
        </is>
      </c>
      <c r="L98" t="inlineStr">
        <is>
          <t>New York</t>
        </is>
      </c>
      <c r="M98" t="inlineStr">
        <is>
          <t>Washington</t>
        </is>
      </c>
      <c r="N98" t="inlineStr">
        <is>
          <t>Mia Rodriguez</t>
        </is>
      </c>
      <c r="O98" t="n">
        <v>2</v>
      </c>
      <c r="P98" s="3" t="n">
        <v>89.45</v>
      </c>
      <c r="Q98" s="4" t="n">
        <v>0.018</v>
      </c>
      <c r="R98" s="3" t="n">
        <v>175.68</v>
      </c>
      <c r="S98" s="3" t="n">
        <v>82.05</v>
      </c>
      <c r="T98" s="3" t="n">
        <v>85.03</v>
      </c>
      <c r="U98" s="4" t="n">
        <v>0.484</v>
      </c>
      <c r="V98" s="3" t="n">
        <v>8.6</v>
      </c>
      <c r="W98" t="inlineStr">
        <is>
          <t>Credit Card</t>
        </is>
      </c>
      <c r="X98" t="inlineStr">
        <is>
          <t>Low</t>
        </is>
      </c>
    </row>
    <row r="99">
      <c r="A99" t="inlineStr">
        <is>
          <t>ORD-00098</t>
        </is>
      </c>
      <c r="B99" s="2" t="n">
        <v>45310</v>
      </c>
      <c r="C99" s="2" t="n">
        <v>45316</v>
      </c>
      <c r="D99" t="inlineStr">
        <is>
          <t>CUST-00098</t>
        </is>
      </c>
      <c r="E99" t="inlineStr">
        <is>
          <t>CUSTOMER 98</t>
        </is>
      </c>
      <c r="F99" t="inlineStr">
        <is>
          <t>Consumer</t>
        </is>
      </c>
      <c r="G99" t="inlineStr">
        <is>
          <t>P1004</t>
        </is>
      </c>
      <c r="H99" t="inlineStr">
        <is>
          <t>Cove Wall Clock</t>
        </is>
      </c>
      <c r="I99" t="inlineStr">
        <is>
          <t>Furniture</t>
        </is>
      </c>
      <c r="J99" t="inlineStr">
        <is>
          <t>Textiles</t>
        </is>
      </c>
      <c r="K99" t="inlineStr">
        <is>
          <t>Central</t>
        </is>
      </c>
      <c r="L99" t="inlineStr">
        <is>
          <t>Missouri</t>
        </is>
      </c>
      <c r="M99" t="inlineStr">
        <is>
          <t>Chicago</t>
        </is>
      </c>
      <c r="N99" t="inlineStr">
        <is>
          <t>Noah Kim</t>
        </is>
      </c>
      <c r="O99" t="n">
        <v>3</v>
      </c>
      <c r="P99" s="3" t="n">
        <v>571.27</v>
      </c>
      <c r="Q99" s="4" t="n">
        <v>0.04</v>
      </c>
      <c r="R99" s="3" t="n">
        <v>1645.26</v>
      </c>
      <c r="S99" s="3" t="n">
        <v>1045.5</v>
      </c>
      <c r="T99" s="3" t="n">
        <v>591.36</v>
      </c>
      <c r="U99" s="4" t="n">
        <v>0.3594</v>
      </c>
      <c r="V99" s="3" t="n">
        <v>8.4</v>
      </c>
      <c r="W99" t="inlineStr">
        <is>
          <t>Credit Card</t>
        </is>
      </c>
      <c r="X99" t="inlineStr">
        <is>
          <t>High</t>
        </is>
      </c>
    </row>
    <row r="100">
      <c r="A100" t="inlineStr">
        <is>
          <t>ORD-00099</t>
        </is>
      </c>
      <c r="B100" s="2" t="n">
        <v>45274</v>
      </c>
      <c r="C100" s="2" t="n">
        <v>45278</v>
      </c>
      <c r="D100" t="inlineStr">
        <is>
          <t>CUST-00099</t>
        </is>
      </c>
      <c r="E100" t="inlineStr">
        <is>
          <t>CUSTOMER 99</t>
        </is>
      </c>
      <c r="F100" t="inlineStr">
        <is>
          <t>Home Office</t>
        </is>
      </c>
      <c r="G100" t="inlineStr">
        <is>
          <t>P1015</t>
        </is>
      </c>
      <c r="H100" t="inlineStr">
        <is>
          <t>Pulse Keyboard</t>
        </is>
      </c>
      <c r="I100" t="inlineStr">
        <is>
          <t>Outdoor</t>
        </is>
      </c>
      <c r="J100" t="inlineStr">
        <is>
          <t>Accessories</t>
        </is>
      </c>
      <c r="K100" t="inlineStr">
        <is>
          <t>South</t>
        </is>
      </c>
      <c r="L100" t="inlineStr">
        <is>
          <t>Georgia</t>
        </is>
      </c>
      <c r="M100" t="inlineStr">
        <is>
          <t>Atlanta</t>
        </is>
      </c>
      <c r="N100" t="inlineStr">
        <is>
          <t>James Carter</t>
        </is>
      </c>
      <c r="O100" t="n">
        <v>5</v>
      </c>
      <c r="P100" s="3" t="n">
        <v>72.72</v>
      </c>
      <c r="Q100" s="4" t="n">
        <v>0.006</v>
      </c>
      <c r="R100" s="3" t="n">
        <v>361.42</v>
      </c>
      <c r="S100" s="3" t="n">
        <v>159.1</v>
      </c>
      <c r="T100" s="3" t="n">
        <v>192.32</v>
      </c>
      <c r="U100" s="4" t="n">
        <v>0.5321</v>
      </c>
      <c r="V100" s="3" t="n">
        <v>10</v>
      </c>
      <c r="W100" t="inlineStr">
        <is>
          <t>PayPal</t>
        </is>
      </c>
      <c r="X100" t="inlineStr">
        <is>
          <t>Medium</t>
        </is>
      </c>
    </row>
    <row r="101">
      <c r="A101" t="inlineStr">
        <is>
          <t>ORD-00100</t>
        </is>
      </c>
      <c r="B101" s="2" t="n">
        <v>45049</v>
      </c>
      <c r="C101" s="2" t="n">
        <v>45051</v>
      </c>
      <c r="D101" t="inlineStr">
        <is>
          <t>CUST-00100</t>
        </is>
      </c>
      <c r="E101" t="inlineStr">
        <is>
          <t>CUSTOMER 100</t>
        </is>
      </c>
      <c r="F101" t="inlineStr">
        <is>
          <t>Consumer</t>
        </is>
      </c>
      <c r="G101" t="inlineStr">
        <is>
          <t>P1012</t>
        </is>
      </c>
      <c r="H101" t="inlineStr">
        <is>
          <t>FlexNote Notebook</t>
        </is>
      </c>
      <c r="I101" t="inlineStr">
        <is>
          <t>Home Decor</t>
        </is>
      </c>
      <c r="J101" t="inlineStr">
        <is>
          <t>Binders</t>
        </is>
      </c>
      <c r="K101" t="inlineStr">
        <is>
          <t>Central</t>
        </is>
      </c>
      <c r="L101" t="inlineStr">
        <is>
          <t>Kansas</t>
        </is>
      </c>
      <c r="M101" t="inlineStr">
        <is>
          <t>Chicago</t>
        </is>
      </c>
      <c r="N101" t="inlineStr">
        <is>
          <t>Mia Rodriguez</t>
        </is>
      </c>
      <c r="O101" t="n">
        <v>1</v>
      </c>
      <c r="P101" s="3" t="n">
        <v>127.64</v>
      </c>
      <c r="Q101" s="4" t="n">
        <v>0.025</v>
      </c>
      <c r="R101" s="3" t="n">
        <v>124.45</v>
      </c>
      <c r="S101" s="3" t="n">
        <v>65.77</v>
      </c>
      <c r="T101" s="3" t="n">
        <v>51.88</v>
      </c>
      <c r="U101" s="4" t="n">
        <v>0.4169</v>
      </c>
      <c r="V101" s="3" t="n">
        <v>6.8</v>
      </c>
      <c r="W101" t="inlineStr">
        <is>
          <t>PayPal</t>
        </is>
      </c>
      <c r="X101" t="inlineStr">
        <is>
          <t>Medium</t>
        </is>
      </c>
    </row>
    <row r="102">
      <c r="A102" t="inlineStr">
        <is>
          <t>ORD-00101</t>
        </is>
      </c>
      <c r="B102" s="2" t="n">
        <v>45173</v>
      </c>
      <c r="C102" s="2" t="n">
        <v>45176</v>
      </c>
      <c r="D102" t="inlineStr">
        <is>
          <t>CUST-00101</t>
        </is>
      </c>
      <c r="E102" t="inlineStr">
        <is>
          <t>CUSTOMER 101</t>
        </is>
      </c>
      <c r="F102" t="inlineStr">
        <is>
          <t>Consumer</t>
        </is>
      </c>
      <c r="G102" t="inlineStr">
        <is>
          <t>P1003</t>
        </is>
      </c>
      <c r="H102" t="inlineStr">
        <is>
          <t>Orbit Wireless Mouse</t>
        </is>
      </c>
      <c r="I102" t="inlineStr">
        <is>
          <t>Technology</t>
        </is>
      </c>
      <c r="J102" t="inlineStr">
        <is>
          <t>Chairs</t>
        </is>
      </c>
      <c r="K102" t="inlineStr">
        <is>
          <t>East</t>
        </is>
      </c>
      <c r="L102" t="inlineStr">
        <is>
          <t>New Jersey</t>
        </is>
      </c>
      <c r="M102" t="inlineStr">
        <is>
          <t>New York</t>
        </is>
      </c>
      <c r="N102" t="inlineStr">
        <is>
          <t>Ava Patel</t>
        </is>
      </c>
      <c r="O102" t="n">
        <v>4</v>
      </c>
      <c r="P102" s="3" t="n">
        <v>147.09</v>
      </c>
      <c r="Q102" s="4" t="n">
        <v>0.005</v>
      </c>
      <c r="R102" s="3" t="n">
        <v>585.42</v>
      </c>
      <c r="S102" s="3" t="n">
        <v>310.39</v>
      </c>
      <c r="T102" s="3" t="n">
        <v>264.83</v>
      </c>
      <c r="U102" s="4" t="n">
        <v>0.4524</v>
      </c>
      <c r="V102" s="3" t="n">
        <v>10.2</v>
      </c>
      <c r="W102" t="inlineStr">
        <is>
          <t>Credit Card</t>
        </is>
      </c>
      <c r="X102" t="inlineStr">
        <is>
          <t>Medium</t>
        </is>
      </c>
    </row>
    <row r="103">
      <c r="A103" t="inlineStr">
        <is>
          <t>ORD-00102</t>
        </is>
      </c>
      <c r="B103" s="2" t="n">
        <v>45359</v>
      </c>
      <c r="C103" s="2" t="n">
        <v>45361</v>
      </c>
      <c r="D103" t="inlineStr">
        <is>
          <t>CUST-00102</t>
        </is>
      </c>
      <c r="E103" t="inlineStr">
        <is>
          <t>CUSTOMER 102</t>
        </is>
      </c>
      <c r="F103" t="inlineStr">
        <is>
          <t>Corporate</t>
        </is>
      </c>
      <c r="G103" t="inlineStr">
        <is>
          <t>P1004</t>
        </is>
      </c>
      <c r="H103" t="inlineStr">
        <is>
          <t>Halo Planter</t>
        </is>
      </c>
      <c r="I103" t="inlineStr">
        <is>
          <t>Home Decor</t>
        </is>
      </c>
      <c r="J103" t="inlineStr">
        <is>
          <t>Peripherals</t>
        </is>
      </c>
      <c r="K103" t="inlineStr">
        <is>
          <t>South</t>
        </is>
      </c>
      <c r="L103" t="inlineStr">
        <is>
          <t>Texas</t>
        </is>
      </c>
      <c r="M103" t="inlineStr">
        <is>
          <t>Houston</t>
        </is>
      </c>
      <c r="N103" t="inlineStr">
        <is>
          <t>Mia Rodriguez</t>
        </is>
      </c>
      <c r="O103" t="n">
        <v>1</v>
      </c>
      <c r="P103" s="3" t="n">
        <v>566.4400000000001</v>
      </c>
      <c r="Q103" s="4" t="n">
        <v>0.015</v>
      </c>
      <c r="R103" s="3" t="n">
        <v>557.9400000000001</v>
      </c>
      <c r="S103" s="3" t="n">
        <v>360.29</v>
      </c>
      <c r="T103" s="3" t="n">
        <v>190.85</v>
      </c>
      <c r="U103" s="4" t="n">
        <v>0.3421</v>
      </c>
      <c r="V103" s="3" t="n">
        <v>6.8</v>
      </c>
      <c r="W103" t="inlineStr">
        <is>
          <t>Cash on Delivery</t>
        </is>
      </c>
      <c r="X103" t="inlineStr">
        <is>
          <t>Medium</t>
        </is>
      </c>
    </row>
    <row r="104">
      <c r="A104" t="inlineStr">
        <is>
          <t>ORD-00103</t>
        </is>
      </c>
      <c r="B104" s="2" t="n">
        <v>45522</v>
      </c>
      <c r="C104" s="2" t="n">
        <v>45528</v>
      </c>
      <c r="D104" t="inlineStr">
        <is>
          <t>CUST-00103</t>
        </is>
      </c>
      <c r="E104" t="inlineStr">
        <is>
          <t>CUSTOMER 103</t>
        </is>
      </c>
      <c r="F104" t="inlineStr">
        <is>
          <t>Corporate</t>
        </is>
      </c>
      <c r="G104" t="inlineStr">
        <is>
          <t>P1016</t>
        </is>
      </c>
      <c r="H104" t="inlineStr">
        <is>
          <t>SmartInk Pen Set</t>
        </is>
      </c>
      <c r="I104" t="inlineStr">
        <is>
          <t>Outdoor</t>
        </is>
      </c>
      <c r="J104" t="inlineStr">
        <is>
          <t>Peripherals</t>
        </is>
      </c>
      <c r="K104" t="inlineStr">
        <is>
          <t>South</t>
        </is>
      </c>
      <c r="L104" t="inlineStr">
        <is>
          <t>Georgia</t>
        </is>
      </c>
      <c r="M104" t="inlineStr">
        <is>
          <t>Dallas</t>
        </is>
      </c>
      <c r="N104" t="inlineStr">
        <is>
          <t>Liam Chen</t>
        </is>
      </c>
      <c r="O104" t="n">
        <v>1</v>
      </c>
      <c r="P104" s="3" t="n">
        <v>39.59</v>
      </c>
      <c r="Q104" s="4" t="n">
        <v>0.02</v>
      </c>
      <c r="R104" s="3" t="n">
        <v>38.8</v>
      </c>
      <c r="S104" s="3" t="n">
        <v>18.29</v>
      </c>
      <c r="T104" s="3" t="n">
        <v>13.71</v>
      </c>
      <c r="U104" s="4" t="n">
        <v>0.3534</v>
      </c>
      <c r="V104" s="3" t="n">
        <v>6.8</v>
      </c>
      <c r="W104" t="inlineStr">
        <is>
          <t>Debit Card</t>
        </is>
      </c>
      <c r="X104" t="inlineStr">
        <is>
          <t>Medium</t>
        </is>
      </c>
    </row>
    <row r="105">
      <c r="A105" t="inlineStr">
        <is>
          <t>ORD-00104</t>
        </is>
      </c>
      <c r="B105" s="2" t="n">
        <v>45630</v>
      </c>
      <c r="C105" s="2" t="n">
        <v>45632</v>
      </c>
      <c r="D105" t="inlineStr">
        <is>
          <t>CUST-00104</t>
        </is>
      </c>
      <c r="E105" t="inlineStr">
        <is>
          <t>CUSTOMER 104</t>
        </is>
      </c>
      <c r="F105" t="inlineStr">
        <is>
          <t>Home Office</t>
        </is>
      </c>
      <c r="G105" t="inlineStr">
        <is>
          <t>P1006</t>
        </is>
      </c>
      <c r="H105" t="inlineStr">
        <is>
          <t>Nimbus Monitor Arm</t>
        </is>
      </c>
      <c r="I105" t="inlineStr">
        <is>
          <t>Office Supplies</t>
        </is>
      </c>
      <c r="J105" t="inlineStr">
        <is>
          <t>Coolers</t>
        </is>
      </c>
      <c r="K105" t="inlineStr">
        <is>
          <t>East</t>
        </is>
      </c>
      <c r="L105" t="inlineStr">
        <is>
          <t>New York</t>
        </is>
      </c>
      <c r="M105" t="inlineStr">
        <is>
          <t>Philadelphia</t>
        </is>
      </c>
      <c r="N105" t="inlineStr">
        <is>
          <t>Liam Chen</t>
        </is>
      </c>
      <c r="O105" t="n">
        <v>3</v>
      </c>
      <c r="P105" s="3" t="n">
        <v>20.37</v>
      </c>
      <c r="Q105" s="4" t="n">
        <v>0.016</v>
      </c>
      <c r="R105" s="3" t="n">
        <v>60.13</v>
      </c>
      <c r="S105" s="3" t="n">
        <v>27.15</v>
      </c>
      <c r="T105" s="3" t="n">
        <v>23.58</v>
      </c>
      <c r="U105" s="4" t="n">
        <v>0.3922</v>
      </c>
      <c r="V105" s="3" t="n">
        <v>9.4</v>
      </c>
      <c r="W105" t="inlineStr">
        <is>
          <t>Credit Card</t>
        </is>
      </c>
      <c r="X105" t="inlineStr">
        <is>
          <t>Low</t>
        </is>
      </c>
    </row>
    <row r="106">
      <c r="A106" t="inlineStr">
        <is>
          <t>ORD-00105</t>
        </is>
      </c>
      <c r="B106" s="2" t="n">
        <v>45788</v>
      </c>
      <c r="C106" s="2" t="n">
        <v>45794</v>
      </c>
      <c r="D106" t="inlineStr">
        <is>
          <t>CUST-00105</t>
        </is>
      </c>
      <c r="E106" t="inlineStr">
        <is>
          <t>CUSTOMER 105</t>
        </is>
      </c>
      <c r="F106" t="inlineStr">
        <is>
          <t>Consumer</t>
        </is>
      </c>
      <c r="G106" t="inlineStr">
        <is>
          <t>P1002</t>
        </is>
      </c>
      <c r="H106" t="inlineStr">
        <is>
          <t>Pulse Keyboard</t>
        </is>
      </c>
      <c r="I106" t="inlineStr">
        <is>
          <t>Technology</t>
        </is>
      </c>
      <c r="J106" t="inlineStr">
        <is>
          <t>Desks</t>
        </is>
      </c>
      <c r="K106" t="inlineStr">
        <is>
          <t>North</t>
        </is>
      </c>
      <c r="L106" t="inlineStr">
        <is>
          <t>British Columbia</t>
        </is>
      </c>
      <c r="M106" t="inlineStr">
        <is>
          <t>Toronto</t>
        </is>
      </c>
      <c r="N106" t="inlineStr">
        <is>
          <t>Mia Rodriguez</t>
        </is>
      </c>
      <c r="O106" t="n">
        <v>3</v>
      </c>
      <c r="P106" s="3" t="n">
        <v>80.67</v>
      </c>
      <c r="Q106" s="4" t="n">
        <v>0.017</v>
      </c>
      <c r="R106" s="3" t="n">
        <v>237.9</v>
      </c>
      <c r="S106" s="3" t="n">
        <v>110.69</v>
      </c>
      <c r="T106" s="3" t="n">
        <v>118.81</v>
      </c>
      <c r="U106" s="4" t="n">
        <v>0.4994</v>
      </c>
      <c r="V106" s="3" t="n">
        <v>8.4</v>
      </c>
      <c r="W106" t="inlineStr">
        <is>
          <t>Bank Transfer</t>
        </is>
      </c>
      <c r="X106" t="inlineStr">
        <is>
          <t>High</t>
        </is>
      </c>
    </row>
    <row r="107">
      <c r="A107" t="inlineStr">
        <is>
          <t>ORD-00106</t>
        </is>
      </c>
      <c r="B107" s="2" t="n">
        <v>45185</v>
      </c>
      <c r="C107" s="2" t="n">
        <v>45189</v>
      </c>
      <c r="D107" t="inlineStr">
        <is>
          <t>CUST-00106</t>
        </is>
      </c>
      <c r="E107" t="inlineStr">
        <is>
          <t>CUSTOMER 106</t>
        </is>
      </c>
      <c r="F107" t="inlineStr">
        <is>
          <t>Consumer</t>
        </is>
      </c>
      <c r="G107" t="inlineStr">
        <is>
          <t>P1009</t>
        </is>
      </c>
      <c r="H107" t="inlineStr">
        <is>
          <t>Nova Laptop Stand</t>
        </is>
      </c>
      <c r="I107" t="inlineStr">
        <is>
          <t>Outdoor</t>
        </is>
      </c>
      <c r="J107" t="inlineStr">
        <is>
          <t>Binders</t>
        </is>
      </c>
      <c r="K107" t="inlineStr">
        <is>
          <t>Central</t>
        </is>
      </c>
      <c r="L107" t="inlineStr">
        <is>
          <t>Minnesota</t>
        </is>
      </c>
      <c r="M107" t="inlineStr">
        <is>
          <t>Minneapolis</t>
        </is>
      </c>
      <c r="N107" t="inlineStr">
        <is>
          <t>Ava Patel</t>
        </is>
      </c>
      <c r="O107" t="n">
        <v>2</v>
      </c>
      <c r="P107" s="3" t="n">
        <v>85.22</v>
      </c>
      <c r="Q107" s="4" t="n">
        <v>0.028</v>
      </c>
      <c r="R107" s="3" t="n">
        <v>165.67</v>
      </c>
      <c r="S107" s="3" t="n">
        <v>85.31999999999999</v>
      </c>
      <c r="T107" s="3" t="n">
        <v>72.75</v>
      </c>
      <c r="U107" s="4" t="n">
        <v>0.4391</v>
      </c>
      <c r="V107" s="3" t="n">
        <v>7.6</v>
      </c>
      <c r="W107" t="inlineStr">
        <is>
          <t>PayPal</t>
        </is>
      </c>
      <c r="X107" t="inlineStr">
        <is>
          <t>Medium</t>
        </is>
      </c>
    </row>
    <row r="108">
      <c r="A108" t="inlineStr">
        <is>
          <t>ORD-00107</t>
        </is>
      </c>
      <c r="B108" s="2" t="n">
        <v>45385</v>
      </c>
      <c r="C108" s="2" t="n">
        <v>45388</v>
      </c>
      <c r="D108" t="inlineStr">
        <is>
          <t>CUST-00107</t>
        </is>
      </c>
      <c r="E108" t="inlineStr">
        <is>
          <t>CUSTOMER 107</t>
        </is>
      </c>
      <c r="F108" t="inlineStr">
        <is>
          <t>Corporate</t>
        </is>
      </c>
      <c r="G108" t="inlineStr">
        <is>
          <t>P1012</t>
        </is>
      </c>
      <c r="H108" t="inlineStr">
        <is>
          <t>Orbit Wireless Mouse</t>
        </is>
      </c>
      <c r="I108" t="inlineStr">
        <is>
          <t>Technology</t>
        </is>
      </c>
      <c r="J108" t="inlineStr">
        <is>
          <t>Lighting</t>
        </is>
      </c>
      <c r="K108" t="inlineStr">
        <is>
          <t>East</t>
        </is>
      </c>
      <c r="L108" t="inlineStr">
        <is>
          <t>New Jersey</t>
        </is>
      </c>
      <c r="M108" t="inlineStr">
        <is>
          <t>Boston</t>
        </is>
      </c>
      <c r="N108" t="inlineStr">
        <is>
          <t>Noah Kim</t>
        </is>
      </c>
      <c r="O108" t="n">
        <v>3</v>
      </c>
      <c r="P108" s="3" t="n">
        <v>127.92</v>
      </c>
      <c r="Q108" s="4" t="n">
        <v>0.025</v>
      </c>
      <c r="R108" s="3" t="n">
        <v>374.17</v>
      </c>
      <c r="S108" s="3" t="n">
        <v>193.78</v>
      </c>
      <c r="T108" s="3" t="n">
        <v>170.99</v>
      </c>
      <c r="U108" s="4" t="n">
        <v>0.457</v>
      </c>
      <c r="V108" s="3" t="n">
        <v>9.4</v>
      </c>
      <c r="W108" t="inlineStr">
        <is>
          <t>Debit Card</t>
        </is>
      </c>
      <c r="X108" t="inlineStr">
        <is>
          <t>Low</t>
        </is>
      </c>
    </row>
    <row r="109">
      <c r="A109" t="inlineStr">
        <is>
          <t>ORD-00108</t>
        </is>
      </c>
      <c r="B109" s="2" t="n">
        <v>45907</v>
      </c>
      <c r="C109" s="2" t="n">
        <v>45914</v>
      </c>
      <c r="D109" t="inlineStr">
        <is>
          <t>CUST-00108</t>
        </is>
      </c>
      <c r="E109" t="inlineStr">
        <is>
          <t>CUSTOMER 108</t>
        </is>
      </c>
      <c r="F109" t="inlineStr">
        <is>
          <t>Corporate</t>
        </is>
      </c>
      <c r="G109" t="inlineStr">
        <is>
          <t>P1012</t>
        </is>
      </c>
      <c r="H109" t="inlineStr">
        <is>
          <t>Aero Standing Desk</t>
        </is>
      </c>
      <c r="I109" t="inlineStr">
        <is>
          <t>Home Decor</t>
        </is>
      </c>
      <c r="J109" t="inlineStr">
        <is>
          <t>Accessories</t>
        </is>
      </c>
      <c r="K109" t="inlineStr">
        <is>
          <t>South</t>
        </is>
      </c>
      <c r="L109" t="inlineStr">
        <is>
          <t>Georgia</t>
        </is>
      </c>
      <c r="M109" t="inlineStr">
        <is>
          <t>Miami</t>
        </is>
      </c>
      <c r="N109" t="inlineStr">
        <is>
          <t>James Carter</t>
        </is>
      </c>
      <c r="O109" t="n">
        <v>4</v>
      </c>
      <c r="P109" s="3" t="n">
        <v>120.53</v>
      </c>
      <c r="Q109" s="4" t="n">
        <v>0.066</v>
      </c>
      <c r="R109" s="3" t="n">
        <v>450.3</v>
      </c>
      <c r="S109" s="3" t="n">
        <v>229.2</v>
      </c>
      <c r="T109" s="3" t="n">
        <v>211.9</v>
      </c>
      <c r="U109" s="4" t="n">
        <v>0.4706</v>
      </c>
      <c r="V109" s="3" t="n">
        <v>9.199999999999999</v>
      </c>
      <c r="W109" t="inlineStr">
        <is>
          <t>Debit Card</t>
        </is>
      </c>
      <c r="X109" t="inlineStr">
        <is>
          <t>High</t>
        </is>
      </c>
    </row>
    <row r="110">
      <c r="A110" t="inlineStr">
        <is>
          <t>ORD-00109</t>
        </is>
      </c>
      <c r="B110" s="2" t="n">
        <v>45048</v>
      </c>
      <c r="C110" s="2" t="n">
        <v>45053</v>
      </c>
      <c r="D110" t="inlineStr">
        <is>
          <t>CUST-00109</t>
        </is>
      </c>
      <c r="E110" t="inlineStr">
        <is>
          <t>CUSTOMER 109</t>
        </is>
      </c>
      <c r="F110" t="inlineStr">
        <is>
          <t>Consumer</t>
        </is>
      </c>
      <c r="G110" t="inlineStr">
        <is>
          <t>P1014</t>
        </is>
      </c>
      <c r="H110" t="inlineStr">
        <is>
          <t>Trail Tote</t>
        </is>
      </c>
      <c r="I110" t="inlineStr">
        <is>
          <t>Office Supplies</t>
        </is>
      </c>
      <c r="J110" t="inlineStr">
        <is>
          <t>Peripherals</t>
        </is>
      </c>
      <c r="K110" t="inlineStr">
        <is>
          <t>East</t>
        </is>
      </c>
      <c r="L110" t="inlineStr">
        <is>
          <t>New Jersey</t>
        </is>
      </c>
      <c r="M110" t="inlineStr">
        <is>
          <t>Boston</t>
        </is>
      </c>
      <c r="N110" t="inlineStr">
        <is>
          <t>Liam Chen</t>
        </is>
      </c>
      <c r="O110" t="n">
        <v>4</v>
      </c>
      <c r="P110" s="3" t="n">
        <v>41.49</v>
      </c>
      <c r="Q110" s="4" t="n">
        <v>0.051</v>
      </c>
      <c r="R110" s="3" t="n">
        <v>157.5</v>
      </c>
      <c r="S110" s="3" t="n">
        <v>66.97</v>
      </c>
      <c r="T110" s="3" t="n">
        <v>80.33</v>
      </c>
      <c r="U110" s="4" t="n">
        <v>0.51</v>
      </c>
      <c r="V110" s="3" t="n">
        <v>10.2</v>
      </c>
      <c r="W110" t="inlineStr">
        <is>
          <t>Bank Transfer</t>
        </is>
      </c>
      <c r="X110" t="inlineStr">
        <is>
          <t>High</t>
        </is>
      </c>
    </row>
    <row r="111">
      <c r="A111" t="inlineStr">
        <is>
          <t>ORD-00110</t>
        </is>
      </c>
      <c r="B111" s="2" t="n">
        <v>45017</v>
      </c>
      <c r="C111" s="2" t="n">
        <v>45019</v>
      </c>
      <c r="D111" t="inlineStr">
        <is>
          <t>CUST-00110</t>
        </is>
      </c>
      <c r="E111" t="inlineStr">
        <is>
          <t>CUSTOMER 110</t>
        </is>
      </c>
      <c r="F111" t="inlineStr">
        <is>
          <t>Consumer</t>
        </is>
      </c>
      <c r="G111" t="inlineStr">
        <is>
          <t>P1017</t>
        </is>
      </c>
      <c r="H111" t="inlineStr">
        <is>
          <t>Tide Cooler</t>
        </is>
      </c>
      <c r="I111" t="inlineStr">
        <is>
          <t>Furniture</t>
        </is>
      </c>
      <c r="J111" t="inlineStr">
        <is>
          <t>Bags</t>
        </is>
      </c>
      <c r="K111" t="inlineStr">
        <is>
          <t>Central</t>
        </is>
      </c>
      <c r="L111" t="inlineStr">
        <is>
          <t>Minnesota</t>
        </is>
      </c>
      <c r="M111" t="inlineStr">
        <is>
          <t>St. Louis</t>
        </is>
      </c>
      <c r="N111" t="inlineStr">
        <is>
          <t>Sophia Singh</t>
        </is>
      </c>
      <c r="O111" t="n">
        <v>1</v>
      </c>
      <c r="P111" s="3" t="n">
        <v>555.71</v>
      </c>
      <c r="Q111" s="4" t="n">
        <v>0.02</v>
      </c>
      <c r="R111" s="3" t="n">
        <v>544.6</v>
      </c>
      <c r="S111" s="3" t="n">
        <v>366.94</v>
      </c>
      <c r="T111" s="3" t="n">
        <v>170.86</v>
      </c>
      <c r="U111" s="4" t="n">
        <v>0.3137</v>
      </c>
      <c r="V111" s="3" t="n">
        <v>6.8</v>
      </c>
      <c r="W111" t="inlineStr">
        <is>
          <t>Credit Card</t>
        </is>
      </c>
      <c r="X111" t="inlineStr">
        <is>
          <t>Medium</t>
        </is>
      </c>
    </row>
    <row r="112">
      <c r="A112" t="inlineStr">
        <is>
          <t>ORD-00111</t>
        </is>
      </c>
      <c r="B112" s="2" t="n">
        <v>45072</v>
      </c>
      <c r="C112" s="2" t="n">
        <v>45079</v>
      </c>
      <c r="D112" t="inlineStr">
        <is>
          <t>CUST-00111</t>
        </is>
      </c>
      <c r="E112" t="inlineStr">
        <is>
          <t>CUSTOMER 111</t>
        </is>
      </c>
      <c r="F112" t="inlineStr">
        <is>
          <t>Corporate</t>
        </is>
      </c>
      <c r="G112" t="inlineStr">
        <is>
          <t>P1009</t>
        </is>
      </c>
      <c r="H112" t="inlineStr">
        <is>
          <t>Cove Wall Clock</t>
        </is>
      </c>
      <c r="I112" t="inlineStr">
        <is>
          <t>Outdoor</t>
        </is>
      </c>
      <c r="J112" t="inlineStr">
        <is>
          <t>Paper</t>
        </is>
      </c>
      <c r="K112" t="inlineStr">
        <is>
          <t>East</t>
        </is>
      </c>
      <c r="L112" t="inlineStr">
        <is>
          <t>Virginia</t>
        </is>
      </c>
      <c r="M112" t="inlineStr">
        <is>
          <t>Philadelphia</t>
        </is>
      </c>
      <c r="N112" t="inlineStr">
        <is>
          <t>James Carter</t>
        </is>
      </c>
      <c r="O112" t="n">
        <v>1</v>
      </c>
      <c r="P112" s="3" t="n">
        <v>91.28</v>
      </c>
      <c r="Q112" s="4" t="n">
        <v>0.031</v>
      </c>
      <c r="R112" s="3" t="n">
        <v>88.45</v>
      </c>
      <c r="S112" s="3" t="n">
        <v>45.6</v>
      </c>
      <c r="T112" s="3" t="n">
        <v>35.05</v>
      </c>
      <c r="U112" s="4" t="n">
        <v>0.3963</v>
      </c>
      <c r="V112" s="3" t="n">
        <v>7.8</v>
      </c>
      <c r="W112" t="inlineStr">
        <is>
          <t>Credit Card</t>
        </is>
      </c>
      <c r="X112" t="inlineStr">
        <is>
          <t>Medium</t>
        </is>
      </c>
    </row>
    <row r="113">
      <c r="A113" t="inlineStr">
        <is>
          <t>ORD-00112</t>
        </is>
      </c>
      <c r="B113" s="2" t="n">
        <v>44986</v>
      </c>
      <c r="C113" s="2" t="n">
        <v>44987</v>
      </c>
      <c r="D113" t="inlineStr">
        <is>
          <t>CUST-00112</t>
        </is>
      </c>
      <c r="E113" t="inlineStr">
        <is>
          <t>CUSTOMER 112</t>
        </is>
      </c>
      <c r="F113" t="inlineStr">
        <is>
          <t>Home Office</t>
        </is>
      </c>
      <c r="G113" t="inlineStr">
        <is>
          <t>P1012</t>
        </is>
      </c>
      <c r="H113" t="inlineStr">
        <is>
          <t>Nova Laptop Stand</t>
        </is>
      </c>
      <c r="I113" t="inlineStr">
        <is>
          <t>Outdoor</t>
        </is>
      </c>
      <c r="J113" t="inlineStr">
        <is>
          <t>Textiles</t>
        </is>
      </c>
      <c r="K113" t="inlineStr">
        <is>
          <t>North</t>
        </is>
      </c>
      <c r="L113" t="inlineStr">
        <is>
          <t>Ontario</t>
        </is>
      </c>
      <c r="M113" t="inlineStr">
        <is>
          <t>Vancouver</t>
        </is>
      </c>
      <c r="N113" t="inlineStr">
        <is>
          <t>Noah Kim</t>
        </is>
      </c>
      <c r="O113" t="n">
        <v>1</v>
      </c>
      <c r="P113" s="3" t="n">
        <v>135.59</v>
      </c>
      <c r="Q113" s="4" t="n">
        <v>0.044</v>
      </c>
      <c r="R113" s="3" t="n">
        <v>129.62</v>
      </c>
      <c r="S113" s="3" t="n">
        <v>73.84</v>
      </c>
      <c r="T113" s="3" t="n">
        <v>48.98</v>
      </c>
      <c r="U113" s="4" t="n">
        <v>0.3779</v>
      </c>
      <c r="V113" s="3" t="n">
        <v>6.8</v>
      </c>
      <c r="W113" t="inlineStr">
        <is>
          <t>Bank Transfer</t>
        </is>
      </c>
      <c r="X113" t="inlineStr">
        <is>
          <t>High</t>
        </is>
      </c>
    </row>
    <row r="114">
      <c r="A114" t="inlineStr">
        <is>
          <t>ORD-00113</t>
        </is>
      </c>
      <c r="B114" s="2" t="n">
        <v>45997</v>
      </c>
      <c r="C114" s="2" t="n">
        <v>46002</v>
      </c>
      <c r="D114" t="inlineStr">
        <is>
          <t>CUST-00113</t>
        </is>
      </c>
      <c r="E114" t="inlineStr">
        <is>
          <t>CUSTOMER 113</t>
        </is>
      </c>
      <c r="F114" t="inlineStr">
        <is>
          <t>Corporate</t>
        </is>
      </c>
      <c r="G114" t="inlineStr">
        <is>
          <t>P1010</t>
        </is>
      </c>
      <c r="H114" t="inlineStr">
        <is>
          <t>Trail Tote</t>
        </is>
      </c>
      <c r="I114" t="inlineStr">
        <is>
          <t>Furniture</t>
        </is>
      </c>
      <c r="J114" t="inlineStr">
        <is>
          <t>Lighting</t>
        </is>
      </c>
      <c r="K114" t="inlineStr">
        <is>
          <t>Central</t>
        </is>
      </c>
      <c r="L114" t="inlineStr">
        <is>
          <t>Kansas</t>
        </is>
      </c>
      <c r="M114" t="inlineStr">
        <is>
          <t>Kansas City</t>
        </is>
      </c>
      <c r="N114" t="inlineStr">
        <is>
          <t>Ethan Brooks</t>
        </is>
      </c>
      <c r="O114" t="n">
        <v>1</v>
      </c>
      <c r="P114" s="3" t="n">
        <v>57.74</v>
      </c>
      <c r="Q114" s="4" t="n">
        <v>0.025</v>
      </c>
      <c r="R114" s="3" t="n">
        <v>56.3</v>
      </c>
      <c r="S114" s="3" t="n">
        <v>27.82</v>
      </c>
      <c r="T114" s="3" t="n">
        <v>21.68</v>
      </c>
      <c r="U114" s="4" t="n">
        <v>0.3851</v>
      </c>
      <c r="V114" s="3" t="n">
        <v>6.8</v>
      </c>
      <c r="W114" t="inlineStr">
        <is>
          <t>Bank Transfer</t>
        </is>
      </c>
      <c r="X114" t="inlineStr">
        <is>
          <t>Low</t>
        </is>
      </c>
    </row>
    <row r="115">
      <c r="A115" t="inlineStr">
        <is>
          <t>ORD-00114</t>
        </is>
      </c>
      <c r="B115" s="2" t="n">
        <v>45827</v>
      </c>
      <c r="C115" s="2" t="n">
        <v>45829</v>
      </c>
      <c r="D115" t="inlineStr">
        <is>
          <t>CUST-00114</t>
        </is>
      </c>
      <c r="E115" t="inlineStr">
        <is>
          <t>CUSTOMER 114</t>
        </is>
      </c>
      <c r="F115" t="inlineStr">
        <is>
          <t>Home Office</t>
        </is>
      </c>
      <c r="G115" t="inlineStr">
        <is>
          <t>P1011</t>
        </is>
      </c>
      <c r="H115" t="inlineStr">
        <is>
          <t>Atlas Throw Pillow</t>
        </is>
      </c>
      <c r="I115" t="inlineStr">
        <is>
          <t>Office Supplies</t>
        </is>
      </c>
      <c r="J115" t="inlineStr">
        <is>
          <t>Accessories</t>
        </is>
      </c>
      <c r="K115" t="inlineStr">
        <is>
          <t>West</t>
        </is>
      </c>
      <c r="L115" t="inlineStr">
        <is>
          <t>Washington</t>
        </is>
      </c>
      <c r="M115" t="inlineStr">
        <is>
          <t>Denver</t>
        </is>
      </c>
      <c r="N115" t="inlineStr">
        <is>
          <t>Sophia Singh</t>
        </is>
      </c>
      <c r="O115" t="n">
        <v>4</v>
      </c>
      <c r="P115" s="3" t="n">
        <v>95.09</v>
      </c>
      <c r="Q115" s="4" t="n">
        <v>0.032</v>
      </c>
      <c r="R115" s="3" t="n">
        <v>368.19</v>
      </c>
      <c r="S115" s="3" t="n">
        <v>176</v>
      </c>
      <c r="T115" s="3" t="n">
        <v>181.99</v>
      </c>
      <c r="U115" s="4" t="n">
        <v>0.4943</v>
      </c>
      <c r="V115" s="3" t="n">
        <v>10.2</v>
      </c>
      <c r="W115" t="inlineStr">
        <is>
          <t>Credit Card</t>
        </is>
      </c>
      <c r="X115" t="inlineStr">
        <is>
          <t>Medium</t>
        </is>
      </c>
    </row>
    <row r="116">
      <c r="A116" t="inlineStr">
        <is>
          <t>ORD-00115</t>
        </is>
      </c>
      <c r="B116" s="2" t="n">
        <v>45389</v>
      </c>
      <c r="C116" s="2" t="n">
        <v>45394</v>
      </c>
      <c r="D116" t="inlineStr">
        <is>
          <t>CUST-00115</t>
        </is>
      </c>
      <c r="E116" t="inlineStr">
        <is>
          <t>CUSTOMER 115</t>
        </is>
      </c>
      <c r="F116" t="inlineStr">
        <is>
          <t>Corporate</t>
        </is>
      </c>
      <c r="G116" t="inlineStr">
        <is>
          <t>P1002</t>
        </is>
      </c>
      <c r="H116" t="inlineStr">
        <is>
          <t>Lumen Desk Lamp</t>
        </is>
      </c>
      <c r="I116" t="inlineStr">
        <is>
          <t>Furniture</t>
        </is>
      </c>
      <c r="J116" t="inlineStr">
        <is>
          <t>Peripherals</t>
        </is>
      </c>
      <c r="K116" t="inlineStr">
        <is>
          <t>South</t>
        </is>
      </c>
      <c r="L116" t="inlineStr">
        <is>
          <t>North Carolina</t>
        </is>
      </c>
      <c r="M116" t="inlineStr">
        <is>
          <t>Atlanta</t>
        </is>
      </c>
      <c r="N116" t="inlineStr">
        <is>
          <t>James Carter</t>
        </is>
      </c>
      <c r="O116" t="n">
        <v>1</v>
      </c>
      <c r="P116" s="3" t="n">
        <v>73.62</v>
      </c>
      <c r="Q116" s="4" t="n">
        <v>0.015</v>
      </c>
      <c r="R116" s="3" t="n">
        <v>72.52</v>
      </c>
      <c r="S116" s="3" t="n">
        <v>38.23</v>
      </c>
      <c r="T116" s="3" t="n">
        <v>27.49</v>
      </c>
      <c r="U116" s="4" t="n">
        <v>0.3791</v>
      </c>
      <c r="V116" s="3" t="n">
        <v>6.8</v>
      </c>
      <c r="W116" t="inlineStr">
        <is>
          <t>Debit Card</t>
        </is>
      </c>
      <c r="X116" t="inlineStr">
        <is>
          <t>Medium</t>
        </is>
      </c>
    </row>
    <row r="117">
      <c r="A117" t="inlineStr">
        <is>
          <t>ORD-00116</t>
        </is>
      </c>
      <c r="B117" s="2" t="n">
        <v>45862</v>
      </c>
      <c r="C117" s="2" t="n">
        <v>45869</v>
      </c>
      <c r="D117" t="inlineStr">
        <is>
          <t>CUST-00116</t>
        </is>
      </c>
      <c r="E117" t="inlineStr">
        <is>
          <t>CUSTOMER 116</t>
        </is>
      </c>
      <c r="F117" t="inlineStr">
        <is>
          <t>Consumer</t>
        </is>
      </c>
      <c r="G117" t="inlineStr">
        <is>
          <t>P1016</t>
        </is>
      </c>
      <c r="H117" t="inlineStr">
        <is>
          <t>SmartInk Pen Set</t>
        </is>
      </c>
      <c r="I117" t="inlineStr">
        <is>
          <t>Technology</t>
        </is>
      </c>
      <c r="J117" t="inlineStr">
        <is>
          <t>Lighting</t>
        </is>
      </c>
      <c r="K117" t="inlineStr">
        <is>
          <t>East</t>
        </is>
      </c>
      <c r="L117" t="inlineStr">
        <is>
          <t>Virginia</t>
        </is>
      </c>
      <c r="M117" t="inlineStr">
        <is>
          <t>Washington</t>
        </is>
      </c>
      <c r="N117" t="inlineStr">
        <is>
          <t>Sophia Singh</t>
        </is>
      </c>
      <c r="O117" t="n">
        <v>4</v>
      </c>
      <c r="P117" s="3" t="n">
        <v>40.63</v>
      </c>
      <c r="Q117" s="4" t="n">
        <v>0.023</v>
      </c>
      <c r="R117" s="3" t="n">
        <v>158.78</v>
      </c>
      <c r="S117" s="3" t="n">
        <v>65.81</v>
      </c>
      <c r="T117" s="3" t="n">
        <v>82.77</v>
      </c>
      <c r="U117" s="4" t="n">
        <v>0.5213</v>
      </c>
      <c r="V117" s="3" t="n">
        <v>10.2</v>
      </c>
      <c r="W117" t="inlineStr">
        <is>
          <t>Credit Card</t>
        </is>
      </c>
      <c r="X117" t="inlineStr">
        <is>
          <t>High</t>
        </is>
      </c>
    </row>
    <row r="118">
      <c r="A118" t="inlineStr">
        <is>
          <t>ORD-00117</t>
        </is>
      </c>
      <c r="B118" s="2" t="n">
        <v>45782</v>
      </c>
      <c r="C118" s="2" t="n">
        <v>45783</v>
      </c>
      <c r="D118" t="inlineStr">
        <is>
          <t>CUST-00117</t>
        </is>
      </c>
      <c r="E118" t="inlineStr">
        <is>
          <t>CUSTOMER 117</t>
        </is>
      </c>
      <c r="F118" t="inlineStr">
        <is>
          <t>Consumer</t>
        </is>
      </c>
      <c r="G118" t="inlineStr">
        <is>
          <t>P1001</t>
        </is>
      </c>
      <c r="H118" t="inlineStr">
        <is>
          <t>FlexNote Notebook</t>
        </is>
      </c>
      <c r="I118" t="inlineStr">
        <is>
          <t>Office Supplies</t>
        </is>
      </c>
      <c r="J118" t="inlineStr">
        <is>
          <t>Coolers</t>
        </is>
      </c>
      <c r="K118" t="inlineStr">
        <is>
          <t>West</t>
        </is>
      </c>
      <c r="L118" t="inlineStr">
        <is>
          <t>Colorado</t>
        </is>
      </c>
      <c r="M118" t="inlineStr">
        <is>
          <t>Los Angeles</t>
        </is>
      </c>
      <c r="N118" t="inlineStr">
        <is>
          <t>Sophia Singh</t>
        </is>
      </c>
      <c r="O118" t="n">
        <v>6</v>
      </c>
      <c r="P118" s="3" t="n">
        <v>302.52</v>
      </c>
      <c r="Q118" s="4" t="n">
        <v>0.026</v>
      </c>
      <c r="R118" s="3" t="n">
        <v>1767.93</v>
      </c>
      <c r="S118" s="3" t="n">
        <v>1032.16</v>
      </c>
      <c r="T118" s="3" t="n">
        <v>723.97</v>
      </c>
      <c r="U118" s="4" t="n">
        <v>0.4095</v>
      </c>
      <c r="V118" s="3" t="n">
        <v>11.8</v>
      </c>
      <c r="W118" t="inlineStr">
        <is>
          <t>Bank Transfer</t>
        </is>
      </c>
      <c r="X118" t="inlineStr">
        <is>
          <t>Medium</t>
        </is>
      </c>
    </row>
    <row r="119">
      <c r="A119" t="inlineStr">
        <is>
          <t>ORD-00118</t>
        </is>
      </c>
      <c r="B119" s="2" t="n">
        <v>45220</v>
      </c>
      <c r="C119" s="2" t="n">
        <v>45225</v>
      </c>
      <c r="D119" t="inlineStr">
        <is>
          <t>CUST-00118</t>
        </is>
      </c>
      <c r="E119" t="inlineStr">
        <is>
          <t>CUSTOMER 118</t>
        </is>
      </c>
      <c r="F119" t="inlineStr">
        <is>
          <t>Corporate</t>
        </is>
      </c>
      <c r="G119" t="inlineStr">
        <is>
          <t>P1001</t>
        </is>
      </c>
      <c r="H119" t="inlineStr">
        <is>
          <t>Summit Patio Set</t>
        </is>
      </c>
      <c r="I119" t="inlineStr">
        <is>
          <t>Outdoor</t>
        </is>
      </c>
      <c r="J119" t="inlineStr">
        <is>
          <t>Lighting</t>
        </is>
      </c>
      <c r="K119" t="inlineStr">
        <is>
          <t>East</t>
        </is>
      </c>
      <c r="L119" t="inlineStr">
        <is>
          <t>New Jersey</t>
        </is>
      </c>
      <c r="M119" t="inlineStr">
        <is>
          <t>Washington</t>
        </is>
      </c>
      <c r="N119" t="inlineStr">
        <is>
          <t>Liam Chen</t>
        </is>
      </c>
      <c r="O119" t="n">
        <v>4</v>
      </c>
      <c r="P119" s="3" t="n">
        <v>330.05</v>
      </c>
      <c r="Q119" s="4" t="n">
        <v>0.021</v>
      </c>
      <c r="R119" s="3" t="n">
        <v>1292.48</v>
      </c>
      <c r="S119" s="3" t="n">
        <v>756.73</v>
      </c>
      <c r="T119" s="3" t="n">
        <v>525.55</v>
      </c>
      <c r="U119" s="4" t="n">
        <v>0.4066</v>
      </c>
      <c r="V119" s="3" t="n">
        <v>10.2</v>
      </c>
      <c r="W119" t="inlineStr">
        <is>
          <t>Credit Card</t>
        </is>
      </c>
      <c r="X119" t="inlineStr">
        <is>
          <t>Low</t>
        </is>
      </c>
    </row>
    <row r="120">
      <c r="A120" t="inlineStr">
        <is>
          <t>ORD-00119</t>
        </is>
      </c>
      <c r="B120" s="2" t="n">
        <v>46019</v>
      </c>
      <c r="C120" s="2" t="n">
        <v>46026</v>
      </c>
      <c r="D120" t="inlineStr">
        <is>
          <t>CUST-00119</t>
        </is>
      </c>
      <c r="E120" t="inlineStr">
        <is>
          <t>CUSTOMER 119</t>
        </is>
      </c>
      <c r="F120" t="inlineStr">
        <is>
          <t>Consumer</t>
        </is>
      </c>
      <c r="G120" t="inlineStr">
        <is>
          <t>P1002</t>
        </is>
      </c>
      <c r="H120" t="inlineStr">
        <is>
          <t>Pulse Keyboard</t>
        </is>
      </c>
      <c r="I120" t="inlineStr">
        <is>
          <t>Outdoor</t>
        </is>
      </c>
      <c r="J120" t="inlineStr">
        <is>
          <t>Decor</t>
        </is>
      </c>
      <c r="K120" t="inlineStr">
        <is>
          <t>South</t>
        </is>
      </c>
      <c r="L120" t="inlineStr">
        <is>
          <t>Georgia</t>
        </is>
      </c>
      <c r="M120" t="inlineStr">
        <is>
          <t>Dallas</t>
        </is>
      </c>
      <c r="N120" t="inlineStr">
        <is>
          <t>James Carter</t>
        </is>
      </c>
      <c r="O120" t="n">
        <v>1</v>
      </c>
      <c r="P120" s="3" t="n">
        <v>87.43000000000001</v>
      </c>
      <c r="Q120" s="4" t="n">
        <v>0.001</v>
      </c>
      <c r="R120" s="3" t="n">
        <v>87.34</v>
      </c>
      <c r="S120" s="3" t="n">
        <v>46.56</v>
      </c>
      <c r="T120" s="3" t="n">
        <v>33.98</v>
      </c>
      <c r="U120" s="4" t="n">
        <v>0.3891</v>
      </c>
      <c r="V120" s="3" t="n">
        <v>6.8</v>
      </c>
      <c r="W120" t="inlineStr">
        <is>
          <t>Credit Card</t>
        </is>
      </c>
      <c r="X120" t="inlineStr">
        <is>
          <t>Low</t>
        </is>
      </c>
    </row>
    <row r="121">
      <c r="A121" t="inlineStr">
        <is>
          <t>ORD-00120</t>
        </is>
      </c>
      <c r="B121" s="2" t="n">
        <v>45461</v>
      </c>
      <c r="C121" s="2" t="n">
        <v>45466</v>
      </c>
      <c r="D121" t="inlineStr">
        <is>
          <t>CUST-00120</t>
        </is>
      </c>
      <c r="E121" t="inlineStr">
        <is>
          <t>CUSTOMER 120</t>
        </is>
      </c>
      <c r="F121" t="inlineStr">
        <is>
          <t>Corporate</t>
        </is>
      </c>
      <c r="G121" t="inlineStr">
        <is>
          <t>P1012</t>
        </is>
      </c>
      <c r="H121" t="inlineStr">
        <is>
          <t>Aero Standing Desk</t>
        </is>
      </c>
      <c r="I121" t="inlineStr">
        <is>
          <t>Home Decor</t>
        </is>
      </c>
      <c r="J121" t="inlineStr">
        <is>
          <t>Desks</t>
        </is>
      </c>
      <c r="K121" t="inlineStr">
        <is>
          <t>West</t>
        </is>
      </c>
      <c r="L121" t="inlineStr">
        <is>
          <t>California</t>
        </is>
      </c>
      <c r="M121" t="inlineStr">
        <is>
          <t>San Francisco</t>
        </is>
      </c>
      <c r="N121" t="inlineStr">
        <is>
          <t>Liam Chen</t>
        </is>
      </c>
      <c r="O121" t="n">
        <v>4</v>
      </c>
      <c r="P121" s="3" t="n">
        <v>137.68</v>
      </c>
      <c r="Q121" s="4" t="n">
        <v>0.057</v>
      </c>
      <c r="R121" s="3" t="n">
        <v>519.33</v>
      </c>
      <c r="S121" s="3" t="n">
        <v>266.15</v>
      </c>
      <c r="T121" s="3" t="n">
        <v>242.98</v>
      </c>
      <c r="U121" s="4" t="n">
        <v>0.4679</v>
      </c>
      <c r="V121" s="3" t="n">
        <v>10.2</v>
      </c>
      <c r="W121" t="inlineStr">
        <is>
          <t>Bank Transfer</t>
        </is>
      </c>
      <c r="X121" t="inlineStr">
        <is>
          <t>High</t>
        </is>
      </c>
    </row>
    <row r="122">
      <c r="A122" t="inlineStr">
        <is>
          <t>ORD-00121</t>
        </is>
      </c>
      <c r="B122" s="2" t="n">
        <v>45985</v>
      </c>
      <c r="C122" s="2" t="n">
        <v>45986</v>
      </c>
      <c r="D122" t="inlineStr">
        <is>
          <t>CUST-00121</t>
        </is>
      </c>
      <c r="E122" t="inlineStr">
        <is>
          <t>customer 121</t>
        </is>
      </c>
      <c r="F122" t="inlineStr">
        <is>
          <t>Corporate</t>
        </is>
      </c>
      <c r="G122" t="inlineStr">
        <is>
          <t>P1020</t>
        </is>
      </c>
      <c r="H122" t="inlineStr">
        <is>
          <t>Summit Patio Set</t>
        </is>
      </c>
      <c r="I122" t="inlineStr">
        <is>
          <t>Home Decor</t>
        </is>
      </c>
      <c r="J122" t="inlineStr">
        <is>
          <t>Storage</t>
        </is>
      </c>
      <c r="K122" t="inlineStr">
        <is>
          <t>West</t>
        </is>
      </c>
      <c r="L122" t="inlineStr">
        <is>
          <t>Oregon</t>
        </is>
      </c>
      <c r="M122" t="inlineStr">
        <is>
          <t>Seattle</t>
        </is>
      </c>
      <c r="N122" t="inlineStr">
        <is>
          <t>Olivia Martin</t>
        </is>
      </c>
      <c r="O122" t="n">
        <v>5</v>
      </c>
      <c r="P122" s="3" t="n">
        <v>79.67</v>
      </c>
      <c r="Q122" s="4" t="n">
        <v>0.016</v>
      </c>
      <c r="R122" s="3" t="n">
        <v>391.98</v>
      </c>
      <c r="S122" s="3" t="n">
        <v>185.19</v>
      </c>
      <c r="T122" s="3" t="n">
        <v>195.79</v>
      </c>
      <c r="U122" s="4" t="n">
        <v>0.4995</v>
      </c>
      <c r="V122" s="3" t="n">
        <v>11</v>
      </c>
      <c r="W122" t="inlineStr">
        <is>
          <t>Cash on Delivery</t>
        </is>
      </c>
      <c r="X122" t="inlineStr">
        <is>
          <t>Medium</t>
        </is>
      </c>
    </row>
    <row r="123">
      <c r="A123" t="inlineStr">
        <is>
          <t>ORD-00122</t>
        </is>
      </c>
      <c r="B123" s="2" t="n">
        <v>45895</v>
      </c>
      <c r="C123" s="2" t="n">
        <v>45896</v>
      </c>
      <c r="D123" t="inlineStr">
        <is>
          <t>CUST-00122</t>
        </is>
      </c>
      <c r="E123" t="inlineStr">
        <is>
          <t>customer 122</t>
        </is>
      </c>
      <c r="F123" t="inlineStr">
        <is>
          <t>Home Office</t>
        </is>
      </c>
      <c r="G123" t="inlineStr">
        <is>
          <t>P1018</t>
        </is>
      </c>
      <c r="H123" t="inlineStr">
        <is>
          <t>FlexNote Notebook</t>
        </is>
      </c>
      <c r="I123" t="inlineStr">
        <is>
          <t>Technology</t>
        </is>
      </c>
      <c r="J123" t="inlineStr">
        <is>
          <t>Storage</t>
        </is>
      </c>
      <c r="K123" t="inlineStr">
        <is>
          <t>West</t>
        </is>
      </c>
      <c r="L123" t="inlineStr">
        <is>
          <t>Oregon</t>
        </is>
      </c>
      <c r="M123" t="inlineStr">
        <is>
          <t>Denver</t>
        </is>
      </c>
      <c r="N123" t="inlineStr">
        <is>
          <t>James Carter</t>
        </is>
      </c>
      <c r="O123" t="n">
        <v>4</v>
      </c>
      <c r="P123" s="3" t="n">
        <v>95.70999999999999</v>
      </c>
      <c r="Q123" s="4" t="n">
        <v>0.019</v>
      </c>
      <c r="R123" s="3" t="n">
        <v>375.57</v>
      </c>
      <c r="S123" s="3" t="n">
        <v>170.23</v>
      </c>
      <c r="T123" s="3" t="n">
        <v>195.14</v>
      </c>
      <c r="U123" s="4" t="n">
        <v>0.5196</v>
      </c>
      <c r="V123" s="3" t="n">
        <v>10.2</v>
      </c>
      <c r="W123" t="inlineStr">
        <is>
          <t>Debit Card</t>
        </is>
      </c>
      <c r="X123" t="inlineStr">
        <is>
          <t>Medium</t>
        </is>
      </c>
    </row>
    <row r="124">
      <c r="A124" t="inlineStr">
        <is>
          <t>ORD-00123</t>
        </is>
      </c>
      <c r="B124" s="2" t="n">
        <v>45364</v>
      </c>
      <c r="C124" s="2" t="n">
        <v>45365</v>
      </c>
      <c r="D124" t="inlineStr">
        <is>
          <t>CUST-00123</t>
        </is>
      </c>
      <c r="E124" t="inlineStr">
        <is>
          <t>customer 123</t>
        </is>
      </c>
      <c r="F124" t="inlineStr">
        <is>
          <t>Corporate</t>
        </is>
      </c>
      <c r="G124" t="inlineStr">
        <is>
          <t>P1012</t>
        </is>
      </c>
      <c r="H124" t="inlineStr">
        <is>
          <t>Aero Standing Desk</t>
        </is>
      </c>
      <c r="I124" t="inlineStr">
        <is>
          <t>Furniture</t>
        </is>
      </c>
      <c r="J124" t="inlineStr">
        <is>
          <t>Chairs</t>
        </is>
      </c>
      <c r="K124" t="inlineStr">
        <is>
          <t>Central</t>
        </is>
      </c>
      <c r="L124" t="inlineStr">
        <is>
          <t>Illinois</t>
        </is>
      </c>
      <c r="M124" t="inlineStr">
        <is>
          <t>Kansas City</t>
        </is>
      </c>
      <c r="N124" t="inlineStr">
        <is>
          <t>Sophia Singh</t>
        </is>
      </c>
      <c r="O124" t="n">
        <v>3</v>
      </c>
      <c r="P124" s="3" t="n">
        <v>124.76</v>
      </c>
      <c r="Q124" s="4" t="n">
        <v>0.033</v>
      </c>
      <c r="R124" s="3" t="n">
        <v>361.93</v>
      </c>
      <c r="S124" s="3" t="n">
        <v>181.86</v>
      </c>
      <c r="T124" s="3" t="n">
        <v>171.67</v>
      </c>
      <c r="U124" s="4" t="n">
        <v>0.4743</v>
      </c>
      <c r="V124" s="3" t="n">
        <v>8.4</v>
      </c>
      <c r="W124" t="inlineStr">
        <is>
          <t>Bank Transfer</t>
        </is>
      </c>
      <c r="X124" t="inlineStr">
        <is>
          <t>High</t>
        </is>
      </c>
    </row>
    <row r="125">
      <c r="A125" t="inlineStr">
        <is>
          <t>ORD-00124</t>
        </is>
      </c>
      <c r="B125" s="2" t="n">
        <v>45200</v>
      </c>
      <c r="C125" s="2" t="n">
        <v>45204</v>
      </c>
      <c r="D125" t="inlineStr">
        <is>
          <t>CUST-00124</t>
        </is>
      </c>
      <c r="E125" t="inlineStr">
        <is>
          <t>customer 124</t>
        </is>
      </c>
      <c r="F125" t="inlineStr">
        <is>
          <t>Consumer</t>
        </is>
      </c>
      <c r="G125" t="inlineStr">
        <is>
          <t>P1001</t>
        </is>
      </c>
      <c r="H125" t="inlineStr">
        <is>
          <t>Orbit Wireless Mouse</t>
        </is>
      </c>
      <c r="I125" t="inlineStr">
        <is>
          <t>Furniture</t>
        </is>
      </c>
      <c r="J125" t="inlineStr">
        <is>
          <t>Chairs</t>
        </is>
      </c>
      <c r="K125" t="inlineStr">
        <is>
          <t>South</t>
        </is>
      </c>
      <c r="L125" t="inlineStr">
        <is>
          <t>Florida</t>
        </is>
      </c>
      <c r="M125" t="inlineStr">
        <is>
          <t>Dallas</t>
        </is>
      </c>
      <c r="N125" t="inlineStr">
        <is>
          <t>Sophia Singh</t>
        </is>
      </c>
      <c r="O125" t="n">
        <v>3</v>
      </c>
      <c r="P125" s="3" t="n">
        <v>317.12</v>
      </c>
      <c r="Q125" s="4" t="n">
        <v>0.016</v>
      </c>
      <c r="R125" s="3" t="n">
        <v>936.14</v>
      </c>
      <c r="S125" s="3" t="n">
        <v>547.51</v>
      </c>
      <c r="T125" s="3" t="n">
        <v>380.23</v>
      </c>
      <c r="U125" s="4" t="n">
        <v>0.4062</v>
      </c>
      <c r="V125" s="3" t="n">
        <v>8.4</v>
      </c>
      <c r="W125" t="inlineStr">
        <is>
          <t>Debit Card</t>
        </is>
      </c>
      <c r="X125" t="inlineStr">
        <is>
          <t>High</t>
        </is>
      </c>
    </row>
    <row r="126">
      <c r="A126" t="inlineStr">
        <is>
          <t>ORD-00125</t>
        </is>
      </c>
      <c r="B126" s="2" t="n">
        <v>45117</v>
      </c>
      <c r="C126" s="2" t="n">
        <v>45123</v>
      </c>
      <c r="D126" t="inlineStr">
        <is>
          <t>CUST-00125</t>
        </is>
      </c>
      <c r="E126" t="inlineStr">
        <is>
          <t>customer 125</t>
        </is>
      </c>
      <c r="F126" t="inlineStr">
        <is>
          <t>Consumer</t>
        </is>
      </c>
      <c r="G126" t="inlineStr">
        <is>
          <t>P1011</t>
        </is>
      </c>
      <c r="H126" t="inlineStr">
        <is>
          <t>Nimbus Monitor Arm</t>
        </is>
      </c>
      <c r="I126" t="inlineStr">
        <is>
          <t>Technology</t>
        </is>
      </c>
      <c r="J126" t="inlineStr">
        <is>
          <t>Desks</t>
        </is>
      </c>
      <c r="K126" t="inlineStr">
        <is>
          <t>Central</t>
        </is>
      </c>
      <c r="L126" t="inlineStr">
        <is>
          <t>Kansas</t>
        </is>
      </c>
      <c r="M126" t="inlineStr">
        <is>
          <t>St. Louis</t>
        </is>
      </c>
      <c r="N126" t="inlineStr">
        <is>
          <t>Noah Kim</t>
        </is>
      </c>
      <c r="O126" t="n">
        <v>4</v>
      </c>
      <c r="P126" s="3" t="n">
        <v>94.58</v>
      </c>
      <c r="Q126" s="4" t="n">
        <v>0.02</v>
      </c>
      <c r="R126" s="3" t="n">
        <v>370.75</v>
      </c>
      <c r="S126" s="3" t="n">
        <v>180.6</v>
      </c>
      <c r="T126" s="3" t="n">
        <v>180.95</v>
      </c>
      <c r="U126" s="4" t="n">
        <v>0.4881</v>
      </c>
      <c r="V126" s="3" t="n">
        <v>9.199999999999999</v>
      </c>
      <c r="W126" t="inlineStr">
        <is>
          <t>PayPal</t>
        </is>
      </c>
      <c r="X126" t="inlineStr">
        <is>
          <t>High</t>
        </is>
      </c>
    </row>
    <row r="127">
      <c r="A127" t="inlineStr">
        <is>
          <t>ORD-00126</t>
        </is>
      </c>
      <c r="B127" s="2" t="n">
        <v>45544</v>
      </c>
      <c r="C127" s="2" t="n">
        <v>45550</v>
      </c>
      <c r="D127" t="inlineStr">
        <is>
          <t>CUST-00126</t>
        </is>
      </c>
      <c r="E127" t="inlineStr">
        <is>
          <t>customer 126</t>
        </is>
      </c>
      <c r="F127" t="inlineStr">
        <is>
          <t>Consumer</t>
        </is>
      </c>
      <c r="G127" t="inlineStr">
        <is>
          <t>P1002</t>
        </is>
      </c>
      <c r="H127" t="inlineStr">
        <is>
          <t>ProClip Binder</t>
        </is>
      </c>
      <c r="I127" t="inlineStr">
        <is>
          <t>Furniture</t>
        </is>
      </c>
      <c r="J127" t="inlineStr">
        <is>
          <t>Coolers</t>
        </is>
      </c>
      <c r="K127" t="inlineStr">
        <is>
          <t>Central</t>
        </is>
      </c>
      <c r="L127" t="inlineStr">
        <is>
          <t>Kansas</t>
        </is>
      </c>
      <c r="M127" t="inlineStr">
        <is>
          <t>St. Louis</t>
        </is>
      </c>
      <c r="N127" t="inlineStr">
        <is>
          <t>Liam Chen</t>
        </is>
      </c>
      <c r="O127" t="n">
        <v>3</v>
      </c>
      <c r="P127" s="3" t="n">
        <v>80.43000000000001</v>
      </c>
      <c r="Q127" s="4" t="n">
        <v>0.014</v>
      </c>
      <c r="R127" s="3" t="n">
        <v>237.91</v>
      </c>
      <c r="S127" s="3" t="n">
        <v>112.11</v>
      </c>
      <c r="T127" s="3" t="n">
        <v>117.4</v>
      </c>
      <c r="U127" s="4" t="n">
        <v>0.4935</v>
      </c>
      <c r="V127" s="3" t="n">
        <v>8.4</v>
      </c>
      <c r="W127" t="inlineStr">
        <is>
          <t>Debit Card</t>
        </is>
      </c>
      <c r="X127" t="inlineStr">
        <is>
          <t>Low</t>
        </is>
      </c>
    </row>
    <row r="128">
      <c r="A128" t="inlineStr">
        <is>
          <t>ORD-00127</t>
        </is>
      </c>
      <c r="B128" s="2" t="n">
        <v>46008</v>
      </c>
      <c r="C128" s="2" t="n">
        <v>46015</v>
      </c>
      <c r="D128" t="inlineStr">
        <is>
          <t>CUST-00127</t>
        </is>
      </c>
      <c r="E128" t="inlineStr">
        <is>
          <t>customer 127</t>
        </is>
      </c>
      <c r="F128" t="inlineStr">
        <is>
          <t>Home Office</t>
        </is>
      </c>
      <c r="G128" t="inlineStr">
        <is>
          <t>P1012</t>
        </is>
      </c>
      <c r="H128" t="inlineStr">
        <is>
          <t>CloudDrive File Box</t>
        </is>
      </c>
      <c r="I128" t="inlineStr">
        <is>
          <t>Furniture</t>
        </is>
      </c>
      <c r="J128" t="inlineStr">
        <is>
          <t>Lighting</t>
        </is>
      </c>
      <c r="K128" t="inlineStr">
        <is>
          <t>East</t>
        </is>
      </c>
      <c r="L128" t="inlineStr">
        <is>
          <t>Massachusetts</t>
        </is>
      </c>
      <c r="M128" t="inlineStr">
        <is>
          <t>Boston</t>
        </is>
      </c>
      <c r="N128" t="inlineStr">
        <is>
          <t>Sophia Singh</t>
        </is>
      </c>
      <c r="O128" t="n">
        <v>2</v>
      </c>
      <c r="P128" s="3" t="n">
        <v>136.72</v>
      </c>
      <c r="Q128" s="4" t="n">
        <v>0.014</v>
      </c>
      <c r="R128" s="3" t="n">
        <v>269.61</v>
      </c>
      <c r="S128" s="3" t="n">
        <v>140.92</v>
      </c>
      <c r="T128" s="3" t="n">
        <v>120.09</v>
      </c>
      <c r="U128" s="4" t="n">
        <v>0.4454</v>
      </c>
      <c r="V128" s="3" t="n">
        <v>8.6</v>
      </c>
      <c r="W128" t="inlineStr">
        <is>
          <t>Bank Transfer</t>
        </is>
      </c>
      <c r="X128" t="inlineStr">
        <is>
          <t>Medium</t>
        </is>
      </c>
    </row>
    <row r="129">
      <c r="A129" t="inlineStr">
        <is>
          <t>ORD-00128</t>
        </is>
      </c>
      <c r="B129" s="2" t="n">
        <v>45809</v>
      </c>
      <c r="C129" s="2" t="n">
        <v>45810</v>
      </c>
      <c r="D129" t="inlineStr">
        <is>
          <t>CUST-00128</t>
        </is>
      </c>
      <c r="E129" t="inlineStr">
        <is>
          <t>customer 128</t>
        </is>
      </c>
      <c r="F129" t="inlineStr">
        <is>
          <t>Consumer</t>
        </is>
      </c>
      <c r="G129" t="inlineStr">
        <is>
          <t>P1002</t>
        </is>
      </c>
      <c r="H129" t="inlineStr">
        <is>
          <t>FlexNote Notebook</t>
        </is>
      </c>
      <c r="I129" t="inlineStr">
        <is>
          <t>Technology</t>
        </is>
      </c>
      <c r="J129" t="inlineStr">
        <is>
          <t>Peripherals</t>
        </is>
      </c>
      <c r="K129" t="inlineStr">
        <is>
          <t>Central</t>
        </is>
      </c>
      <c r="L129" t="inlineStr">
        <is>
          <t>Minnesota</t>
        </is>
      </c>
      <c r="M129" t="inlineStr">
        <is>
          <t>Chicago</t>
        </is>
      </c>
      <c r="N129" t="inlineStr">
        <is>
          <t>James Carter</t>
        </is>
      </c>
      <c r="O129" t="n">
        <v>6</v>
      </c>
      <c r="P129" s="3" t="n">
        <v>79.22</v>
      </c>
      <c r="Q129" s="4" t="n">
        <v>0.037</v>
      </c>
      <c r="R129" s="3" t="n">
        <v>457.73</v>
      </c>
      <c r="S129" s="3" t="n">
        <v>209.04</v>
      </c>
      <c r="T129" s="3" t="n">
        <v>237.89</v>
      </c>
      <c r="U129" s="4" t="n">
        <v>0.5197000000000001</v>
      </c>
      <c r="V129" s="3" t="n">
        <v>10.8</v>
      </c>
      <c r="W129" t="inlineStr">
        <is>
          <t>Credit Card</t>
        </is>
      </c>
      <c r="X129" t="inlineStr">
        <is>
          <t>High</t>
        </is>
      </c>
    </row>
    <row r="130">
      <c r="A130" t="inlineStr">
        <is>
          <t>ORD-00129</t>
        </is>
      </c>
      <c r="B130" s="2" t="n">
        <v>45261</v>
      </c>
      <c r="C130" s="2" t="n">
        <v>45268</v>
      </c>
      <c r="D130" t="inlineStr">
        <is>
          <t>CUST-00129</t>
        </is>
      </c>
      <c r="E130" t="inlineStr">
        <is>
          <t>customer 129</t>
        </is>
      </c>
      <c r="F130" t="inlineStr">
        <is>
          <t>Home Office</t>
        </is>
      </c>
      <c r="G130" t="inlineStr">
        <is>
          <t>P1017</t>
        </is>
      </c>
      <c r="H130" t="inlineStr">
        <is>
          <t>CloudDrive File Box</t>
        </is>
      </c>
      <c r="I130" t="inlineStr">
        <is>
          <t>Furniture</t>
        </is>
      </c>
      <c r="J130" t="inlineStr">
        <is>
          <t>Coolers</t>
        </is>
      </c>
      <c r="K130" t="inlineStr">
        <is>
          <t>South</t>
        </is>
      </c>
      <c r="L130" t="inlineStr">
        <is>
          <t>Georgia</t>
        </is>
      </c>
      <c r="M130" t="inlineStr">
        <is>
          <t>Atlanta</t>
        </is>
      </c>
      <c r="N130" t="inlineStr">
        <is>
          <t>Ava Patel</t>
        </is>
      </c>
      <c r="O130" t="n">
        <v>1</v>
      </c>
      <c r="P130" s="3" t="n">
        <v>572.89</v>
      </c>
      <c r="Q130" s="4" t="n">
        <v>0.02</v>
      </c>
      <c r="R130" s="3" t="n">
        <v>561.4299999999999</v>
      </c>
      <c r="S130" s="3" t="n">
        <v>375.9</v>
      </c>
      <c r="T130" s="3" t="n">
        <v>178.73</v>
      </c>
      <c r="U130" s="4" t="n">
        <v>0.3183</v>
      </c>
      <c r="V130" s="3" t="n">
        <v>6.8</v>
      </c>
      <c r="W130" t="inlineStr">
        <is>
          <t>Debit Card</t>
        </is>
      </c>
      <c r="X130" t="inlineStr">
        <is>
          <t>Low</t>
        </is>
      </c>
    </row>
    <row r="131">
      <c r="A131" t="inlineStr">
        <is>
          <t>ORD-00130</t>
        </is>
      </c>
      <c r="B131" s="2" t="n">
        <v>45572</v>
      </c>
      <c r="C131" s="2" t="n">
        <v>45578</v>
      </c>
      <c r="D131" t="inlineStr">
        <is>
          <t>CUST-00130</t>
        </is>
      </c>
      <c r="E131" t="inlineStr">
        <is>
          <t>customer 130</t>
        </is>
      </c>
      <c r="F131" t="inlineStr">
        <is>
          <t>Home Office</t>
        </is>
      </c>
      <c r="G131" t="inlineStr">
        <is>
          <t>P1006</t>
        </is>
      </c>
      <c r="H131" t="inlineStr">
        <is>
          <t>Orbit Wireless Mouse</t>
        </is>
      </c>
      <c r="I131" t="inlineStr">
        <is>
          <t>Furniture</t>
        </is>
      </c>
      <c r="J131" t="inlineStr">
        <is>
          <t>Peripherals</t>
        </is>
      </c>
      <c r="K131" t="inlineStr">
        <is>
          <t>South</t>
        </is>
      </c>
      <c r="L131" t="inlineStr">
        <is>
          <t>Florida</t>
        </is>
      </c>
      <c r="M131" t="inlineStr">
        <is>
          <t>Houston</t>
        </is>
      </c>
      <c r="N131" t="inlineStr">
        <is>
          <t>Ethan Brooks</t>
        </is>
      </c>
      <c r="O131" t="n">
        <v>3</v>
      </c>
      <c r="P131" s="3" t="n">
        <v>18.82</v>
      </c>
      <c r="Q131" s="4" t="n">
        <v>0.042</v>
      </c>
      <c r="R131" s="3" t="n">
        <v>54.09</v>
      </c>
      <c r="S131" s="3" t="n">
        <v>27.59</v>
      </c>
      <c r="T131" s="3" t="n">
        <v>18.1</v>
      </c>
      <c r="U131" s="4" t="n">
        <v>0.3346</v>
      </c>
      <c r="V131" s="3" t="n">
        <v>8.4</v>
      </c>
      <c r="W131" t="inlineStr">
        <is>
          <t>Cash on Delivery</t>
        </is>
      </c>
      <c r="X131" t="inlineStr">
        <is>
          <t>High</t>
        </is>
      </c>
    </row>
    <row r="132">
      <c r="A132" t="inlineStr">
        <is>
          <t>ORD-00131</t>
        </is>
      </c>
      <c r="B132" s="2" t="n">
        <v>45477</v>
      </c>
      <c r="C132" s="2" t="n">
        <v>45482</v>
      </c>
      <c r="D132" t="inlineStr">
        <is>
          <t>CUST-00131</t>
        </is>
      </c>
      <c r="E132" t="inlineStr">
        <is>
          <t>customer 131</t>
        </is>
      </c>
      <c r="F132" t="inlineStr">
        <is>
          <t>Corporate</t>
        </is>
      </c>
      <c r="G132" t="inlineStr">
        <is>
          <t>P1016</t>
        </is>
      </c>
      <c r="H132" t="inlineStr">
        <is>
          <t>Northstar Lantern</t>
        </is>
      </c>
      <c r="I132" t="inlineStr">
        <is>
          <t>Office Supplies</t>
        </is>
      </c>
      <c r="J132" t="inlineStr">
        <is>
          <t>Accessories</t>
        </is>
      </c>
      <c r="K132" t="inlineStr">
        <is>
          <t>East</t>
        </is>
      </c>
      <c r="L132" t="inlineStr">
        <is>
          <t>Massachusetts</t>
        </is>
      </c>
      <c r="M132" t="inlineStr">
        <is>
          <t>Washington</t>
        </is>
      </c>
      <c r="N132" t="inlineStr">
        <is>
          <t>James Carter</t>
        </is>
      </c>
      <c r="O132" t="n">
        <v>3</v>
      </c>
      <c r="P132" s="3" t="n">
        <v>41.62</v>
      </c>
      <c r="Q132" s="4" t="n">
        <v>0.012</v>
      </c>
      <c r="R132" s="3" t="n">
        <v>123.36</v>
      </c>
      <c r="S132" s="3" t="n">
        <v>52.85</v>
      </c>
      <c r="T132" s="3" t="n">
        <v>61.11</v>
      </c>
      <c r="U132" s="4" t="n">
        <v>0.4954</v>
      </c>
      <c r="V132" s="3" t="n">
        <v>9.4</v>
      </c>
      <c r="W132" t="inlineStr">
        <is>
          <t>Bank Transfer</t>
        </is>
      </c>
      <c r="X132" t="inlineStr">
        <is>
          <t>Medium</t>
        </is>
      </c>
    </row>
    <row r="133">
      <c r="A133" t="inlineStr">
        <is>
          <t>ORD-00132</t>
        </is>
      </c>
      <c r="B133" s="2" t="n">
        <v>45166</v>
      </c>
      <c r="C133" s="2" t="n">
        <v>45167</v>
      </c>
      <c r="D133" t="inlineStr">
        <is>
          <t>CUST-00132</t>
        </is>
      </c>
      <c r="E133" t="inlineStr">
        <is>
          <t>customer 132</t>
        </is>
      </c>
      <c r="F133" t="inlineStr">
        <is>
          <t>Consumer</t>
        </is>
      </c>
      <c r="G133" t="inlineStr">
        <is>
          <t>P1019</t>
        </is>
      </c>
      <c r="H133" t="inlineStr">
        <is>
          <t>Aero Standing Desk</t>
        </is>
      </c>
      <c r="I133" t="inlineStr">
        <is>
          <t>Office Supplies</t>
        </is>
      </c>
      <c r="J133" t="inlineStr">
        <is>
          <t>Writing</t>
        </is>
      </c>
      <c r="K133" t="inlineStr">
        <is>
          <t>South</t>
        </is>
      </c>
      <c r="L133" t="inlineStr">
        <is>
          <t>North Carolina</t>
        </is>
      </c>
      <c r="M133" t="inlineStr">
        <is>
          <t>Dallas</t>
        </is>
      </c>
      <c r="N133" t="inlineStr">
        <is>
          <t>Liam Chen</t>
        </is>
      </c>
      <c r="O133" t="n">
        <v>3</v>
      </c>
      <c r="P133" s="3" t="n">
        <v>58.21</v>
      </c>
      <c r="Q133" s="4" t="n">
        <v>0.001</v>
      </c>
      <c r="R133" s="3" t="n">
        <v>174.46</v>
      </c>
      <c r="S133" s="3" t="n">
        <v>77.37</v>
      </c>
      <c r="T133" s="3" t="n">
        <v>88.69</v>
      </c>
      <c r="U133" s="4" t="n">
        <v>0.5084</v>
      </c>
      <c r="V133" s="3" t="n">
        <v>8.4</v>
      </c>
      <c r="W133" t="inlineStr">
        <is>
          <t>Credit Card</t>
        </is>
      </c>
      <c r="X133" t="inlineStr">
        <is>
          <t>Low</t>
        </is>
      </c>
    </row>
    <row r="134">
      <c r="A134" t="inlineStr">
        <is>
          <t>ORD-00133</t>
        </is>
      </c>
      <c r="B134" s="2" t="n">
        <v>45069</v>
      </c>
      <c r="C134" s="2" t="n">
        <v>45071</v>
      </c>
      <c r="D134" t="inlineStr">
        <is>
          <t>CUST-00133</t>
        </is>
      </c>
      <c r="E134" t="inlineStr">
        <is>
          <t>customer 133</t>
        </is>
      </c>
      <c r="F134" t="inlineStr">
        <is>
          <t>Consumer</t>
        </is>
      </c>
      <c r="G134" t="inlineStr">
        <is>
          <t>P1006</t>
        </is>
      </c>
      <c r="H134" t="inlineStr">
        <is>
          <t>ProClip Binder</t>
        </is>
      </c>
      <c r="I134" t="inlineStr">
        <is>
          <t>Technology</t>
        </is>
      </c>
      <c r="J134" t="inlineStr">
        <is>
          <t>Binders</t>
        </is>
      </c>
      <c r="K134" t="inlineStr">
        <is>
          <t>East</t>
        </is>
      </c>
      <c r="L134" t="inlineStr">
        <is>
          <t>Massachusetts</t>
        </is>
      </c>
      <c r="M134" t="inlineStr">
        <is>
          <t>Boston</t>
        </is>
      </c>
      <c r="N134" t="inlineStr">
        <is>
          <t>Liam Chen</t>
        </is>
      </c>
      <c r="O134" t="n">
        <v>3</v>
      </c>
      <c r="P134" s="3" t="n">
        <v>18.99</v>
      </c>
      <c r="Q134" s="4" t="n">
        <v>0.029</v>
      </c>
      <c r="R134" s="3" t="n">
        <v>55.32</v>
      </c>
      <c r="S134" s="3" t="n">
        <v>22.61</v>
      </c>
      <c r="T134" s="3" t="n">
        <v>23.31</v>
      </c>
      <c r="U134" s="4" t="n">
        <v>0.4214</v>
      </c>
      <c r="V134" s="3" t="n">
        <v>9.4</v>
      </c>
      <c r="W134" t="inlineStr">
        <is>
          <t>Credit Card</t>
        </is>
      </c>
      <c r="X134" t="inlineStr">
        <is>
          <t>High</t>
        </is>
      </c>
    </row>
    <row r="135">
      <c r="A135" t="inlineStr">
        <is>
          <t>ORD-00134</t>
        </is>
      </c>
      <c r="B135" s="2" t="n">
        <v>45647</v>
      </c>
      <c r="C135" s="2" t="n">
        <v>45648</v>
      </c>
      <c r="D135" t="inlineStr">
        <is>
          <t>CUST-00134</t>
        </is>
      </c>
      <c r="E135" t="inlineStr">
        <is>
          <t>customer 134</t>
        </is>
      </c>
      <c r="F135" t="inlineStr">
        <is>
          <t>Consumer</t>
        </is>
      </c>
      <c r="G135" t="inlineStr">
        <is>
          <t>P1007</t>
        </is>
      </c>
      <c r="H135" t="inlineStr">
        <is>
          <t>Nimbus Monitor Arm</t>
        </is>
      </c>
      <c r="I135" t="inlineStr">
        <is>
          <t>Home Decor</t>
        </is>
      </c>
      <c r="J135" t="inlineStr">
        <is>
          <t>Chairs</t>
        </is>
      </c>
      <c r="K135" t="inlineStr">
        <is>
          <t>Central</t>
        </is>
      </c>
      <c r="L135" t="inlineStr">
        <is>
          <t>Kansas</t>
        </is>
      </c>
      <c r="M135" t="inlineStr">
        <is>
          <t>Kansas City</t>
        </is>
      </c>
      <c r="N135" t="inlineStr">
        <is>
          <t>James Carter</t>
        </is>
      </c>
      <c r="O135" t="n">
        <v>1</v>
      </c>
      <c r="P135" s="3" t="n">
        <v>25.76</v>
      </c>
      <c r="Q135" s="4" t="n">
        <v>0.008</v>
      </c>
      <c r="R135" s="3" t="n">
        <v>25.55</v>
      </c>
      <c r="S135" s="3" t="n">
        <v>12.28</v>
      </c>
      <c r="T135" s="3" t="n">
        <v>6.47</v>
      </c>
      <c r="U135" s="4" t="n">
        <v>0.2532</v>
      </c>
      <c r="V135" s="3" t="n">
        <v>6.8</v>
      </c>
      <c r="W135" t="inlineStr">
        <is>
          <t>PayPal</t>
        </is>
      </c>
      <c r="X135" t="inlineStr">
        <is>
          <t>Medium</t>
        </is>
      </c>
    </row>
    <row r="136">
      <c r="A136" t="inlineStr">
        <is>
          <t>ORD-00135</t>
        </is>
      </c>
      <c r="B136" s="2" t="n">
        <v>45912</v>
      </c>
      <c r="C136" s="2" t="n">
        <v>45913</v>
      </c>
      <c r="D136" t="inlineStr">
        <is>
          <t>CUST-00135</t>
        </is>
      </c>
      <c r="E136" t="inlineStr">
        <is>
          <t>customer 135</t>
        </is>
      </c>
      <c r="F136" t="inlineStr">
        <is>
          <t>Consumer</t>
        </is>
      </c>
      <c r="G136" t="inlineStr">
        <is>
          <t>P1019</t>
        </is>
      </c>
      <c r="H136" t="inlineStr">
        <is>
          <t>Aero Standing Desk</t>
        </is>
      </c>
      <c r="I136" t="inlineStr">
        <is>
          <t>Furniture</t>
        </is>
      </c>
      <c r="J136" t="inlineStr">
        <is>
          <t>Paper</t>
        </is>
      </c>
      <c r="K136" t="inlineStr">
        <is>
          <t>North</t>
        </is>
      </c>
      <c r="L136" t="inlineStr">
        <is>
          <t>Ontario</t>
        </is>
      </c>
      <c r="M136" t="inlineStr">
        <is>
          <t>Montreal</t>
        </is>
      </c>
      <c r="N136" t="inlineStr">
        <is>
          <t>Ethan Brooks</t>
        </is>
      </c>
      <c r="O136" t="n">
        <v>1</v>
      </c>
      <c r="P136" s="3" t="n">
        <v>58.06</v>
      </c>
      <c r="Q136" s="4" t="n">
        <v>0.059</v>
      </c>
      <c r="R136" s="3" t="n">
        <v>54.63</v>
      </c>
      <c r="S136" s="3" t="n">
        <v>31.15</v>
      </c>
      <c r="T136" s="3" t="n">
        <v>16.68</v>
      </c>
      <c r="U136" s="4" t="n">
        <v>0.3053</v>
      </c>
      <c r="V136" s="3" t="n">
        <v>6.8</v>
      </c>
      <c r="W136" t="inlineStr">
        <is>
          <t>Credit Card</t>
        </is>
      </c>
      <c r="X136" t="inlineStr">
        <is>
          <t>High</t>
        </is>
      </c>
    </row>
    <row r="137">
      <c r="A137" t="inlineStr">
        <is>
          <t>ORD-00136</t>
        </is>
      </c>
      <c r="B137" s="2" t="n">
        <v>45307</v>
      </c>
      <c r="C137" s="2" t="n">
        <v>45313</v>
      </c>
      <c r="D137" t="inlineStr">
        <is>
          <t>CUST-00136</t>
        </is>
      </c>
      <c r="E137" t="inlineStr">
        <is>
          <t>customer 136</t>
        </is>
      </c>
      <c r="F137" t="inlineStr">
        <is>
          <t>Consumer</t>
        </is>
      </c>
      <c r="G137" t="inlineStr">
        <is>
          <t>P1020</t>
        </is>
      </c>
      <c r="H137" t="inlineStr">
        <is>
          <t>Aero Standing Desk</t>
        </is>
      </c>
      <c r="I137" t="inlineStr">
        <is>
          <t>Office Supplies</t>
        </is>
      </c>
      <c r="J137" t="inlineStr">
        <is>
          <t>Lighting</t>
        </is>
      </c>
      <c r="K137" t="inlineStr">
        <is>
          <t>West</t>
        </is>
      </c>
      <c r="L137" t="inlineStr">
        <is>
          <t>Washington</t>
        </is>
      </c>
      <c r="M137" t="inlineStr">
        <is>
          <t>Denver</t>
        </is>
      </c>
      <c r="N137" t="inlineStr">
        <is>
          <t>Ethan Brooks</t>
        </is>
      </c>
      <c r="O137" t="n">
        <v>1</v>
      </c>
      <c r="P137" s="3" t="n">
        <v>75.22</v>
      </c>
      <c r="Q137" s="4" t="n">
        <v>0.015</v>
      </c>
      <c r="R137" s="3" t="n">
        <v>74.09</v>
      </c>
      <c r="S137" s="3" t="n">
        <v>45.29</v>
      </c>
      <c r="T137" s="3" t="n">
        <v>21</v>
      </c>
      <c r="U137" s="4" t="n">
        <v>0.2834</v>
      </c>
      <c r="V137" s="3" t="n">
        <v>7.8</v>
      </c>
      <c r="W137" t="inlineStr">
        <is>
          <t>Credit Card</t>
        </is>
      </c>
      <c r="X137" t="inlineStr">
        <is>
          <t>Medium</t>
        </is>
      </c>
    </row>
    <row r="138">
      <c r="A138" t="inlineStr">
        <is>
          <t>ORD-00137</t>
        </is>
      </c>
      <c r="B138" s="2" t="n">
        <v>45426</v>
      </c>
      <c r="C138" s="2" t="n">
        <v>45433</v>
      </c>
      <c r="D138" t="inlineStr">
        <is>
          <t>CUST-00137</t>
        </is>
      </c>
      <c r="E138" t="inlineStr">
        <is>
          <t>customer 137</t>
        </is>
      </c>
      <c r="F138" t="inlineStr">
        <is>
          <t>Consumer</t>
        </is>
      </c>
      <c r="G138" t="inlineStr">
        <is>
          <t>P1017</t>
        </is>
      </c>
      <c r="H138" t="inlineStr">
        <is>
          <t>FlexNote Notebook</t>
        </is>
      </c>
      <c r="I138" t="inlineStr">
        <is>
          <t>Technology</t>
        </is>
      </c>
      <c r="J138" t="inlineStr">
        <is>
          <t>Plants</t>
        </is>
      </c>
      <c r="K138" t="inlineStr">
        <is>
          <t>West</t>
        </is>
      </c>
      <c r="L138" t="inlineStr">
        <is>
          <t>Washington</t>
        </is>
      </c>
      <c r="M138" t="inlineStr">
        <is>
          <t>Denver</t>
        </is>
      </c>
      <c r="N138" t="inlineStr">
        <is>
          <t>Ethan Brooks</t>
        </is>
      </c>
      <c r="O138" t="n">
        <v>5</v>
      </c>
      <c r="P138" s="3" t="n">
        <v>560.12</v>
      </c>
      <c r="Q138" s="4" t="n">
        <v>0.025</v>
      </c>
      <c r="R138" s="3" t="n">
        <v>2730.59</v>
      </c>
      <c r="S138" s="3" t="n">
        <v>1808.23</v>
      </c>
      <c r="T138" s="3" t="n">
        <v>911.36</v>
      </c>
      <c r="U138" s="4" t="n">
        <v>0.3338</v>
      </c>
      <c r="V138" s="3" t="n">
        <v>11</v>
      </c>
      <c r="W138" t="inlineStr">
        <is>
          <t>Bank Transfer</t>
        </is>
      </c>
      <c r="X138" t="inlineStr">
        <is>
          <t>Medium</t>
        </is>
      </c>
    </row>
    <row r="139">
      <c r="A139" t="inlineStr">
        <is>
          <t>ORD-00138</t>
        </is>
      </c>
      <c r="B139" s="2" t="n">
        <v>45923</v>
      </c>
      <c r="C139" s="2" t="n">
        <v>45926</v>
      </c>
      <c r="D139" t="inlineStr">
        <is>
          <t>CUST-00138</t>
        </is>
      </c>
      <c r="E139" t="inlineStr">
        <is>
          <t>customer 138</t>
        </is>
      </c>
      <c r="F139" t="inlineStr">
        <is>
          <t>Corporate</t>
        </is>
      </c>
      <c r="G139" t="inlineStr">
        <is>
          <t>P1006</t>
        </is>
      </c>
      <c r="H139" t="inlineStr">
        <is>
          <t>Halo Planter</t>
        </is>
      </c>
      <c r="I139" t="inlineStr">
        <is>
          <t>Office Supplies</t>
        </is>
      </c>
      <c r="J139" t="inlineStr">
        <is>
          <t>Decor</t>
        </is>
      </c>
      <c r="K139" t="inlineStr">
        <is>
          <t>West</t>
        </is>
      </c>
      <c r="L139" t="inlineStr">
        <is>
          <t>Oregon</t>
        </is>
      </c>
      <c r="M139" t="inlineStr">
        <is>
          <t>San Francisco</t>
        </is>
      </c>
      <c r="N139" t="inlineStr">
        <is>
          <t>Ava Patel</t>
        </is>
      </c>
      <c r="O139" t="n">
        <v>3</v>
      </c>
      <c r="P139" s="3" t="n">
        <v>19.72</v>
      </c>
      <c r="Q139" s="4" t="n">
        <v>0.051</v>
      </c>
      <c r="R139" s="3" t="n">
        <v>56.14</v>
      </c>
      <c r="S139" s="3" t="n">
        <v>24.37</v>
      </c>
      <c r="T139" s="3" t="n">
        <v>22.37</v>
      </c>
      <c r="U139" s="4" t="n">
        <v>0.3985</v>
      </c>
      <c r="V139" s="3" t="n">
        <v>9.4</v>
      </c>
      <c r="W139" t="inlineStr">
        <is>
          <t>PayPal</t>
        </is>
      </c>
      <c r="X139" t="inlineStr">
        <is>
          <t>Critical</t>
        </is>
      </c>
    </row>
    <row r="140">
      <c r="A140" t="inlineStr">
        <is>
          <t>ORD-00139</t>
        </is>
      </c>
      <c r="B140" s="2" t="n">
        <v>45332</v>
      </c>
      <c r="C140" s="2" t="n">
        <v>45337</v>
      </c>
      <c r="D140" t="inlineStr">
        <is>
          <t>CUST-00139</t>
        </is>
      </c>
      <c r="E140" t="inlineStr">
        <is>
          <t>customer 139</t>
        </is>
      </c>
      <c r="F140" t="inlineStr">
        <is>
          <t>Consumer</t>
        </is>
      </c>
      <c r="G140" t="inlineStr">
        <is>
          <t>P1015</t>
        </is>
      </c>
      <c r="H140" t="inlineStr">
        <is>
          <t>Atlas Throw Pillow</t>
        </is>
      </c>
      <c r="I140" t="inlineStr">
        <is>
          <t>Technology</t>
        </is>
      </c>
      <c r="J140" t="inlineStr">
        <is>
          <t>Writing</t>
        </is>
      </c>
      <c r="K140" t="inlineStr">
        <is>
          <t>East</t>
        </is>
      </c>
      <c r="L140" t="inlineStr">
        <is>
          <t>New York</t>
        </is>
      </c>
      <c r="M140" t="inlineStr">
        <is>
          <t>Washington</t>
        </is>
      </c>
      <c r="N140" t="inlineStr">
        <is>
          <t>Ethan Brooks</t>
        </is>
      </c>
      <c r="O140" t="n">
        <v>1</v>
      </c>
      <c r="P140" s="3" t="n">
        <v>65.41</v>
      </c>
      <c r="Q140" s="4" t="n">
        <v>0.002</v>
      </c>
      <c r="R140" s="3" t="n">
        <v>65.28</v>
      </c>
      <c r="S140" s="3" t="n">
        <v>37.38</v>
      </c>
      <c r="T140" s="3" t="n">
        <v>20.1</v>
      </c>
      <c r="U140" s="4" t="n">
        <v>0.3079</v>
      </c>
      <c r="V140" s="3" t="n">
        <v>7.8</v>
      </c>
      <c r="W140" t="inlineStr">
        <is>
          <t>PayPal</t>
        </is>
      </c>
      <c r="X140" t="inlineStr">
        <is>
          <t>Medium</t>
        </is>
      </c>
    </row>
    <row r="141">
      <c r="A141" t="inlineStr">
        <is>
          <t>ORD-00140</t>
        </is>
      </c>
      <c r="B141" s="2" t="n">
        <v>45671</v>
      </c>
      <c r="C141" s="2" t="n">
        <v>45677</v>
      </c>
      <c r="D141" t="inlineStr">
        <is>
          <t>CUST-00140</t>
        </is>
      </c>
      <c r="E141" t="inlineStr">
        <is>
          <t>customer 140</t>
        </is>
      </c>
      <c r="F141" t="inlineStr">
        <is>
          <t>Consumer</t>
        </is>
      </c>
      <c r="G141" t="inlineStr">
        <is>
          <t>P1009</t>
        </is>
      </c>
      <c r="H141" t="inlineStr">
        <is>
          <t>ProClip Binder</t>
        </is>
      </c>
      <c r="I141" t="inlineStr">
        <is>
          <t>Home Decor</t>
        </is>
      </c>
      <c r="J141" t="inlineStr">
        <is>
          <t>Accessories</t>
        </is>
      </c>
      <c r="K141" t="inlineStr">
        <is>
          <t>East</t>
        </is>
      </c>
      <c r="L141" t="inlineStr">
        <is>
          <t>Virginia</t>
        </is>
      </c>
      <c r="M141" t="inlineStr">
        <is>
          <t>New York</t>
        </is>
      </c>
      <c r="N141" t="inlineStr">
        <is>
          <t>Olivia Martin</t>
        </is>
      </c>
      <c r="O141" t="n">
        <v>3</v>
      </c>
      <c r="P141" s="3" t="n">
        <v>91.61</v>
      </c>
      <c r="Q141" s="4" t="n">
        <v>0.022</v>
      </c>
      <c r="R141" s="3" t="n">
        <v>268.78</v>
      </c>
      <c r="S141" s="3" t="n">
        <v>133.94</v>
      </c>
      <c r="T141" s="3" t="n">
        <v>125.44</v>
      </c>
      <c r="U141" s="4" t="n">
        <v>0.4667</v>
      </c>
      <c r="V141" s="3" t="n">
        <v>9.4</v>
      </c>
      <c r="W141" t="inlineStr">
        <is>
          <t>Credit Card</t>
        </is>
      </c>
      <c r="X141" t="inlineStr">
        <is>
          <t>Critical</t>
        </is>
      </c>
    </row>
    <row r="142">
      <c r="A142" t="inlineStr">
        <is>
          <t>ORD-00141</t>
        </is>
      </c>
      <c r="B142" s="2" t="n">
        <v>45845</v>
      </c>
      <c r="C142" s="2" t="n">
        <v>45852</v>
      </c>
      <c r="D142" t="inlineStr">
        <is>
          <t>CUST-00141</t>
        </is>
      </c>
      <c r="E142" t="inlineStr">
        <is>
          <t>customer 141</t>
        </is>
      </c>
      <c r="F142" t="inlineStr">
        <is>
          <t>Corporate</t>
        </is>
      </c>
      <c r="G142" t="inlineStr">
        <is>
          <t>P1002</t>
        </is>
      </c>
      <c r="H142" t="inlineStr">
        <is>
          <t>Tide Cooler</t>
        </is>
      </c>
      <c r="I142" t="inlineStr">
        <is>
          <t>Outdoor</t>
        </is>
      </c>
      <c r="J142" t="inlineStr">
        <is>
          <t>Video</t>
        </is>
      </c>
      <c r="K142" t="inlineStr">
        <is>
          <t>North</t>
        </is>
      </c>
      <c r="L142" t="inlineStr">
        <is>
          <t>British Columbia</t>
        </is>
      </c>
      <c r="M142" t="inlineStr">
        <is>
          <t>Toronto</t>
        </is>
      </c>
      <c r="N142" t="inlineStr">
        <is>
          <t>Sophia Singh</t>
        </is>
      </c>
      <c r="O142" t="n">
        <v>2</v>
      </c>
      <c r="P142" s="3" t="n">
        <v>84.08</v>
      </c>
      <c r="Q142" s="4" t="n">
        <v>0.042</v>
      </c>
      <c r="R142" s="3" t="n">
        <v>161.1</v>
      </c>
      <c r="S142" s="3" t="n">
        <v>75.31</v>
      </c>
      <c r="T142" s="3" t="n">
        <v>78.19</v>
      </c>
      <c r="U142" s="4" t="n">
        <v>0.4854</v>
      </c>
      <c r="V142" s="3" t="n">
        <v>7.6</v>
      </c>
      <c r="W142" t="inlineStr">
        <is>
          <t>Debit Card</t>
        </is>
      </c>
      <c r="X142" t="inlineStr">
        <is>
          <t>Critical</t>
        </is>
      </c>
    </row>
    <row r="143">
      <c r="A143" t="inlineStr">
        <is>
          <t>ORD-00142</t>
        </is>
      </c>
      <c r="B143" s="2" t="n">
        <v>45050</v>
      </c>
      <c r="C143" s="2" t="n">
        <v>45057</v>
      </c>
      <c r="D143" t="inlineStr">
        <is>
          <t>CUST-00142</t>
        </is>
      </c>
      <c r="E143" t="inlineStr">
        <is>
          <t>customer 142</t>
        </is>
      </c>
      <c r="F143" t="inlineStr">
        <is>
          <t>Home Office</t>
        </is>
      </c>
      <c r="G143" t="inlineStr">
        <is>
          <t>P1005</t>
        </is>
      </c>
      <c r="H143" t="inlineStr">
        <is>
          <t>Echo Web Camera</t>
        </is>
      </c>
      <c r="I143" t="inlineStr">
        <is>
          <t>Home Decor</t>
        </is>
      </c>
      <c r="J143" t="inlineStr">
        <is>
          <t>Furniture</t>
        </is>
      </c>
      <c r="K143" t="inlineStr">
        <is>
          <t>West</t>
        </is>
      </c>
      <c r="L143" t="inlineStr">
        <is>
          <t>Washington</t>
        </is>
      </c>
      <c r="M143" t="inlineStr">
        <is>
          <t>Los Angeles</t>
        </is>
      </c>
      <c r="N143" t="inlineStr">
        <is>
          <t>Mia Rodriguez</t>
        </is>
      </c>
      <c r="O143" t="n">
        <v>1</v>
      </c>
      <c r="P143" s="3" t="n">
        <v>12.77</v>
      </c>
      <c r="Q143" s="4" t="n">
        <v>0.035</v>
      </c>
      <c r="R143" s="3" t="n">
        <v>12.32</v>
      </c>
      <c r="S143" s="3" t="n">
        <v>9.109999999999999</v>
      </c>
      <c r="T143" s="3" t="n">
        <v>-4.59</v>
      </c>
      <c r="U143" s="4" t="n">
        <v>-0.3726</v>
      </c>
      <c r="V143" s="3" t="n">
        <v>7.8</v>
      </c>
      <c r="W143" t="inlineStr">
        <is>
          <t>Debit Card</t>
        </is>
      </c>
      <c r="X143" t="inlineStr">
        <is>
          <t>Medium</t>
        </is>
      </c>
    </row>
    <row r="144">
      <c r="A144" t="inlineStr">
        <is>
          <t>ORD-00143</t>
        </is>
      </c>
      <c r="B144" s="2" t="n">
        <v>45445</v>
      </c>
      <c r="C144" s="2" t="n">
        <v>45450</v>
      </c>
      <c r="D144" t="inlineStr">
        <is>
          <t>CUST-00143</t>
        </is>
      </c>
      <c r="E144" t="inlineStr">
        <is>
          <t>customer 143</t>
        </is>
      </c>
      <c r="F144" t="inlineStr">
        <is>
          <t>Corporate</t>
        </is>
      </c>
      <c r="G144" t="inlineStr">
        <is>
          <t>P1005</t>
        </is>
      </c>
      <c r="H144" t="inlineStr">
        <is>
          <t>Trail Tote</t>
        </is>
      </c>
      <c r="I144" t="inlineStr">
        <is>
          <t>Technology</t>
        </is>
      </c>
      <c r="J144" t="inlineStr">
        <is>
          <t>Coolers</t>
        </is>
      </c>
      <c r="K144" t="inlineStr">
        <is>
          <t>South</t>
        </is>
      </c>
      <c r="L144" t="inlineStr">
        <is>
          <t>Florida</t>
        </is>
      </c>
      <c r="M144" t="inlineStr">
        <is>
          <t>Atlanta</t>
        </is>
      </c>
      <c r="N144" t="inlineStr">
        <is>
          <t>Liam Chen</t>
        </is>
      </c>
      <c r="O144" t="n">
        <v>4</v>
      </c>
      <c r="P144" s="3" t="n">
        <v>12.95</v>
      </c>
      <c r="Q144" s="4" t="n">
        <v>0.034</v>
      </c>
      <c r="R144" s="3" t="n">
        <v>50.04</v>
      </c>
      <c r="S144" s="3" t="n">
        <v>28.81</v>
      </c>
      <c r="T144" s="3" t="n">
        <v>12.03</v>
      </c>
      <c r="U144" s="4" t="n">
        <v>0.2404</v>
      </c>
      <c r="V144" s="3" t="n">
        <v>9.199999999999999</v>
      </c>
      <c r="W144" t="inlineStr">
        <is>
          <t>PayPal</t>
        </is>
      </c>
      <c r="X144" t="inlineStr">
        <is>
          <t>High</t>
        </is>
      </c>
    </row>
    <row r="145">
      <c r="A145" t="inlineStr">
        <is>
          <t>ORD-00144</t>
        </is>
      </c>
      <c r="B145" s="2" t="n">
        <v>45406</v>
      </c>
      <c r="C145" s="2" t="n">
        <v>45413</v>
      </c>
      <c r="D145" t="inlineStr">
        <is>
          <t>CUST-00144</t>
        </is>
      </c>
      <c r="E145" t="inlineStr">
        <is>
          <t>customer 144</t>
        </is>
      </c>
      <c r="F145" t="inlineStr">
        <is>
          <t>Consumer</t>
        </is>
      </c>
      <c r="G145" t="inlineStr">
        <is>
          <t>P1012</t>
        </is>
      </c>
      <c r="H145" t="inlineStr">
        <is>
          <t>SmartInk Pen Set</t>
        </is>
      </c>
      <c r="I145" t="inlineStr">
        <is>
          <t>Outdoor</t>
        </is>
      </c>
      <c r="J145" t="inlineStr">
        <is>
          <t>Lighting</t>
        </is>
      </c>
      <c r="K145" t="inlineStr">
        <is>
          <t>South</t>
        </is>
      </c>
      <c r="L145" t="inlineStr">
        <is>
          <t>Florida</t>
        </is>
      </c>
      <c r="M145" t="inlineStr">
        <is>
          <t>Miami</t>
        </is>
      </c>
      <c r="N145" t="inlineStr">
        <is>
          <t>Ethan Brooks</t>
        </is>
      </c>
      <c r="O145" t="n">
        <v>4</v>
      </c>
      <c r="P145" s="3" t="n">
        <v>127.98</v>
      </c>
      <c r="Q145" s="4" t="n">
        <v>0.012</v>
      </c>
      <c r="R145" s="3" t="n">
        <v>505.78</v>
      </c>
      <c r="S145" s="3" t="n">
        <v>252.55</v>
      </c>
      <c r="T145" s="3" t="n">
        <v>244.03</v>
      </c>
      <c r="U145" s="4" t="n">
        <v>0.4825</v>
      </c>
      <c r="V145" s="3" t="n">
        <v>9.199999999999999</v>
      </c>
      <c r="W145" t="inlineStr">
        <is>
          <t>Bank Transfer</t>
        </is>
      </c>
      <c r="X145" t="inlineStr">
        <is>
          <t>Medium</t>
        </is>
      </c>
    </row>
    <row r="146">
      <c r="A146" t="inlineStr">
        <is>
          <t>ORD-00145</t>
        </is>
      </c>
      <c r="B146" s="2" t="n">
        <v>45003</v>
      </c>
      <c r="C146" s="2" t="n">
        <v>45005</v>
      </c>
      <c r="D146" t="inlineStr">
        <is>
          <t>CUST-00145</t>
        </is>
      </c>
      <c r="E146" t="inlineStr">
        <is>
          <t>customer 145</t>
        </is>
      </c>
      <c r="F146" t="inlineStr">
        <is>
          <t>Corporate</t>
        </is>
      </c>
      <c r="G146" t="inlineStr">
        <is>
          <t>P1010</t>
        </is>
      </c>
      <c r="H146" t="inlineStr">
        <is>
          <t>Echo Web Camera</t>
        </is>
      </c>
      <c r="I146" t="inlineStr">
        <is>
          <t>Home Decor</t>
        </is>
      </c>
      <c r="J146" t="inlineStr">
        <is>
          <t>Furniture</t>
        </is>
      </c>
      <c r="K146" t="inlineStr">
        <is>
          <t>Central</t>
        </is>
      </c>
      <c r="L146" t="inlineStr">
        <is>
          <t>Illinois</t>
        </is>
      </c>
      <c r="M146" t="inlineStr">
        <is>
          <t>St. Louis</t>
        </is>
      </c>
      <c r="N146" t="inlineStr">
        <is>
          <t>Sophia Singh</t>
        </is>
      </c>
      <c r="O146" t="n">
        <v>3</v>
      </c>
      <c r="P146" s="3" t="n">
        <v>55.57</v>
      </c>
      <c r="Q146" s="4" t="n">
        <v>0.061</v>
      </c>
      <c r="R146" s="3" t="n">
        <v>156.54</v>
      </c>
      <c r="S146" s="3" t="n">
        <v>72.09999999999999</v>
      </c>
      <c r="T146" s="3" t="n">
        <v>76.04000000000001</v>
      </c>
      <c r="U146" s="4" t="n">
        <v>0.4858</v>
      </c>
      <c r="V146" s="3" t="n">
        <v>8.4</v>
      </c>
      <c r="W146" t="inlineStr">
        <is>
          <t>Credit Card</t>
        </is>
      </c>
      <c r="X146" t="inlineStr">
        <is>
          <t>High</t>
        </is>
      </c>
    </row>
    <row r="147">
      <c r="A147" t="inlineStr">
        <is>
          <t>ORD-00146</t>
        </is>
      </c>
      <c r="B147" s="2" t="n">
        <v>45215</v>
      </c>
      <c r="C147" s="2" t="n">
        <v>45219</v>
      </c>
      <c r="D147" t="inlineStr">
        <is>
          <t>CUST-00146</t>
        </is>
      </c>
      <c r="E147" t="inlineStr">
        <is>
          <t>customer 146</t>
        </is>
      </c>
      <c r="F147" t="inlineStr">
        <is>
          <t>Corporate</t>
        </is>
      </c>
      <c r="G147" t="inlineStr">
        <is>
          <t>P1004</t>
        </is>
      </c>
      <c r="H147" t="inlineStr">
        <is>
          <t>Cove Wall Clock</t>
        </is>
      </c>
      <c r="I147" t="inlineStr">
        <is>
          <t>Office Supplies</t>
        </is>
      </c>
      <c r="J147" t="inlineStr">
        <is>
          <t>Bags</t>
        </is>
      </c>
      <c r="K147" t="inlineStr">
        <is>
          <t>East</t>
        </is>
      </c>
      <c r="L147" t="inlineStr">
        <is>
          <t>Virginia</t>
        </is>
      </c>
      <c r="M147" t="inlineStr">
        <is>
          <t>Philadelphia</t>
        </is>
      </c>
      <c r="N147" t="inlineStr">
        <is>
          <t>Ethan Brooks</t>
        </is>
      </c>
      <c r="O147" t="n">
        <v>3</v>
      </c>
      <c r="P147" s="3" t="n">
        <v>679.64</v>
      </c>
      <c r="Q147" s="4" t="n">
        <v>0.042</v>
      </c>
      <c r="R147" s="3" t="n">
        <v>1953.29</v>
      </c>
      <c r="S147" s="3" t="n">
        <v>1235.37</v>
      </c>
      <c r="T147" s="3" t="n">
        <v>708.52</v>
      </c>
      <c r="U147" s="4" t="n">
        <v>0.3627</v>
      </c>
      <c r="V147" s="3" t="n">
        <v>9.4</v>
      </c>
      <c r="W147" t="inlineStr">
        <is>
          <t>Cash on Delivery</t>
        </is>
      </c>
      <c r="X147" t="inlineStr">
        <is>
          <t>High</t>
        </is>
      </c>
    </row>
    <row r="148">
      <c r="A148" t="inlineStr">
        <is>
          <t>ORD-00147</t>
        </is>
      </c>
      <c r="B148" s="2" t="n">
        <v>45482</v>
      </c>
      <c r="C148" s="2" t="n">
        <v>45485</v>
      </c>
      <c r="D148" t="inlineStr">
        <is>
          <t>CUST-00147</t>
        </is>
      </c>
      <c r="E148" t="inlineStr">
        <is>
          <t>customer 147</t>
        </is>
      </c>
      <c r="F148" t="inlineStr">
        <is>
          <t>Home Office</t>
        </is>
      </c>
      <c r="G148" t="inlineStr">
        <is>
          <t>P1012</t>
        </is>
      </c>
      <c r="H148" t="inlineStr">
        <is>
          <t>Harbor Rug</t>
        </is>
      </c>
      <c r="I148" t="inlineStr">
        <is>
          <t>Home Decor</t>
        </is>
      </c>
      <c r="J148" t="inlineStr">
        <is>
          <t>Writing</t>
        </is>
      </c>
      <c r="K148" t="inlineStr">
        <is>
          <t>Central</t>
        </is>
      </c>
      <c r="L148" t="inlineStr">
        <is>
          <t>Illinois</t>
        </is>
      </c>
      <c r="M148" t="inlineStr">
        <is>
          <t>St. Louis</t>
        </is>
      </c>
      <c r="N148" t="inlineStr">
        <is>
          <t>Ava Patel</t>
        </is>
      </c>
      <c r="O148" t="n">
        <v>3</v>
      </c>
      <c r="P148" s="3" t="n">
        <v>137.81</v>
      </c>
      <c r="Q148" s="4" t="n">
        <v>0.054</v>
      </c>
      <c r="R148" s="3" t="n">
        <v>391.1</v>
      </c>
      <c r="S148" s="3" t="n">
        <v>200.94</v>
      </c>
      <c r="T148" s="3" t="n">
        <v>181.76</v>
      </c>
      <c r="U148" s="4" t="n">
        <v>0.4647</v>
      </c>
      <c r="V148" s="3" t="n">
        <v>8.4</v>
      </c>
      <c r="W148" t="inlineStr">
        <is>
          <t>PayPal</t>
        </is>
      </c>
      <c r="X148" t="inlineStr">
        <is>
          <t>High</t>
        </is>
      </c>
    </row>
    <row r="149">
      <c r="A149" t="inlineStr">
        <is>
          <t>ORD-00148</t>
        </is>
      </c>
      <c r="B149" s="2" t="n">
        <v>45387</v>
      </c>
      <c r="C149" s="2" t="n">
        <v>45389</v>
      </c>
      <c r="D149" t="inlineStr">
        <is>
          <t>CUST-00148</t>
        </is>
      </c>
      <c r="E149" t="inlineStr">
        <is>
          <t>customer 148</t>
        </is>
      </c>
      <c r="F149" t="inlineStr">
        <is>
          <t>Consumer</t>
        </is>
      </c>
      <c r="G149" t="inlineStr">
        <is>
          <t>P1015</t>
        </is>
      </c>
      <c r="H149" t="inlineStr">
        <is>
          <t>Pulse Keyboard</t>
        </is>
      </c>
      <c r="I149" t="inlineStr">
        <is>
          <t>Home Decor</t>
        </is>
      </c>
      <c r="J149" t="inlineStr">
        <is>
          <t>Peripherals</t>
        </is>
      </c>
      <c r="K149" t="inlineStr">
        <is>
          <t>West</t>
        </is>
      </c>
      <c r="L149" t="inlineStr">
        <is>
          <t>Colorado</t>
        </is>
      </c>
      <c r="M149" t="inlineStr">
        <is>
          <t>Denver</t>
        </is>
      </c>
      <c r="N149" t="inlineStr">
        <is>
          <t>James Carter</t>
        </is>
      </c>
      <c r="O149" t="n">
        <v>3</v>
      </c>
      <c r="P149" s="3" t="n">
        <v>69.34</v>
      </c>
      <c r="Q149" s="4" t="n">
        <v>0.016</v>
      </c>
      <c r="R149" s="3" t="n">
        <v>204.69</v>
      </c>
      <c r="S149" s="3" t="n">
        <v>93.90000000000001</v>
      </c>
      <c r="T149" s="3" t="n">
        <v>101.39</v>
      </c>
      <c r="U149" s="4" t="n">
        <v>0.4953</v>
      </c>
      <c r="V149" s="3" t="n">
        <v>9.4</v>
      </c>
      <c r="W149" t="inlineStr">
        <is>
          <t>Debit Card</t>
        </is>
      </c>
      <c r="X149" t="inlineStr">
        <is>
          <t>Medium</t>
        </is>
      </c>
    </row>
    <row r="150">
      <c r="A150" t="inlineStr">
        <is>
          <t>ORD-00149</t>
        </is>
      </c>
      <c r="B150" s="2" t="n">
        <v>45055</v>
      </c>
      <c r="C150" s="2" t="n">
        <v>45057</v>
      </c>
      <c r="D150" t="inlineStr">
        <is>
          <t>CUST-00149</t>
        </is>
      </c>
      <c r="E150" t="inlineStr">
        <is>
          <t>customer 149</t>
        </is>
      </c>
      <c r="F150" t="inlineStr">
        <is>
          <t>Home Office</t>
        </is>
      </c>
      <c r="G150" t="inlineStr">
        <is>
          <t>P1010</t>
        </is>
      </c>
      <c r="H150" t="inlineStr">
        <is>
          <t>Pulse Keyboard</t>
        </is>
      </c>
      <c r="I150" t="inlineStr">
        <is>
          <t>Outdoor</t>
        </is>
      </c>
      <c r="J150" t="inlineStr">
        <is>
          <t>Plants</t>
        </is>
      </c>
      <c r="K150" t="inlineStr">
        <is>
          <t>North</t>
        </is>
      </c>
      <c r="L150" t="inlineStr">
        <is>
          <t>Ontario</t>
        </is>
      </c>
      <c r="M150" t="inlineStr">
        <is>
          <t>Calgary</t>
        </is>
      </c>
      <c r="N150" t="inlineStr">
        <is>
          <t>Ava Patel</t>
        </is>
      </c>
      <c r="O150" t="n">
        <v>4</v>
      </c>
      <c r="P150" s="3" t="n">
        <v>52.7</v>
      </c>
      <c r="Q150" s="4" t="n">
        <v>0.001</v>
      </c>
      <c r="R150" s="3" t="n">
        <v>210.59</v>
      </c>
      <c r="S150" s="3" t="n">
        <v>90.95</v>
      </c>
      <c r="T150" s="3" t="n">
        <v>110.44</v>
      </c>
      <c r="U150" s="4" t="n">
        <v>0.5244</v>
      </c>
      <c r="V150" s="3" t="n">
        <v>9.199999999999999</v>
      </c>
      <c r="W150" t="inlineStr">
        <is>
          <t>PayPal</t>
        </is>
      </c>
      <c r="X150" t="inlineStr">
        <is>
          <t>Medium</t>
        </is>
      </c>
    </row>
    <row r="151">
      <c r="A151" t="inlineStr">
        <is>
          <t>ORD-00150</t>
        </is>
      </c>
      <c r="B151" s="2" t="n">
        <v>45163</v>
      </c>
      <c r="C151" s="2" t="n">
        <v>45168</v>
      </c>
      <c r="D151" t="inlineStr">
        <is>
          <t>CUST-00150</t>
        </is>
      </c>
      <c r="E151" t="inlineStr">
        <is>
          <t>customer 150</t>
        </is>
      </c>
      <c r="F151" t="inlineStr">
        <is>
          <t>Consumer</t>
        </is>
      </c>
      <c r="G151" t="inlineStr">
        <is>
          <t>P1018</t>
        </is>
      </c>
      <c r="H151" t="inlineStr">
        <is>
          <t>Lumen Desk Lamp</t>
        </is>
      </c>
      <c r="I151" t="inlineStr">
        <is>
          <t>Outdoor</t>
        </is>
      </c>
      <c r="J151" t="inlineStr">
        <is>
          <t>Chairs</t>
        </is>
      </c>
      <c r="K151" t="inlineStr">
        <is>
          <t>West</t>
        </is>
      </c>
      <c r="L151" t="inlineStr">
        <is>
          <t>Colorado</t>
        </is>
      </c>
      <c r="M151" t="inlineStr">
        <is>
          <t>Seattle</t>
        </is>
      </c>
      <c r="N151" t="inlineStr">
        <is>
          <t>Liam Chen</t>
        </is>
      </c>
      <c r="O151" t="n">
        <v>4</v>
      </c>
      <c r="P151" s="3" t="n">
        <v>99.45</v>
      </c>
      <c r="Q151" s="4" t="n">
        <v>0.035</v>
      </c>
      <c r="R151" s="3" t="n">
        <v>383.88</v>
      </c>
      <c r="S151" s="3" t="n">
        <v>171.77</v>
      </c>
      <c r="T151" s="3" t="n">
        <v>201.91</v>
      </c>
      <c r="U151" s="4" t="n">
        <v>0.526</v>
      </c>
      <c r="V151" s="3" t="n">
        <v>10.2</v>
      </c>
      <c r="W151" t="inlineStr">
        <is>
          <t>PayPal</t>
        </is>
      </c>
      <c r="X151" t="inlineStr">
        <is>
          <t>High</t>
        </is>
      </c>
    </row>
    <row r="152">
      <c r="A152" t="inlineStr">
        <is>
          <t>ORD-00151</t>
        </is>
      </c>
      <c r="B152" s="2" t="n">
        <v>45696</v>
      </c>
      <c r="C152" s="2" t="n">
        <v>45699</v>
      </c>
      <c r="D152" t="inlineStr">
        <is>
          <t>CUST-00151</t>
        </is>
      </c>
      <c r="E152" t="inlineStr">
        <is>
          <t>customer 151</t>
        </is>
      </c>
      <c r="F152" t="inlineStr">
        <is>
          <t>Home Office</t>
        </is>
      </c>
      <c r="G152" t="inlineStr">
        <is>
          <t>P1005</t>
        </is>
      </c>
      <c r="H152" t="inlineStr">
        <is>
          <t>Cove Wall Clock</t>
        </is>
      </c>
      <c r="I152" t="inlineStr">
        <is>
          <t>Home Decor</t>
        </is>
      </c>
      <c r="J152" t="inlineStr">
        <is>
          <t>Peripherals</t>
        </is>
      </c>
      <c r="K152" t="inlineStr">
        <is>
          <t>East</t>
        </is>
      </c>
      <c r="L152" t="inlineStr">
        <is>
          <t>New York</t>
        </is>
      </c>
      <c r="M152" t="inlineStr">
        <is>
          <t>Philadelphia</t>
        </is>
      </c>
      <c r="N152" t="inlineStr">
        <is>
          <t>Ava Patel</t>
        </is>
      </c>
      <c r="O152" t="n">
        <v>3</v>
      </c>
      <c r="P152" s="3" t="n">
        <v>12.19</v>
      </c>
      <c r="Q152" s="4" t="n">
        <v>0.023</v>
      </c>
      <c r="R152" s="3" t="n">
        <v>35.73</v>
      </c>
      <c r="S152" s="3" t="n">
        <v>16.86</v>
      </c>
      <c r="T152" s="3" t="n">
        <v>9.470000000000001</v>
      </c>
      <c r="U152" s="4" t="n">
        <v>0.265</v>
      </c>
      <c r="V152" s="3" t="n">
        <v>9.4</v>
      </c>
      <c r="W152" t="inlineStr">
        <is>
          <t>Credit Card</t>
        </is>
      </c>
      <c r="X152" t="inlineStr">
        <is>
          <t>Medium</t>
        </is>
      </c>
    </row>
    <row r="153">
      <c r="A153" t="inlineStr">
        <is>
          <t>ORD-00152</t>
        </is>
      </c>
      <c r="B153" s="2" t="n">
        <v>45009</v>
      </c>
      <c r="C153" s="2" t="n">
        <v>45014</v>
      </c>
      <c r="D153" t="inlineStr">
        <is>
          <t>CUST-00152</t>
        </is>
      </c>
      <c r="E153" t="inlineStr">
        <is>
          <t>customer 152</t>
        </is>
      </c>
      <c r="F153" t="inlineStr">
        <is>
          <t>Consumer</t>
        </is>
      </c>
      <c r="G153" t="inlineStr">
        <is>
          <t>P1013</t>
        </is>
      </c>
      <c r="H153" t="inlineStr">
        <is>
          <t>Halo Planter</t>
        </is>
      </c>
      <c r="I153" t="inlineStr">
        <is>
          <t>Technology</t>
        </is>
      </c>
      <c r="J153" t="inlineStr">
        <is>
          <t>Storage</t>
        </is>
      </c>
      <c r="K153" t="inlineStr">
        <is>
          <t>East</t>
        </is>
      </c>
      <c r="L153" t="inlineStr">
        <is>
          <t>New York</t>
        </is>
      </c>
      <c r="M153" t="inlineStr">
        <is>
          <t>Philadelphia</t>
        </is>
      </c>
      <c r="N153" t="inlineStr">
        <is>
          <t>Ava Patel</t>
        </is>
      </c>
      <c r="O153" t="n">
        <v>1</v>
      </c>
      <c r="P153" s="3" t="n">
        <v>166.74</v>
      </c>
      <c r="Q153" s="4" t="n">
        <v>0.06900000000000001</v>
      </c>
      <c r="R153" s="3" t="n">
        <v>155.23</v>
      </c>
      <c r="S153" s="3" t="n">
        <v>96.42</v>
      </c>
      <c r="T153" s="3" t="n">
        <v>51.01</v>
      </c>
      <c r="U153" s="4" t="n">
        <v>0.3286</v>
      </c>
      <c r="V153" s="3" t="n">
        <v>7.8</v>
      </c>
      <c r="W153" t="inlineStr">
        <is>
          <t>Credit Card</t>
        </is>
      </c>
      <c r="X153" t="inlineStr">
        <is>
          <t>Critical</t>
        </is>
      </c>
    </row>
    <row r="154">
      <c r="A154" t="inlineStr">
        <is>
          <t>ORD-00153</t>
        </is>
      </c>
      <c r="B154" s="2" t="n">
        <v>44977</v>
      </c>
      <c r="C154" s="2" t="n">
        <v>44981</v>
      </c>
      <c r="D154" t="inlineStr">
        <is>
          <t>CUST-00153</t>
        </is>
      </c>
      <c r="E154" t="inlineStr">
        <is>
          <t>customer 153</t>
        </is>
      </c>
      <c r="F154" t="inlineStr">
        <is>
          <t>Home Office</t>
        </is>
      </c>
      <c r="G154" t="inlineStr">
        <is>
          <t>P1004</t>
        </is>
      </c>
      <c r="H154" t="inlineStr">
        <is>
          <t>ErgoMesh Chair</t>
        </is>
      </c>
      <c r="I154" t="inlineStr">
        <is>
          <t>Home Decor</t>
        </is>
      </c>
      <c r="J154" t="inlineStr">
        <is>
          <t>Video</t>
        </is>
      </c>
      <c r="K154" t="inlineStr">
        <is>
          <t>North</t>
        </is>
      </c>
      <c r="L154" t="inlineStr">
        <is>
          <t>Alberta</t>
        </is>
      </c>
      <c r="M154" t="inlineStr">
        <is>
          <t>Calgary</t>
        </is>
      </c>
      <c r="N154" t="inlineStr">
        <is>
          <t>Sophia Singh</t>
        </is>
      </c>
      <c r="O154" t="n">
        <v>4</v>
      </c>
      <c r="P154" s="3" t="n">
        <v>601.5700000000001</v>
      </c>
      <c r="Q154" s="4" t="n">
        <v>0.005</v>
      </c>
      <c r="R154" s="3" t="n">
        <v>2394.25</v>
      </c>
      <c r="S154" s="3" t="n">
        <v>1515.08</v>
      </c>
      <c r="T154" s="3" t="n">
        <v>869.97</v>
      </c>
      <c r="U154" s="4" t="n">
        <v>0.3634</v>
      </c>
      <c r="V154" s="3" t="n">
        <v>9.199999999999999</v>
      </c>
      <c r="W154" t="inlineStr">
        <is>
          <t>Credit Card</t>
        </is>
      </c>
      <c r="X154" t="inlineStr">
        <is>
          <t>Medium</t>
        </is>
      </c>
    </row>
    <row r="155">
      <c r="A155" t="inlineStr">
        <is>
          <t>ORD-00154</t>
        </is>
      </c>
      <c r="B155" s="2" t="n">
        <v>45612</v>
      </c>
      <c r="C155" s="2" t="n">
        <v>45619</v>
      </c>
      <c r="D155" t="inlineStr">
        <is>
          <t>CUST-00154</t>
        </is>
      </c>
      <c r="E155" t="inlineStr">
        <is>
          <t>customer 154</t>
        </is>
      </c>
      <c r="F155" t="inlineStr">
        <is>
          <t>Home Office</t>
        </is>
      </c>
      <c r="G155" t="inlineStr">
        <is>
          <t>P1009</t>
        </is>
      </c>
      <c r="H155" t="inlineStr">
        <is>
          <t>Echo Web Camera</t>
        </is>
      </c>
      <c r="I155" t="inlineStr">
        <is>
          <t>Home Decor</t>
        </is>
      </c>
      <c r="J155" t="inlineStr">
        <is>
          <t>Accessories</t>
        </is>
      </c>
      <c r="K155" t="inlineStr">
        <is>
          <t>East</t>
        </is>
      </c>
      <c r="L155" t="inlineStr">
        <is>
          <t>Virginia</t>
        </is>
      </c>
      <c r="M155" t="inlineStr">
        <is>
          <t>New York</t>
        </is>
      </c>
      <c r="N155" t="inlineStr">
        <is>
          <t>Ethan Brooks</t>
        </is>
      </c>
      <c r="O155" t="n">
        <v>2</v>
      </c>
      <c r="P155" s="3" t="n">
        <v>100.32</v>
      </c>
      <c r="Q155" s="4" t="n">
        <v>0.007</v>
      </c>
      <c r="R155" s="3" t="n">
        <v>199.24</v>
      </c>
      <c r="S155" s="3" t="n">
        <v>100.32</v>
      </c>
      <c r="T155" s="3" t="n">
        <v>90.31999999999999</v>
      </c>
      <c r="U155" s="4" t="n">
        <v>0.4533</v>
      </c>
      <c r="V155" s="3" t="n">
        <v>8.6</v>
      </c>
      <c r="W155" t="inlineStr">
        <is>
          <t>Cash on Delivery</t>
        </is>
      </c>
      <c r="X155" t="inlineStr">
        <is>
          <t>Medium</t>
        </is>
      </c>
    </row>
    <row r="156">
      <c r="A156" t="inlineStr">
        <is>
          <t>ORD-00155</t>
        </is>
      </c>
      <c r="B156" s="2" t="n">
        <v>45950</v>
      </c>
      <c r="C156" s="2" t="n">
        <v>45955</v>
      </c>
      <c r="D156" t="inlineStr">
        <is>
          <t>CUST-00155</t>
        </is>
      </c>
      <c r="E156" t="inlineStr">
        <is>
          <t>customer 155</t>
        </is>
      </c>
      <c r="F156" t="inlineStr">
        <is>
          <t>Consumer</t>
        </is>
      </c>
      <c r="G156" t="inlineStr">
        <is>
          <t>P1018</t>
        </is>
      </c>
      <c r="H156" t="inlineStr">
        <is>
          <t>Cove Wall Clock</t>
        </is>
      </c>
      <c r="I156" t="inlineStr">
        <is>
          <t>Technology</t>
        </is>
      </c>
      <c r="J156" t="inlineStr">
        <is>
          <t>Plants</t>
        </is>
      </c>
      <c r="K156" t="inlineStr">
        <is>
          <t>South</t>
        </is>
      </c>
      <c r="L156" t="inlineStr">
        <is>
          <t>Florida</t>
        </is>
      </c>
      <c r="M156" t="inlineStr">
        <is>
          <t>Dallas</t>
        </is>
      </c>
      <c r="N156" t="inlineStr">
        <is>
          <t>Ava Patel</t>
        </is>
      </c>
      <c r="O156" t="n">
        <v>3</v>
      </c>
      <c r="P156" s="3" t="n">
        <v>97.65000000000001</v>
      </c>
      <c r="Q156" s="4" t="n">
        <v>0.056</v>
      </c>
      <c r="R156" s="3" t="n">
        <v>276.54</v>
      </c>
      <c r="S156" s="3" t="n">
        <v>128.14</v>
      </c>
      <c r="T156" s="3" t="n">
        <v>140</v>
      </c>
      <c r="U156" s="4" t="n">
        <v>0.5063</v>
      </c>
      <c r="V156" s="3" t="n">
        <v>8.4</v>
      </c>
      <c r="W156" t="inlineStr">
        <is>
          <t>Bank Transfer</t>
        </is>
      </c>
      <c r="X156" t="inlineStr">
        <is>
          <t>High</t>
        </is>
      </c>
    </row>
    <row r="157">
      <c r="A157" t="inlineStr">
        <is>
          <t>ORD-00156</t>
        </is>
      </c>
      <c r="B157" s="2" t="n">
        <v>45217</v>
      </c>
      <c r="C157" s="2" t="n">
        <v>45218</v>
      </c>
      <c r="D157" t="inlineStr">
        <is>
          <t>CUST-00156</t>
        </is>
      </c>
      <c r="E157" t="inlineStr">
        <is>
          <t>customer 156</t>
        </is>
      </c>
      <c r="F157" t="inlineStr">
        <is>
          <t>Home Office</t>
        </is>
      </c>
      <c r="G157" t="inlineStr">
        <is>
          <t>P1003</t>
        </is>
      </c>
      <c r="H157" t="inlineStr">
        <is>
          <t>Tide Cooler</t>
        </is>
      </c>
      <c r="I157" t="inlineStr">
        <is>
          <t>Furniture</t>
        </is>
      </c>
      <c r="J157" t="inlineStr">
        <is>
          <t>Paper</t>
        </is>
      </c>
      <c r="K157" t="inlineStr">
        <is>
          <t>South</t>
        </is>
      </c>
      <c r="L157" t="inlineStr">
        <is>
          <t>Texas</t>
        </is>
      </c>
      <c r="M157" t="inlineStr">
        <is>
          <t>Atlanta</t>
        </is>
      </c>
      <c r="N157" t="inlineStr">
        <is>
          <t>Mia Rodriguez</t>
        </is>
      </c>
      <c r="O157" t="n">
        <v>2</v>
      </c>
      <c r="P157" s="3" t="n">
        <v>161.15</v>
      </c>
      <c r="Q157" s="4" t="n">
        <v>0.052</v>
      </c>
      <c r="R157" s="3" t="n">
        <v>305.54</v>
      </c>
      <c r="S157" s="3" t="n">
        <v>167.31</v>
      </c>
      <c r="T157" s="3" t="n">
        <v>130.63</v>
      </c>
      <c r="U157" s="4" t="n">
        <v>0.4275</v>
      </c>
      <c r="V157" s="3" t="n">
        <v>7.6</v>
      </c>
      <c r="W157" t="inlineStr">
        <is>
          <t>Credit Card</t>
        </is>
      </c>
      <c r="X157" t="inlineStr">
        <is>
          <t>High</t>
        </is>
      </c>
    </row>
    <row r="158">
      <c r="A158" t="inlineStr">
        <is>
          <t>ORD-00157</t>
        </is>
      </c>
      <c r="B158" s="2" t="n">
        <v>45934</v>
      </c>
      <c r="C158" s="2" t="n">
        <v>45939</v>
      </c>
      <c r="D158" t="inlineStr">
        <is>
          <t>CUST-00157</t>
        </is>
      </c>
      <c r="E158" t="inlineStr">
        <is>
          <t>customer 157</t>
        </is>
      </c>
      <c r="F158" t="inlineStr">
        <is>
          <t>Consumer</t>
        </is>
      </c>
      <c r="G158" t="inlineStr">
        <is>
          <t>P1011</t>
        </is>
      </c>
      <c r="H158" t="inlineStr">
        <is>
          <t>Nimbus Monitor Arm</t>
        </is>
      </c>
      <c r="I158" t="inlineStr">
        <is>
          <t>Office Supplies</t>
        </is>
      </c>
      <c r="J158" t="inlineStr">
        <is>
          <t>Paper</t>
        </is>
      </c>
      <c r="K158" t="inlineStr">
        <is>
          <t>West</t>
        </is>
      </c>
      <c r="L158" t="inlineStr">
        <is>
          <t>Oregon</t>
        </is>
      </c>
      <c r="M158" t="inlineStr">
        <is>
          <t>San Francisco</t>
        </is>
      </c>
      <c r="N158" t="inlineStr">
        <is>
          <t>James Carter</t>
        </is>
      </c>
      <c r="O158" t="n">
        <v>2</v>
      </c>
      <c r="P158" s="3" t="n">
        <v>99.39</v>
      </c>
      <c r="Q158" s="4" t="n">
        <v>0.034</v>
      </c>
      <c r="R158" s="3" t="n">
        <v>192.02</v>
      </c>
      <c r="S158" s="3" t="n">
        <v>95.59</v>
      </c>
      <c r="T158" s="3" t="n">
        <v>87.83</v>
      </c>
      <c r="U158" s="4" t="n">
        <v>0.4574</v>
      </c>
      <c r="V158" s="3" t="n">
        <v>8.6</v>
      </c>
      <c r="W158" t="inlineStr">
        <is>
          <t>PayPal</t>
        </is>
      </c>
      <c r="X158" t="inlineStr">
        <is>
          <t>Medium</t>
        </is>
      </c>
    </row>
    <row r="159">
      <c r="A159" t="inlineStr">
        <is>
          <t>ORD-00158</t>
        </is>
      </c>
      <c r="B159" s="2" t="n">
        <v>45916</v>
      </c>
      <c r="C159" s="2" t="n">
        <v>45923</v>
      </c>
      <c r="D159" t="inlineStr">
        <is>
          <t>CUST-00158</t>
        </is>
      </c>
      <c r="E159" t="inlineStr">
        <is>
          <t>customer 158</t>
        </is>
      </c>
      <c r="F159" t="inlineStr">
        <is>
          <t>Consumer</t>
        </is>
      </c>
      <c r="G159" t="inlineStr">
        <is>
          <t>P1004</t>
        </is>
      </c>
      <c r="H159" t="inlineStr">
        <is>
          <t>Echo Web Camera</t>
        </is>
      </c>
      <c r="I159" t="inlineStr">
        <is>
          <t>Office Supplies</t>
        </is>
      </c>
      <c r="J159" t="inlineStr">
        <is>
          <t>Furniture</t>
        </is>
      </c>
      <c r="K159" t="inlineStr">
        <is>
          <t>West</t>
        </is>
      </c>
      <c r="L159" t="inlineStr">
        <is>
          <t>California</t>
        </is>
      </c>
      <c r="M159" t="inlineStr">
        <is>
          <t>Los Angeles</t>
        </is>
      </c>
      <c r="N159" t="inlineStr">
        <is>
          <t>James Carter</t>
        </is>
      </c>
      <c r="O159" t="n">
        <v>1</v>
      </c>
      <c r="P159" s="3" t="n">
        <v>612.0599999999999</v>
      </c>
      <c r="Q159" s="4" t="n">
        <v>0.019</v>
      </c>
      <c r="R159" s="3" t="n">
        <v>600.4299999999999</v>
      </c>
      <c r="S159" s="3" t="n">
        <v>384.3</v>
      </c>
      <c r="T159" s="3" t="n">
        <v>208.33</v>
      </c>
      <c r="U159" s="4" t="n">
        <v>0.347</v>
      </c>
      <c r="V159" s="3" t="n">
        <v>7.8</v>
      </c>
      <c r="W159" t="inlineStr">
        <is>
          <t>Cash on Delivery</t>
        </is>
      </c>
      <c r="X159" t="inlineStr">
        <is>
          <t>Medium</t>
        </is>
      </c>
    </row>
    <row r="160">
      <c r="A160" t="inlineStr">
        <is>
          <t>ORD-00159</t>
        </is>
      </c>
      <c r="B160" s="2" t="n">
        <v>45111</v>
      </c>
      <c r="C160" s="2" t="n">
        <v>45112</v>
      </c>
      <c r="D160" t="inlineStr">
        <is>
          <t>CUST-00159</t>
        </is>
      </c>
      <c r="E160" t="inlineStr">
        <is>
          <t>customer 159</t>
        </is>
      </c>
      <c r="F160" t="inlineStr">
        <is>
          <t>Consumer</t>
        </is>
      </c>
      <c r="G160" t="inlineStr">
        <is>
          <t>P1009</t>
        </is>
      </c>
      <c r="H160" t="inlineStr">
        <is>
          <t>FlexNote Notebook</t>
        </is>
      </c>
      <c r="I160" t="inlineStr">
        <is>
          <t>Outdoor</t>
        </is>
      </c>
      <c r="J160" t="inlineStr">
        <is>
          <t>Lighting</t>
        </is>
      </c>
      <c r="K160" t="inlineStr">
        <is>
          <t>West</t>
        </is>
      </c>
      <c r="L160" t="inlineStr">
        <is>
          <t>California</t>
        </is>
      </c>
      <c r="M160" t="inlineStr">
        <is>
          <t>Denver</t>
        </is>
      </c>
      <c r="N160" t="inlineStr">
        <is>
          <t>James Carter</t>
        </is>
      </c>
      <c r="O160" t="n">
        <v>2</v>
      </c>
      <c r="P160" s="3" t="n">
        <v>96.18000000000001</v>
      </c>
      <c r="Q160" s="4" t="n">
        <v>0.022</v>
      </c>
      <c r="R160" s="3" t="n">
        <v>188.13</v>
      </c>
      <c r="S160" s="3" t="n">
        <v>100.17</v>
      </c>
      <c r="T160" s="3" t="n">
        <v>79.36</v>
      </c>
      <c r="U160" s="4" t="n">
        <v>0.4218</v>
      </c>
      <c r="V160" s="3" t="n">
        <v>8.6</v>
      </c>
      <c r="W160" t="inlineStr">
        <is>
          <t>Cash on Delivery</t>
        </is>
      </c>
      <c r="X160" t="inlineStr">
        <is>
          <t>Medium</t>
        </is>
      </c>
    </row>
    <row r="161">
      <c r="A161" t="inlineStr">
        <is>
          <t>ORD-00160</t>
        </is>
      </c>
      <c r="B161" s="2" t="n">
        <v>45906</v>
      </c>
      <c r="C161" s="2" t="n">
        <v>45908</v>
      </c>
      <c r="D161" t="inlineStr">
        <is>
          <t>CUST-00160</t>
        </is>
      </c>
      <c r="E161" t="inlineStr">
        <is>
          <t>customer 160</t>
        </is>
      </c>
      <c r="F161" t="inlineStr">
        <is>
          <t>Home Office</t>
        </is>
      </c>
      <c r="G161" t="inlineStr">
        <is>
          <t>P1012</t>
        </is>
      </c>
      <c r="H161" t="inlineStr">
        <is>
          <t>Nimbus Monitor Arm</t>
        </is>
      </c>
      <c r="I161" t="inlineStr">
        <is>
          <t>Home Decor</t>
        </is>
      </c>
      <c r="J161" t="inlineStr">
        <is>
          <t>Chairs</t>
        </is>
      </c>
      <c r="K161" t="inlineStr">
        <is>
          <t>East</t>
        </is>
      </c>
      <c r="L161" t="inlineStr">
        <is>
          <t>New Jersey</t>
        </is>
      </c>
      <c r="M161" t="inlineStr">
        <is>
          <t>Boston</t>
        </is>
      </c>
      <c r="N161" t="inlineStr">
        <is>
          <t>Sophia Singh</t>
        </is>
      </c>
      <c r="O161" t="n">
        <v>3</v>
      </c>
      <c r="P161" s="3" t="n">
        <v>135.18</v>
      </c>
      <c r="Q161" s="4" t="n">
        <v>0.02</v>
      </c>
      <c r="R161" s="3" t="n">
        <v>397.43</v>
      </c>
      <c r="S161" s="3" t="n">
        <v>201.82</v>
      </c>
      <c r="T161" s="3" t="n">
        <v>186.21</v>
      </c>
      <c r="U161" s="4" t="n">
        <v>0.4685</v>
      </c>
      <c r="V161" s="3" t="n">
        <v>9.4</v>
      </c>
      <c r="W161" t="inlineStr">
        <is>
          <t>PayPal</t>
        </is>
      </c>
      <c r="X161" t="inlineStr">
        <is>
          <t>Medium</t>
        </is>
      </c>
    </row>
    <row r="162">
      <c r="A162" t="inlineStr">
        <is>
          <t>ORD-00161</t>
        </is>
      </c>
      <c r="B162" s="2" t="n">
        <v>45294</v>
      </c>
      <c r="C162" s="2" t="n">
        <v>45298</v>
      </c>
      <c r="D162" t="inlineStr">
        <is>
          <t>CUST-00161</t>
        </is>
      </c>
      <c r="E162" t="inlineStr">
        <is>
          <t>customer 161</t>
        </is>
      </c>
      <c r="F162" t="inlineStr">
        <is>
          <t>Consumer</t>
        </is>
      </c>
      <c r="G162" t="inlineStr">
        <is>
          <t>P1010</t>
        </is>
      </c>
      <c r="H162" t="inlineStr">
        <is>
          <t>SmartInk Pen Set</t>
        </is>
      </c>
      <c r="I162" t="inlineStr">
        <is>
          <t>Home Decor</t>
        </is>
      </c>
      <c r="J162" t="inlineStr">
        <is>
          <t>Coolers</t>
        </is>
      </c>
      <c r="K162" t="inlineStr">
        <is>
          <t>Central</t>
        </is>
      </c>
      <c r="L162" t="inlineStr">
        <is>
          <t>Kansas</t>
        </is>
      </c>
      <c r="M162" t="inlineStr">
        <is>
          <t>Minneapolis</t>
        </is>
      </c>
      <c r="N162" t="inlineStr">
        <is>
          <t>Sophia Singh</t>
        </is>
      </c>
      <c r="O162" t="n">
        <v>2</v>
      </c>
      <c r="P162" s="3" t="n">
        <v>52.82</v>
      </c>
      <c r="Q162" s="4" t="n">
        <v>0.054</v>
      </c>
      <c r="R162" s="3" t="n">
        <v>99.94</v>
      </c>
      <c r="S162" s="3" t="n">
        <v>46.22</v>
      </c>
      <c r="T162" s="3" t="n">
        <v>46.12</v>
      </c>
      <c r="U162" s="4" t="n">
        <v>0.4615</v>
      </c>
      <c r="V162" s="3" t="n">
        <v>7.6</v>
      </c>
      <c r="W162" t="inlineStr">
        <is>
          <t>Bank Transfer</t>
        </is>
      </c>
      <c r="X162" t="inlineStr">
        <is>
          <t>High</t>
        </is>
      </c>
    </row>
    <row r="163">
      <c r="A163" t="inlineStr">
        <is>
          <t>ORD-00162</t>
        </is>
      </c>
      <c r="B163" s="2" t="n">
        <v>45553</v>
      </c>
      <c r="C163" s="2" t="n">
        <v>45560</v>
      </c>
      <c r="D163" t="inlineStr">
        <is>
          <t>CUST-00162</t>
        </is>
      </c>
      <c r="E163" t="inlineStr">
        <is>
          <t>customer 162</t>
        </is>
      </c>
      <c r="F163" t="inlineStr">
        <is>
          <t>Corporate</t>
        </is>
      </c>
      <c r="G163" t="inlineStr">
        <is>
          <t>P1010</t>
        </is>
      </c>
      <c r="H163" t="inlineStr">
        <is>
          <t>Atlas Throw Pillow</t>
        </is>
      </c>
      <c r="I163" t="inlineStr">
        <is>
          <t>Outdoor</t>
        </is>
      </c>
      <c r="J163" t="inlineStr">
        <is>
          <t>Accessories</t>
        </is>
      </c>
      <c r="K163" t="inlineStr">
        <is>
          <t>West</t>
        </is>
      </c>
      <c r="L163" t="inlineStr">
        <is>
          <t>Colorado</t>
        </is>
      </c>
      <c r="M163" t="inlineStr">
        <is>
          <t>Seattle</t>
        </is>
      </c>
      <c r="N163" t="inlineStr">
        <is>
          <t>James Carter</t>
        </is>
      </c>
      <c r="O163" t="n">
        <v>2</v>
      </c>
      <c r="P163" s="3" t="n">
        <v>58.7</v>
      </c>
      <c r="Q163" s="4" t="n">
        <v>0.031</v>
      </c>
      <c r="R163" s="3" t="n">
        <v>113.76</v>
      </c>
      <c r="S163" s="3" t="n">
        <v>56.1</v>
      </c>
      <c r="T163" s="3" t="n">
        <v>49.06</v>
      </c>
      <c r="U163" s="4" t="n">
        <v>0.4313</v>
      </c>
      <c r="V163" s="3" t="n">
        <v>8.6</v>
      </c>
      <c r="W163" t="inlineStr">
        <is>
          <t>Debit Card</t>
        </is>
      </c>
      <c r="X163" t="inlineStr">
        <is>
          <t>Medium</t>
        </is>
      </c>
    </row>
    <row r="164">
      <c r="A164" t="inlineStr">
        <is>
          <t>ORD-00163</t>
        </is>
      </c>
      <c r="B164" s="2" t="n">
        <v>45611</v>
      </c>
      <c r="C164" s="2" t="n">
        <v>45617</v>
      </c>
      <c r="D164" t="inlineStr">
        <is>
          <t>CUST-00163</t>
        </is>
      </c>
      <c r="E164" t="inlineStr">
        <is>
          <t>customer 163</t>
        </is>
      </c>
      <c r="F164" t="inlineStr">
        <is>
          <t>Corporate</t>
        </is>
      </c>
      <c r="G164" t="inlineStr">
        <is>
          <t>P1009</t>
        </is>
      </c>
      <c r="H164" t="inlineStr">
        <is>
          <t>Trail Tote</t>
        </is>
      </c>
      <c r="I164" t="inlineStr">
        <is>
          <t>Home Decor</t>
        </is>
      </c>
      <c r="J164" t="inlineStr">
        <is>
          <t>Paper</t>
        </is>
      </c>
      <c r="K164" t="inlineStr">
        <is>
          <t>East</t>
        </is>
      </c>
      <c r="L164" t="inlineStr">
        <is>
          <t>New York</t>
        </is>
      </c>
      <c r="M164" t="inlineStr">
        <is>
          <t>Washington</t>
        </is>
      </c>
      <c r="N164" t="inlineStr">
        <is>
          <t>James Carter</t>
        </is>
      </c>
      <c r="O164" t="n">
        <v>6</v>
      </c>
      <c r="P164" s="3" t="n">
        <v>96.47</v>
      </c>
      <c r="Q164" s="4" t="n">
        <v>0.033</v>
      </c>
      <c r="R164" s="3" t="n">
        <v>559.72</v>
      </c>
      <c r="S164" s="3" t="n">
        <v>272.12</v>
      </c>
      <c r="T164" s="3" t="n">
        <v>275.8</v>
      </c>
      <c r="U164" s="4" t="n">
        <v>0.4927</v>
      </c>
      <c r="V164" s="3" t="n">
        <v>11.8</v>
      </c>
      <c r="W164" t="inlineStr">
        <is>
          <t>Credit Card</t>
        </is>
      </c>
      <c r="X164" t="inlineStr">
        <is>
          <t>Medium</t>
        </is>
      </c>
    </row>
    <row r="165">
      <c r="A165" t="inlineStr">
        <is>
          <t>ORD-00164</t>
        </is>
      </c>
      <c r="B165" s="2" t="n">
        <v>45481</v>
      </c>
      <c r="C165" s="2" t="n">
        <v>45482</v>
      </c>
      <c r="D165" t="inlineStr">
        <is>
          <t>CUST-00164</t>
        </is>
      </c>
      <c r="E165" t="inlineStr">
        <is>
          <t>customer 164</t>
        </is>
      </c>
      <c r="F165" t="inlineStr">
        <is>
          <t>Home Office</t>
        </is>
      </c>
      <c r="G165" t="inlineStr">
        <is>
          <t>P1010</t>
        </is>
      </c>
      <c r="H165" t="inlineStr">
        <is>
          <t>Summit Patio Set</t>
        </is>
      </c>
      <c r="I165" t="inlineStr">
        <is>
          <t>Home Decor</t>
        </is>
      </c>
      <c r="J165" t="inlineStr">
        <is>
          <t>Bags</t>
        </is>
      </c>
      <c r="K165" t="inlineStr">
        <is>
          <t>West</t>
        </is>
      </c>
      <c r="L165" t="inlineStr">
        <is>
          <t>California</t>
        </is>
      </c>
      <c r="M165" t="inlineStr">
        <is>
          <t>Los Angeles</t>
        </is>
      </c>
      <c r="N165" t="inlineStr">
        <is>
          <t>Liam Chen</t>
        </is>
      </c>
      <c r="O165" t="n">
        <v>6</v>
      </c>
      <c r="P165" s="3" t="n">
        <v>60.27</v>
      </c>
      <c r="Q165" s="4" t="n">
        <v>0.012</v>
      </c>
      <c r="R165" s="3" t="n">
        <v>357.28</v>
      </c>
      <c r="S165" s="3" t="n">
        <v>152.15</v>
      </c>
      <c r="T165" s="3" t="n">
        <v>193.33</v>
      </c>
      <c r="U165" s="4" t="n">
        <v>0.5411</v>
      </c>
      <c r="V165" s="3" t="n">
        <v>11.8</v>
      </c>
      <c r="W165" t="inlineStr">
        <is>
          <t>Debit Card</t>
        </is>
      </c>
      <c r="X165" t="inlineStr">
        <is>
          <t>Low</t>
        </is>
      </c>
    </row>
    <row r="166">
      <c r="A166" t="inlineStr">
        <is>
          <t>ORD-00165</t>
        </is>
      </c>
      <c r="B166" s="2" t="n">
        <v>45095</v>
      </c>
      <c r="C166" s="2" t="n">
        <v>45099</v>
      </c>
      <c r="D166" t="inlineStr">
        <is>
          <t>CUST-00165</t>
        </is>
      </c>
      <c r="E166" t="inlineStr">
        <is>
          <t>customer 165</t>
        </is>
      </c>
      <c r="F166" t="inlineStr">
        <is>
          <t>Corporate</t>
        </is>
      </c>
      <c r="G166" t="inlineStr">
        <is>
          <t>P1009</t>
        </is>
      </c>
      <c r="H166" t="inlineStr">
        <is>
          <t>CloudDrive File Box</t>
        </is>
      </c>
      <c r="I166" t="inlineStr">
        <is>
          <t>Home Decor</t>
        </is>
      </c>
      <c r="J166" t="inlineStr">
        <is>
          <t>Flooring</t>
        </is>
      </c>
      <c r="K166" t="inlineStr">
        <is>
          <t>South</t>
        </is>
      </c>
      <c r="L166" t="inlineStr">
        <is>
          <t>North Carolina</t>
        </is>
      </c>
      <c r="M166" t="inlineStr">
        <is>
          <t>Atlanta</t>
        </is>
      </c>
      <c r="N166" t="inlineStr">
        <is>
          <t>Sophia Singh</t>
        </is>
      </c>
      <c r="O166" t="n">
        <v>3</v>
      </c>
      <c r="P166" s="3" t="n">
        <v>93.15000000000001</v>
      </c>
      <c r="Q166" s="4" t="n">
        <v>0.021</v>
      </c>
      <c r="R166" s="3" t="n">
        <v>273.58</v>
      </c>
      <c r="S166" s="3" t="n">
        <v>138.66</v>
      </c>
      <c r="T166" s="3" t="n">
        <v>126.52</v>
      </c>
      <c r="U166" s="4" t="n">
        <v>0.4625</v>
      </c>
      <c r="V166" s="3" t="n">
        <v>8.4</v>
      </c>
      <c r="W166" t="inlineStr">
        <is>
          <t>Credit Card</t>
        </is>
      </c>
      <c r="X166" t="inlineStr">
        <is>
          <t>High</t>
        </is>
      </c>
    </row>
    <row r="167">
      <c r="A167" t="inlineStr">
        <is>
          <t>ORD-00166</t>
        </is>
      </c>
      <c r="B167" s="2" t="n">
        <v>45801</v>
      </c>
      <c r="C167" s="2" t="n">
        <v>45806</v>
      </c>
      <c r="D167" t="inlineStr">
        <is>
          <t>CUST-00166</t>
        </is>
      </c>
      <c r="E167" t="inlineStr">
        <is>
          <t>customer 166</t>
        </is>
      </c>
      <c r="F167" t="inlineStr">
        <is>
          <t>Consumer</t>
        </is>
      </c>
      <c r="G167" t="inlineStr">
        <is>
          <t>P1001</t>
        </is>
      </c>
      <c r="H167" t="inlineStr">
        <is>
          <t>Halo Planter</t>
        </is>
      </c>
      <c r="I167" t="inlineStr">
        <is>
          <t>Technology</t>
        </is>
      </c>
      <c r="J167" t="inlineStr">
        <is>
          <t>Lighting</t>
        </is>
      </c>
      <c r="K167" t="inlineStr">
        <is>
          <t>Central</t>
        </is>
      </c>
      <c r="L167" t="inlineStr">
        <is>
          <t>Kansas</t>
        </is>
      </c>
      <c r="M167" t="inlineStr">
        <is>
          <t>Kansas City</t>
        </is>
      </c>
      <c r="N167" t="inlineStr">
        <is>
          <t>Liam Chen</t>
        </is>
      </c>
      <c r="O167" t="n">
        <v>2</v>
      </c>
      <c r="P167" s="3" t="n">
        <v>284.85</v>
      </c>
      <c r="Q167" s="4" t="n">
        <v>0.01</v>
      </c>
      <c r="R167" s="3" t="n">
        <v>564</v>
      </c>
      <c r="S167" s="3" t="n">
        <v>334.51</v>
      </c>
      <c r="T167" s="3" t="n">
        <v>221.89</v>
      </c>
      <c r="U167" s="4" t="n">
        <v>0.3934</v>
      </c>
      <c r="V167" s="3" t="n">
        <v>7.6</v>
      </c>
      <c r="W167" t="inlineStr">
        <is>
          <t>Debit Card</t>
        </is>
      </c>
      <c r="X167" t="inlineStr">
        <is>
          <t>Medium</t>
        </is>
      </c>
    </row>
    <row r="168">
      <c r="A168" t="inlineStr">
        <is>
          <t>ORD-00167</t>
        </is>
      </c>
      <c r="B168" s="2" t="n">
        <v>45558</v>
      </c>
      <c r="C168" s="2" t="n">
        <v>45564</v>
      </c>
      <c r="D168" t="inlineStr">
        <is>
          <t>CUST-00167</t>
        </is>
      </c>
      <c r="E168" t="inlineStr">
        <is>
          <t>customer 167</t>
        </is>
      </c>
      <c r="F168" t="inlineStr">
        <is>
          <t>Consumer</t>
        </is>
      </c>
      <c r="G168" t="inlineStr">
        <is>
          <t>P1016</t>
        </is>
      </c>
      <c r="H168" t="inlineStr">
        <is>
          <t>Trail Tote</t>
        </is>
      </c>
      <c r="I168" t="inlineStr">
        <is>
          <t>Furniture</t>
        </is>
      </c>
      <c r="J168" t="inlineStr">
        <is>
          <t>Flooring</t>
        </is>
      </c>
      <c r="K168" t="inlineStr">
        <is>
          <t>East</t>
        </is>
      </c>
      <c r="L168" t="inlineStr">
        <is>
          <t>New Jersey</t>
        </is>
      </c>
      <c r="M168" t="inlineStr">
        <is>
          <t>Boston</t>
        </is>
      </c>
      <c r="N168" t="inlineStr">
        <is>
          <t>Ava Patel</t>
        </is>
      </c>
      <c r="O168" t="n">
        <v>4</v>
      </c>
      <c r="P168" s="3" t="n">
        <v>38.3</v>
      </c>
      <c r="Q168" s="4" t="n">
        <v>0.015</v>
      </c>
      <c r="R168" s="3" t="n">
        <v>150.9</v>
      </c>
      <c r="S168" s="3" t="n">
        <v>66.09999999999999</v>
      </c>
      <c r="T168" s="3" t="n">
        <v>74.59999999999999</v>
      </c>
      <c r="U168" s="4" t="n">
        <v>0.4944</v>
      </c>
      <c r="V168" s="3" t="n">
        <v>10.2</v>
      </c>
      <c r="W168" t="inlineStr">
        <is>
          <t>Credit Card</t>
        </is>
      </c>
      <c r="X168" t="inlineStr">
        <is>
          <t>Medium</t>
        </is>
      </c>
    </row>
    <row r="169">
      <c r="A169" t="inlineStr">
        <is>
          <t>ORD-00168</t>
        </is>
      </c>
      <c r="B169" s="2" t="n">
        <v>45202</v>
      </c>
      <c r="C169" s="2" t="n">
        <v>45207</v>
      </c>
      <c r="D169" t="inlineStr">
        <is>
          <t>CUST-00168</t>
        </is>
      </c>
      <c r="E169" t="inlineStr">
        <is>
          <t>customer 168</t>
        </is>
      </c>
      <c r="F169" t="inlineStr">
        <is>
          <t>Consumer</t>
        </is>
      </c>
      <c r="G169" t="inlineStr">
        <is>
          <t>P1014</t>
        </is>
      </c>
      <c r="H169" t="inlineStr">
        <is>
          <t>Halo Planter</t>
        </is>
      </c>
      <c r="I169" t="inlineStr">
        <is>
          <t>Office Supplies</t>
        </is>
      </c>
      <c r="J169" t="inlineStr">
        <is>
          <t>Storage</t>
        </is>
      </c>
      <c r="K169" t="inlineStr">
        <is>
          <t>South</t>
        </is>
      </c>
      <c r="L169" t="inlineStr">
        <is>
          <t>Georgia</t>
        </is>
      </c>
      <c r="M169" t="inlineStr">
        <is>
          <t>Dallas</t>
        </is>
      </c>
      <c r="N169" t="inlineStr">
        <is>
          <t>Noah Kim</t>
        </is>
      </c>
      <c r="O169" t="n">
        <v>4</v>
      </c>
      <c r="P169" s="3" t="n">
        <v>46.6</v>
      </c>
      <c r="Q169" s="4" t="n">
        <v>0.052</v>
      </c>
      <c r="R169" s="3" t="n">
        <v>176.71</v>
      </c>
      <c r="S169" s="3" t="n">
        <v>79.3</v>
      </c>
      <c r="T169" s="3" t="n">
        <v>88.20999999999999</v>
      </c>
      <c r="U169" s="4" t="n">
        <v>0.4992</v>
      </c>
      <c r="V169" s="3" t="n">
        <v>9.199999999999999</v>
      </c>
      <c r="W169" t="inlineStr">
        <is>
          <t>Bank Transfer</t>
        </is>
      </c>
      <c r="X169" t="inlineStr">
        <is>
          <t>High</t>
        </is>
      </c>
    </row>
    <row r="170">
      <c r="A170" t="inlineStr">
        <is>
          <t>ORD-00169</t>
        </is>
      </c>
      <c r="B170" s="2" t="n">
        <v>45236</v>
      </c>
      <c r="C170" s="2" t="n">
        <v>45243</v>
      </c>
      <c r="D170" t="inlineStr">
        <is>
          <t>CUST-00169</t>
        </is>
      </c>
      <c r="E170" t="inlineStr">
        <is>
          <t>customer 169</t>
        </is>
      </c>
      <c r="F170" t="inlineStr">
        <is>
          <t>Corporate</t>
        </is>
      </c>
      <c r="G170" t="inlineStr">
        <is>
          <t>P1013</t>
        </is>
      </c>
      <c r="H170" t="inlineStr">
        <is>
          <t>CloudDrive File Box</t>
        </is>
      </c>
      <c r="I170" t="inlineStr">
        <is>
          <t>Furniture</t>
        </is>
      </c>
      <c r="J170" t="inlineStr">
        <is>
          <t>Peripherals</t>
        </is>
      </c>
      <c r="K170" t="inlineStr">
        <is>
          <t>West</t>
        </is>
      </c>
      <c r="L170" t="inlineStr">
        <is>
          <t>Washington</t>
        </is>
      </c>
      <c r="M170" t="inlineStr">
        <is>
          <t>Denver</t>
        </is>
      </c>
      <c r="N170" t="inlineStr">
        <is>
          <t>Mia Rodriguez</t>
        </is>
      </c>
      <c r="O170" t="n">
        <v>3</v>
      </c>
      <c r="P170" s="3" t="n">
        <v>172.64</v>
      </c>
      <c r="Q170" s="4" t="n">
        <v>0.056</v>
      </c>
      <c r="R170" s="3" t="n">
        <v>488.92</v>
      </c>
      <c r="S170" s="3" t="n">
        <v>284.95</v>
      </c>
      <c r="T170" s="3" t="n">
        <v>194.57</v>
      </c>
      <c r="U170" s="4" t="n">
        <v>0.398</v>
      </c>
      <c r="V170" s="3" t="n">
        <v>9.4</v>
      </c>
      <c r="W170" t="inlineStr">
        <is>
          <t>Cash on Delivery</t>
        </is>
      </c>
      <c r="X170" t="inlineStr">
        <is>
          <t>High</t>
        </is>
      </c>
    </row>
    <row r="171">
      <c r="A171" t="inlineStr">
        <is>
          <t>ORD-00170</t>
        </is>
      </c>
      <c r="B171" s="2" t="n">
        <v>45434</v>
      </c>
      <c r="C171" s="2" t="n">
        <v>45436</v>
      </c>
      <c r="D171" t="inlineStr">
        <is>
          <t>CUST-00170</t>
        </is>
      </c>
      <c r="E171" t="inlineStr">
        <is>
          <t>customer 170</t>
        </is>
      </c>
      <c r="F171" t="inlineStr">
        <is>
          <t>Consumer</t>
        </is>
      </c>
      <c r="G171" t="inlineStr">
        <is>
          <t>P1006</t>
        </is>
      </c>
      <c r="H171" t="inlineStr">
        <is>
          <t>Pulse Keyboard</t>
        </is>
      </c>
      <c r="I171" t="inlineStr">
        <is>
          <t>Office Supplies</t>
        </is>
      </c>
      <c r="J171" t="inlineStr">
        <is>
          <t>Bags</t>
        </is>
      </c>
      <c r="K171" t="inlineStr">
        <is>
          <t>Central</t>
        </is>
      </c>
      <c r="L171" t="inlineStr">
        <is>
          <t>Missouri</t>
        </is>
      </c>
      <c r="M171" t="inlineStr">
        <is>
          <t>Chicago</t>
        </is>
      </c>
      <c r="N171" t="inlineStr">
        <is>
          <t>Ethan Brooks</t>
        </is>
      </c>
      <c r="O171" t="n">
        <v>5</v>
      </c>
      <c r="P171" s="3" t="n">
        <v>17.22</v>
      </c>
      <c r="Q171" s="4" t="n">
        <v>0</v>
      </c>
      <c r="R171" s="3" t="n">
        <v>86.09999999999999</v>
      </c>
      <c r="S171" s="3" t="n">
        <v>29.92</v>
      </c>
      <c r="T171" s="3" t="n">
        <v>46.18</v>
      </c>
      <c r="U171" s="4" t="n">
        <v>0.5364</v>
      </c>
      <c r="V171" s="3" t="n">
        <v>10</v>
      </c>
      <c r="W171" t="inlineStr">
        <is>
          <t>Bank Transfer</t>
        </is>
      </c>
      <c r="X171" t="inlineStr">
        <is>
          <t>Low</t>
        </is>
      </c>
    </row>
    <row r="172">
      <c r="A172" t="inlineStr">
        <is>
          <t>ORD-00171</t>
        </is>
      </c>
      <c r="B172" s="2" t="n">
        <v>45956</v>
      </c>
      <c r="C172" s="2" t="n">
        <v>45963</v>
      </c>
      <c r="D172" t="inlineStr">
        <is>
          <t>CUST-00171</t>
        </is>
      </c>
      <c r="E172" t="inlineStr">
        <is>
          <t>customer 171</t>
        </is>
      </c>
      <c r="F172" t="inlineStr">
        <is>
          <t>Consumer</t>
        </is>
      </c>
      <c r="G172" t="inlineStr">
        <is>
          <t>P1014</t>
        </is>
      </c>
      <c r="H172" t="inlineStr">
        <is>
          <t>Orbit Wireless Mouse</t>
        </is>
      </c>
      <c r="I172" t="inlineStr">
        <is>
          <t>Technology</t>
        </is>
      </c>
      <c r="J172" t="inlineStr">
        <is>
          <t>Binders</t>
        </is>
      </c>
      <c r="K172" t="inlineStr">
        <is>
          <t>North</t>
        </is>
      </c>
      <c r="L172" t="inlineStr">
        <is>
          <t>Alberta</t>
        </is>
      </c>
      <c r="M172" t="inlineStr">
        <is>
          <t>Vancouver</t>
        </is>
      </c>
      <c r="N172" t="inlineStr">
        <is>
          <t>Mia Rodriguez</t>
        </is>
      </c>
      <c r="O172" t="n">
        <v>3</v>
      </c>
      <c r="P172" s="3" t="n">
        <v>48.06</v>
      </c>
      <c r="Q172" s="4" t="n">
        <v>0.021</v>
      </c>
      <c r="R172" s="3" t="n">
        <v>141.15</v>
      </c>
      <c r="S172" s="3" t="n">
        <v>60.31</v>
      </c>
      <c r="T172" s="3" t="n">
        <v>72.44</v>
      </c>
      <c r="U172" s="4" t="n">
        <v>0.5132</v>
      </c>
      <c r="V172" s="3" t="n">
        <v>8.4</v>
      </c>
      <c r="W172" t="inlineStr">
        <is>
          <t>Debit Card</t>
        </is>
      </c>
      <c r="X172" t="inlineStr">
        <is>
          <t>Medium</t>
        </is>
      </c>
    </row>
    <row r="173">
      <c r="A173" t="inlineStr">
        <is>
          <t>ORD-00172</t>
        </is>
      </c>
      <c r="B173" s="2" t="n">
        <v>45159</v>
      </c>
      <c r="C173" s="2" t="n">
        <v>45166</v>
      </c>
      <c r="D173" t="inlineStr">
        <is>
          <t>CUST-00172</t>
        </is>
      </c>
      <c r="E173" t="inlineStr">
        <is>
          <t>customer 172</t>
        </is>
      </c>
      <c r="F173" t="inlineStr">
        <is>
          <t>Home Office</t>
        </is>
      </c>
      <c r="G173" t="inlineStr">
        <is>
          <t>P1008</t>
        </is>
      </c>
      <c r="H173" t="inlineStr">
        <is>
          <t>Tide Cooler</t>
        </is>
      </c>
      <c r="I173" t="inlineStr">
        <is>
          <t>Technology</t>
        </is>
      </c>
      <c r="J173" t="inlineStr">
        <is>
          <t>Peripherals</t>
        </is>
      </c>
      <c r="K173" t="inlineStr">
        <is>
          <t>South</t>
        </is>
      </c>
      <c r="L173" t="inlineStr">
        <is>
          <t>Texas</t>
        </is>
      </c>
      <c r="M173" t="inlineStr">
        <is>
          <t>Houston</t>
        </is>
      </c>
      <c r="N173" t="inlineStr">
        <is>
          <t>Ava Patel</t>
        </is>
      </c>
      <c r="O173" t="n">
        <v>2</v>
      </c>
      <c r="P173" s="3" t="n">
        <v>36.24</v>
      </c>
      <c r="Q173" s="4" t="n">
        <v>0.008999999999999999</v>
      </c>
      <c r="R173" s="3" t="n">
        <v>71.83</v>
      </c>
      <c r="S173" s="3" t="n">
        <v>35.31</v>
      </c>
      <c r="T173" s="3" t="n">
        <v>28.92</v>
      </c>
      <c r="U173" s="4" t="n">
        <v>0.4026</v>
      </c>
      <c r="V173" s="3" t="n">
        <v>7.6</v>
      </c>
      <c r="W173" t="inlineStr">
        <is>
          <t>Debit Card</t>
        </is>
      </c>
      <c r="X173" t="inlineStr">
        <is>
          <t>Medium</t>
        </is>
      </c>
    </row>
    <row r="174">
      <c r="A174" t="inlineStr">
        <is>
          <t>ORD-00173</t>
        </is>
      </c>
      <c r="B174" s="2" t="n">
        <v>45620</v>
      </c>
      <c r="C174" s="2" t="n">
        <v>45627</v>
      </c>
      <c r="D174" t="inlineStr">
        <is>
          <t>CUST-00173</t>
        </is>
      </c>
      <c r="E174" t="inlineStr">
        <is>
          <t>customer 173</t>
        </is>
      </c>
      <c r="F174" t="inlineStr">
        <is>
          <t>Consumer</t>
        </is>
      </c>
      <c r="G174" t="inlineStr">
        <is>
          <t>P1018</t>
        </is>
      </c>
      <c r="H174" t="inlineStr">
        <is>
          <t>Nova Laptop Stand</t>
        </is>
      </c>
      <c r="I174" t="inlineStr">
        <is>
          <t>Technology</t>
        </is>
      </c>
      <c r="J174" t="inlineStr">
        <is>
          <t>Decor</t>
        </is>
      </c>
      <c r="K174" t="inlineStr">
        <is>
          <t>South</t>
        </is>
      </c>
      <c r="L174" t="inlineStr">
        <is>
          <t>Georgia</t>
        </is>
      </c>
      <c r="M174" t="inlineStr">
        <is>
          <t>Miami</t>
        </is>
      </c>
      <c r="N174" t="inlineStr">
        <is>
          <t>Olivia Martin</t>
        </is>
      </c>
      <c r="O174" t="n">
        <v>5</v>
      </c>
      <c r="P174" s="3" t="n">
        <v>96.59999999999999</v>
      </c>
      <c r="Q174" s="4" t="n">
        <v>0.029</v>
      </c>
      <c r="R174" s="3" t="n">
        <v>468.99</v>
      </c>
      <c r="S174" s="3" t="n">
        <v>206.66</v>
      </c>
      <c r="T174" s="3" t="n">
        <v>252.33</v>
      </c>
      <c r="U174" s="4" t="n">
        <v>0.538</v>
      </c>
      <c r="V174" s="3" t="n">
        <v>10</v>
      </c>
      <c r="W174" t="inlineStr">
        <is>
          <t>PayPal</t>
        </is>
      </c>
      <c r="X174" t="inlineStr">
        <is>
          <t>Medium</t>
        </is>
      </c>
    </row>
    <row r="175">
      <c r="A175" t="inlineStr">
        <is>
          <t>ORD-00174</t>
        </is>
      </c>
      <c r="B175" s="2" t="n">
        <v>45153</v>
      </c>
      <c r="C175" s="2" t="n">
        <v>45158</v>
      </c>
      <c r="D175" t="inlineStr">
        <is>
          <t>CUST-00174</t>
        </is>
      </c>
      <c r="E175" t="inlineStr">
        <is>
          <t>customer 174</t>
        </is>
      </c>
      <c r="F175" t="inlineStr">
        <is>
          <t>Corporate</t>
        </is>
      </c>
      <c r="G175" t="inlineStr">
        <is>
          <t>P1020</t>
        </is>
      </c>
      <c r="H175" t="inlineStr">
        <is>
          <t>Atlas Throw Pillow</t>
        </is>
      </c>
      <c r="I175" t="inlineStr">
        <is>
          <t>Outdoor</t>
        </is>
      </c>
      <c r="J175" t="inlineStr">
        <is>
          <t>Peripherals</t>
        </is>
      </c>
      <c r="K175" t="inlineStr">
        <is>
          <t>Central</t>
        </is>
      </c>
      <c r="L175" t="inlineStr">
        <is>
          <t>Illinois</t>
        </is>
      </c>
      <c r="M175" t="inlineStr">
        <is>
          <t>Chicago</t>
        </is>
      </c>
      <c r="N175" t="inlineStr">
        <is>
          <t>Noah Kim</t>
        </is>
      </c>
      <c r="O175" t="n">
        <v>4</v>
      </c>
      <c r="P175" s="3" t="n">
        <v>71.75</v>
      </c>
      <c r="Q175" s="4" t="n">
        <v>0.018</v>
      </c>
      <c r="R175" s="3" t="n">
        <v>281.83</v>
      </c>
      <c r="S175" s="3" t="n">
        <v>138.59</v>
      </c>
      <c r="T175" s="3" t="n">
        <v>134.04</v>
      </c>
      <c r="U175" s="4" t="n">
        <v>0.4756</v>
      </c>
      <c r="V175" s="3" t="n">
        <v>9.199999999999999</v>
      </c>
      <c r="W175" t="inlineStr">
        <is>
          <t>PayPal</t>
        </is>
      </c>
      <c r="X175" t="inlineStr">
        <is>
          <t>Low</t>
        </is>
      </c>
    </row>
    <row r="176">
      <c r="A176" t="inlineStr">
        <is>
          <t>ORD-00175</t>
        </is>
      </c>
      <c r="B176" s="2" t="n">
        <v>45500</v>
      </c>
      <c r="C176" s="2" t="n">
        <v>45501</v>
      </c>
      <c r="D176" t="inlineStr">
        <is>
          <t>CUST-00175</t>
        </is>
      </c>
      <c r="E176" t="inlineStr">
        <is>
          <t>customer 175</t>
        </is>
      </c>
      <c r="F176" t="inlineStr">
        <is>
          <t>Consumer</t>
        </is>
      </c>
      <c r="G176" t="inlineStr">
        <is>
          <t>P1001</t>
        </is>
      </c>
      <c r="H176" t="inlineStr">
        <is>
          <t>ErgoMesh Chair</t>
        </is>
      </c>
      <c r="I176" t="inlineStr">
        <is>
          <t>Furniture</t>
        </is>
      </c>
      <c r="J176" t="inlineStr">
        <is>
          <t>Peripherals</t>
        </is>
      </c>
      <c r="K176" t="inlineStr">
        <is>
          <t>West</t>
        </is>
      </c>
      <c r="L176" t="inlineStr">
        <is>
          <t>Colorado</t>
        </is>
      </c>
      <c r="M176" t="inlineStr">
        <is>
          <t>Denver</t>
        </is>
      </c>
      <c r="N176" t="inlineStr">
        <is>
          <t>Sophia Singh</t>
        </is>
      </c>
      <c r="O176" t="n">
        <v>5</v>
      </c>
      <c r="P176" s="3" t="n">
        <v>318.62</v>
      </c>
      <c r="Q176" s="4" t="n">
        <v>0.019</v>
      </c>
      <c r="R176" s="3" t="n">
        <v>1562.83</v>
      </c>
      <c r="S176" s="3" t="n">
        <v>912.86</v>
      </c>
      <c r="T176" s="3" t="n">
        <v>638.97</v>
      </c>
      <c r="U176" s="4" t="n">
        <v>0.4089</v>
      </c>
      <c r="V176" s="3" t="n">
        <v>11</v>
      </c>
      <c r="W176" t="inlineStr">
        <is>
          <t>Credit Card</t>
        </is>
      </c>
      <c r="X176" t="inlineStr">
        <is>
          <t>Medium</t>
        </is>
      </c>
    </row>
    <row r="177">
      <c r="A177" t="inlineStr">
        <is>
          <t>ORD-00176</t>
        </is>
      </c>
      <c r="B177" s="2" t="n">
        <v>45150</v>
      </c>
      <c r="C177" s="2" t="n">
        <v>45152</v>
      </c>
      <c r="D177" t="inlineStr">
        <is>
          <t>CUST-00176</t>
        </is>
      </c>
      <c r="E177" t="inlineStr">
        <is>
          <t>customer 176</t>
        </is>
      </c>
      <c r="F177" t="inlineStr">
        <is>
          <t>Consumer</t>
        </is>
      </c>
      <c r="G177" t="inlineStr">
        <is>
          <t>P1012</t>
        </is>
      </c>
      <c r="H177" t="inlineStr">
        <is>
          <t>ProClip Binder</t>
        </is>
      </c>
      <c r="I177" t="inlineStr">
        <is>
          <t>Office Supplies</t>
        </is>
      </c>
      <c r="J177" t="inlineStr">
        <is>
          <t>Peripherals</t>
        </is>
      </c>
      <c r="K177" t="inlineStr">
        <is>
          <t>East</t>
        </is>
      </c>
      <c r="L177" t="inlineStr">
        <is>
          <t>Virginia</t>
        </is>
      </c>
      <c r="M177" t="inlineStr">
        <is>
          <t>Washington</t>
        </is>
      </c>
      <c r="N177" t="inlineStr">
        <is>
          <t>Noah Kim</t>
        </is>
      </c>
      <c r="O177" t="n">
        <v>5</v>
      </c>
      <c r="P177" s="3" t="n">
        <v>133.6</v>
      </c>
      <c r="Q177" s="4" t="n">
        <v>0.017</v>
      </c>
      <c r="R177" s="3" t="n">
        <v>656.64</v>
      </c>
      <c r="S177" s="3" t="n">
        <v>325.77</v>
      </c>
      <c r="T177" s="3" t="n">
        <v>319.87</v>
      </c>
      <c r="U177" s="4" t="n">
        <v>0.4871</v>
      </c>
      <c r="V177" s="3" t="n">
        <v>11</v>
      </c>
      <c r="W177" t="inlineStr">
        <is>
          <t>Bank Transfer</t>
        </is>
      </c>
      <c r="X177" t="inlineStr">
        <is>
          <t>High</t>
        </is>
      </c>
    </row>
    <row r="178">
      <c r="A178" t="inlineStr">
        <is>
          <t>ORD-00177</t>
        </is>
      </c>
      <c r="B178" s="2" t="n">
        <v>45935</v>
      </c>
      <c r="C178" s="2" t="n">
        <v>45939</v>
      </c>
      <c r="D178" t="inlineStr">
        <is>
          <t>CUST-00177</t>
        </is>
      </c>
      <c r="E178" t="inlineStr">
        <is>
          <t>customer 177</t>
        </is>
      </c>
      <c r="F178" t="inlineStr">
        <is>
          <t>Consumer</t>
        </is>
      </c>
      <c r="G178" t="inlineStr">
        <is>
          <t>P1011</t>
        </is>
      </c>
      <c r="H178" t="inlineStr">
        <is>
          <t>Lumen Desk Lamp</t>
        </is>
      </c>
      <c r="I178" t="inlineStr">
        <is>
          <t>Office Supplies</t>
        </is>
      </c>
      <c r="J178" t="inlineStr">
        <is>
          <t>Desks</t>
        </is>
      </c>
      <c r="K178" t="inlineStr">
        <is>
          <t>Central</t>
        </is>
      </c>
      <c r="L178" t="inlineStr">
        <is>
          <t>Minnesota</t>
        </is>
      </c>
      <c r="M178" t="inlineStr">
        <is>
          <t>St. Louis</t>
        </is>
      </c>
      <c r="N178" t="inlineStr">
        <is>
          <t>Sophia Singh</t>
        </is>
      </c>
      <c r="O178" t="n">
        <v>2</v>
      </c>
      <c r="P178" s="3" t="n">
        <v>90.05</v>
      </c>
      <c r="Q178" s="4" t="n">
        <v>0.021</v>
      </c>
      <c r="R178" s="3" t="n">
        <v>176.32</v>
      </c>
      <c r="S178" s="3" t="n">
        <v>92.5</v>
      </c>
      <c r="T178" s="3" t="n">
        <v>76.22</v>
      </c>
      <c r="U178" s="4" t="n">
        <v>0.4323</v>
      </c>
      <c r="V178" s="3" t="n">
        <v>7.6</v>
      </c>
      <c r="W178" t="inlineStr">
        <is>
          <t>Credit Card</t>
        </is>
      </c>
      <c r="X178" t="inlineStr">
        <is>
          <t>Medium</t>
        </is>
      </c>
    </row>
    <row r="179">
      <c r="A179" t="inlineStr">
        <is>
          <t>ORD-00178</t>
        </is>
      </c>
      <c r="B179" s="2" t="n">
        <v>45633</v>
      </c>
      <c r="C179" s="2" t="n">
        <v>45635</v>
      </c>
      <c r="D179" t="inlineStr">
        <is>
          <t>CUST-00178</t>
        </is>
      </c>
      <c r="E179" t="inlineStr">
        <is>
          <t>customer 178</t>
        </is>
      </c>
      <c r="F179" t="inlineStr">
        <is>
          <t>Consumer</t>
        </is>
      </c>
      <c r="G179" t="inlineStr">
        <is>
          <t>P1013</t>
        </is>
      </c>
      <c r="H179" t="inlineStr">
        <is>
          <t>Harbor Rug</t>
        </is>
      </c>
      <c r="I179" t="inlineStr">
        <is>
          <t>Office Supplies</t>
        </is>
      </c>
      <c r="J179" t="inlineStr">
        <is>
          <t>Accessories</t>
        </is>
      </c>
      <c r="K179" t="inlineStr">
        <is>
          <t>South</t>
        </is>
      </c>
      <c r="L179" t="inlineStr">
        <is>
          <t>North Carolina</t>
        </is>
      </c>
      <c r="M179" t="inlineStr">
        <is>
          <t>Houston</t>
        </is>
      </c>
      <c r="N179" t="inlineStr">
        <is>
          <t>Sophia Singh</t>
        </is>
      </c>
      <c r="O179" t="n">
        <v>4</v>
      </c>
      <c r="P179" s="3" t="n">
        <v>163.92</v>
      </c>
      <c r="Q179" s="4" t="n">
        <v>0.022</v>
      </c>
      <c r="R179" s="3" t="n">
        <v>641.26</v>
      </c>
      <c r="S179" s="3" t="n">
        <v>363.79</v>
      </c>
      <c r="T179" s="3" t="n">
        <v>268.27</v>
      </c>
      <c r="U179" s="4" t="n">
        <v>0.4183</v>
      </c>
      <c r="V179" s="3" t="n">
        <v>9.199999999999999</v>
      </c>
      <c r="W179" t="inlineStr">
        <is>
          <t>Bank Transfer</t>
        </is>
      </c>
      <c r="X179" t="inlineStr">
        <is>
          <t>High</t>
        </is>
      </c>
    </row>
    <row r="180">
      <c r="A180" t="inlineStr">
        <is>
          <t>ORD-00179</t>
        </is>
      </c>
      <c r="B180" s="2" t="n">
        <v>45710</v>
      </c>
      <c r="C180" s="2" t="n">
        <v>45714</v>
      </c>
      <c r="D180" t="inlineStr">
        <is>
          <t>CUST-00179</t>
        </is>
      </c>
      <c r="E180" t="inlineStr">
        <is>
          <t>customer 179</t>
        </is>
      </c>
      <c r="F180" t="inlineStr">
        <is>
          <t>Home Office</t>
        </is>
      </c>
      <c r="G180" t="inlineStr">
        <is>
          <t>P1004</t>
        </is>
      </c>
      <c r="H180" t="inlineStr">
        <is>
          <t>ProClip Binder</t>
        </is>
      </c>
      <c r="I180" t="inlineStr">
        <is>
          <t>Office Supplies</t>
        </is>
      </c>
      <c r="J180" t="inlineStr">
        <is>
          <t>Accessories</t>
        </is>
      </c>
      <c r="K180" t="inlineStr">
        <is>
          <t>East</t>
        </is>
      </c>
      <c r="L180" t="inlineStr">
        <is>
          <t>Massachusetts</t>
        </is>
      </c>
      <c r="M180" t="inlineStr">
        <is>
          <t>Washington</t>
        </is>
      </c>
      <c r="N180" t="inlineStr">
        <is>
          <t>Sophia Singh</t>
        </is>
      </c>
      <c r="O180" t="n">
        <v>4</v>
      </c>
      <c r="P180" s="3" t="n">
        <v>632.3099999999999</v>
      </c>
      <c r="Q180" s="4" t="n">
        <v>0.029</v>
      </c>
      <c r="R180" s="3" t="n">
        <v>2455.89</v>
      </c>
      <c r="S180" s="3" t="n">
        <v>1557.37</v>
      </c>
      <c r="T180" s="3" t="n">
        <v>888.3200000000001</v>
      </c>
      <c r="U180" s="4" t="n">
        <v>0.3617</v>
      </c>
      <c r="V180" s="3" t="n">
        <v>10.2</v>
      </c>
      <c r="W180" t="inlineStr">
        <is>
          <t>Debit Card</t>
        </is>
      </c>
      <c r="X180" t="inlineStr">
        <is>
          <t>High</t>
        </is>
      </c>
    </row>
    <row r="181">
      <c r="A181" t="inlineStr">
        <is>
          <t>ORD-00180</t>
        </is>
      </c>
      <c r="B181" s="2" t="n">
        <v>44953</v>
      </c>
      <c r="C181" s="2" t="n">
        <v>44956</v>
      </c>
      <c r="D181" t="inlineStr">
        <is>
          <t>CUST-00180</t>
        </is>
      </c>
      <c r="E181" t="inlineStr">
        <is>
          <t>customer 180</t>
        </is>
      </c>
      <c r="F181" t="inlineStr">
        <is>
          <t>Consumer</t>
        </is>
      </c>
      <c r="G181" t="inlineStr">
        <is>
          <t>P1006</t>
        </is>
      </c>
      <c r="H181" t="inlineStr">
        <is>
          <t>Nova Laptop Stand</t>
        </is>
      </c>
      <c r="I181" t="inlineStr">
        <is>
          <t>Outdoor</t>
        </is>
      </c>
      <c r="J181" t="inlineStr">
        <is>
          <t>Paper</t>
        </is>
      </c>
      <c r="K181" t="inlineStr">
        <is>
          <t>East</t>
        </is>
      </c>
      <c r="L181" t="inlineStr">
        <is>
          <t>Massachusetts</t>
        </is>
      </c>
      <c r="M181" t="inlineStr">
        <is>
          <t>Philadelphia</t>
        </is>
      </c>
      <c r="N181" t="inlineStr">
        <is>
          <t>Noah Kim</t>
        </is>
      </c>
      <c r="O181" t="n">
        <v>3</v>
      </c>
      <c r="P181" s="3" t="n">
        <v>18.69</v>
      </c>
      <c r="Q181" s="4" t="n">
        <v>0.061</v>
      </c>
      <c r="R181" s="3" t="n">
        <v>52.65</v>
      </c>
      <c r="S181" s="3" t="n">
        <v>25.47</v>
      </c>
      <c r="T181" s="3" t="n">
        <v>17.78</v>
      </c>
      <c r="U181" s="4" t="n">
        <v>0.3377</v>
      </c>
      <c r="V181" s="3" t="n">
        <v>9.4</v>
      </c>
      <c r="W181" t="inlineStr">
        <is>
          <t>Debit Card</t>
        </is>
      </c>
      <c r="X181" t="inlineStr">
        <is>
          <t>Critical</t>
        </is>
      </c>
    </row>
    <row r="182">
      <c r="A182" t="inlineStr">
        <is>
          <t>ORD-00181</t>
        </is>
      </c>
      <c r="B182" s="2" t="n">
        <v>45641</v>
      </c>
      <c r="C182" s="2" t="n">
        <v>45642</v>
      </c>
      <c r="D182" t="inlineStr">
        <is>
          <t>CUST-00181</t>
        </is>
      </c>
      <c r="E182" t="inlineStr">
        <is>
          <t>customer 181</t>
        </is>
      </c>
      <c r="F182" t="inlineStr">
        <is>
          <t>Consumer</t>
        </is>
      </c>
      <c r="G182" t="inlineStr">
        <is>
          <t>P1013</t>
        </is>
      </c>
      <c r="H182" t="inlineStr">
        <is>
          <t>Cove Wall Clock</t>
        </is>
      </c>
      <c r="I182" t="inlineStr">
        <is>
          <t>Home Decor</t>
        </is>
      </c>
      <c r="J182" t="inlineStr">
        <is>
          <t>Chairs</t>
        </is>
      </c>
      <c r="K182" t="inlineStr">
        <is>
          <t>East</t>
        </is>
      </c>
      <c r="L182" t="inlineStr">
        <is>
          <t>Virginia</t>
        </is>
      </c>
      <c r="M182" t="inlineStr">
        <is>
          <t>Philadelphia</t>
        </is>
      </c>
      <c r="N182" t="inlineStr">
        <is>
          <t>Ava Patel</t>
        </is>
      </c>
      <c r="O182" t="n">
        <v>3</v>
      </c>
      <c r="P182" s="3" t="n">
        <v>180.22</v>
      </c>
      <c r="Q182" s="4" t="n">
        <v>0.045</v>
      </c>
      <c r="R182" s="3" t="n">
        <v>516.33</v>
      </c>
      <c r="S182" s="3" t="n">
        <v>298.12</v>
      </c>
      <c r="T182" s="3" t="n">
        <v>208.81</v>
      </c>
      <c r="U182" s="4" t="n">
        <v>0.4044</v>
      </c>
      <c r="V182" s="3" t="n">
        <v>9.4</v>
      </c>
      <c r="W182" t="inlineStr">
        <is>
          <t>Credit Card</t>
        </is>
      </c>
      <c r="X182" t="inlineStr">
        <is>
          <t>High</t>
        </is>
      </c>
    </row>
    <row r="183">
      <c r="A183" t="inlineStr">
        <is>
          <t>ORD-00182</t>
        </is>
      </c>
      <c r="B183" s="2" t="n">
        <v>45145</v>
      </c>
      <c r="C183" s="2" t="n">
        <v>45146</v>
      </c>
      <c r="D183" t="inlineStr">
        <is>
          <t>CUST-00182</t>
        </is>
      </c>
      <c r="E183" t="inlineStr">
        <is>
          <t>customer 182</t>
        </is>
      </c>
      <c r="F183" t="inlineStr">
        <is>
          <t>Corporate</t>
        </is>
      </c>
      <c r="G183" t="inlineStr">
        <is>
          <t>P1013</t>
        </is>
      </c>
      <c r="H183" t="inlineStr">
        <is>
          <t>SmartInk Pen Set</t>
        </is>
      </c>
      <c r="I183" t="inlineStr">
        <is>
          <t>Technology</t>
        </is>
      </c>
      <c r="J183" t="inlineStr">
        <is>
          <t>Peripherals</t>
        </is>
      </c>
      <c r="K183" t="inlineStr">
        <is>
          <t>Central</t>
        </is>
      </c>
      <c r="L183" t="inlineStr">
        <is>
          <t>Minnesota</t>
        </is>
      </c>
      <c r="M183" t="inlineStr">
        <is>
          <t>Minneapolis</t>
        </is>
      </c>
      <c r="N183" t="inlineStr">
        <is>
          <t>Sophia Singh</t>
        </is>
      </c>
      <c r="O183" t="n">
        <v>3</v>
      </c>
      <c r="P183" s="3" t="n">
        <v>161.77</v>
      </c>
      <c r="Q183" s="4" t="n">
        <v>0.035</v>
      </c>
      <c r="R183" s="3" t="n">
        <v>468.32</v>
      </c>
      <c r="S183" s="3" t="n">
        <v>268.32</v>
      </c>
      <c r="T183" s="3" t="n">
        <v>191.6</v>
      </c>
      <c r="U183" s="4" t="n">
        <v>0.4091</v>
      </c>
      <c r="V183" s="3" t="n">
        <v>8.4</v>
      </c>
      <c r="W183" t="inlineStr">
        <is>
          <t>PayPal</t>
        </is>
      </c>
      <c r="X183" t="inlineStr">
        <is>
          <t>Critical</t>
        </is>
      </c>
    </row>
    <row r="184">
      <c r="A184" t="inlineStr">
        <is>
          <t>ORD-00183</t>
        </is>
      </c>
      <c r="B184" s="2" t="n">
        <v>45913</v>
      </c>
      <c r="C184" s="2" t="n">
        <v>45917</v>
      </c>
      <c r="D184" t="inlineStr">
        <is>
          <t>CUST-00183</t>
        </is>
      </c>
      <c r="E184" t="inlineStr">
        <is>
          <t>customer 183</t>
        </is>
      </c>
      <c r="F184" t="inlineStr">
        <is>
          <t>Corporate</t>
        </is>
      </c>
      <c r="G184" t="inlineStr">
        <is>
          <t>P1006</t>
        </is>
      </c>
      <c r="H184" t="inlineStr">
        <is>
          <t>FlexNote Notebook</t>
        </is>
      </c>
      <c r="I184" t="inlineStr">
        <is>
          <t>Office Supplies</t>
        </is>
      </c>
      <c r="J184" t="inlineStr">
        <is>
          <t>Storage</t>
        </is>
      </c>
      <c r="K184" t="inlineStr">
        <is>
          <t>South</t>
        </is>
      </c>
      <c r="L184" t="inlineStr">
        <is>
          <t>Georgia</t>
        </is>
      </c>
      <c r="M184" t="inlineStr">
        <is>
          <t>Houston</t>
        </is>
      </c>
      <c r="N184" t="inlineStr">
        <is>
          <t>Ethan Brooks</t>
        </is>
      </c>
      <c r="O184" t="n">
        <v>1</v>
      </c>
      <c r="P184" s="3" t="n">
        <v>18.44</v>
      </c>
      <c r="Q184" s="4" t="n">
        <v>0.013</v>
      </c>
      <c r="R184" s="3" t="n">
        <v>18.2</v>
      </c>
      <c r="S184" s="3" t="n">
        <v>12.82</v>
      </c>
      <c r="T184" s="3" t="n">
        <v>-1.42</v>
      </c>
      <c r="U184" s="4" t="n">
        <v>-0.078</v>
      </c>
      <c r="V184" s="3" t="n">
        <v>6.8</v>
      </c>
      <c r="W184" t="inlineStr">
        <is>
          <t>Credit Card</t>
        </is>
      </c>
      <c r="X184" t="inlineStr">
        <is>
          <t>Low</t>
        </is>
      </c>
    </row>
    <row r="185">
      <c r="A185" t="inlineStr">
        <is>
          <t>ORD-00184</t>
        </is>
      </c>
      <c r="B185" s="2" t="n">
        <v>45863</v>
      </c>
      <c r="C185" s="2" t="n">
        <v>45868</v>
      </c>
      <c r="D185" t="inlineStr">
        <is>
          <t>CUST-00184</t>
        </is>
      </c>
      <c r="E185" t="inlineStr">
        <is>
          <t>customer 184</t>
        </is>
      </c>
      <c r="F185" t="inlineStr">
        <is>
          <t>Corporate</t>
        </is>
      </c>
      <c r="G185" t="inlineStr">
        <is>
          <t>P1004</t>
        </is>
      </c>
      <c r="H185" t="inlineStr">
        <is>
          <t>SmartInk Pen Set</t>
        </is>
      </c>
      <c r="I185" t="inlineStr">
        <is>
          <t>Furniture</t>
        </is>
      </c>
      <c r="J185" t="inlineStr">
        <is>
          <t>Paper</t>
        </is>
      </c>
      <c r="K185" t="inlineStr">
        <is>
          <t>East</t>
        </is>
      </c>
      <c r="L185" t="inlineStr">
        <is>
          <t>New Jersey</t>
        </is>
      </c>
      <c r="M185" t="inlineStr">
        <is>
          <t>Boston</t>
        </is>
      </c>
      <c r="N185" t="inlineStr">
        <is>
          <t>James Carter</t>
        </is>
      </c>
      <c r="O185" t="n">
        <v>3</v>
      </c>
      <c r="P185" s="3" t="n">
        <v>654.08</v>
      </c>
      <c r="Q185" s="4" t="n">
        <v>0.016</v>
      </c>
      <c r="R185" s="3" t="n">
        <v>1930.84</v>
      </c>
      <c r="S185" s="3" t="n">
        <v>1221.86</v>
      </c>
      <c r="T185" s="3" t="n">
        <v>699.58</v>
      </c>
      <c r="U185" s="4" t="n">
        <v>0.3623</v>
      </c>
      <c r="V185" s="3" t="n">
        <v>9.4</v>
      </c>
      <c r="W185" t="inlineStr">
        <is>
          <t>Bank Transfer</t>
        </is>
      </c>
      <c r="X185" t="inlineStr">
        <is>
          <t>Medium</t>
        </is>
      </c>
    </row>
    <row r="186">
      <c r="A186" t="inlineStr">
        <is>
          <t>ORD-00185</t>
        </is>
      </c>
      <c r="B186" s="2" t="n">
        <v>44960</v>
      </c>
      <c r="C186" s="2" t="n">
        <v>44966</v>
      </c>
      <c r="D186" t="inlineStr">
        <is>
          <t>CUST-00185</t>
        </is>
      </c>
      <c r="E186" t="inlineStr">
        <is>
          <t>customer 185</t>
        </is>
      </c>
      <c r="F186" t="inlineStr">
        <is>
          <t>Home Office</t>
        </is>
      </c>
      <c r="G186" t="inlineStr">
        <is>
          <t>P1003</t>
        </is>
      </c>
      <c r="H186" t="inlineStr">
        <is>
          <t>Nimbus Monitor Arm</t>
        </is>
      </c>
      <c r="I186" t="inlineStr">
        <is>
          <t>Home Decor</t>
        </is>
      </c>
      <c r="J186" t="inlineStr">
        <is>
          <t>Lighting</t>
        </is>
      </c>
      <c r="K186" t="inlineStr">
        <is>
          <t>Central</t>
        </is>
      </c>
      <c r="L186" t="inlineStr">
        <is>
          <t>Illinois</t>
        </is>
      </c>
      <c r="M186" t="inlineStr">
        <is>
          <t>Chicago</t>
        </is>
      </c>
      <c r="N186" t="inlineStr">
        <is>
          <t>Ava Patel</t>
        </is>
      </c>
      <c r="O186" t="n">
        <v>1</v>
      </c>
      <c r="P186" s="3" t="n">
        <v>155.17</v>
      </c>
      <c r="Q186" s="4" t="n">
        <v>0.05</v>
      </c>
      <c r="R186" s="3" t="n">
        <v>147.41</v>
      </c>
      <c r="S186" s="3" t="n">
        <v>82.25</v>
      </c>
      <c r="T186" s="3" t="n">
        <v>58.36</v>
      </c>
      <c r="U186" s="4" t="n">
        <v>0.3959</v>
      </c>
      <c r="V186" s="3" t="n">
        <v>6.8</v>
      </c>
      <c r="W186" t="inlineStr">
        <is>
          <t>Credit Card</t>
        </is>
      </c>
      <c r="X186" t="inlineStr">
        <is>
          <t>High</t>
        </is>
      </c>
    </row>
    <row r="187">
      <c r="A187" t="inlineStr">
        <is>
          <t>ORD-00186</t>
        </is>
      </c>
      <c r="B187" s="2" t="n">
        <v>45956</v>
      </c>
      <c r="C187" s="2" t="n">
        <v>45961</v>
      </c>
      <c r="D187" t="inlineStr">
        <is>
          <t>CUST-00186</t>
        </is>
      </c>
      <c r="E187" t="inlineStr">
        <is>
          <t>customer 186</t>
        </is>
      </c>
      <c r="F187" t="inlineStr">
        <is>
          <t>Corporate</t>
        </is>
      </c>
      <c r="G187" t="inlineStr">
        <is>
          <t>P1015</t>
        </is>
      </c>
      <c r="H187" t="inlineStr">
        <is>
          <t>Harbor Rug</t>
        </is>
      </c>
      <c r="I187" t="inlineStr">
        <is>
          <t>Home Decor</t>
        </is>
      </c>
      <c r="J187" t="inlineStr">
        <is>
          <t>Accessories</t>
        </is>
      </c>
      <c r="K187" t="inlineStr">
        <is>
          <t>South</t>
        </is>
      </c>
      <c r="L187" t="inlineStr">
        <is>
          <t>Florida</t>
        </is>
      </c>
      <c r="M187" t="inlineStr">
        <is>
          <t>Dallas</t>
        </is>
      </c>
      <c r="N187" t="inlineStr">
        <is>
          <t>Sophia Singh</t>
        </is>
      </c>
      <c r="O187" t="n">
        <v>3</v>
      </c>
      <c r="P187" s="3" t="n">
        <v>69.17</v>
      </c>
      <c r="Q187" s="4" t="n">
        <v>0.024</v>
      </c>
      <c r="R187" s="3" t="n">
        <v>202.53</v>
      </c>
      <c r="S187" s="3" t="n">
        <v>93.34999999999999</v>
      </c>
      <c r="T187" s="3" t="n">
        <v>100.78</v>
      </c>
      <c r="U187" s="4" t="n">
        <v>0.4976</v>
      </c>
      <c r="V187" s="3" t="n">
        <v>8.4</v>
      </c>
      <c r="W187" t="inlineStr">
        <is>
          <t>Credit Card</t>
        </is>
      </c>
      <c r="X187" t="inlineStr">
        <is>
          <t>Medium</t>
        </is>
      </c>
    </row>
    <row r="188">
      <c r="A188" t="inlineStr">
        <is>
          <t>ORD-00187</t>
        </is>
      </c>
      <c r="B188" s="2" t="n">
        <v>45953</v>
      </c>
      <c r="C188" s="2" t="n">
        <v>45956</v>
      </c>
      <c r="D188" t="inlineStr">
        <is>
          <t>CUST-00187</t>
        </is>
      </c>
      <c r="E188" t="inlineStr">
        <is>
          <t>customer 187</t>
        </is>
      </c>
      <c r="F188" t="inlineStr">
        <is>
          <t>Consumer</t>
        </is>
      </c>
      <c r="G188" t="inlineStr">
        <is>
          <t>P1011</t>
        </is>
      </c>
      <c r="H188" t="inlineStr">
        <is>
          <t>Echo Web Camera</t>
        </is>
      </c>
      <c r="I188" t="inlineStr">
        <is>
          <t>Furniture</t>
        </is>
      </c>
      <c r="J188" t="inlineStr">
        <is>
          <t>Binders</t>
        </is>
      </c>
      <c r="K188" t="inlineStr">
        <is>
          <t>Central</t>
        </is>
      </c>
      <c r="L188" t="inlineStr">
        <is>
          <t>Minnesota</t>
        </is>
      </c>
      <c r="M188" t="inlineStr">
        <is>
          <t>Kansas City</t>
        </is>
      </c>
      <c r="N188" t="inlineStr">
        <is>
          <t>Ava Patel</t>
        </is>
      </c>
      <c r="O188" t="n">
        <v>1</v>
      </c>
      <c r="P188" s="3" t="n">
        <v>93.02</v>
      </c>
      <c r="Q188" s="4" t="n">
        <v>0.001</v>
      </c>
      <c r="R188" s="3" t="n">
        <v>92.93000000000001</v>
      </c>
      <c r="S188" s="3" t="n">
        <v>54.17</v>
      </c>
      <c r="T188" s="3" t="n">
        <v>31.96</v>
      </c>
      <c r="U188" s="4" t="n">
        <v>0.3439</v>
      </c>
      <c r="V188" s="3" t="n">
        <v>6.8</v>
      </c>
      <c r="W188" t="inlineStr">
        <is>
          <t>Credit Card</t>
        </is>
      </c>
      <c r="X188" t="inlineStr">
        <is>
          <t>Low</t>
        </is>
      </c>
    </row>
    <row r="189">
      <c r="A189" t="inlineStr">
        <is>
          <t>ORD-00188</t>
        </is>
      </c>
      <c r="B189" s="2" t="n">
        <v>45425</v>
      </c>
      <c r="C189" s="2" t="n">
        <v>45429</v>
      </c>
      <c r="D189" t="inlineStr">
        <is>
          <t>CUST-00188</t>
        </is>
      </c>
      <c r="E189" t="inlineStr">
        <is>
          <t>customer 188</t>
        </is>
      </c>
      <c r="F189" t="inlineStr">
        <is>
          <t>Home Office</t>
        </is>
      </c>
      <c r="G189" t="inlineStr">
        <is>
          <t>P1002</t>
        </is>
      </c>
      <c r="H189" t="inlineStr">
        <is>
          <t>ProClip Binder</t>
        </is>
      </c>
      <c r="I189" t="inlineStr">
        <is>
          <t>Outdoor</t>
        </is>
      </c>
      <c r="J189" t="inlineStr">
        <is>
          <t>Peripherals</t>
        </is>
      </c>
      <c r="K189" t="inlineStr">
        <is>
          <t>North</t>
        </is>
      </c>
      <c r="L189" t="inlineStr">
        <is>
          <t>British Columbia</t>
        </is>
      </c>
      <c r="M189" t="inlineStr">
        <is>
          <t>Vancouver</t>
        </is>
      </c>
      <c r="N189" t="inlineStr">
        <is>
          <t>Olivia Martin</t>
        </is>
      </c>
      <c r="O189" t="n">
        <v>3</v>
      </c>
      <c r="P189" s="3" t="n">
        <v>81.28</v>
      </c>
      <c r="Q189" s="4" t="n">
        <v>0.036</v>
      </c>
      <c r="R189" s="3" t="n">
        <v>235.06</v>
      </c>
      <c r="S189" s="3" t="n">
        <v>112.18</v>
      </c>
      <c r="T189" s="3" t="n">
        <v>114.48</v>
      </c>
      <c r="U189" s="4" t="n">
        <v>0.487</v>
      </c>
      <c r="V189" s="3" t="n">
        <v>8.4</v>
      </c>
      <c r="W189" t="inlineStr">
        <is>
          <t>Debit Card</t>
        </is>
      </c>
      <c r="X189" t="inlineStr">
        <is>
          <t>Critical</t>
        </is>
      </c>
    </row>
    <row r="190">
      <c r="A190" t="inlineStr">
        <is>
          <t>ORD-00189</t>
        </is>
      </c>
      <c r="B190" s="2" t="n">
        <v>45438</v>
      </c>
      <c r="C190" s="2" t="n">
        <v>45441</v>
      </c>
      <c r="D190" t="inlineStr">
        <is>
          <t>CUST-00189</t>
        </is>
      </c>
      <c r="E190" t="inlineStr">
        <is>
          <t>customer 189</t>
        </is>
      </c>
      <c r="F190" t="inlineStr">
        <is>
          <t>Corporate</t>
        </is>
      </c>
      <c r="G190" t="inlineStr">
        <is>
          <t>P1017</t>
        </is>
      </c>
      <c r="H190" t="inlineStr">
        <is>
          <t>Lumen Desk Lamp</t>
        </is>
      </c>
      <c r="I190" t="inlineStr">
        <is>
          <t>Home Decor</t>
        </is>
      </c>
      <c r="J190" t="inlineStr">
        <is>
          <t>Peripherals</t>
        </is>
      </c>
      <c r="K190" t="inlineStr">
        <is>
          <t>West</t>
        </is>
      </c>
      <c r="L190" t="inlineStr">
        <is>
          <t>Oregon</t>
        </is>
      </c>
      <c r="M190" t="inlineStr">
        <is>
          <t>Seattle</t>
        </is>
      </c>
      <c r="N190" t="inlineStr">
        <is>
          <t>Olivia Martin</t>
        </is>
      </c>
      <c r="O190" t="n">
        <v>2</v>
      </c>
      <c r="P190" s="3" t="n">
        <v>587.91</v>
      </c>
      <c r="Q190" s="4" t="n">
        <v>0.026</v>
      </c>
      <c r="R190" s="3" t="n">
        <v>1145.25</v>
      </c>
      <c r="S190" s="3" t="n">
        <v>764.3200000000001</v>
      </c>
      <c r="T190" s="3" t="n">
        <v>372.33</v>
      </c>
      <c r="U190" s="4" t="n">
        <v>0.3251</v>
      </c>
      <c r="V190" s="3" t="n">
        <v>8.6</v>
      </c>
      <c r="W190" t="inlineStr">
        <is>
          <t>PayPal</t>
        </is>
      </c>
      <c r="X190" t="inlineStr">
        <is>
          <t>Medium</t>
        </is>
      </c>
    </row>
    <row r="191">
      <c r="A191" t="inlineStr">
        <is>
          <t>ORD-00190</t>
        </is>
      </c>
      <c r="B191" s="2" t="n">
        <v>45233</v>
      </c>
      <c r="C191" s="2" t="n">
        <v>45237</v>
      </c>
      <c r="D191" t="inlineStr">
        <is>
          <t>CUST-00190</t>
        </is>
      </c>
      <c r="E191" t="inlineStr">
        <is>
          <t>customer 190</t>
        </is>
      </c>
      <c r="F191" t="inlineStr">
        <is>
          <t>Consumer</t>
        </is>
      </c>
      <c r="G191" t="inlineStr">
        <is>
          <t>P1002</t>
        </is>
      </c>
      <c r="H191" t="inlineStr">
        <is>
          <t>Halo Planter</t>
        </is>
      </c>
      <c r="I191" t="inlineStr">
        <is>
          <t>Technology</t>
        </is>
      </c>
      <c r="J191" t="inlineStr">
        <is>
          <t>Video</t>
        </is>
      </c>
      <c r="K191" t="inlineStr">
        <is>
          <t>South</t>
        </is>
      </c>
      <c r="L191" t="inlineStr">
        <is>
          <t>North Carolina</t>
        </is>
      </c>
      <c r="M191" t="inlineStr">
        <is>
          <t>Miami</t>
        </is>
      </c>
      <c r="N191" t="inlineStr">
        <is>
          <t>Ethan Brooks</t>
        </is>
      </c>
      <c r="O191" t="n">
        <v>4</v>
      </c>
      <c r="P191" s="3" t="n">
        <v>87.76000000000001</v>
      </c>
      <c r="Q191" s="4" t="n">
        <v>0.013</v>
      </c>
      <c r="R191" s="3" t="n">
        <v>346.48</v>
      </c>
      <c r="S191" s="3" t="n">
        <v>163.97</v>
      </c>
      <c r="T191" s="3" t="n">
        <v>173.31</v>
      </c>
      <c r="U191" s="4" t="n">
        <v>0.5002</v>
      </c>
      <c r="V191" s="3" t="n">
        <v>9.199999999999999</v>
      </c>
      <c r="W191" t="inlineStr">
        <is>
          <t>Credit Card</t>
        </is>
      </c>
      <c r="X191" t="inlineStr">
        <is>
          <t>Low</t>
        </is>
      </c>
    </row>
    <row r="192">
      <c r="A192" t="inlineStr">
        <is>
          <t>ORD-00191</t>
        </is>
      </c>
      <c r="B192" s="2" t="n">
        <v>44959</v>
      </c>
      <c r="C192" s="2" t="n">
        <v>44962</v>
      </c>
      <c r="D192" t="inlineStr">
        <is>
          <t>CUST-00191</t>
        </is>
      </c>
      <c r="E192" t="inlineStr">
        <is>
          <t>customer 191</t>
        </is>
      </c>
      <c r="F192" t="inlineStr">
        <is>
          <t>Consumer</t>
        </is>
      </c>
      <c r="G192" t="inlineStr">
        <is>
          <t>P1001</t>
        </is>
      </c>
      <c r="H192" t="inlineStr">
        <is>
          <t>Halo Planter</t>
        </is>
      </c>
      <c r="I192" t="inlineStr">
        <is>
          <t>Outdoor</t>
        </is>
      </c>
      <c r="J192" t="inlineStr">
        <is>
          <t>Accessories</t>
        </is>
      </c>
      <c r="K192" t="inlineStr">
        <is>
          <t>Central</t>
        </is>
      </c>
      <c r="L192" t="inlineStr">
        <is>
          <t>Minnesota</t>
        </is>
      </c>
      <c r="M192" t="inlineStr">
        <is>
          <t>Chicago</t>
        </is>
      </c>
      <c r="N192" t="inlineStr">
        <is>
          <t>Olivia Martin</t>
        </is>
      </c>
      <c r="O192" t="n">
        <v>3</v>
      </c>
      <c r="P192" s="3" t="n">
        <v>290.79</v>
      </c>
      <c r="Q192" s="4" t="n">
        <v>0.022</v>
      </c>
      <c r="R192" s="3" t="n">
        <v>853.1799999999999</v>
      </c>
      <c r="S192" s="3" t="n">
        <v>502.6</v>
      </c>
      <c r="T192" s="3" t="n">
        <v>342.18</v>
      </c>
      <c r="U192" s="4" t="n">
        <v>0.4011</v>
      </c>
      <c r="V192" s="3" t="n">
        <v>8.4</v>
      </c>
      <c r="W192" t="inlineStr">
        <is>
          <t>Bank Transfer</t>
        </is>
      </c>
      <c r="X192" t="inlineStr">
        <is>
          <t>Medium</t>
        </is>
      </c>
    </row>
    <row r="193">
      <c r="A193" t="inlineStr">
        <is>
          <t>ORD-00192</t>
        </is>
      </c>
      <c r="B193" s="2" t="n">
        <v>45989</v>
      </c>
      <c r="C193" s="2" t="n">
        <v>45993</v>
      </c>
      <c r="D193" t="inlineStr">
        <is>
          <t>CUST-00192</t>
        </is>
      </c>
      <c r="E193" t="inlineStr">
        <is>
          <t>customer 192</t>
        </is>
      </c>
      <c r="F193" t="inlineStr">
        <is>
          <t>Consumer</t>
        </is>
      </c>
      <c r="G193" t="inlineStr">
        <is>
          <t>P1005</t>
        </is>
      </c>
      <c r="H193" t="inlineStr">
        <is>
          <t>Tide Cooler</t>
        </is>
      </c>
      <c r="I193" t="inlineStr">
        <is>
          <t>Outdoor</t>
        </is>
      </c>
      <c r="J193" t="inlineStr">
        <is>
          <t>Writing</t>
        </is>
      </c>
      <c r="K193" t="inlineStr">
        <is>
          <t>South</t>
        </is>
      </c>
      <c r="L193" t="inlineStr">
        <is>
          <t>North Carolina</t>
        </is>
      </c>
      <c r="M193" t="inlineStr">
        <is>
          <t>Houston</t>
        </is>
      </c>
      <c r="N193" t="inlineStr">
        <is>
          <t>Ethan Brooks</t>
        </is>
      </c>
      <c r="O193" t="n">
        <v>3</v>
      </c>
      <c r="P193" s="3" t="n">
        <v>13.59</v>
      </c>
      <c r="Q193" s="4" t="n">
        <v>0.016</v>
      </c>
      <c r="R193" s="3" t="n">
        <v>40.12</v>
      </c>
      <c r="S193" s="3" t="n">
        <v>25.25</v>
      </c>
      <c r="T193" s="3" t="n">
        <v>6.47</v>
      </c>
      <c r="U193" s="4" t="n">
        <v>0.1613</v>
      </c>
      <c r="V193" s="3" t="n">
        <v>8.4</v>
      </c>
      <c r="W193" t="inlineStr">
        <is>
          <t>Debit Card</t>
        </is>
      </c>
      <c r="X193" t="inlineStr">
        <is>
          <t>High</t>
        </is>
      </c>
    </row>
    <row r="194">
      <c r="A194" t="inlineStr">
        <is>
          <t>ORD-00193</t>
        </is>
      </c>
      <c r="B194" s="2" t="n">
        <v>45770</v>
      </c>
      <c r="C194" s="2" t="n">
        <v>45771</v>
      </c>
      <c r="D194" t="inlineStr">
        <is>
          <t>CUST-00193</t>
        </is>
      </c>
      <c r="E194" t="inlineStr">
        <is>
          <t>customer 193</t>
        </is>
      </c>
      <c r="F194" t="inlineStr">
        <is>
          <t>Consumer</t>
        </is>
      </c>
      <c r="G194" t="inlineStr">
        <is>
          <t>P1020</t>
        </is>
      </c>
      <c r="H194" t="inlineStr">
        <is>
          <t>Summit Patio Set</t>
        </is>
      </c>
      <c r="I194" t="inlineStr">
        <is>
          <t>Technology</t>
        </is>
      </c>
      <c r="J194" t="inlineStr">
        <is>
          <t>Coolers</t>
        </is>
      </c>
      <c r="K194" t="inlineStr">
        <is>
          <t>West</t>
        </is>
      </c>
      <c r="L194" t="inlineStr">
        <is>
          <t>California</t>
        </is>
      </c>
      <c r="M194" t="inlineStr">
        <is>
          <t>Denver</t>
        </is>
      </c>
      <c r="N194" t="inlineStr">
        <is>
          <t>Ava Patel</t>
        </is>
      </c>
      <c r="O194" t="n">
        <v>5</v>
      </c>
      <c r="P194" s="3" t="n">
        <v>75.23</v>
      </c>
      <c r="Q194" s="4" t="n">
        <v>0.055</v>
      </c>
      <c r="R194" s="3" t="n">
        <v>355.46</v>
      </c>
      <c r="S194" s="3" t="n">
        <v>165.79</v>
      </c>
      <c r="T194" s="3" t="n">
        <v>178.67</v>
      </c>
      <c r="U194" s="4" t="n">
        <v>0.5026</v>
      </c>
      <c r="V194" s="3" t="n">
        <v>11</v>
      </c>
      <c r="W194" t="inlineStr">
        <is>
          <t>Debit Card</t>
        </is>
      </c>
      <c r="X194" t="inlineStr">
        <is>
          <t>High</t>
        </is>
      </c>
    </row>
    <row r="195">
      <c r="A195" t="inlineStr">
        <is>
          <t>ORD-00194</t>
        </is>
      </c>
      <c r="B195" s="2" t="n">
        <v>45508</v>
      </c>
      <c r="C195" s="2" t="n">
        <v>45511</v>
      </c>
      <c r="D195" t="inlineStr">
        <is>
          <t>CUST-00194</t>
        </is>
      </c>
      <c r="E195" t="inlineStr">
        <is>
          <t>customer 194</t>
        </is>
      </c>
      <c r="F195" t="inlineStr">
        <is>
          <t>Consumer</t>
        </is>
      </c>
      <c r="G195" t="inlineStr">
        <is>
          <t>P1017</t>
        </is>
      </c>
      <c r="H195" t="inlineStr">
        <is>
          <t>Nimbus Monitor Arm</t>
        </is>
      </c>
      <c r="I195" t="inlineStr">
        <is>
          <t>Office Supplies</t>
        </is>
      </c>
      <c r="J195" t="inlineStr">
        <is>
          <t>Video</t>
        </is>
      </c>
      <c r="K195" t="inlineStr">
        <is>
          <t>North</t>
        </is>
      </c>
      <c r="L195" t="inlineStr">
        <is>
          <t>Quebec</t>
        </is>
      </c>
      <c r="M195" t="inlineStr">
        <is>
          <t>Toronto</t>
        </is>
      </c>
      <c r="N195" t="inlineStr">
        <is>
          <t>James Carter</t>
        </is>
      </c>
      <c r="O195" t="n">
        <v>3</v>
      </c>
      <c r="P195" s="3" t="n">
        <v>557.4299999999999</v>
      </c>
      <c r="Q195" s="4" t="n">
        <v>0.038</v>
      </c>
      <c r="R195" s="3" t="n">
        <v>1608.74</v>
      </c>
      <c r="S195" s="3" t="n">
        <v>1072.88</v>
      </c>
      <c r="T195" s="3" t="n">
        <v>527.46</v>
      </c>
      <c r="U195" s="4" t="n">
        <v>0.3279</v>
      </c>
      <c r="V195" s="3" t="n">
        <v>8.4</v>
      </c>
      <c r="W195" t="inlineStr">
        <is>
          <t>Credit Card</t>
        </is>
      </c>
      <c r="X195" t="inlineStr">
        <is>
          <t>Critical</t>
        </is>
      </c>
    </row>
    <row r="196">
      <c r="A196" t="inlineStr">
        <is>
          <t>ORD-00195</t>
        </is>
      </c>
      <c r="B196" s="2" t="n">
        <v>45643</v>
      </c>
      <c r="C196" s="2" t="n">
        <v>45646</v>
      </c>
      <c r="D196" t="inlineStr">
        <is>
          <t>CUST-00195</t>
        </is>
      </c>
      <c r="E196" t="inlineStr">
        <is>
          <t>customer 195</t>
        </is>
      </c>
      <c r="F196" t="inlineStr">
        <is>
          <t>Consumer</t>
        </is>
      </c>
      <c r="G196" t="inlineStr">
        <is>
          <t>P1001</t>
        </is>
      </c>
      <c r="H196" t="inlineStr">
        <is>
          <t>Nimbus Monitor Arm</t>
        </is>
      </c>
      <c r="I196" t="inlineStr">
        <is>
          <t>Furniture</t>
        </is>
      </c>
      <c r="J196" t="inlineStr">
        <is>
          <t>Peripherals</t>
        </is>
      </c>
      <c r="K196" t="inlineStr">
        <is>
          <t>East</t>
        </is>
      </c>
      <c r="L196" t="inlineStr">
        <is>
          <t>New York</t>
        </is>
      </c>
      <c r="M196" t="inlineStr">
        <is>
          <t>Boston</t>
        </is>
      </c>
      <c r="N196" t="inlineStr">
        <is>
          <t>Ava Patel</t>
        </is>
      </c>
      <c r="O196" t="n">
        <v>2</v>
      </c>
      <c r="P196" s="3" t="n">
        <v>329.65</v>
      </c>
      <c r="Q196" s="4" t="n">
        <v>0.006</v>
      </c>
      <c r="R196" s="3" t="n">
        <v>655.34</v>
      </c>
      <c r="S196" s="3" t="n">
        <v>390.53</v>
      </c>
      <c r="T196" s="3" t="n">
        <v>256.21</v>
      </c>
      <c r="U196" s="4" t="n">
        <v>0.391</v>
      </c>
      <c r="V196" s="3" t="n">
        <v>8.6</v>
      </c>
      <c r="W196" t="inlineStr">
        <is>
          <t>Credit Card</t>
        </is>
      </c>
      <c r="X196" t="inlineStr">
        <is>
          <t>Medium</t>
        </is>
      </c>
    </row>
    <row r="197">
      <c r="A197" t="inlineStr">
        <is>
          <t>ORD-00196</t>
        </is>
      </c>
      <c r="B197" s="2" t="n">
        <v>45541</v>
      </c>
      <c r="C197" s="2" t="n">
        <v>45545</v>
      </c>
      <c r="D197" t="inlineStr">
        <is>
          <t>CUST-00196</t>
        </is>
      </c>
      <c r="E197" t="inlineStr">
        <is>
          <t>customer 196</t>
        </is>
      </c>
      <c r="F197" t="inlineStr">
        <is>
          <t>Home Office</t>
        </is>
      </c>
      <c r="G197" t="inlineStr">
        <is>
          <t>P1007</t>
        </is>
      </c>
      <c r="H197" t="inlineStr">
        <is>
          <t>Nova Laptop Stand</t>
        </is>
      </c>
      <c r="I197" t="inlineStr">
        <is>
          <t>Office Supplies</t>
        </is>
      </c>
      <c r="J197" t="inlineStr">
        <is>
          <t>Lighting</t>
        </is>
      </c>
      <c r="K197" t="inlineStr">
        <is>
          <t>South</t>
        </is>
      </c>
      <c r="L197" t="inlineStr">
        <is>
          <t>North Carolina</t>
        </is>
      </c>
      <c r="M197" t="inlineStr">
        <is>
          <t>Miami</t>
        </is>
      </c>
      <c r="N197" t="inlineStr">
        <is>
          <t>James Carter</t>
        </is>
      </c>
      <c r="O197" t="n">
        <v>1</v>
      </c>
      <c r="P197" s="3" t="n">
        <v>24.09</v>
      </c>
      <c r="Q197" s="4" t="n">
        <v>0.005</v>
      </c>
      <c r="R197" s="3" t="n">
        <v>23.97</v>
      </c>
      <c r="S197" s="3" t="n">
        <v>14.17</v>
      </c>
      <c r="T197" s="3" t="n">
        <v>3</v>
      </c>
      <c r="U197" s="4" t="n">
        <v>0.1252</v>
      </c>
      <c r="V197" s="3" t="n">
        <v>6.8</v>
      </c>
      <c r="W197" t="inlineStr">
        <is>
          <t>Credit Card</t>
        </is>
      </c>
      <c r="X197" t="inlineStr">
        <is>
          <t>Medium</t>
        </is>
      </c>
    </row>
    <row r="198">
      <c r="A198" t="inlineStr">
        <is>
          <t>ORD-00197</t>
        </is>
      </c>
      <c r="B198" s="2" t="n">
        <v>45819</v>
      </c>
      <c r="C198" s="2" t="n">
        <v>45821</v>
      </c>
      <c r="D198" t="inlineStr">
        <is>
          <t>CUST-00197</t>
        </is>
      </c>
      <c r="E198" t="inlineStr">
        <is>
          <t>customer 197</t>
        </is>
      </c>
      <c r="F198" t="inlineStr">
        <is>
          <t>Home Office</t>
        </is>
      </c>
      <c r="G198" t="inlineStr">
        <is>
          <t>P1003</t>
        </is>
      </c>
      <c r="H198" t="inlineStr">
        <is>
          <t>Orbit Wireless Mouse</t>
        </is>
      </c>
      <c r="I198" t="inlineStr">
        <is>
          <t>Office Supplies</t>
        </is>
      </c>
      <c r="J198" t="inlineStr">
        <is>
          <t>Peripherals</t>
        </is>
      </c>
      <c r="K198" t="inlineStr">
        <is>
          <t>North</t>
        </is>
      </c>
      <c r="L198" t="inlineStr">
        <is>
          <t>Quebec</t>
        </is>
      </c>
      <c r="M198" t="inlineStr">
        <is>
          <t>Toronto</t>
        </is>
      </c>
      <c r="N198" t="inlineStr">
        <is>
          <t>Liam Chen</t>
        </is>
      </c>
      <c r="O198" t="n">
        <v>2</v>
      </c>
      <c r="P198" s="3" t="n">
        <v>163.06</v>
      </c>
      <c r="Q198" s="4" t="n">
        <v>0.015</v>
      </c>
      <c r="R198" s="3" t="n">
        <v>321.23</v>
      </c>
      <c r="S198" s="3" t="n">
        <v>170.08</v>
      </c>
      <c r="T198" s="3" t="n">
        <v>143.55</v>
      </c>
      <c r="U198" s="4" t="n">
        <v>0.4469</v>
      </c>
      <c r="V198" s="3" t="n">
        <v>7.6</v>
      </c>
      <c r="W198" t="inlineStr">
        <is>
          <t>Credit Card</t>
        </is>
      </c>
      <c r="X198" t="inlineStr">
        <is>
          <t>Low</t>
        </is>
      </c>
    </row>
    <row r="199">
      <c r="A199" t="inlineStr">
        <is>
          <t>ORD-00198</t>
        </is>
      </c>
      <c r="B199" s="2" t="n">
        <v>45936</v>
      </c>
      <c r="C199" s="2" t="n">
        <v>45938</v>
      </c>
      <c r="D199" t="inlineStr">
        <is>
          <t>CUST-00198</t>
        </is>
      </c>
      <c r="E199" t="inlineStr">
        <is>
          <t>customer 198</t>
        </is>
      </c>
      <c r="F199" t="inlineStr">
        <is>
          <t>Corporate</t>
        </is>
      </c>
      <c r="G199" t="inlineStr">
        <is>
          <t>P1016</t>
        </is>
      </c>
      <c r="H199" t="inlineStr">
        <is>
          <t>Echo Web Camera</t>
        </is>
      </c>
      <c r="I199" t="inlineStr">
        <is>
          <t>Furniture</t>
        </is>
      </c>
      <c r="J199" t="inlineStr">
        <is>
          <t>Flooring</t>
        </is>
      </c>
      <c r="K199" t="inlineStr">
        <is>
          <t>East</t>
        </is>
      </c>
      <c r="L199" t="inlineStr">
        <is>
          <t>Virginia</t>
        </is>
      </c>
      <c r="M199" t="inlineStr">
        <is>
          <t>Washington</t>
        </is>
      </c>
      <c r="N199" t="inlineStr">
        <is>
          <t>James Carter</t>
        </is>
      </c>
      <c r="O199" t="n">
        <v>2</v>
      </c>
      <c r="P199" s="3" t="n">
        <v>41.23</v>
      </c>
      <c r="Q199" s="4" t="n">
        <v>0.038</v>
      </c>
      <c r="R199" s="3" t="n">
        <v>79.33</v>
      </c>
      <c r="S199" s="3" t="n">
        <v>33.96</v>
      </c>
      <c r="T199" s="3" t="n">
        <v>36.77</v>
      </c>
      <c r="U199" s="4" t="n">
        <v>0.4635</v>
      </c>
      <c r="V199" s="3" t="n">
        <v>8.6</v>
      </c>
      <c r="W199" t="inlineStr">
        <is>
          <t>Cash on Delivery</t>
        </is>
      </c>
      <c r="X199" t="inlineStr">
        <is>
          <t>Medium</t>
        </is>
      </c>
    </row>
    <row r="200">
      <c r="A200" t="inlineStr">
        <is>
          <t>ORD-00199</t>
        </is>
      </c>
      <c r="B200" s="2" t="n">
        <v>45799</v>
      </c>
      <c r="C200" s="2" t="n">
        <v>45800</v>
      </c>
      <c r="D200" t="inlineStr">
        <is>
          <t>CUST-00199</t>
        </is>
      </c>
      <c r="E200" t="inlineStr">
        <is>
          <t>customer 199</t>
        </is>
      </c>
      <c r="F200" t="inlineStr">
        <is>
          <t>Home Office</t>
        </is>
      </c>
      <c r="G200" t="inlineStr">
        <is>
          <t>P1016</t>
        </is>
      </c>
      <c r="H200" t="inlineStr">
        <is>
          <t>ErgoMesh Chair</t>
        </is>
      </c>
      <c r="I200" t="inlineStr">
        <is>
          <t>Office Supplies</t>
        </is>
      </c>
      <c r="J200" t="inlineStr">
        <is>
          <t>Flooring</t>
        </is>
      </c>
      <c r="K200" t="inlineStr">
        <is>
          <t>West</t>
        </is>
      </c>
      <c r="L200" t="inlineStr">
        <is>
          <t>Oregon</t>
        </is>
      </c>
      <c r="M200" t="inlineStr">
        <is>
          <t>Seattle</t>
        </is>
      </c>
      <c r="N200" t="inlineStr">
        <is>
          <t>Ethan Brooks</t>
        </is>
      </c>
      <c r="O200" t="n">
        <v>4</v>
      </c>
      <c r="P200" s="3" t="n">
        <v>41.21</v>
      </c>
      <c r="Q200" s="4" t="n">
        <v>0.008</v>
      </c>
      <c r="R200" s="3" t="n">
        <v>163.52</v>
      </c>
      <c r="S200" s="3" t="n">
        <v>65.05</v>
      </c>
      <c r="T200" s="3" t="n">
        <v>88.27</v>
      </c>
      <c r="U200" s="4" t="n">
        <v>0.5397999999999999</v>
      </c>
      <c r="V200" s="3" t="n">
        <v>10.2</v>
      </c>
      <c r="W200" t="inlineStr">
        <is>
          <t>PayPal</t>
        </is>
      </c>
      <c r="X200" t="inlineStr">
        <is>
          <t>Low</t>
        </is>
      </c>
    </row>
    <row r="201">
      <c r="A201" t="inlineStr">
        <is>
          <t>ORD-00200</t>
        </is>
      </c>
      <c r="B201" s="2" t="n">
        <v>45779</v>
      </c>
      <c r="C201" s="2" t="n">
        <v>45784</v>
      </c>
      <c r="D201" t="inlineStr">
        <is>
          <t>CUST-00200</t>
        </is>
      </c>
      <c r="E201" t="inlineStr">
        <is>
          <t>customer 200</t>
        </is>
      </c>
      <c r="F201" t="inlineStr">
        <is>
          <t>Consumer</t>
        </is>
      </c>
      <c r="G201" t="inlineStr">
        <is>
          <t>P1012</t>
        </is>
      </c>
      <c r="H201" t="inlineStr">
        <is>
          <t>Aero Standing Desk</t>
        </is>
      </c>
      <c r="I201" t="inlineStr">
        <is>
          <t>Home Decor</t>
        </is>
      </c>
      <c r="J201" t="inlineStr">
        <is>
          <t>Plants</t>
        </is>
      </c>
      <c r="K201" t="inlineStr">
        <is>
          <t>North</t>
        </is>
      </c>
      <c r="L201" t="inlineStr">
        <is>
          <t>Ontario</t>
        </is>
      </c>
      <c r="M201" t="inlineStr">
        <is>
          <t>Toronto</t>
        </is>
      </c>
      <c r="N201" t="inlineStr">
        <is>
          <t>Ethan Brooks</t>
        </is>
      </c>
      <c r="O201" t="n">
        <v>4</v>
      </c>
      <c r="P201" s="3" t="n">
        <v>132.99</v>
      </c>
      <c r="Q201" s="4" t="n">
        <v>0.022</v>
      </c>
      <c r="R201" s="3" t="n">
        <v>520.26</v>
      </c>
      <c r="S201" s="3" t="n">
        <v>264</v>
      </c>
      <c r="T201" s="3" t="n">
        <v>247.06</v>
      </c>
      <c r="U201" s="4" t="n">
        <v>0.4749</v>
      </c>
      <c r="V201" s="3" t="n">
        <v>9.199999999999999</v>
      </c>
      <c r="W201" t="inlineStr">
        <is>
          <t>PayPal</t>
        </is>
      </c>
      <c r="X201" t="inlineStr">
        <is>
          <t>High</t>
        </is>
      </c>
    </row>
    <row r="202">
      <c r="A202" t="inlineStr">
        <is>
          <t>ORD-00201</t>
        </is>
      </c>
      <c r="B202" s="2" t="n">
        <v>45643</v>
      </c>
      <c r="C202" s="2" t="n">
        <v>45648</v>
      </c>
      <c r="D202" t="inlineStr">
        <is>
          <t>CUST-00201</t>
        </is>
      </c>
      <c r="E202" t="inlineStr">
        <is>
          <t>customer 201</t>
        </is>
      </c>
      <c r="F202" t="inlineStr">
        <is>
          <t>Home Office</t>
        </is>
      </c>
      <c r="G202" t="inlineStr">
        <is>
          <t>P1009</t>
        </is>
      </c>
      <c r="H202" t="inlineStr">
        <is>
          <t>FlexNote Notebook</t>
        </is>
      </c>
      <c r="I202" t="inlineStr">
        <is>
          <t>Office Supplies</t>
        </is>
      </c>
      <c r="J202" t="inlineStr">
        <is>
          <t>Flooring</t>
        </is>
      </c>
      <c r="K202" t="inlineStr">
        <is>
          <t>East</t>
        </is>
      </c>
      <c r="L202" t="inlineStr">
        <is>
          <t>Virginia</t>
        </is>
      </c>
      <c r="M202" t="inlineStr">
        <is>
          <t>None</t>
        </is>
      </c>
      <c r="N202" t="inlineStr">
        <is>
          <t>Noah Kim</t>
        </is>
      </c>
      <c r="O202" t="n">
        <v>1</v>
      </c>
      <c r="P202" s="3" t="n">
        <v>93.84999999999999</v>
      </c>
      <c r="Q202" s="4" t="n">
        <v>0.029</v>
      </c>
      <c r="R202" s="3" t="n">
        <v>91.13</v>
      </c>
      <c r="S202" s="3" t="n">
        <v>54.08</v>
      </c>
      <c r="T202" s="3" t="n">
        <v>29.25</v>
      </c>
      <c r="U202" s="4" t="n">
        <v>0.321</v>
      </c>
      <c r="V202" s="3" t="n">
        <v>7.8</v>
      </c>
      <c r="W202" t="inlineStr">
        <is>
          <t>Credit Card</t>
        </is>
      </c>
      <c r="X202" t="inlineStr">
        <is>
          <t>High</t>
        </is>
      </c>
    </row>
    <row r="203">
      <c r="A203" t="inlineStr">
        <is>
          <t>ORD-00202</t>
        </is>
      </c>
      <c r="B203" s="2" t="n">
        <v>45202</v>
      </c>
      <c r="C203" s="2" t="n">
        <v>45203</v>
      </c>
      <c r="D203" t="inlineStr">
        <is>
          <t>CUST-00202</t>
        </is>
      </c>
      <c r="E203" t="inlineStr">
        <is>
          <t>customer 202</t>
        </is>
      </c>
      <c r="F203" t="inlineStr">
        <is>
          <t>Corporate</t>
        </is>
      </c>
      <c r="G203" t="inlineStr">
        <is>
          <t>P1014</t>
        </is>
      </c>
      <c r="H203" t="inlineStr">
        <is>
          <t>Summit Patio Set</t>
        </is>
      </c>
      <c r="I203" t="inlineStr">
        <is>
          <t>Technology</t>
        </is>
      </c>
      <c r="J203" t="inlineStr">
        <is>
          <t>Accessories</t>
        </is>
      </c>
      <c r="K203" t="inlineStr">
        <is>
          <t>South</t>
        </is>
      </c>
      <c r="L203" t="inlineStr">
        <is>
          <t>Georgia</t>
        </is>
      </c>
      <c r="M203" t="inlineStr">
        <is>
          <t>Houston</t>
        </is>
      </c>
      <c r="N203" t="inlineStr">
        <is>
          <t>Sophia Singh</t>
        </is>
      </c>
      <c r="O203" t="n">
        <v>2</v>
      </c>
      <c r="P203" s="3" t="n">
        <v>45.17</v>
      </c>
      <c r="Q203" s="4" t="n">
        <v>0.053</v>
      </c>
      <c r="R203" s="3" t="n">
        <v>85.55</v>
      </c>
      <c r="S203" s="3" t="n">
        <v>44.21</v>
      </c>
      <c r="T203" s="3" t="n">
        <v>33.74</v>
      </c>
      <c r="U203" s="4" t="n">
        <v>0.3944</v>
      </c>
      <c r="V203" s="3" t="n">
        <v>7.6</v>
      </c>
      <c r="W203" t="inlineStr">
        <is>
          <t>Debit Card</t>
        </is>
      </c>
      <c r="X203" t="inlineStr">
        <is>
          <t>High</t>
        </is>
      </c>
    </row>
    <row r="204">
      <c r="A204" t="inlineStr">
        <is>
          <t>ORD-00203</t>
        </is>
      </c>
      <c r="B204" s="2" t="n">
        <v>45181</v>
      </c>
      <c r="C204" s="2" t="n">
        <v>45186</v>
      </c>
      <c r="D204" t="inlineStr">
        <is>
          <t>CUST-00203</t>
        </is>
      </c>
      <c r="E204" t="inlineStr">
        <is>
          <t>customer 203</t>
        </is>
      </c>
      <c r="F204" t="inlineStr">
        <is>
          <t>Consumer</t>
        </is>
      </c>
      <c r="G204" t="inlineStr">
        <is>
          <t>P1012</t>
        </is>
      </c>
      <c r="H204" t="inlineStr">
        <is>
          <t>FlexNote Notebook</t>
        </is>
      </c>
      <c r="I204" t="inlineStr">
        <is>
          <t>Outdoor</t>
        </is>
      </c>
      <c r="J204" t="inlineStr">
        <is>
          <t>Binders</t>
        </is>
      </c>
      <c r="K204" t="inlineStr">
        <is>
          <t>West</t>
        </is>
      </c>
      <c r="L204" t="inlineStr">
        <is>
          <t>California</t>
        </is>
      </c>
      <c r="M204" t="inlineStr">
        <is>
          <t>San Francisco</t>
        </is>
      </c>
      <c r="N204" t="inlineStr">
        <is>
          <t>Olivia Martin</t>
        </is>
      </c>
      <c r="O204" t="n">
        <v>3</v>
      </c>
      <c r="P204" s="3" t="n">
        <v>129.35</v>
      </c>
      <c r="Q204" s="4" t="n">
        <v>0.057</v>
      </c>
      <c r="R204" s="3" t="n">
        <v>365.93</v>
      </c>
      <c r="S204" s="3" t="n">
        <v>185.8</v>
      </c>
      <c r="T204" s="3" t="n">
        <v>170.73</v>
      </c>
      <c r="U204" s="4" t="n">
        <v>0.4666</v>
      </c>
      <c r="V204" s="3" t="n">
        <v>9.4</v>
      </c>
      <c r="W204" t="inlineStr">
        <is>
          <t>Debit Card</t>
        </is>
      </c>
      <c r="X204" t="inlineStr">
        <is>
          <t>High</t>
        </is>
      </c>
    </row>
    <row r="205">
      <c r="A205" t="inlineStr">
        <is>
          <t>ORD-00204</t>
        </is>
      </c>
      <c r="B205" s="2" t="n">
        <v>45822</v>
      </c>
      <c r="C205" s="2" t="n">
        <v>45828</v>
      </c>
      <c r="D205" t="inlineStr">
        <is>
          <t>CUST-00204</t>
        </is>
      </c>
      <c r="E205" t="inlineStr">
        <is>
          <t>customer 204</t>
        </is>
      </c>
      <c r="F205" t="inlineStr">
        <is>
          <t>Consumer</t>
        </is>
      </c>
      <c r="G205" t="inlineStr">
        <is>
          <t>P1016</t>
        </is>
      </c>
      <c r="H205" t="inlineStr">
        <is>
          <t>Aero Standing Desk</t>
        </is>
      </c>
      <c r="I205" t="inlineStr">
        <is>
          <t>Outdoor</t>
        </is>
      </c>
      <c r="J205" t="inlineStr">
        <is>
          <t>Accessories</t>
        </is>
      </c>
      <c r="K205" t="inlineStr">
        <is>
          <t>Central</t>
        </is>
      </c>
      <c r="L205" t="inlineStr">
        <is>
          <t>Missouri</t>
        </is>
      </c>
      <c r="M205" t="inlineStr">
        <is>
          <t>Minneapolis</t>
        </is>
      </c>
      <c r="N205" t="inlineStr">
        <is>
          <t>Sophia Singh</t>
        </is>
      </c>
      <c r="O205" t="n">
        <v>1</v>
      </c>
      <c r="P205" s="3" t="n">
        <v>39.47</v>
      </c>
      <c r="Q205" s="4" t="n">
        <v>0.004</v>
      </c>
      <c r="R205" s="3" t="n">
        <v>39.31</v>
      </c>
      <c r="S205" s="3" t="n">
        <v>21.5</v>
      </c>
      <c r="T205" s="3" t="n">
        <v>11.01</v>
      </c>
      <c r="U205" s="4" t="n">
        <v>0.2801</v>
      </c>
      <c r="V205" s="3" t="n">
        <v>6.8</v>
      </c>
      <c r="W205" t="inlineStr">
        <is>
          <t>Credit Card</t>
        </is>
      </c>
      <c r="X205" t="inlineStr">
        <is>
          <t>Medium</t>
        </is>
      </c>
    </row>
    <row r="206">
      <c r="A206" t="inlineStr">
        <is>
          <t>ORD-00205</t>
        </is>
      </c>
      <c r="B206" s="2" t="n">
        <v>45293</v>
      </c>
      <c r="C206" s="2" t="n">
        <v>45299</v>
      </c>
      <c r="D206" t="inlineStr">
        <is>
          <t>CUST-00205</t>
        </is>
      </c>
      <c r="E206" t="inlineStr">
        <is>
          <t>customer 205</t>
        </is>
      </c>
      <c r="F206" t="inlineStr">
        <is>
          <t>Consumer</t>
        </is>
      </c>
      <c r="G206" t="inlineStr">
        <is>
          <t>P1017</t>
        </is>
      </c>
      <c r="H206" t="inlineStr">
        <is>
          <t>Halo Planter</t>
        </is>
      </c>
      <c r="I206" t="inlineStr">
        <is>
          <t>Technology</t>
        </is>
      </c>
      <c r="J206" t="inlineStr">
        <is>
          <t>Bags</t>
        </is>
      </c>
      <c r="K206" t="inlineStr">
        <is>
          <t>West</t>
        </is>
      </c>
      <c r="L206" t="inlineStr">
        <is>
          <t>Oregon</t>
        </is>
      </c>
      <c r="M206" t="inlineStr">
        <is>
          <t>San Francisco</t>
        </is>
      </c>
      <c r="N206" t="inlineStr">
        <is>
          <t>Liam Chen</t>
        </is>
      </c>
      <c r="O206" t="n">
        <v>2</v>
      </c>
      <c r="P206" s="3" t="n">
        <v>548.1</v>
      </c>
      <c r="Q206" s="4" t="n">
        <v>0.021</v>
      </c>
      <c r="R206" s="3" t="n">
        <v>1073.18</v>
      </c>
      <c r="S206" s="3" t="n">
        <v>716.8099999999999</v>
      </c>
      <c r="T206" s="3" t="n">
        <v>347.77</v>
      </c>
      <c r="U206" s="4" t="n">
        <v>0.3241</v>
      </c>
      <c r="V206" s="3" t="n">
        <v>8.6</v>
      </c>
      <c r="W206" t="inlineStr">
        <is>
          <t>Credit Card</t>
        </is>
      </c>
      <c r="X206" t="inlineStr">
        <is>
          <t>Medium</t>
        </is>
      </c>
    </row>
    <row r="207">
      <c r="A207" t="inlineStr">
        <is>
          <t>ORD-00206</t>
        </is>
      </c>
      <c r="B207" s="2" t="n">
        <v>44948</v>
      </c>
      <c r="C207" s="2" t="n">
        <v>44954</v>
      </c>
      <c r="D207" t="inlineStr">
        <is>
          <t>CUST-00206</t>
        </is>
      </c>
      <c r="E207" t="inlineStr">
        <is>
          <t>customer 206</t>
        </is>
      </c>
      <c r="F207" t="inlineStr">
        <is>
          <t>Consumer</t>
        </is>
      </c>
      <c r="G207" t="inlineStr">
        <is>
          <t>P1012</t>
        </is>
      </c>
      <c r="H207" t="inlineStr">
        <is>
          <t>Orbit Wireless Mouse</t>
        </is>
      </c>
      <c r="I207" t="inlineStr">
        <is>
          <t>Outdoor</t>
        </is>
      </c>
      <c r="J207" t="inlineStr">
        <is>
          <t>Bags</t>
        </is>
      </c>
      <c r="K207" t="inlineStr">
        <is>
          <t>West</t>
        </is>
      </c>
      <c r="L207" t="inlineStr">
        <is>
          <t>Colorado</t>
        </is>
      </c>
      <c r="M207" t="inlineStr">
        <is>
          <t>Los Angeles</t>
        </is>
      </c>
      <c r="N207" t="inlineStr">
        <is>
          <t>Ava Patel</t>
        </is>
      </c>
      <c r="O207" t="n">
        <v>5</v>
      </c>
      <c r="P207" s="3" t="n">
        <v>132.66</v>
      </c>
      <c r="Q207" s="4" t="n">
        <v>0.014</v>
      </c>
      <c r="R207" s="3" t="n">
        <v>654.01</v>
      </c>
      <c r="S207" s="3" t="n">
        <v>329.41</v>
      </c>
      <c r="T207" s="3" t="n">
        <v>313.6</v>
      </c>
      <c r="U207" s="4" t="n">
        <v>0.4795</v>
      </c>
      <c r="V207" s="3" t="n">
        <v>11</v>
      </c>
      <c r="W207" t="inlineStr">
        <is>
          <t>Bank Transfer</t>
        </is>
      </c>
      <c r="X207" t="inlineStr">
        <is>
          <t>Low</t>
        </is>
      </c>
    </row>
    <row r="208">
      <c r="A208" t="inlineStr">
        <is>
          <t>ORD-00207</t>
        </is>
      </c>
      <c r="B208" s="2" t="n">
        <v>45166</v>
      </c>
      <c r="C208" s="2" t="n">
        <v>45173</v>
      </c>
      <c r="D208" t="inlineStr">
        <is>
          <t>CUST-00207</t>
        </is>
      </c>
      <c r="E208" t="inlineStr">
        <is>
          <t>customer 207</t>
        </is>
      </c>
      <c r="F208" t="inlineStr">
        <is>
          <t>Consumer</t>
        </is>
      </c>
      <c r="G208" t="inlineStr">
        <is>
          <t>P1004</t>
        </is>
      </c>
      <c r="H208" t="inlineStr">
        <is>
          <t>FlexNote Notebook</t>
        </is>
      </c>
      <c r="I208" t="inlineStr">
        <is>
          <t>Office Supplies</t>
        </is>
      </c>
      <c r="J208" t="inlineStr">
        <is>
          <t>Accessories</t>
        </is>
      </c>
      <c r="K208" t="inlineStr">
        <is>
          <t>South</t>
        </is>
      </c>
      <c r="L208" t="inlineStr">
        <is>
          <t>Georgia</t>
        </is>
      </c>
      <c r="M208" t="inlineStr">
        <is>
          <t>Houston</t>
        </is>
      </c>
      <c r="N208" t="inlineStr">
        <is>
          <t>Ava Patel</t>
        </is>
      </c>
      <c r="O208" t="n">
        <v>3</v>
      </c>
      <c r="P208" s="3" t="n">
        <v>609.14</v>
      </c>
      <c r="Q208" s="4" t="n">
        <v>0.028</v>
      </c>
      <c r="R208" s="3" t="n">
        <v>1776.25</v>
      </c>
      <c r="S208" s="3" t="n">
        <v>1130.84</v>
      </c>
      <c r="T208" s="3" t="n">
        <v>637.01</v>
      </c>
      <c r="U208" s="4" t="n">
        <v>0.3586</v>
      </c>
      <c r="V208" s="3" t="n">
        <v>8.4</v>
      </c>
      <c r="W208" t="inlineStr">
        <is>
          <t>Credit Card</t>
        </is>
      </c>
      <c r="X208" t="inlineStr">
        <is>
          <t>Medium</t>
        </is>
      </c>
    </row>
    <row r="209">
      <c r="A209" t="inlineStr">
        <is>
          <t>ORD-00208</t>
        </is>
      </c>
      <c r="B209" s="2" t="n">
        <v>45952</v>
      </c>
      <c r="C209" s="2" t="n">
        <v>45959</v>
      </c>
      <c r="D209" t="inlineStr">
        <is>
          <t>CUST-00208</t>
        </is>
      </c>
      <c r="E209" t="inlineStr">
        <is>
          <t>customer 208</t>
        </is>
      </c>
      <c r="F209" t="inlineStr">
        <is>
          <t>Consumer</t>
        </is>
      </c>
      <c r="G209" t="inlineStr">
        <is>
          <t>P1017</t>
        </is>
      </c>
      <c r="H209" t="inlineStr">
        <is>
          <t>Cove Wall Clock</t>
        </is>
      </c>
      <c r="I209" t="inlineStr">
        <is>
          <t>Technology</t>
        </is>
      </c>
      <c r="J209" t="inlineStr">
        <is>
          <t>Desks</t>
        </is>
      </c>
      <c r="K209" t="inlineStr">
        <is>
          <t>West</t>
        </is>
      </c>
      <c r="L209" t="inlineStr">
        <is>
          <t>Washington</t>
        </is>
      </c>
      <c r="M209" t="inlineStr">
        <is>
          <t>Seattle</t>
        </is>
      </c>
      <c r="N209" t="inlineStr">
        <is>
          <t>Sophia Singh</t>
        </is>
      </c>
      <c r="O209" t="n">
        <v>4</v>
      </c>
      <c r="P209" s="3" t="n">
        <v>626.34</v>
      </c>
      <c r="Q209" s="4" t="n">
        <v>0.007</v>
      </c>
      <c r="R209" s="3" t="n">
        <v>2487.82</v>
      </c>
      <c r="S209" s="3" t="n">
        <v>1647.75</v>
      </c>
      <c r="T209" s="3" t="n">
        <v>829.87</v>
      </c>
      <c r="U209" s="4" t="n">
        <v>0.3336</v>
      </c>
      <c r="V209" s="3" t="n">
        <v>10.2</v>
      </c>
      <c r="W209" t="inlineStr">
        <is>
          <t>PayPal</t>
        </is>
      </c>
      <c r="X209" t="inlineStr">
        <is>
          <t>Medium</t>
        </is>
      </c>
    </row>
    <row r="210">
      <c r="A210" t="inlineStr">
        <is>
          <t>ORD-00209</t>
        </is>
      </c>
      <c r="B210" s="2" t="n">
        <v>45143</v>
      </c>
      <c r="C210" s="2" t="n">
        <v>45149</v>
      </c>
      <c r="D210" t="inlineStr">
        <is>
          <t>CUST-00209</t>
        </is>
      </c>
      <c r="E210" t="inlineStr">
        <is>
          <t>customer 209</t>
        </is>
      </c>
      <c r="F210" t="inlineStr">
        <is>
          <t>Consumer</t>
        </is>
      </c>
      <c r="G210" t="inlineStr">
        <is>
          <t>P1001</t>
        </is>
      </c>
      <c r="H210" t="inlineStr">
        <is>
          <t>Harbor Rug</t>
        </is>
      </c>
      <c r="I210" t="inlineStr">
        <is>
          <t>Office Supplies</t>
        </is>
      </c>
      <c r="J210" t="inlineStr">
        <is>
          <t>Bags</t>
        </is>
      </c>
      <c r="K210" t="inlineStr">
        <is>
          <t>West</t>
        </is>
      </c>
      <c r="L210" t="inlineStr">
        <is>
          <t>Oregon</t>
        </is>
      </c>
      <c r="M210" t="inlineStr">
        <is>
          <t>Seattle</t>
        </is>
      </c>
      <c r="N210" t="inlineStr">
        <is>
          <t>Olivia Martin</t>
        </is>
      </c>
      <c r="O210" t="n">
        <v>2</v>
      </c>
      <c r="P210" s="3" t="n">
        <v>323.35</v>
      </c>
      <c r="Q210" s="4" t="n">
        <v>0.025</v>
      </c>
      <c r="R210" s="3" t="n">
        <v>630.53</v>
      </c>
      <c r="S210" s="3" t="n">
        <v>374.24</v>
      </c>
      <c r="T210" s="3" t="n">
        <v>247.69</v>
      </c>
      <c r="U210" s="4" t="n">
        <v>0.3928</v>
      </c>
      <c r="V210" s="3" t="n">
        <v>8.6</v>
      </c>
      <c r="W210" t="inlineStr">
        <is>
          <t>Cash on Delivery</t>
        </is>
      </c>
      <c r="X210" t="inlineStr">
        <is>
          <t>Medium</t>
        </is>
      </c>
    </row>
    <row r="211">
      <c r="A211" t="inlineStr">
        <is>
          <t>ORD-00210</t>
        </is>
      </c>
      <c r="B211" s="2" t="n">
        <v>45240</v>
      </c>
      <c r="C211" s="2" t="n">
        <v>45244</v>
      </c>
      <c r="D211" t="inlineStr">
        <is>
          <t>CUST-00210</t>
        </is>
      </c>
      <c r="E211" t="inlineStr">
        <is>
          <t>customer 210</t>
        </is>
      </c>
      <c r="F211" t="inlineStr">
        <is>
          <t>Consumer</t>
        </is>
      </c>
      <c r="G211" t="inlineStr">
        <is>
          <t>P1017</t>
        </is>
      </c>
      <c r="H211" t="inlineStr">
        <is>
          <t>Northstar Lantern</t>
        </is>
      </c>
      <c r="I211" t="inlineStr">
        <is>
          <t>Office Supplies</t>
        </is>
      </c>
      <c r="J211" t="inlineStr">
        <is>
          <t>Paper</t>
        </is>
      </c>
      <c r="K211" t="inlineStr">
        <is>
          <t>West</t>
        </is>
      </c>
      <c r="L211" t="inlineStr">
        <is>
          <t>Washington</t>
        </is>
      </c>
      <c r="M211" t="inlineStr">
        <is>
          <t>Denver</t>
        </is>
      </c>
      <c r="N211" t="inlineStr">
        <is>
          <t>James Carter</t>
        </is>
      </c>
      <c r="O211" t="n">
        <v>2</v>
      </c>
      <c r="P211" s="3" t="n">
        <v>633.8200000000001</v>
      </c>
      <c r="Q211" s="4" t="n">
        <v>0.026</v>
      </c>
      <c r="R211" s="3" t="n">
        <v>1234.68</v>
      </c>
      <c r="S211" s="3" t="n">
        <v>825.17</v>
      </c>
      <c r="T211" s="3" t="n">
        <v>400.91</v>
      </c>
      <c r="U211" s="4" t="n">
        <v>0.3247</v>
      </c>
      <c r="V211" s="3" t="n">
        <v>8.6</v>
      </c>
      <c r="W211" t="inlineStr">
        <is>
          <t>Debit Card</t>
        </is>
      </c>
      <c r="X211" t="inlineStr">
        <is>
          <t>High</t>
        </is>
      </c>
    </row>
    <row r="212">
      <c r="A212" t="inlineStr">
        <is>
          <t>ORD-00211</t>
        </is>
      </c>
      <c r="B212" s="2" t="n">
        <v>45301</v>
      </c>
      <c r="C212" s="2" t="n">
        <v>45303</v>
      </c>
      <c r="D212" t="inlineStr">
        <is>
          <t>CUST-00211</t>
        </is>
      </c>
      <c r="E212" t="inlineStr">
        <is>
          <t>customer 211</t>
        </is>
      </c>
      <c r="F212" t="inlineStr">
        <is>
          <t>Home Office</t>
        </is>
      </c>
      <c r="G212" t="inlineStr">
        <is>
          <t>P1011</t>
        </is>
      </c>
      <c r="H212" t="inlineStr">
        <is>
          <t>CloudDrive File Box</t>
        </is>
      </c>
      <c r="I212" t="inlineStr">
        <is>
          <t>Office Supplies</t>
        </is>
      </c>
      <c r="J212" t="inlineStr">
        <is>
          <t>Video</t>
        </is>
      </c>
      <c r="K212" t="inlineStr">
        <is>
          <t>North</t>
        </is>
      </c>
      <c r="L212" t="inlineStr">
        <is>
          <t>Ontario</t>
        </is>
      </c>
      <c r="M212" t="inlineStr">
        <is>
          <t>Montreal</t>
        </is>
      </c>
      <c r="N212" t="inlineStr">
        <is>
          <t>Mia Rodriguez</t>
        </is>
      </c>
      <c r="O212" t="n">
        <v>4</v>
      </c>
      <c r="P212" s="3" t="n">
        <v>89.64</v>
      </c>
      <c r="Q212" s="4" t="n">
        <v>0.027</v>
      </c>
      <c r="R212" s="3" t="n">
        <v>348.88</v>
      </c>
      <c r="S212" s="3" t="n">
        <v>169.1</v>
      </c>
      <c r="T212" s="3" t="n">
        <v>170.58</v>
      </c>
      <c r="U212" s="4" t="n">
        <v>0.4889</v>
      </c>
      <c r="V212" s="3" t="n">
        <v>9.199999999999999</v>
      </c>
      <c r="W212" t="inlineStr">
        <is>
          <t>PayPal</t>
        </is>
      </c>
      <c r="X212" t="inlineStr">
        <is>
          <t>High</t>
        </is>
      </c>
    </row>
    <row r="213">
      <c r="A213" t="inlineStr">
        <is>
          <t>ORD-00212</t>
        </is>
      </c>
      <c r="B213" s="2" t="n">
        <v>45829</v>
      </c>
      <c r="C213" s="2" t="n">
        <v>45830</v>
      </c>
      <c r="D213" t="inlineStr">
        <is>
          <t>CUST-00212</t>
        </is>
      </c>
      <c r="E213" t="inlineStr">
        <is>
          <t>customer 212</t>
        </is>
      </c>
      <c r="F213" t="inlineStr">
        <is>
          <t>Consumer</t>
        </is>
      </c>
      <c r="G213" t="inlineStr">
        <is>
          <t>P1019</t>
        </is>
      </c>
      <c r="H213" t="inlineStr">
        <is>
          <t>Echo Web Camera</t>
        </is>
      </c>
      <c r="I213" t="inlineStr">
        <is>
          <t>Outdoor</t>
        </is>
      </c>
      <c r="J213" t="inlineStr">
        <is>
          <t>Furniture</t>
        </is>
      </c>
      <c r="K213" t="inlineStr">
        <is>
          <t>West</t>
        </is>
      </c>
      <c r="L213" t="inlineStr">
        <is>
          <t>California</t>
        </is>
      </c>
      <c r="M213" t="inlineStr">
        <is>
          <t>Los Angeles</t>
        </is>
      </c>
      <c r="N213" t="inlineStr">
        <is>
          <t>Sophia Singh</t>
        </is>
      </c>
      <c r="O213" t="n">
        <v>3</v>
      </c>
      <c r="P213" s="3" t="n">
        <v>61.84</v>
      </c>
      <c r="Q213" s="4" t="n">
        <v>0.024</v>
      </c>
      <c r="R213" s="3" t="n">
        <v>181.07</v>
      </c>
      <c r="S213" s="3" t="n">
        <v>77.91</v>
      </c>
      <c r="T213" s="3" t="n">
        <v>93.76000000000001</v>
      </c>
      <c r="U213" s="4" t="n">
        <v>0.5178</v>
      </c>
      <c r="V213" s="3" t="n">
        <v>9.4</v>
      </c>
      <c r="W213" t="inlineStr">
        <is>
          <t>Bank Transfer</t>
        </is>
      </c>
      <c r="X213" t="inlineStr">
        <is>
          <t>Medium</t>
        </is>
      </c>
    </row>
    <row r="214">
      <c r="A214" t="inlineStr">
        <is>
          <t>ORD-00213</t>
        </is>
      </c>
      <c r="B214" s="2" t="n">
        <v>45756</v>
      </c>
      <c r="C214" s="2" t="n">
        <v>45760</v>
      </c>
      <c r="D214" t="inlineStr">
        <is>
          <t>CUST-00213</t>
        </is>
      </c>
      <c r="E214" t="inlineStr">
        <is>
          <t>customer 213</t>
        </is>
      </c>
      <c r="F214" t="inlineStr">
        <is>
          <t>Consumer</t>
        </is>
      </c>
      <c r="G214" t="inlineStr">
        <is>
          <t>P1018</t>
        </is>
      </c>
      <c r="H214" t="inlineStr">
        <is>
          <t>Trail Tote</t>
        </is>
      </c>
      <c r="I214" t="inlineStr">
        <is>
          <t>Home Decor</t>
        </is>
      </c>
      <c r="J214" t="inlineStr">
        <is>
          <t>Paper</t>
        </is>
      </c>
      <c r="K214" t="inlineStr">
        <is>
          <t>Central</t>
        </is>
      </c>
      <c r="L214" t="inlineStr">
        <is>
          <t>Kansas</t>
        </is>
      </c>
      <c r="M214" t="inlineStr">
        <is>
          <t>St. Louis</t>
        </is>
      </c>
      <c r="N214" t="inlineStr">
        <is>
          <t>James Carter</t>
        </is>
      </c>
      <c r="O214" t="n">
        <v>3</v>
      </c>
      <c r="P214" s="3" t="n">
        <v>86.01000000000001</v>
      </c>
      <c r="Q214" s="4" t="n">
        <v>0.011</v>
      </c>
      <c r="R214" s="3" t="n">
        <v>255.19</v>
      </c>
      <c r="S214" s="3" t="n">
        <v>120.15</v>
      </c>
      <c r="T214" s="3" t="n">
        <v>126.64</v>
      </c>
      <c r="U214" s="4" t="n">
        <v>0.4963</v>
      </c>
      <c r="V214" s="3" t="n">
        <v>8.4</v>
      </c>
      <c r="W214" t="inlineStr">
        <is>
          <t>Bank Transfer</t>
        </is>
      </c>
      <c r="X214" t="inlineStr">
        <is>
          <t>Medium</t>
        </is>
      </c>
    </row>
    <row r="215">
      <c r="A215" t="inlineStr">
        <is>
          <t>ORD-00214</t>
        </is>
      </c>
      <c r="B215" s="2" t="n">
        <v>45128</v>
      </c>
      <c r="C215" s="2" t="n">
        <v>45134</v>
      </c>
      <c r="D215" t="inlineStr">
        <is>
          <t>CUST-00214</t>
        </is>
      </c>
      <c r="E215" t="inlineStr">
        <is>
          <t>customer 214</t>
        </is>
      </c>
      <c r="F215" t="inlineStr">
        <is>
          <t>Corporate</t>
        </is>
      </c>
      <c r="G215" t="inlineStr">
        <is>
          <t>P1020</t>
        </is>
      </c>
      <c r="H215" t="inlineStr">
        <is>
          <t>Northstar Lantern</t>
        </is>
      </c>
      <c r="I215" t="inlineStr">
        <is>
          <t>Technology</t>
        </is>
      </c>
      <c r="J215" t="inlineStr">
        <is>
          <t>Desks</t>
        </is>
      </c>
      <c r="K215" t="inlineStr">
        <is>
          <t>East</t>
        </is>
      </c>
      <c r="L215" t="inlineStr">
        <is>
          <t>New York</t>
        </is>
      </c>
      <c r="M215" t="inlineStr">
        <is>
          <t>Philadelphia</t>
        </is>
      </c>
      <c r="N215" t="inlineStr">
        <is>
          <t>Sophia Singh</t>
        </is>
      </c>
      <c r="O215" t="n">
        <v>3</v>
      </c>
      <c r="P215" s="3" t="n">
        <v>74.53</v>
      </c>
      <c r="Q215" s="4" t="n">
        <v>0.034</v>
      </c>
      <c r="R215" s="3" t="n">
        <v>215.99</v>
      </c>
      <c r="S215" s="3" t="n">
        <v>107.97</v>
      </c>
      <c r="T215" s="3" t="n">
        <v>98.62</v>
      </c>
      <c r="U215" s="4" t="n">
        <v>0.4566</v>
      </c>
      <c r="V215" s="3" t="n">
        <v>9.4</v>
      </c>
      <c r="W215" t="inlineStr">
        <is>
          <t>Credit Card</t>
        </is>
      </c>
      <c r="X215" t="inlineStr">
        <is>
          <t>Medium</t>
        </is>
      </c>
    </row>
    <row r="216">
      <c r="A216" t="inlineStr">
        <is>
          <t>ORD-00215</t>
        </is>
      </c>
      <c r="B216" s="2" t="n">
        <v>45701</v>
      </c>
      <c r="C216" s="2" t="n">
        <v>45702</v>
      </c>
      <c r="D216" t="inlineStr">
        <is>
          <t>CUST-00215</t>
        </is>
      </c>
      <c r="E216" t="inlineStr">
        <is>
          <t>customer 215</t>
        </is>
      </c>
      <c r="F216" t="inlineStr">
        <is>
          <t>Home Office</t>
        </is>
      </c>
      <c r="G216" t="inlineStr">
        <is>
          <t>P1002</t>
        </is>
      </c>
      <c r="H216" t="inlineStr">
        <is>
          <t>Northstar Lantern</t>
        </is>
      </c>
      <c r="I216" t="inlineStr">
        <is>
          <t>Office Supplies</t>
        </is>
      </c>
      <c r="J216" t="inlineStr">
        <is>
          <t>Storage</t>
        </is>
      </c>
      <c r="K216" t="inlineStr">
        <is>
          <t>South</t>
        </is>
      </c>
      <c r="L216" t="inlineStr">
        <is>
          <t>Texas</t>
        </is>
      </c>
      <c r="M216" t="inlineStr">
        <is>
          <t>Atlanta</t>
        </is>
      </c>
      <c r="N216" t="inlineStr">
        <is>
          <t>Liam Chen</t>
        </is>
      </c>
      <c r="O216" t="n">
        <v>3</v>
      </c>
      <c r="P216" s="3" t="n">
        <v>74.83</v>
      </c>
      <c r="Q216" s="4" t="n">
        <v>0.024</v>
      </c>
      <c r="R216" s="3" t="n">
        <v>219.1</v>
      </c>
      <c r="S216" s="3" t="n">
        <v>106.14</v>
      </c>
      <c r="T216" s="3" t="n">
        <v>104.56</v>
      </c>
      <c r="U216" s="4" t="n">
        <v>0.4772</v>
      </c>
      <c r="V216" s="3" t="n">
        <v>8.4</v>
      </c>
      <c r="W216" t="inlineStr">
        <is>
          <t>Credit Card</t>
        </is>
      </c>
      <c r="X216" t="inlineStr">
        <is>
          <t>Medium</t>
        </is>
      </c>
    </row>
    <row r="217">
      <c r="A217" t="inlineStr">
        <is>
          <t>ORD-00216</t>
        </is>
      </c>
      <c r="B217" s="2" t="n">
        <v>45270</v>
      </c>
      <c r="C217" s="2" t="n">
        <v>45272</v>
      </c>
      <c r="D217" t="inlineStr">
        <is>
          <t>CUST-00216</t>
        </is>
      </c>
      <c r="E217" t="inlineStr">
        <is>
          <t>customer 216</t>
        </is>
      </c>
      <c r="F217" t="inlineStr">
        <is>
          <t>Consumer</t>
        </is>
      </c>
      <c r="G217" t="inlineStr">
        <is>
          <t>P1009</t>
        </is>
      </c>
      <c r="H217" t="inlineStr">
        <is>
          <t>ProClip Binder</t>
        </is>
      </c>
      <c r="I217" t="inlineStr">
        <is>
          <t>Furniture</t>
        </is>
      </c>
      <c r="J217" t="inlineStr">
        <is>
          <t>Accessories</t>
        </is>
      </c>
      <c r="K217" t="inlineStr">
        <is>
          <t>Central</t>
        </is>
      </c>
      <c r="L217" t="inlineStr">
        <is>
          <t>Kansas</t>
        </is>
      </c>
      <c r="M217" t="inlineStr">
        <is>
          <t>St. Louis</t>
        </is>
      </c>
      <c r="N217" t="inlineStr">
        <is>
          <t>Ava Patel</t>
        </is>
      </c>
      <c r="O217" t="n">
        <v>6</v>
      </c>
      <c r="P217" s="3" t="n">
        <v>95.72</v>
      </c>
      <c r="Q217" s="4" t="n">
        <v>0.054</v>
      </c>
      <c r="R217" s="3" t="n">
        <v>543.3099999999999</v>
      </c>
      <c r="S217" s="3" t="n">
        <v>261.59</v>
      </c>
      <c r="T217" s="3" t="n">
        <v>270.92</v>
      </c>
      <c r="U217" s="4" t="n">
        <v>0.4986</v>
      </c>
      <c r="V217" s="3" t="n">
        <v>10.8</v>
      </c>
      <c r="W217" t="inlineStr">
        <is>
          <t>Credit Card</t>
        </is>
      </c>
      <c r="X217" t="inlineStr">
        <is>
          <t>High</t>
        </is>
      </c>
    </row>
    <row r="218">
      <c r="A218" t="inlineStr">
        <is>
          <t>ORD-00217</t>
        </is>
      </c>
      <c r="B218" s="2" t="n">
        <v>45388</v>
      </c>
      <c r="C218" s="2" t="n">
        <v>45393</v>
      </c>
      <c r="D218" t="inlineStr">
        <is>
          <t>CUST-00217</t>
        </is>
      </c>
      <c r="E218" t="inlineStr">
        <is>
          <t>customer 217</t>
        </is>
      </c>
      <c r="F218" t="inlineStr">
        <is>
          <t>Home Office</t>
        </is>
      </c>
      <c r="G218" t="inlineStr">
        <is>
          <t>P1009</t>
        </is>
      </c>
      <c r="H218" t="inlineStr">
        <is>
          <t>CloudDrive File Box</t>
        </is>
      </c>
      <c r="I218" t="inlineStr">
        <is>
          <t>Technology</t>
        </is>
      </c>
      <c r="J218" t="inlineStr">
        <is>
          <t>Furniture</t>
        </is>
      </c>
      <c r="K218" t="inlineStr">
        <is>
          <t>East</t>
        </is>
      </c>
      <c r="L218" t="inlineStr">
        <is>
          <t>New Jersey</t>
        </is>
      </c>
      <c r="M218" t="inlineStr">
        <is>
          <t>Washington</t>
        </is>
      </c>
      <c r="N218" t="inlineStr">
        <is>
          <t>Noah Kim</t>
        </is>
      </c>
      <c r="O218" t="n">
        <v>4</v>
      </c>
      <c r="P218" s="3" t="n">
        <v>94.68000000000001</v>
      </c>
      <c r="Q218" s="4" t="n">
        <v>0.003</v>
      </c>
      <c r="R218" s="3" t="n">
        <v>377.58</v>
      </c>
      <c r="S218" s="3" t="n">
        <v>183.01</v>
      </c>
      <c r="T218" s="3" t="n">
        <v>184.37</v>
      </c>
      <c r="U218" s="4" t="n">
        <v>0.4883</v>
      </c>
      <c r="V218" s="3" t="n">
        <v>10.2</v>
      </c>
      <c r="W218" t="inlineStr">
        <is>
          <t>Debit Card</t>
        </is>
      </c>
      <c r="X218" t="inlineStr">
        <is>
          <t>Low</t>
        </is>
      </c>
    </row>
    <row r="219">
      <c r="A219" t="inlineStr">
        <is>
          <t>ORD-00218</t>
        </is>
      </c>
      <c r="B219" s="2" t="n">
        <v>46002</v>
      </c>
      <c r="C219" s="2" t="n">
        <v>46006</v>
      </c>
      <c r="D219" t="inlineStr">
        <is>
          <t>CUST-00218</t>
        </is>
      </c>
      <c r="E219" t="inlineStr">
        <is>
          <t>customer 218</t>
        </is>
      </c>
      <c r="F219" t="inlineStr">
        <is>
          <t>Consumer</t>
        </is>
      </c>
      <c r="G219" t="inlineStr">
        <is>
          <t>P1012</t>
        </is>
      </c>
      <c r="H219" t="inlineStr">
        <is>
          <t>Orbit Wireless Mouse</t>
        </is>
      </c>
      <c r="I219" t="inlineStr">
        <is>
          <t>Home Decor</t>
        </is>
      </c>
      <c r="J219" t="inlineStr">
        <is>
          <t>Storage</t>
        </is>
      </c>
      <c r="K219" t="inlineStr">
        <is>
          <t>South</t>
        </is>
      </c>
      <c r="L219" t="inlineStr">
        <is>
          <t>Texas</t>
        </is>
      </c>
      <c r="M219" t="inlineStr">
        <is>
          <t>Atlanta</t>
        </is>
      </c>
      <c r="N219" t="inlineStr">
        <is>
          <t>Olivia Martin</t>
        </is>
      </c>
      <c r="O219" t="n">
        <v>4</v>
      </c>
      <c r="P219" s="3" t="n">
        <v>133.35</v>
      </c>
      <c r="Q219" s="4" t="n">
        <v>0.038</v>
      </c>
      <c r="R219" s="3" t="n">
        <v>513.13</v>
      </c>
      <c r="S219" s="3" t="n">
        <v>258.07</v>
      </c>
      <c r="T219" s="3" t="n">
        <v>245.86</v>
      </c>
      <c r="U219" s="4" t="n">
        <v>0.4791</v>
      </c>
      <c r="V219" s="3" t="n">
        <v>9.199999999999999</v>
      </c>
      <c r="W219" t="inlineStr">
        <is>
          <t>Credit Card</t>
        </is>
      </c>
      <c r="X219" t="inlineStr">
        <is>
          <t>High</t>
        </is>
      </c>
    </row>
    <row r="220">
      <c r="A220" t="inlineStr">
        <is>
          <t>ORD-00219</t>
        </is>
      </c>
      <c r="B220" s="2" t="n">
        <v>45447</v>
      </c>
      <c r="C220" s="2" t="n">
        <v>45449</v>
      </c>
      <c r="D220" t="inlineStr">
        <is>
          <t>CUST-00219</t>
        </is>
      </c>
      <c r="E220" t="inlineStr">
        <is>
          <t>customer 219</t>
        </is>
      </c>
      <c r="F220" t="inlineStr">
        <is>
          <t>Consumer</t>
        </is>
      </c>
      <c r="G220" t="inlineStr">
        <is>
          <t>P1013</t>
        </is>
      </c>
      <c r="H220" t="inlineStr">
        <is>
          <t>Summit Patio Set</t>
        </is>
      </c>
      <c r="I220" t="inlineStr">
        <is>
          <t>Home Decor</t>
        </is>
      </c>
      <c r="J220" t="inlineStr">
        <is>
          <t>Paper</t>
        </is>
      </c>
      <c r="K220" t="inlineStr">
        <is>
          <t>East</t>
        </is>
      </c>
      <c r="L220" t="inlineStr">
        <is>
          <t>New York</t>
        </is>
      </c>
      <c r="M220" t="inlineStr">
        <is>
          <t>Boston</t>
        </is>
      </c>
      <c r="N220" t="inlineStr">
        <is>
          <t>Olivia Martin</t>
        </is>
      </c>
      <c r="O220" t="n">
        <v>3</v>
      </c>
      <c r="P220" s="3" t="n">
        <v>168.38</v>
      </c>
      <c r="Q220" s="4" t="n">
        <v>0.016</v>
      </c>
      <c r="R220" s="3" t="n">
        <v>497.06</v>
      </c>
      <c r="S220" s="3" t="n">
        <v>289.97</v>
      </c>
      <c r="T220" s="3" t="n">
        <v>197.69</v>
      </c>
      <c r="U220" s="4" t="n">
        <v>0.3977</v>
      </c>
      <c r="V220" s="3" t="n">
        <v>9.4</v>
      </c>
      <c r="W220" t="inlineStr">
        <is>
          <t>Debit Card</t>
        </is>
      </c>
      <c r="X220" t="inlineStr">
        <is>
          <t>Medium</t>
        </is>
      </c>
    </row>
    <row r="221">
      <c r="A221" t="inlineStr">
        <is>
          <t>ORD-00220</t>
        </is>
      </c>
      <c r="B221" s="2" t="n">
        <v>46017</v>
      </c>
      <c r="C221" s="2" t="n">
        <v>46018</v>
      </c>
      <c r="D221" t="inlineStr">
        <is>
          <t>CUST-00220</t>
        </is>
      </c>
      <c r="E221" t="inlineStr">
        <is>
          <t>customer 220</t>
        </is>
      </c>
      <c r="F221" t="inlineStr">
        <is>
          <t>Consumer</t>
        </is>
      </c>
      <c r="G221" t="inlineStr">
        <is>
          <t>P1016</t>
        </is>
      </c>
      <c r="H221" t="inlineStr">
        <is>
          <t>ErgoMesh Chair</t>
        </is>
      </c>
      <c r="I221" t="inlineStr">
        <is>
          <t>Home Decor</t>
        </is>
      </c>
      <c r="J221" t="inlineStr">
        <is>
          <t>Peripherals</t>
        </is>
      </c>
      <c r="K221" t="inlineStr">
        <is>
          <t>North</t>
        </is>
      </c>
      <c r="L221" t="inlineStr">
        <is>
          <t>British Columbia</t>
        </is>
      </c>
      <c r="M221" t="inlineStr">
        <is>
          <t>Montreal</t>
        </is>
      </c>
      <c r="N221" t="inlineStr">
        <is>
          <t>Sophia Singh</t>
        </is>
      </c>
      <c r="O221" t="n">
        <v>1</v>
      </c>
      <c r="P221" s="3" t="n">
        <v>42.16</v>
      </c>
      <c r="Q221" s="4" t="n">
        <v>0.048</v>
      </c>
      <c r="R221" s="3" t="n">
        <v>40.14</v>
      </c>
      <c r="S221" s="3" t="n">
        <v>23.89</v>
      </c>
      <c r="T221" s="3" t="n">
        <v>9.449999999999999</v>
      </c>
      <c r="U221" s="4" t="n">
        <v>0.2354</v>
      </c>
      <c r="V221" s="3" t="n">
        <v>6.8</v>
      </c>
      <c r="W221" t="inlineStr">
        <is>
          <t>Bank Transfer</t>
        </is>
      </c>
      <c r="X221" t="inlineStr">
        <is>
          <t>Critical</t>
        </is>
      </c>
    </row>
    <row r="222">
      <c r="A222" t="inlineStr">
        <is>
          <t>ORD-00221</t>
        </is>
      </c>
      <c r="B222" s="2" t="n">
        <v>45883</v>
      </c>
      <c r="C222" s="2" t="n">
        <v>45886</v>
      </c>
      <c r="D222" t="inlineStr">
        <is>
          <t>CUST-00221</t>
        </is>
      </c>
      <c r="E222" t="inlineStr">
        <is>
          <t>customer 221</t>
        </is>
      </c>
      <c r="F222" t="inlineStr">
        <is>
          <t>Corporate</t>
        </is>
      </c>
      <c r="G222" t="inlineStr">
        <is>
          <t>P1013</t>
        </is>
      </c>
      <c r="H222" t="inlineStr">
        <is>
          <t>Northstar Lantern</t>
        </is>
      </c>
      <c r="I222" t="inlineStr">
        <is>
          <t>Office Supplies</t>
        </is>
      </c>
      <c r="J222" t="inlineStr">
        <is>
          <t>Coolers</t>
        </is>
      </c>
      <c r="K222" t="inlineStr">
        <is>
          <t>South</t>
        </is>
      </c>
      <c r="L222" t="inlineStr">
        <is>
          <t>Florida</t>
        </is>
      </c>
      <c r="M222" t="inlineStr">
        <is>
          <t>Houston</t>
        </is>
      </c>
      <c r="N222" t="inlineStr">
        <is>
          <t>Olivia Martin</t>
        </is>
      </c>
      <c r="O222" t="n">
        <v>3</v>
      </c>
      <c r="P222" s="3" t="n">
        <v>166.21</v>
      </c>
      <c r="Q222" s="4" t="n">
        <v>0.026</v>
      </c>
      <c r="R222" s="3" t="n">
        <v>485.67</v>
      </c>
      <c r="S222" s="3" t="n">
        <v>281.59</v>
      </c>
      <c r="T222" s="3" t="n">
        <v>195.68</v>
      </c>
      <c r="U222" s="4" t="n">
        <v>0.4029</v>
      </c>
      <c r="V222" s="3" t="n">
        <v>8.4</v>
      </c>
      <c r="W222" t="inlineStr">
        <is>
          <t>Cash on Delivery</t>
        </is>
      </c>
      <c r="X222" t="inlineStr">
        <is>
          <t>Medium</t>
        </is>
      </c>
    </row>
    <row r="223">
      <c r="A223" t="inlineStr">
        <is>
          <t>ORD-00222</t>
        </is>
      </c>
      <c r="B223" s="2" t="n">
        <v>45643</v>
      </c>
      <c r="C223" s="2" t="n">
        <v>45647</v>
      </c>
      <c r="D223" t="inlineStr">
        <is>
          <t>CUST-00222</t>
        </is>
      </c>
      <c r="E223" t="inlineStr">
        <is>
          <t>customer 222</t>
        </is>
      </c>
      <c r="F223" t="inlineStr">
        <is>
          <t>Consumer</t>
        </is>
      </c>
      <c r="G223" t="inlineStr">
        <is>
          <t>P1014</t>
        </is>
      </c>
      <c r="H223" t="inlineStr">
        <is>
          <t>Echo Web Camera</t>
        </is>
      </c>
      <c r="I223" t="inlineStr">
        <is>
          <t>Home Decor</t>
        </is>
      </c>
      <c r="J223" t="inlineStr">
        <is>
          <t>Decor</t>
        </is>
      </c>
      <c r="K223" t="inlineStr">
        <is>
          <t>East</t>
        </is>
      </c>
      <c r="L223" t="inlineStr">
        <is>
          <t>Virginia</t>
        </is>
      </c>
      <c r="M223" t="inlineStr">
        <is>
          <t>New York</t>
        </is>
      </c>
      <c r="N223" t="inlineStr">
        <is>
          <t>James Carter</t>
        </is>
      </c>
      <c r="O223" t="n">
        <v>3</v>
      </c>
      <c r="P223" s="3" t="n">
        <v>44.78</v>
      </c>
      <c r="Q223" s="4" t="n">
        <v>0.028</v>
      </c>
      <c r="R223" s="3" t="n">
        <v>130.58</v>
      </c>
      <c r="S223" s="3" t="n">
        <v>60.72</v>
      </c>
      <c r="T223" s="3" t="n">
        <v>60.46</v>
      </c>
      <c r="U223" s="4" t="n">
        <v>0.463</v>
      </c>
      <c r="V223" s="3" t="n">
        <v>9.4</v>
      </c>
      <c r="W223" t="inlineStr">
        <is>
          <t>PayPal</t>
        </is>
      </c>
      <c r="X223" t="inlineStr">
        <is>
          <t>Medium</t>
        </is>
      </c>
    </row>
    <row r="224">
      <c r="A224" t="inlineStr">
        <is>
          <t>ORD-00223</t>
        </is>
      </c>
      <c r="B224" s="2" t="n">
        <v>44946</v>
      </c>
      <c r="C224" s="2" t="n">
        <v>44953</v>
      </c>
      <c r="D224" t="inlineStr">
        <is>
          <t>CUST-00223</t>
        </is>
      </c>
      <c r="E224" t="inlineStr">
        <is>
          <t>customer 223</t>
        </is>
      </c>
      <c r="F224" t="inlineStr">
        <is>
          <t>Corporate</t>
        </is>
      </c>
      <c r="G224" t="inlineStr">
        <is>
          <t>P1007</t>
        </is>
      </c>
      <c r="H224" t="inlineStr">
        <is>
          <t>Lumen Desk Lamp</t>
        </is>
      </c>
      <c r="I224" t="inlineStr">
        <is>
          <t>Home Decor</t>
        </is>
      </c>
      <c r="J224" t="inlineStr">
        <is>
          <t>Paper</t>
        </is>
      </c>
      <c r="K224" t="inlineStr">
        <is>
          <t>South</t>
        </is>
      </c>
      <c r="L224" t="inlineStr">
        <is>
          <t>Georgia</t>
        </is>
      </c>
      <c r="M224" t="inlineStr">
        <is>
          <t>Houston</t>
        </is>
      </c>
      <c r="N224" t="inlineStr">
        <is>
          <t>Olivia Martin</t>
        </is>
      </c>
      <c r="O224" t="n">
        <v>1</v>
      </c>
      <c r="P224" s="3" t="n">
        <v>24.37</v>
      </c>
      <c r="Q224" s="4" t="n">
        <v>0.03</v>
      </c>
      <c r="R224" s="3" t="n">
        <v>23.64</v>
      </c>
      <c r="S224" s="3" t="n">
        <v>16.02</v>
      </c>
      <c r="T224" s="3" t="n">
        <v>0.82</v>
      </c>
      <c r="U224" s="4" t="n">
        <v>0.0347</v>
      </c>
      <c r="V224" s="3" t="n">
        <v>6.8</v>
      </c>
      <c r="W224" t="inlineStr">
        <is>
          <t>Bank Transfer</t>
        </is>
      </c>
      <c r="X224" t="inlineStr">
        <is>
          <t>High</t>
        </is>
      </c>
    </row>
    <row r="225">
      <c r="A225" t="inlineStr">
        <is>
          <t>ORD-00224</t>
        </is>
      </c>
      <c r="B225" s="2" t="n">
        <v>45567</v>
      </c>
      <c r="C225" s="2" t="n">
        <v>45568</v>
      </c>
      <c r="D225" t="inlineStr">
        <is>
          <t>CUST-00224</t>
        </is>
      </c>
      <c r="E225" t="inlineStr">
        <is>
          <t>customer 224</t>
        </is>
      </c>
      <c r="F225" t="inlineStr">
        <is>
          <t>Consumer</t>
        </is>
      </c>
      <c r="G225" t="inlineStr">
        <is>
          <t>P1002</t>
        </is>
      </c>
      <c r="H225" t="inlineStr">
        <is>
          <t>Summit Patio Set</t>
        </is>
      </c>
      <c r="I225" t="inlineStr">
        <is>
          <t>Home Decor</t>
        </is>
      </c>
      <c r="J225" t="inlineStr">
        <is>
          <t>Plants</t>
        </is>
      </c>
      <c r="K225" t="inlineStr">
        <is>
          <t>Central</t>
        </is>
      </c>
      <c r="L225" t="inlineStr">
        <is>
          <t>Missouri</t>
        </is>
      </c>
      <c r="M225" t="inlineStr">
        <is>
          <t>Minneapolis</t>
        </is>
      </c>
      <c r="N225" t="inlineStr">
        <is>
          <t>Olivia Martin</t>
        </is>
      </c>
      <c r="O225" t="n">
        <v>4</v>
      </c>
      <c r="P225" s="3" t="n">
        <v>85.97</v>
      </c>
      <c r="Q225" s="4" t="n">
        <v>0.027</v>
      </c>
      <c r="R225" s="3" t="n">
        <v>334.6</v>
      </c>
      <c r="S225" s="3" t="n">
        <v>158.35</v>
      </c>
      <c r="T225" s="3" t="n">
        <v>167.05</v>
      </c>
      <c r="U225" s="4" t="n">
        <v>0.4993</v>
      </c>
      <c r="V225" s="3" t="n">
        <v>9.199999999999999</v>
      </c>
      <c r="W225" t="inlineStr">
        <is>
          <t>Credit Card</t>
        </is>
      </c>
      <c r="X225" t="inlineStr">
        <is>
          <t>Medium</t>
        </is>
      </c>
    </row>
    <row r="226">
      <c r="A226" t="inlineStr">
        <is>
          <t>ORD-00225</t>
        </is>
      </c>
      <c r="B226" s="2" t="n">
        <v>45270</v>
      </c>
      <c r="C226" s="2" t="n">
        <v>45271</v>
      </c>
      <c r="D226" t="inlineStr">
        <is>
          <t>CUST-00225</t>
        </is>
      </c>
      <c r="E226" t="inlineStr">
        <is>
          <t>customer 225</t>
        </is>
      </c>
      <c r="F226" t="inlineStr">
        <is>
          <t>Corporate</t>
        </is>
      </c>
      <c r="G226" t="inlineStr">
        <is>
          <t>P1012</t>
        </is>
      </c>
      <c r="H226" t="inlineStr">
        <is>
          <t>SmartInk Pen Set</t>
        </is>
      </c>
      <c r="I226" t="inlineStr">
        <is>
          <t>Office Supplies</t>
        </is>
      </c>
      <c r="J226" t="inlineStr">
        <is>
          <t>Paper</t>
        </is>
      </c>
      <c r="K226" t="inlineStr">
        <is>
          <t>Central</t>
        </is>
      </c>
      <c r="L226" t="inlineStr">
        <is>
          <t>Illinois</t>
        </is>
      </c>
      <c r="M226" t="inlineStr">
        <is>
          <t>St. Louis</t>
        </is>
      </c>
      <c r="N226" t="inlineStr">
        <is>
          <t>Sophia Singh</t>
        </is>
      </c>
      <c r="O226" t="n">
        <v>1</v>
      </c>
      <c r="P226" s="3" t="n">
        <v>143.7</v>
      </c>
      <c r="Q226" s="4" t="n">
        <v>0.025</v>
      </c>
      <c r="R226" s="3" t="n">
        <v>140.11</v>
      </c>
      <c r="S226" s="3" t="n">
        <v>79.59999999999999</v>
      </c>
      <c r="T226" s="3" t="n">
        <v>53.71</v>
      </c>
      <c r="U226" s="4" t="n">
        <v>0.3833</v>
      </c>
      <c r="V226" s="3" t="n">
        <v>6.8</v>
      </c>
      <c r="W226" t="inlineStr">
        <is>
          <t>Credit Card</t>
        </is>
      </c>
      <c r="X226" t="inlineStr">
        <is>
          <t>Medium</t>
        </is>
      </c>
    </row>
    <row r="227">
      <c r="A227" t="inlineStr">
        <is>
          <t>ORD-00226</t>
        </is>
      </c>
      <c r="B227" s="2" t="n">
        <v>44988</v>
      </c>
      <c r="C227" s="2" t="n">
        <v>44995</v>
      </c>
      <c r="D227" t="inlineStr">
        <is>
          <t>CUST-00226</t>
        </is>
      </c>
      <c r="E227" t="inlineStr">
        <is>
          <t>customer 226</t>
        </is>
      </c>
      <c r="F227" t="inlineStr">
        <is>
          <t>Consumer</t>
        </is>
      </c>
      <c r="G227" t="inlineStr">
        <is>
          <t>P1017</t>
        </is>
      </c>
      <c r="H227" t="inlineStr">
        <is>
          <t>Cove Wall Clock</t>
        </is>
      </c>
      <c r="I227" t="inlineStr">
        <is>
          <t>Outdoor</t>
        </is>
      </c>
      <c r="J227" t="inlineStr">
        <is>
          <t>Video</t>
        </is>
      </c>
      <c r="K227" t="inlineStr">
        <is>
          <t>East</t>
        </is>
      </c>
      <c r="L227" t="inlineStr">
        <is>
          <t>New Jersey</t>
        </is>
      </c>
      <c r="M227" t="inlineStr">
        <is>
          <t>Boston</t>
        </is>
      </c>
      <c r="N227" t="inlineStr">
        <is>
          <t>Noah Kim</t>
        </is>
      </c>
      <c r="O227" t="n">
        <v>3</v>
      </c>
      <c r="P227" s="3" t="n">
        <v>543.65</v>
      </c>
      <c r="Q227" s="4" t="n">
        <v>0.018</v>
      </c>
      <c r="R227" s="3" t="n">
        <v>1601.59</v>
      </c>
      <c r="S227" s="3" t="n">
        <v>1064.73</v>
      </c>
      <c r="T227" s="3" t="n">
        <v>527.46</v>
      </c>
      <c r="U227" s="4" t="n">
        <v>0.3293</v>
      </c>
      <c r="V227" s="3" t="n">
        <v>9.4</v>
      </c>
      <c r="W227" t="inlineStr">
        <is>
          <t>Bank Transfer</t>
        </is>
      </c>
      <c r="X227" t="inlineStr">
        <is>
          <t>Low</t>
        </is>
      </c>
    </row>
    <row r="228">
      <c r="A228" t="inlineStr">
        <is>
          <t>ORD-00227</t>
        </is>
      </c>
      <c r="B228" s="2" t="n">
        <v>45695</v>
      </c>
      <c r="C228" s="2" t="n">
        <v>45697</v>
      </c>
      <c r="D228" t="inlineStr">
        <is>
          <t>CUST-00227</t>
        </is>
      </c>
      <c r="E228" t="inlineStr">
        <is>
          <t>customer 227</t>
        </is>
      </c>
      <c r="F228" t="inlineStr">
        <is>
          <t>Consumer</t>
        </is>
      </c>
      <c r="G228" t="inlineStr">
        <is>
          <t>P1005</t>
        </is>
      </c>
      <c r="H228" t="inlineStr">
        <is>
          <t>Cove Wall Clock</t>
        </is>
      </c>
      <c r="I228" t="inlineStr">
        <is>
          <t>Furniture</t>
        </is>
      </c>
      <c r="J228" t="inlineStr">
        <is>
          <t>Peripherals</t>
        </is>
      </c>
      <c r="K228" t="inlineStr">
        <is>
          <t>South</t>
        </is>
      </c>
      <c r="L228" t="inlineStr">
        <is>
          <t>Georgia</t>
        </is>
      </c>
      <c r="M228" t="inlineStr">
        <is>
          <t>Miami</t>
        </is>
      </c>
      <c r="N228" t="inlineStr">
        <is>
          <t>James Carter</t>
        </is>
      </c>
      <c r="O228" t="n">
        <v>5</v>
      </c>
      <c r="P228" s="3" t="n">
        <v>12.4</v>
      </c>
      <c r="Q228" s="4" t="n">
        <v>0.002</v>
      </c>
      <c r="R228" s="3" t="n">
        <v>61.88</v>
      </c>
      <c r="S228" s="3" t="n">
        <v>27.87</v>
      </c>
      <c r="T228" s="3" t="n">
        <v>24.01</v>
      </c>
      <c r="U228" s="4" t="n">
        <v>0.388</v>
      </c>
      <c r="V228" s="3" t="n">
        <v>10</v>
      </c>
      <c r="W228" t="inlineStr">
        <is>
          <t>Bank Transfer</t>
        </is>
      </c>
      <c r="X228" t="inlineStr">
        <is>
          <t>Medium</t>
        </is>
      </c>
    </row>
    <row r="229">
      <c r="A229" t="inlineStr">
        <is>
          <t>ORD-00228</t>
        </is>
      </c>
      <c r="B229" s="2" t="n">
        <v>45450</v>
      </c>
      <c r="C229" s="2" t="n">
        <v>45451</v>
      </c>
      <c r="D229" t="inlineStr">
        <is>
          <t>CUST-00228</t>
        </is>
      </c>
      <c r="E229" t="inlineStr">
        <is>
          <t>customer 228</t>
        </is>
      </c>
      <c r="F229" t="inlineStr">
        <is>
          <t>Corporate</t>
        </is>
      </c>
      <c r="G229" t="inlineStr">
        <is>
          <t>P1020</t>
        </is>
      </c>
      <c r="H229" t="inlineStr">
        <is>
          <t>Echo Web Camera</t>
        </is>
      </c>
      <c r="I229" t="inlineStr">
        <is>
          <t>Outdoor</t>
        </is>
      </c>
      <c r="J229" t="inlineStr">
        <is>
          <t>Storage</t>
        </is>
      </c>
      <c r="K229" t="inlineStr">
        <is>
          <t>Central</t>
        </is>
      </c>
      <c r="L229" t="inlineStr">
        <is>
          <t>Kansas</t>
        </is>
      </c>
      <c r="M229" t="inlineStr">
        <is>
          <t>Chicago</t>
        </is>
      </c>
      <c r="N229" t="inlineStr">
        <is>
          <t>Liam Chen</t>
        </is>
      </c>
      <c r="O229" t="n">
        <v>2</v>
      </c>
      <c r="P229" s="3" t="n">
        <v>76.5</v>
      </c>
      <c r="Q229" s="4" t="n">
        <v>0.024</v>
      </c>
      <c r="R229" s="3" t="n">
        <v>149.33</v>
      </c>
      <c r="S229" s="3" t="n">
        <v>79.11</v>
      </c>
      <c r="T229" s="3" t="n">
        <v>62.62</v>
      </c>
      <c r="U229" s="4" t="n">
        <v>0.4193</v>
      </c>
      <c r="V229" s="3" t="n">
        <v>7.6</v>
      </c>
      <c r="W229" t="inlineStr">
        <is>
          <t>Credit Card</t>
        </is>
      </c>
      <c r="X229" t="inlineStr">
        <is>
          <t>Low</t>
        </is>
      </c>
    </row>
    <row r="230">
      <c r="A230" t="inlineStr">
        <is>
          <t>ORD-00229</t>
        </is>
      </c>
      <c r="B230" s="2" t="n">
        <v>45992</v>
      </c>
      <c r="C230" s="2" t="n">
        <v>45996</v>
      </c>
      <c r="D230" t="inlineStr">
        <is>
          <t>CUST-00229</t>
        </is>
      </c>
      <c r="E230" t="inlineStr">
        <is>
          <t>customer 229</t>
        </is>
      </c>
      <c r="F230" t="inlineStr">
        <is>
          <t>Corporate</t>
        </is>
      </c>
      <c r="G230" t="inlineStr">
        <is>
          <t>P1010</t>
        </is>
      </c>
      <c r="H230" t="inlineStr">
        <is>
          <t>Atlas Throw Pillow</t>
        </is>
      </c>
      <c r="I230" t="inlineStr">
        <is>
          <t>Home Decor</t>
        </is>
      </c>
      <c r="J230" t="inlineStr">
        <is>
          <t>Chairs</t>
        </is>
      </c>
      <c r="K230" t="inlineStr">
        <is>
          <t>Central</t>
        </is>
      </c>
      <c r="L230" t="inlineStr">
        <is>
          <t>Illinois</t>
        </is>
      </c>
      <c r="M230" t="inlineStr">
        <is>
          <t>St. Louis</t>
        </is>
      </c>
      <c r="N230" t="inlineStr">
        <is>
          <t>Mia Rodriguez</t>
        </is>
      </c>
      <c r="O230" t="n">
        <v>3</v>
      </c>
      <c r="P230" s="3" t="n">
        <v>56.7</v>
      </c>
      <c r="Q230" s="4" t="n">
        <v>0.02</v>
      </c>
      <c r="R230" s="3" t="n">
        <v>166.7</v>
      </c>
      <c r="S230" s="3" t="n">
        <v>73.68000000000001</v>
      </c>
      <c r="T230" s="3" t="n">
        <v>84.62</v>
      </c>
      <c r="U230" s="4" t="n">
        <v>0.5076000000000001</v>
      </c>
      <c r="V230" s="3" t="n">
        <v>8.4</v>
      </c>
      <c r="W230" t="inlineStr">
        <is>
          <t>Debit Card</t>
        </is>
      </c>
      <c r="X230" t="inlineStr">
        <is>
          <t>Medium</t>
        </is>
      </c>
    </row>
    <row r="231">
      <c r="A231" t="inlineStr">
        <is>
          <t>ORD-00230</t>
        </is>
      </c>
      <c r="B231" s="2" t="n">
        <v>45512</v>
      </c>
      <c r="C231" s="2" t="n">
        <v>45518</v>
      </c>
      <c r="D231" t="inlineStr">
        <is>
          <t>CUST-00230</t>
        </is>
      </c>
      <c r="E231" t="inlineStr">
        <is>
          <t>customer 230</t>
        </is>
      </c>
      <c r="F231" t="inlineStr">
        <is>
          <t>Consumer</t>
        </is>
      </c>
      <c r="G231" t="inlineStr">
        <is>
          <t>P1018</t>
        </is>
      </c>
      <c r="H231" t="inlineStr">
        <is>
          <t>Tide Cooler</t>
        </is>
      </c>
      <c r="I231" t="inlineStr">
        <is>
          <t>Outdoor</t>
        </is>
      </c>
      <c r="J231" t="inlineStr">
        <is>
          <t>Accessories</t>
        </is>
      </c>
      <c r="K231" t="inlineStr">
        <is>
          <t>East</t>
        </is>
      </c>
      <c r="L231" t="inlineStr">
        <is>
          <t>Virginia</t>
        </is>
      </c>
      <c r="M231" t="inlineStr">
        <is>
          <t>Philadelphia</t>
        </is>
      </c>
      <c r="N231" t="inlineStr">
        <is>
          <t>James Carter</t>
        </is>
      </c>
      <c r="O231" t="n">
        <v>2</v>
      </c>
      <c r="P231" s="3" t="n">
        <v>96.58</v>
      </c>
      <c r="Q231" s="4" t="n">
        <v>0.027</v>
      </c>
      <c r="R231" s="3" t="n">
        <v>187.94</v>
      </c>
      <c r="S231" s="3" t="n">
        <v>90.09</v>
      </c>
      <c r="T231" s="3" t="n">
        <v>89.25</v>
      </c>
      <c r="U231" s="4" t="n">
        <v>0.4749</v>
      </c>
      <c r="V231" s="3" t="n">
        <v>8.6</v>
      </c>
      <c r="W231" t="inlineStr">
        <is>
          <t>Cash on Delivery</t>
        </is>
      </c>
      <c r="X231" t="inlineStr">
        <is>
          <t>Medium</t>
        </is>
      </c>
    </row>
    <row r="232">
      <c r="A232" t="inlineStr">
        <is>
          <t>ORD-00231</t>
        </is>
      </c>
      <c r="B232" s="2" t="n">
        <v>45892</v>
      </c>
      <c r="C232" s="2" t="n">
        <v>45899</v>
      </c>
      <c r="D232" t="inlineStr">
        <is>
          <t>CUST-00231</t>
        </is>
      </c>
      <c r="E232" t="inlineStr">
        <is>
          <t>customer 231</t>
        </is>
      </c>
      <c r="F232" t="inlineStr">
        <is>
          <t>Home Office</t>
        </is>
      </c>
      <c r="G232" t="inlineStr">
        <is>
          <t>P1003</t>
        </is>
      </c>
      <c r="H232" t="inlineStr">
        <is>
          <t>CloudDrive File Box</t>
        </is>
      </c>
      <c r="I232" t="inlineStr">
        <is>
          <t>Furniture</t>
        </is>
      </c>
      <c r="J232" t="inlineStr">
        <is>
          <t>Textiles</t>
        </is>
      </c>
      <c r="K232" t="inlineStr">
        <is>
          <t>West</t>
        </is>
      </c>
      <c r="L232" t="inlineStr">
        <is>
          <t>Colorado</t>
        </is>
      </c>
      <c r="M232" t="inlineStr">
        <is>
          <t>Seattle</t>
        </is>
      </c>
      <c r="N232" t="inlineStr">
        <is>
          <t>Liam Chen</t>
        </is>
      </c>
      <c r="O232" t="n">
        <v>2</v>
      </c>
      <c r="P232" s="3" t="n">
        <v>169.16</v>
      </c>
      <c r="Q232" s="4" t="n">
        <v>0.013</v>
      </c>
      <c r="R232" s="3" t="n">
        <v>333.92</v>
      </c>
      <c r="S232" s="3" t="n">
        <v>177.37</v>
      </c>
      <c r="T232" s="3" t="n">
        <v>147.95</v>
      </c>
      <c r="U232" s="4" t="n">
        <v>0.4431</v>
      </c>
      <c r="V232" s="3" t="n">
        <v>8.6</v>
      </c>
      <c r="W232" t="inlineStr">
        <is>
          <t>Cash on Delivery</t>
        </is>
      </c>
      <c r="X232" t="inlineStr">
        <is>
          <t>Medium</t>
        </is>
      </c>
    </row>
    <row r="233">
      <c r="A233" t="inlineStr">
        <is>
          <t>ORD-00232</t>
        </is>
      </c>
      <c r="B233" s="2" t="n">
        <v>45352</v>
      </c>
      <c r="C233" s="2" t="n">
        <v>45356</v>
      </c>
      <c r="D233" t="inlineStr">
        <is>
          <t>CUST-00232</t>
        </is>
      </c>
      <c r="E233" t="inlineStr">
        <is>
          <t>customer 232</t>
        </is>
      </c>
      <c r="F233" t="inlineStr">
        <is>
          <t>Corporate</t>
        </is>
      </c>
      <c r="G233" t="inlineStr">
        <is>
          <t>P1013</t>
        </is>
      </c>
      <c r="H233" t="inlineStr">
        <is>
          <t>Lumen Desk Lamp</t>
        </is>
      </c>
      <c r="I233" t="inlineStr">
        <is>
          <t>Home Decor</t>
        </is>
      </c>
      <c r="J233" t="inlineStr">
        <is>
          <t>Peripherals</t>
        </is>
      </c>
      <c r="K233" t="inlineStr">
        <is>
          <t>Central</t>
        </is>
      </c>
      <c r="L233" t="inlineStr">
        <is>
          <t>Minnesota</t>
        </is>
      </c>
      <c r="M233" t="inlineStr">
        <is>
          <t>St. Louis</t>
        </is>
      </c>
      <c r="N233" t="inlineStr">
        <is>
          <t>Sophia Singh</t>
        </is>
      </c>
      <c r="O233" t="n">
        <v>4</v>
      </c>
      <c r="P233" s="3" t="n">
        <v>160.24</v>
      </c>
      <c r="Q233" s="4" t="n">
        <v>0.023</v>
      </c>
      <c r="R233" s="3" t="n">
        <v>626.22</v>
      </c>
      <c r="S233" s="3" t="n">
        <v>359.87</v>
      </c>
      <c r="T233" s="3" t="n">
        <v>257.15</v>
      </c>
      <c r="U233" s="4" t="n">
        <v>0.4106</v>
      </c>
      <c r="V233" s="3" t="n">
        <v>9.199999999999999</v>
      </c>
      <c r="W233" t="inlineStr">
        <is>
          <t>Debit Card</t>
        </is>
      </c>
      <c r="X233" t="inlineStr">
        <is>
          <t>Medium</t>
        </is>
      </c>
    </row>
    <row r="234">
      <c r="A234" t="inlineStr">
        <is>
          <t>ORD-00233</t>
        </is>
      </c>
      <c r="B234" s="2" t="n">
        <v>45299</v>
      </c>
      <c r="C234" s="2" t="n">
        <v>45306</v>
      </c>
      <c r="D234" t="inlineStr">
        <is>
          <t>CUST-00233</t>
        </is>
      </c>
      <c r="E234" t="inlineStr">
        <is>
          <t>customer 233</t>
        </is>
      </c>
      <c r="F234" t="inlineStr">
        <is>
          <t>Consumer</t>
        </is>
      </c>
      <c r="G234" t="inlineStr">
        <is>
          <t>P1013</t>
        </is>
      </c>
      <c r="H234" t="inlineStr">
        <is>
          <t>Pulse Keyboard</t>
        </is>
      </c>
      <c r="I234" t="inlineStr">
        <is>
          <t>Home Decor</t>
        </is>
      </c>
      <c r="J234" t="inlineStr">
        <is>
          <t>Accessories</t>
        </is>
      </c>
      <c r="K234" t="inlineStr">
        <is>
          <t>West</t>
        </is>
      </c>
      <c r="L234" t="inlineStr">
        <is>
          <t>Washington</t>
        </is>
      </c>
      <c r="M234" t="inlineStr">
        <is>
          <t>San Francisco</t>
        </is>
      </c>
      <c r="N234" t="inlineStr">
        <is>
          <t>Liam Chen</t>
        </is>
      </c>
      <c r="O234" t="n">
        <v>2</v>
      </c>
      <c r="P234" s="3" t="n">
        <v>159.56</v>
      </c>
      <c r="Q234" s="4" t="n">
        <v>0.02</v>
      </c>
      <c r="R234" s="3" t="n">
        <v>312.74</v>
      </c>
      <c r="S234" s="3" t="n">
        <v>183.65</v>
      </c>
      <c r="T234" s="3" t="n">
        <v>120.49</v>
      </c>
      <c r="U234" s="4" t="n">
        <v>0.3853</v>
      </c>
      <c r="V234" s="3" t="n">
        <v>8.6</v>
      </c>
      <c r="W234" t="inlineStr">
        <is>
          <t>Credit Card</t>
        </is>
      </c>
      <c r="X234" t="inlineStr">
        <is>
          <t>High</t>
        </is>
      </c>
    </row>
    <row r="235">
      <c r="A235" t="inlineStr">
        <is>
          <t>ORD-00234</t>
        </is>
      </c>
      <c r="B235" s="2" t="n">
        <v>45610</v>
      </c>
      <c r="C235" s="2" t="n">
        <v>45611</v>
      </c>
      <c r="D235" t="inlineStr">
        <is>
          <t>CUST-00234</t>
        </is>
      </c>
      <c r="E235" t="inlineStr">
        <is>
          <t>customer 234</t>
        </is>
      </c>
      <c r="F235" t="inlineStr">
        <is>
          <t>Home Office</t>
        </is>
      </c>
      <c r="G235" t="inlineStr">
        <is>
          <t>P1010</t>
        </is>
      </c>
      <c r="H235" t="inlineStr">
        <is>
          <t>ErgoMesh Chair</t>
        </is>
      </c>
      <c r="I235" t="inlineStr">
        <is>
          <t>Technology</t>
        </is>
      </c>
      <c r="J235" t="inlineStr">
        <is>
          <t>Peripherals</t>
        </is>
      </c>
      <c r="K235" t="inlineStr">
        <is>
          <t>West</t>
        </is>
      </c>
      <c r="L235" t="inlineStr">
        <is>
          <t>California</t>
        </is>
      </c>
      <c r="M235" t="inlineStr">
        <is>
          <t>San Francisco</t>
        </is>
      </c>
      <c r="N235" t="inlineStr">
        <is>
          <t>Ethan Brooks</t>
        </is>
      </c>
      <c r="O235" t="n">
        <v>1</v>
      </c>
      <c r="P235" s="3" t="n">
        <v>59.94</v>
      </c>
      <c r="Q235" s="4" t="n">
        <v>0.021</v>
      </c>
      <c r="R235" s="3" t="n">
        <v>58.68</v>
      </c>
      <c r="S235" s="3" t="n">
        <v>29.69</v>
      </c>
      <c r="T235" s="3" t="n">
        <v>21.19</v>
      </c>
      <c r="U235" s="4" t="n">
        <v>0.3611</v>
      </c>
      <c r="V235" s="3" t="n">
        <v>7.8</v>
      </c>
      <c r="W235" t="inlineStr">
        <is>
          <t>Credit Card</t>
        </is>
      </c>
      <c r="X235" t="inlineStr">
        <is>
          <t>Medium</t>
        </is>
      </c>
    </row>
    <row r="236">
      <c r="A236" t="inlineStr">
        <is>
          <t>ORD-00235</t>
        </is>
      </c>
      <c r="B236" s="2" t="n">
        <v>44971</v>
      </c>
      <c r="C236" s="2" t="n">
        <v>44973</v>
      </c>
      <c r="D236" t="inlineStr">
        <is>
          <t>CUST-00235</t>
        </is>
      </c>
      <c r="E236" t="inlineStr">
        <is>
          <t>customer 235</t>
        </is>
      </c>
      <c r="F236" t="inlineStr">
        <is>
          <t>Corporate</t>
        </is>
      </c>
      <c r="G236" t="inlineStr">
        <is>
          <t>P1002</t>
        </is>
      </c>
      <c r="H236" t="inlineStr">
        <is>
          <t>Orbit Wireless Mouse</t>
        </is>
      </c>
      <c r="I236" t="inlineStr">
        <is>
          <t>Technology</t>
        </is>
      </c>
      <c r="J236" t="inlineStr">
        <is>
          <t>Lighting</t>
        </is>
      </c>
      <c r="K236" t="inlineStr">
        <is>
          <t>South</t>
        </is>
      </c>
      <c r="L236" t="inlineStr">
        <is>
          <t>Texas</t>
        </is>
      </c>
      <c r="M236" t="inlineStr">
        <is>
          <t>Houston</t>
        </is>
      </c>
      <c r="N236" t="inlineStr">
        <is>
          <t>Noah Kim</t>
        </is>
      </c>
      <c r="O236" t="n">
        <v>3</v>
      </c>
      <c r="P236" s="3" t="n">
        <v>74.97</v>
      </c>
      <c r="Q236" s="4" t="n">
        <v>0.029</v>
      </c>
      <c r="R236" s="3" t="n">
        <v>218.39</v>
      </c>
      <c r="S236" s="3" t="n">
        <v>102.8</v>
      </c>
      <c r="T236" s="3" t="n">
        <v>107.19</v>
      </c>
      <c r="U236" s="4" t="n">
        <v>0.4908</v>
      </c>
      <c r="V236" s="3" t="n">
        <v>8.4</v>
      </c>
      <c r="W236" t="inlineStr">
        <is>
          <t>Bank Transfer</t>
        </is>
      </c>
      <c r="X236" t="inlineStr">
        <is>
          <t>High</t>
        </is>
      </c>
    </row>
    <row r="237">
      <c r="A237" t="inlineStr">
        <is>
          <t>ORD-00236</t>
        </is>
      </c>
      <c r="B237" s="2" t="n">
        <v>45902</v>
      </c>
      <c r="C237" s="2" t="n">
        <v>45906</v>
      </c>
      <c r="D237" t="inlineStr">
        <is>
          <t>CUST-00236</t>
        </is>
      </c>
      <c r="E237" t="inlineStr">
        <is>
          <t>customer 236</t>
        </is>
      </c>
      <c r="F237" t="inlineStr">
        <is>
          <t>Consumer</t>
        </is>
      </c>
      <c r="G237" t="inlineStr">
        <is>
          <t>P1016</t>
        </is>
      </c>
      <c r="H237" t="inlineStr">
        <is>
          <t>Tide Cooler</t>
        </is>
      </c>
      <c r="I237" t="inlineStr">
        <is>
          <t>Outdoor</t>
        </is>
      </c>
      <c r="J237" t="inlineStr">
        <is>
          <t>Bags</t>
        </is>
      </c>
      <c r="K237" t="inlineStr">
        <is>
          <t>North</t>
        </is>
      </c>
      <c r="L237" t="inlineStr">
        <is>
          <t>Quebec</t>
        </is>
      </c>
      <c r="M237" t="inlineStr">
        <is>
          <t>Vancouver</t>
        </is>
      </c>
      <c r="N237" t="inlineStr">
        <is>
          <t>Liam Chen</t>
        </is>
      </c>
      <c r="O237" t="n">
        <v>4</v>
      </c>
      <c r="P237" s="3" t="n">
        <v>38.99</v>
      </c>
      <c r="Q237" s="4" t="n">
        <v>0.011</v>
      </c>
      <c r="R237" s="3" t="n">
        <v>154.24</v>
      </c>
      <c r="S237" s="3" t="n">
        <v>64.64</v>
      </c>
      <c r="T237" s="3" t="n">
        <v>80.40000000000001</v>
      </c>
      <c r="U237" s="4" t="n">
        <v>0.5213</v>
      </c>
      <c r="V237" s="3" t="n">
        <v>9.199999999999999</v>
      </c>
      <c r="W237" t="inlineStr">
        <is>
          <t>PayPal</t>
        </is>
      </c>
      <c r="X237" t="inlineStr">
        <is>
          <t>Medium</t>
        </is>
      </c>
    </row>
    <row r="238">
      <c r="A238" t="inlineStr">
        <is>
          <t>ORD-00237</t>
        </is>
      </c>
      <c r="B238" s="2" t="n">
        <v>45268</v>
      </c>
      <c r="C238" s="2" t="n">
        <v>45271</v>
      </c>
      <c r="D238" t="inlineStr">
        <is>
          <t>CUST-00237</t>
        </is>
      </c>
      <c r="E238" t="inlineStr">
        <is>
          <t>customer 237</t>
        </is>
      </c>
      <c r="F238" t="inlineStr">
        <is>
          <t>Consumer</t>
        </is>
      </c>
      <c r="G238" t="inlineStr">
        <is>
          <t>P1004</t>
        </is>
      </c>
      <c r="H238" t="inlineStr">
        <is>
          <t>Atlas Throw Pillow</t>
        </is>
      </c>
      <c r="I238" t="inlineStr">
        <is>
          <t>Home Decor</t>
        </is>
      </c>
      <c r="J238" t="inlineStr">
        <is>
          <t>Peripherals</t>
        </is>
      </c>
      <c r="K238" t="inlineStr">
        <is>
          <t>West</t>
        </is>
      </c>
      <c r="L238" t="inlineStr">
        <is>
          <t>Washington</t>
        </is>
      </c>
      <c r="M238" t="inlineStr">
        <is>
          <t>San Francisco</t>
        </is>
      </c>
      <c r="N238" t="inlineStr">
        <is>
          <t>Sophia Singh</t>
        </is>
      </c>
      <c r="O238" t="n">
        <v>3</v>
      </c>
      <c r="P238" s="3" t="n">
        <v>688.6</v>
      </c>
      <c r="Q238" s="4" t="n">
        <v>0.061</v>
      </c>
      <c r="R238" s="3" t="n">
        <v>1939.79</v>
      </c>
      <c r="S238" s="3" t="n">
        <v>1233.56</v>
      </c>
      <c r="T238" s="3" t="n">
        <v>696.83</v>
      </c>
      <c r="U238" s="4" t="n">
        <v>0.3592</v>
      </c>
      <c r="V238" s="3" t="n">
        <v>9.4</v>
      </c>
      <c r="W238" t="inlineStr">
        <is>
          <t>PayPal</t>
        </is>
      </c>
      <c r="X238" t="inlineStr">
        <is>
          <t>High</t>
        </is>
      </c>
    </row>
    <row r="239">
      <c r="A239" t="inlineStr">
        <is>
          <t>ORD-00238</t>
        </is>
      </c>
      <c r="B239" s="2" t="n">
        <v>45035</v>
      </c>
      <c r="C239" s="2" t="n">
        <v>45041</v>
      </c>
      <c r="D239" t="inlineStr">
        <is>
          <t>CUST-00238</t>
        </is>
      </c>
      <c r="E239" t="inlineStr">
        <is>
          <t>customer 238</t>
        </is>
      </c>
      <c r="F239" t="inlineStr">
        <is>
          <t>Corporate</t>
        </is>
      </c>
      <c r="G239" t="inlineStr">
        <is>
          <t>P1019</t>
        </is>
      </c>
      <c r="H239" t="inlineStr">
        <is>
          <t>Lumen Desk Lamp</t>
        </is>
      </c>
      <c r="I239" t="inlineStr">
        <is>
          <t>Office Supplies</t>
        </is>
      </c>
      <c r="J239" t="inlineStr">
        <is>
          <t>Bags</t>
        </is>
      </c>
      <c r="K239" t="inlineStr">
        <is>
          <t>South</t>
        </is>
      </c>
      <c r="L239" t="inlineStr">
        <is>
          <t>Florida</t>
        </is>
      </c>
      <c r="M239" t="inlineStr">
        <is>
          <t>Dallas</t>
        </is>
      </c>
      <c r="N239" t="inlineStr">
        <is>
          <t>Noah Kim</t>
        </is>
      </c>
      <c r="O239" t="n">
        <v>2</v>
      </c>
      <c r="P239" s="3" t="n">
        <v>56.96</v>
      </c>
      <c r="Q239" s="4" t="n">
        <v>0.022</v>
      </c>
      <c r="R239" s="3" t="n">
        <v>111.41</v>
      </c>
      <c r="S239" s="3" t="n">
        <v>55.65</v>
      </c>
      <c r="T239" s="3" t="n">
        <v>48.16</v>
      </c>
      <c r="U239" s="4" t="n">
        <v>0.4323</v>
      </c>
      <c r="V239" s="3" t="n">
        <v>7.6</v>
      </c>
      <c r="W239" t="inlineStr">
        <is>
          <t>Credit Card</t>
        </is>
      </c>
      <c r="X239" t="inlineStr">
        <is>
          <t>Medium</t>
        </is>
      </c>
    </row>
    <row r="240">
      <c r="A240" t="inlineStr">
        <is>
          <t>ORD-00239</t>
        </is>
      </c>
      <c r="B240" s="2" t="n">
        <v>45545</v>
      </c>
      <c r="C240" s="2" t="n">
        <v>45552</v>
      </c>
      <c r="D240" t="inlineStr">
        <is>
          <t>CUST-00239</t>
        </is>
      </c>
      <c r="E240" t="inlineStr">
        <is>
          <t>customer 239</t>
        </is>
      </c>
      <c r="F240" t="inlineStr">
        <is>
          <t>Consumer</t>
        </is>
      </c>
      <c r="G240" t="inlineStr">
        <is>
          <t>P1005</t>
        </is>
      </c>
      <c r="H240" t="inlineStr">
        <is>
          <t>Summit Patio Set</t>
        </is>
      </c>
      <c r="I240" t="inlineStr">
        <is>
          <t>Outdoor</t>
        </is>
      </c>
      <c r="J240" t="inlineStr">
        <is>
          <t>Peripherals</t>
        </is>
      </c>
      <c r="K240" t="inlineStr">
        <is>
          <t>South</t>
        </is>
      </c>
      <c r="L240" t="inlineStr">
        <is>
          <t>Texas</t>
        </is>
      </c>
      <c r="M240" t="inlineStr">
        <is>
          <t>Miami</t>
        </is>
      </c>
      <c r="N240" t="inlineStr">
        <is>
          <t>James Carter</t>
        </is>
      </c>
      <c r="O240" t="n">
        <v>4</v>
      </c>
      <c r="P240" s="3" t="n">
        <v>12.5</v>
      </c>
      <c r="Q240" s="4" t="n">
        <v>0.075</v>
      </c>
      <c r="R240" s="3" t="n">
        <v>46.25</v>
      </c>
      <c r="S240" s="3" t="n">
        <v>24.25</v>
      </c>
      <c r="T240" s="3" t="n">
        <v>12.8</v>
      </c>
      <c r="U240" s="4" t="n">
        <v>0.2768</v>
      </c>
      <c r="V240" s="3" t="n">
        <v>9.199999999999999</v>
      </c>
      <c r="W240" t="inlineStr">
        <is>
          <t>Debit Card</t>
        </is>
      </c>
      <c r="X240" t="inlineStr">
        <is>
          <t>Critical</t>
        </is>
      </c>
    </row>
    <row r="241">
      <c r="A241" t="inlineStr">
        <is>
          <t>ORD-00240</t>
        </is>
      </c>
      <c r="B241" s="2" t="n">
        <v>44964</v>
      </c>
      <c r="C241" s="2" t="n">
        <v>44969</v>
      </c>
      <c r="D241" t="inlineStr">
        <is>
          <t>CUST-00240</t>
        </is>
      </c>
      <c r="E241" t="inlineStr">
        <is>
          <t>customer 240</t>
        </is>
      </c>
      <c r="F241" t="inlineStr">
        <is>
          <t>Consumer</t>
        </is>
      </c>
      <c r="G241" t="inlineStr">
        <is>
          <t>P1007</t>
        </is>
      </c>
      <c r="H241" t="inlineStr">
        <is>
          <t>Atlas Throw Pillow</t>
        </is>
      </c>
      <c r="I241" t="inlineStr">
        <is>
          <t>Office Supplies</t>
        </is>
      </c>
      <c r="J241" t="inlineStr">
        <is>
          <t>Writing</t>
        </is>
      </c>
      <c r="K241" t="inlineStr">
        <is>
          <t>East</t>
        </is>
      </c>
      <c r="L241" t="inlineStr">
        <is>
          <t>Massachusetts</t>
        </is>
      </c>
      <c r="M241" t="inlineStr">
        <is>
          <t>Philadelphia</t>
        </is>
      </c>
      <c r="N241" t="inlineStr">
        <is>
          <t>James Carter</t>
        </is>
      </c>
      <c r="O241" t="n">
        <v>1</v>
      </c>
      <c r="P241" s="3" t="n">
        <v>24.96</v>
      </c>
      <c r="Q241" s="4" t="n">
        <v>0.016</v>
      </c>
      <c r="R241" s="3" t="n">
        <v>24.56</v>
      </c>
      <c r="S241" s="3" t="n">
        <v>14.38</v>
      </c>
      <c r="T241" s="3" t="n">
        <v>2.38</v>
      </c>
      <c r="U241" s="4" t="n">
        <v>0.0969</v>
      </c>
      <c r="V241" s="3" t="n">
        <v>7.8</v>
      </c>
      <c r="W241" t="inlineStr">
        <is>
          <t>PayPal</t>
        </is>
      </c>
      <c r="X241" t="inlineStr">
        <is>
          <t>High</t>
        </is>
      </c>
    </row>
    <row r="242">
      <c r="A242" t="inlineStr">
        <is>
          <t>ORD-00241</t>
        </is>
      </c>
      <c r="B242" s="2" t="n">
        <v>45882</v>
      </c>
      <c r="C242" s="2" t="n">
        <v>45884</v>
      </c>
      <c r="D242" t="inlineStr">
        <is>
          <t>CUST-00241</t>
        </is>
      </c>
      <c r="E242" t="inlineStr">
        <is>
          <t>Customer 241</t>
        </is>
      </c>
      <c r="F242" t="inlineStr">
        <is>
          <t>Consumer</t>
        </is>
      </c>
      <c r="G242" t="inlineStr">
        <is>
          <t>P1009</t>
        </is>
      </c>
      <c r="H242" t="inlineStr">
        <is>
          <t>Northstar Lantern</t>
        </is>
      </c>
      <c r="I242" t="inlineStr">
        <is>
          <t>Furniture</t>
        </is>
      </c>
      <c r="J242" t="inlineStr">
        <is>
          <t>Peripherals</t>
        </is>
      </c>
      <c r="K242" t="inlineStr">
        <is>
          <t>West</t>
        </is>
      </c>
      <c r="L242" t="inlineStr">
        <is>
          <t>Oregon</t>
        </is>
      </c>
      <c r="M242" t="inlineStr">
        <is>
          <t>Seattle</t>
        </is>
      </c>
      <c r="N242" t="inlineStr">
        <is>
          <t>Noah Kim</t>
        </is>
      </c>
      <c r="O242" t="n">
        <v>3</v>
      </c>
      <c r="P242" s="3" t="n">
        <v>99.48999999999999</v>
      </c>
      <c r="Q242" s="4" t="n">
        <v>0.006</v>
      </c>
      <c r="R242" s="3" t="n">
        <v>296.68</v>
      </c>
      <c r="S242" s="3" t="n">
        <v>148.03</v>
      </c>
      <c r="T242" s="3" t="n">
        <v>139.25</v>
      </c>
      <c r="U242" s="4" t="n">
        <v>0.4694</v>
      </c>
      <c r="V242" s="3" t="n">
        <v>9.4</v>
      </c>
      <c r="W242" t="inlineStr">
        <is>
          <t>Debit Card</t>
        </is>
      </c>
      <c r="X242" t="inlineStr">
        <is>
          <t>Low</t>
        </is>
      </c>
    </row>
    <row r="243">
      <c r="A243" t="inlineStr">
        <is>
          <t>ORD-00242</t>
        </is>
      </c>
      <c r="B243" s="2" t="n">
        <v>45738</v>
      </c>
      <c r="C243" s="2" t="n">
        <v>45740</v>
      </c>
      <c r="D243" t="inlineStr">
        <is>
          <t>CUST-00242</t>
        </is>
      </c>
      <c r="E243" t="inlineStr">
        <is>
          <t>Customer 242</t>
        </is>
      </c>
      <c r="F243" t="inlineStr">
        <is>
          <t>Corporate</t>
        </is>
      </c>
      <c r="G243" t="inlineStr">
        <is>
          <t>P1005</t>
        </is>
      </c>
      <c r="H243" t="inlineStr">
        <is>
          <t>FlexNote Notebook</t>
        </is>
      </c>
      <c r="I243" t="inlineStr">
        <is>
          <t>Outdoor</t>
        </is>
      </c>
      <c r="J243" t="inlineStr">
        <is>
          <t>Paper</t>
        </is>
      </c>
      <c r="K243" t="inlineStr">
        <is>
          <t>West</t>
        </is>
      </c>
      <c r="L243" t="inlineStr">
        <is>
          <t>Washington</t>
        </is>
      </c>
      <c r="M243" t="inlineStr">
        <is>
          <t>San Francisco</t>
        </is>
      </c>
      <c r="N243" t="inlineStr">
        <is>
          <t>Sophia Singh</t>
        </is>
      </c>
      <c r="O243" t="n">
        <v>3</v>
      </c>
      <c r="P243" s="3" t="n">
        <v>12.49</v>
      </c>
      <c r="Q243" s="4" t="n">
        <v>0.02</v>
      </c>
      <c r="R243" s="3" t="n">
        <v>36.72</v>
      </c>
      <c r="S243" s="3" t="n">
        <v>22.68</v>
      </c>
      <c r="T243" s="3" t="n">
        <v>4.64</v>
      </c>
      <c r="U243" s="4" t="n">
        <v>0.1264</v>
      </c>
      <c r="V243" s="3" t="n">
        <v>9.4</v>
      </c>
      <c r="W243" t="inlineStr">
        <is>
          <t>Credit Card</t>
        </is>
      </c>
      <c r="X243" t="inlineStr">
        <is>
          <t>Low</t>
        </is>
      </c>
    </row>
    <row r="244">
      <c r="A244" t="inlineStr">
        <is>
          <t>ORD-00243</t>
        </is>
      </c>
      <c r="B244" s="2" t="n">
        <v>45951</v>
      </c>
      <c r="C244" s="2" t="n">
        <v>45956</v>
      </c>
      <c r="D244" t="inlineStr">
        <is>
          <t>CUST-00243</t>
        </is>
      </c>
      <c r="E244" t="inlineStr">
        <is>
          <t>Customer 243</t>
        </is>
      </c>
      <c r="F244" t="inlineStr">
        <is>
          <t>Consumer</t>
        </is>
      </c>
      <c r="G244" t="inlineStr">
        <is>
          <t>P1008</t>
        </is>
      </c>
      <c r="H244" t="inlineStr">
        <is>
          <t>ProClip Binder</t>
        </is>
      </c>
      <c r="I244" t="inlineStr">
        <is>
          <t>Home Decor</t>
        </is>
      </c>
      <c r="J244" t="inlineStr">
        <is>
          <t>Video</t>
        </is>
      </c>
      <c r="K244" t="inlineStr">
        <is>
          <t>East</t>
        </is>
      </c>
      <c r="L244" t="inlineStr">
        <is>
          <t>New Jersey</t>
        </is>
      </c>
      <c r="M244" t="inlineStr">
        <is>
          <t>Philadelphia</t>
        </is>
      </c>
      <c r="N244" t="inlineStr">
        <is>
          <t>Sophia Singh</t>
        </is>
      </c>
      <c r="O244" t="n">
        <v>4</v>
      </c>
      <c r="P244" s="3" t="n">
        <v>37.65</v>
      </c>
      <c r="Q244" s="4" t="n">
        <v>0.06</v>
      </c>
      <c r="R244" s="3" t="n">
        <v>141.56</v>
      </c>
      <c r="S244" s="3" t="n">
        <v>62.41</v>
      </c>
      <c r="T244" s="3" t="n">
        <v>68.95</v>
      </c>
      <c r="U244" s="4" t="n">
        <v>0.4871</v>
      </c>
      <c r="V244" s="3" t="n">
        <v>10.2</v>
      </c>
      <c r="W244" t="inlineStr">
        <is>
          <t>Debit Card</t>
        </is>
      </c>
      <c r="X244" t="inlineStr">
        <is>
          <t>High</t>
        </is>
      </c>
    </row>
    <row r="245">
      <c r="A245" t="inlineStr">
        <is>
          <t>ORD-00244</t>
        </is>
      </c>
      <c r="B245" s="2" t="n">
        <v>45427</v>
      </c>
      <c r="C245" s="2" t="n">
        <v>45432</v>
      </c>
      <c r="D245" t="inlineStr">
        <is>
          <t>CUST-00244</t>
        </is>
      </c>
      <c r="E245" t="inlineStr">
        <is>
          <t>Customer 244</t>
        </is>
      </c>
      <c r="F245" t="inlineStr">
        <is>
          <t>Home Office</t>
        </is>
      </c>
      <c r="G245" t="inlineStr">
        <is>
          <t>P1002</t>
        </is>
      </c>
      <c r="H245" t="inlineStr">
        <is>
          <t>Summit Patio Set</t>
        </is>
      </c>
      <c r="I245" t="inlineStr">
        <is>
          <t>Furniture</t>
        </is>
      </c>
      <c r="J245" t="inlineStr">
        <is>
          <t>Coolers</t>
        </is>
      </c>
      <c r="K245" t="inlineStr">
        <is>
          <t>East</t>
        </is>
      </c>
      <c r="L245" t="inlineStr">
        <is>
          <t>Virginia</t>
        </is>
      </c>
      <c r="M245" t="inlineStr">
        <is>
          <t>Philadelphia</t>
        </is>
      </c>
      <c r="N245" t="inlineStr">
        <is>
          <t>Sophia Singh</t>
        </is>
      </c>
      <c r="O245" t="n">
        <v>3</v>
      </c>
      <c r="P245" s="3" t="n">
        <v>78.19</v>
      </c>
      <c r="Q245" s="4" t="n">
        <v>0.003</v>
      </c>
      <c r="R245" s="3" t="n">
        <v>233.87</v>
      </c>
      <c r="S245" s="3" t="n">
        <v>111.8</v>
      </c>
      <c r="T245" s="3" t="n">
        <v>112.67</v>
      </c>
      <c r="U245" s="4" t="n">
        <v>0.4818</v>
      </c>
      <c r="V245" s="3" t="n">
        <v>9.4</v>
      </c>
      <c r="W245" t="inlineStr">
        <is>
          <t>PayPal</t>
        </is>
      </c>
      <c r="X245" t="inlineStr">
        <is>
          <t>Medium</t>
        </is>
      </c>
    </row>
    <row r="246">
      <c r="A246" t="inlineStr">
        <is>
          <t>ORD-00245</t>
        </is>
      </c>
      <c r="B246" s="2" t="n">
        <v>45118</v>
      </c>
      <c r="C246" s="2" t="n">
        <v>45122</v>
      </c>
      <c r="D246" t="inlineStr">
        <is>
          <t>CUST-00245</t>
        </is>
      </c>
      <c r="E246" t="inlineStr">
        <is>
          <t>Customer 245</t>
        </is>
      </c>
      <c r="F246" t="inlineStr">
        <is>
          <t>Consumer</t>
        </is>
      </c>
      <c r="G246" t="inlineStr">
        <is>
          <t>P1020</t>
        </is>
      </c>
      <c r="H246" t="inlineStr">
        <is>
          <t>Atlas Throw Pillow</t>
        </is>
      </c>
      <c r="I246" t="inlineStr">
        <is>
          <t>Furniture</t>
        </is>
      </c>
      <c r="J246" t="inlineStr">
        <is>
          <t>Paper</t>
        </is>
      </c>
      <c r="K246" t="inlineStr">
        <is>
          <t>East</t>
        </is>
      </c>
      <c r="L246" t="inlineStr">
        <is>
          <t>New York</t>
        </is>
      </c>
      <c r="M246" t="inlineStr">
        <is>
          <t>New York</t>
        </is>
      </c>
      <c r="N246" t="inlineStr">
        <is>
          <t>Mia Rodriguez</t>
        </is>
      </c>
      <c r="O246" t="n">
        <v>4</v>
      </c>
      <c r="P246" s="3" t="n">
        <v>79.13</v>
      </c>
      <c r="Q246" s="4" t="n">
        <v>0.028</v>
      </c>
      <c r="R246" s="3" t="n">
        <v>307.66</v>
      </c>
      <c r="S246" s="3" t="n">
        <v>142.63</v>
      </c>
      <c r="T246" s="3" t="n">
        <v>154.83</v>
      </c>
      <c r="U246" s="4" t="n">
        <v>0.5033</v>
      </c>
      <c r="V246" s="3" t="n">
        <v>10.2</v>
      </c>
      <c r="W246" t="inlineStr">
        <is>
          <t>Bank Transfer</t>
        </is>
      </c>
      <c r="X246" t="inlineStr">
        <is>
          <t>Medium</t>
        </is>
      </c>
    </row>
    <row r="247">
      <c r="A247" t="inlineStr">
        <is>
          <t>ORD-00246</t>
        </is>
      </c>
      <c r="B247" s="2" t="n">
        <v>45895</v>
      </c>
      <c r="C247" s="2" t="n">
        <v>45896</v>
      </c>
      <c r="D247" t="inlineStr">
        <is>
          <t>CUST-00246</t>
        </is>
      </c>
      <c r="E247" t="inlineStr">
        <is>
          <t>Customer 246</t>
        </is>
      </c>
      <c r="F247" t="inlineStr">
        <is>
          <t>Consumer</t>
        </is>
      </c>
      <c r="G247" t="inlineStr">
        <is>
          <t>P1020</t>
        </is>
      </c>
      <c r="H247" t="inlineStr">
        <is>
          <t>Atlas Throw Pillow</t>
        </is>
      </c>
      <c r="I247" t="inlineStr">
        <is>
          <t>Office Supplies</t>
        </is>
      </c>
      <c r="J247" t="inlineStr">
        <is>
          <t>Plants</t>
        </is>
      </c>
      <c r="K247" t="inlineStr">
        <is>
          <t>South</t>
        </is>
      </c>
      <c r="L247" t="inlineStr">
        <is>
          <t>Texas</t>
        </is>
      </c>
      <c r="M247" t="inlineStr">
        <is>
          <t>Houston</t>
        </is>
      </c>
      <c r="N247" t="inlineStr">
        <is>
          <t>Sophia Singh</t>
        </is>
      </c>
      <c r="O247" t="n">
        <v>2</v>
      </c>
      <c r="P247" s="3" t="n">
        <v>76.44</v>
      </c>
      <c r="Q247" s="4" t="n">
        <v>0.027</v>
      </c>
      <c r="R247" s="3" t="n">
        <v>148.75</v>
      </c>
      <c r="S247" s="3" t="n">
        <v>73.11</v>
      </c>
      <c r="T247" s="3" t="n">
        <v>68.04000000000001</v>
      </c>
      <c r="U247" s="4" t="n">
        <v>0.4574</v>
      </c>
      <c r="V247" s="3" t="n">
        <v>7.6</v>
      </c>
      <c r="W247" t="inlineStr">
        <is>
          <t>Credit Card</t>
        </is>
      </c>
      <c r="X247" t="inlineStr">
        <is>
          <t>Medium</t>
        </is>
      </c>
    </row>
    <row r="248">
      <c r="A248" t="inlineStr">
        <is>
          <t>ORD-00247</t>
        </is>
      </c>
      <c r="B248" s="2" t="n">
        <v>45365</v>
      </c>
      <c r="C248" s="2" t="n">
        <v>45366</v>
      </c>
      <c r="D248" t="inlineStr">
        <is>
          <t>CUST-00247</t>
        </is>
      </c>
      <c r="E248" t="inlineStr">
        <is>
          <t>Customer 247</t>
        </is>
      </c>
      <c r="F248" t="inlineStr">
        <is>
          <t>Corporate</t>
        </is>
      </c>
      <c r="G248" t="inlineStr">
        <is>
          <t>P1007</t>
        </is>
      </c>
      <c r="H248" t="inlineStr">
        <is>
          <t>SmartInk Pen Set</t>
        </is>
      </c>
      <c r="I248" t="inlineStr">
        <is>
          <t>Outdoor</t>
        </is>
      </c>
      <c r="J248" t="inlineStr">
        <is>
          <t>Video</t>
        </is>
      </c>
      <c r="K248" t="inlineStr">
        <is>
          <t>North</t>
        </is>
      </c>
      <c r="L248" t="inlineStr">
        <is>
          <t>Quebec</t>
        </is>
      </c>
      <c r="M248" t="inlineStr">
        <is>
          <t>Montreal</t>
        </is>
      </c>
      <c r="N248" t="inlineStr">
        <is>
          <t>Liam Chen</t>
        </is>
      </c>
      <c r="O248" t="n">
        <v>3</v>
      </c>
      <c r="P248" s="3" t="n">
        <v>23.26</v>
      </c>
      <c r="Q248" s="4" t="n">
        <v>0.015</v>
      </c>
      <c r="R248" s="3" t="n">
        <v>68.73</v>
      </c>
      <c r="S248" s="3" t="n">
        <v>33.24</v>
      </c>
      <c r="T248" s="3" t="n">
        <v>27.09</v>
      </c>
      <c r="U248" s="4" t="n">
        <v>0.3942</v>
      </c>
      <c r="V248" s="3" t="n">
        <v>8.4</v>
      </c>
      <c r="W248" t="inlineStr">
        <is>
          <t>Bank Transfer</t>
        </is>
      </c>
      <c r="X248" t="inlineStr">
        <is>
          <t>Low</t>
        </is>
      </c>
    </row>
    <row r="249">
      <c r="A249" t="inlineStr">
        <is>
          <t>ORD-00248</t>
        </is>
      </c>
      <c r="B249" s="2" t="n">
        <v>45941</v>
      </c>
      <c r="C249" s="2" t="n">
        <v>45944</v>
      </c>
      <c r="D249" t="inlineStr">
        <is>
          <t>CUST-00248</t>
        </is>
      </c>
      <c r="E249" t="inlineStr">
        <is>
          <t>Customer 248</t>
        </is>
      </c>
      <c r="F249" t="inlineStr">
        <is>
          <t>Corporate</t>
        </is>
      </c>
      <c r="G249" t="inlineStr">
        <is>
          <t>P1004</t>
        </is>
      </c>
      <c r="H249" t="inlineStr">
        <is>
          <t>Atlas Throw Pillow</t>
        </is>
      </c>
      <c r="I249" t="inlineStr">
        <is>
          <t>Furniture</t>
        </is>
      </c>
      <c r="J249" t="inlineStr">
        <is>
          <t>Chairs</t>
        </is>
      </c>
      <c r="K249" t="inlineStr">
        <is>
          <t>North</t>
        </is>
      </c>
      <c r="L249" t="inlineStr">
        <is>
          <t>Alberta</t>
        </is>
      </c>
      <c r="M249" t="inlineStr">
        <is>
          <t>Toronto</t>
        </is>
      </c>
      <c r="N249" t="inlineStr">
        <is>
          <t>James Carter</t>
        </is>
      </c>
      <c r="O249" t="n">
        <v>3</v>
      </c>
      <c r="P249" s="3" t="n">
        <v>685.98</v>
      </c>
      <c r="Q249" s="4" t="n">
        <v>0.01</v>
      </c>
      <c r="R249" s="3" t="n">
        <v>2037.36</v>
      </c>
      <c r="S249" s="3" t="n">
        <v>1295.31</v>
      </c>
      <c r="T249" s="3" t="n">
        <v>733.65</v>
      </c>
      <c r="U249" s="4" t="n">
        <v>0.3601</v>
      </c>
      <c r="V249" s="3" t="n">
        <v>8.4</v>
      </c>
      <c r="W249" t="inlineStr">
        <is>
          <t>Credit Card</t>
        </is>
      </c>
      <c r="X249" t="inlineStr">
        <is>
          <t>Medium</t>
        </is>
      </c>
    </row>
    <row r="250">
      <c r="A250" t="inlineStr">
        <is>
          <t>ORD-00249</t>
        </is>
      </c>
      <c r="B250" s="2" t="n">
        <v>45779</v>
      </c>
      <c r="C250" s="2" t="n">
        <v>45785</v>
      </c>
      <c r="D250" t="inlineStr">
        <is>
          <t>CUST-00249</t>
        </is>
      </c>
      <c r="E250" t="inlineStr">
        <is>
          <t>Customer 249</t>
        </is>
      </c>
      <c r="F250" t="inlineStr">
        <is>
          <t>Consumer</t>
        </is>
      </c>
      <c r="G250" t="inlineStr">
        <is>
          <t>P1015</t>
        </is>
      </c>
      <c r="H250" t="inlineStr">
        <is>
          <t>Nova Laptop Stand</t>
        </is>
      </c>
      <c r="I250" t="inlineStr">
        <is>
          <t>Home Decor</t>
        </is>
      </c>
      <c r="J250" t="inlineStr">
        <is>
          <t>Coolers</t>
        </is>
      </c>
      <c r="K250" t="inlineStr">
        <is>
          <t>South</t>
        </is>
      </c>
      <c r="L250" t="inlineStr">
        <is>
          <t>Texas</t>
        </is>
      </c>
      <c r="M250" t="inlineStr">
        <is>
          <t>Houston</t>
        </is>
      </c>
      <c r="N250" t="inlineStr">
        <is>
          <t>Ethan Brooks</t>
        </is>
      </c>
      <c r="O250" t="n">
        <v>2</v>
      </c>
      <c r="P250" s="3" t="n">
        <v>62.92</v>
      </c>
      <c r="Q250" s="4" t="n">
        <v>0.003</v>
      </c>
      <c r="R250" s="3" t="n">
        <v>125.46</v>
      </c>
      <c r="S250" s="3" t="n">
        <v>59.44</v>
      </c>
      <c r="T250" s="3" t="n">
        <v>58.42</v>
      </c>
      <c r="U250" s="4" t="n">
        <v>0.4656</v>
      </c>
      <c r="V250" s="3" t="n">
        <v>7.6</v>
      </c>
      <c r="W250" t="inlineStr">
        <is>
          <t>Debit Card</t>
        </is>
      </c>
      <c r="X250" t="inlineStr">
        <is>
          <t>Medium</t>
        </is>
      </c>
    </row>
    <row r="251">
      <c r="A251" t="inlineStr">
        <is>
          <t>ORD-00250</t>
        </is>
      </c>
      <c r="B251" s="2" t="n">
        <v>45902</v>
      </c>
      <c r="C251" s="2" t="n">
        <v>45909</v>
      </c>
      <c r="D251" t="inlineStr">
        <is>
          <t>CUST-00250</t>
        </is>
      </c>
      <c r="E251" t="inlineStr">
        <is>
          <t>Customer 250</t>
        </is>
      </c>
      <c r="F251" t="inlineStr">
        <is>
          <t>Consumer</t>
        </is>
      </c>
      <c r="G251" t="inlineStr">
        <is>
          <t>P1018</t>
        </is>
      </c>
      <c r="H251" t="inlineStr">
        <is>
          <t>ProClip Binder</t>
        </is>
      </c>
      <c r="I251" t="inlineStr">
        <is>
          <t>Furniture</t>
        </is>
      </c>
      <c r="J251" t="inlineStr">
        <is>
          <t>Binders</t>
        </is>
      </c>
      <c r="K251" t="inlineStr">
        <is>
          <t>Central</t>
        </is>
      </c>
      <c r="L251" t="inlineStr">
        <is>
          <t>Kansas</t>
        </is>
      </c>
      <c r="M251" t="inlineStr">
        <is>
          <t>St. Louis</t>
        </is>
      </c>
      <c r="N251" t="inlineStr">
        <is>
          <t>Ava Patel</t>
        </is>
      </c>
      <c r="O251" t="n">
        <v>1</v>
      </c>
      <c r="P251" s="3" t="n">
        <v>84.34999999999999</v>
      </c>
      <c r="Q251" s="4" t="n">
        <v>0.07099999999999999</v>
      </c>
      <c r="R251" s="3" t="n">
        <v>78.36</v>
      </c>
      <c r="S251" s="3" t="n">
        <v>41.58</v>
      </c>
      <c r="T251" s="3" t="n">
        <v>29.98</v>
      </c>
      <c r="U251" s="4" t="n">
        <v>0.3826</v>
      </c>
      <c r="V251" s="3" t="n">
        <v>6.8</v>
      </c>
      <c r="W251" t="inlineStr">
        <is>
          <t>Credit Card</t>
        </is>
      </c>
      <c r="X251" t="inlineStr">
        <is>
          <t>Critical</t>
        </is>
      </c>
    </row>
    <row r="252">
      <c r="A252" t="inlineStr">
        <is>
          <t>ORD-00251</t>
        </is>
      </c>
      <c r="B252" s="2" t="n">
        <v>44997</v>
      </c>
      <c r="C252" s="2" t="n">
        <v>44998</v>
      </c>
      <c r="D252" t="inlineStr">
        <is>
          <t>CUST-00251</t>
        </is>
      </c>
      <c r="E252" t="inlineStr">
        <is>
          <t>Customer 251</t>
        </is>
      </c>
      <c r="F252" t="inlineStr">
        <is>
          <t>Consumer</t>
        </is>
      </c>
      <c r="G252" t="inlineStr">
        <is>
          <t>P1002</t>
        </is>
      </c>
      <c r="H252" t="inlineStr">
        <is>
          <t>Atlas Throw Pillow</t>
        </is>
      </c>
      <c r="I252" t="inlineStr">
        <is>
          <t>Technology</t>
        </is>
      </c>
      <c r="J252" t="inlineStr">
        <is>
          <t>Binders</t>
        </is>
      </c>
      <c r="K252" t="inlineStr">
        <is>
          <t>North</t>
        </is>
      </c>
      <c r="L252" t="inlineStr">
        <is>
          <t>Alberta</t>
        </is>
      </c>
      <c r="M252" t="inlineStr">
        <is>
          <t>Montreal</t>
        </is>
      </c>
      <c r="N252" t="inlineStr">
        <is>
          <t>Mia Rodriguez</t>
        </is>
      </c>
      <c r="O252" t="n">
        <v>4</v>
      </c>
      <c r="P252" s="3" t="n">
        <v>79.95999999999999</v>
      </c>
      <c r="Q252" s="4" t="n">
        <v>0.01</v>
      </c>
      <c r="R252" s="3" t="n">
        <v>316.64</v>
      </c>
      <c r="S252" s="3" t="n">
        <v>144.15</v>
      </c>
      <c r="T252" s="3" t="n">
        <v>163.29</v>
      </c>
      <c r="U252" s="4" t="n">
        <v>0.5157</v>
      </c>
      <c r="V252" s="3" t="n">
        <v>9.199999999999999</v>
      </c>
      <c r="W252" t="inlineStr">
        <is>
          <t>Bank Transfer</t>
        </is>
      </c>
      <c r="X252" t="inlineStr">
        <is>
          <t>Low</t>
        </is>
      </c>
    </row>
    <row r="253">
      <c r="A253" t="inlineStr">
        <is>
          <t>ORD-00252</t>
        </is>
      </c>
      <c r="B253" s="2" t="n">
        <v>45580</v>
      </c>
      <c r="C253" s="2" t="n">
        <v>45583</v>
      </c>
      <c r="D253" t="inlineStr">
        <is>
          <t>CUST-00252</t>
        </is>
      </c>
      <c r="E253" t="inlineStr">
        <is>
          <t>Customer 252</t>
        </is>
      </c>
      <c r="F253" t="inlineStr">
        <is>
          <t>Corporate</t>
        </is>
      </c>
      <c r="G253" t="inlineStr">
        <is>
          <t>P1014</t>
        </is>
      </c>
      <c r="H253" t="inlineStr">
        <is>
          <t>Nova Laptop Stand</t>
        </is>
      </c>
      <c r="I253" t="inlineStr">
        <is>
          <t>Outdoor</t>
        </is>
      </c>
      <c r="J253" t="inlineStr">
        <is>
          <t>Peripherals</t>
        </is>
      </c>
      <c r="K253" t="inlineStr">
        <is>
          <t>Central</t>
        </is>
      </c>
      <c r="L253" t="inlineStr">
        <is>
          <t>Minnesota</t>
        </is>
      </c>
      <c r="M253" t="inlineStr">
        <is>
          <t>Kansas City</t>
        </is>
      </c>
      <c r="N253" t="inlineStr">
        <is>
          <t>Mia Rodriguez</t>
        </is>
      </c>
      <c r="O253" t="n">
        <v>2</v>
      </c>
      <c r="P253" s="3" t="n">
        <v>46.17</v>
      </c>
      <c r="Q253" s="4" t="n">
        <v>0.02</v>
      </c>
      <c r="R253" s="3" t="n">
        <v>90.48999999999999</v>
      </c>
      <c r="S253" s="3" t="n">
        <v>39.49</v>
      </c>
      <c r="T253" s="3" t="n">
        <v>43.4</v>
      </c>
      <c r="U253" s="4" t="n">
        <v>0.4796</v>
      </c>
      <c r="V253" s="3" t="n">
        <v>7.6</v>
      </c>
      <c r="W253" t="inlineStr">
        <is>
          <t>Debit Card</t>
        </is>
      </c>
      <c r="X253" t="inlineStr">
        <is>
          <t>Low</t>
        </is>
      </c>
    </row>
    <row r="254">
      <c r="A254" t="inlineStr">
        <is>
          <t>ORD-00253</t>
        </is>
      </c>
      <c r="B254" s="2" t="n">
        <v>45733</v>
      </c>
      <c r="C254" s="2" t="n">
        <v>45736</v>
      </c>
      <c r="D254" t="inlineStr">
        <is>
          <t>CUST-00253</t>
        </is>
      </c>
      <c r="E254" t="inlineStr">
        <is>
          <t>Customer 253</t>
        </is>
      </c>
      <c r="F254" t="inlineStr">
        <is>
          <t>Consumer</t>
        </is>
      </c>
      <c r="G254" t="inlineStr">
        <is>
          <t>P1010</t>
        </is>
      </c>
      <c r="H254" t="inlineStr">
        <is>
          <t>Aero Standing Desk</t>
        </is>
      </c>
      <c r="I254" t="inlineStr">
        <is>
          <t>Technology</t>
        </is>
      </c>
      <c r="J254" t="inlineStr">
        <is>
          <t>Peripherals</t>
        </is>
      </c>
      <c r="K254" t="inlineStr">
        <is>
          <t>South</t>
        </is>
      </c>
      <c r="L254" t="inlineStr">
        <is>
          <t>Florida</t>
        </is>
      </c>
      <c r="M254" t="inlineStr">
        <is>
          <t>Houston</t>
        </is>
      </c>
      <c r="N254" t="inlineStr">
        <is>
          <t>James Carter</t>
        </is>
      </c>
      <c r="O254" t="n">
        <v>2</v>
      </c>
      <c r="P254" s="3" t="n">
        <v>54.01</v>
      </c>
      <c r="Q254" s="4" t="n">
        <v>0.059</v>
      </c>
      <c r="R254" s="3" t="n">
        <v>101.65</v>
      </c>
      <c r="S254" s="3" t="n">
        <v>50.72</v>
      </c>
      <c r="T254" s="3" t="n">
        <v>43.33</v>
      </c>
      <c r="U254" s="4" t="n">
        <v>0.4263</v>
      </c>
      <c r="V254" s="3" t="n">
        <v>7.6</v>
      </c>
      <c r="W254" t="inlineStr">
        <is>
          <t>PayPal</t>
        </is>
      </c>
      <c r="X254" t="inlineStr">
        <is>
          <t>High</t>
        </is>
      </c>
    </row>
    <row r="255">
      <c r="A255" t="inlineStr">
        <is>
          <t>ORD-00254</t>
        </is>
      </c>
      <c r="B255" s="2" t="n">
        <v>45457</v>
      </c>
      <c r="C255" s="2" t="n">
        <v>45459</v>
      </c>
      <c r="D255" t="inlineStr">
        <is>
          <t>CUST-00254</t>
        </is>
      </c>
      <c r="E255" t="inlineStr">
        <is>
          <t>Customer 254</t>
        </is>
      </c>
      <c r="F255" t="inlineStr">
        <is>
          <t>Corporate</t>
        </is>
      </c>
      <c r="G255" t="inlineStr">
        <is>
          <t>P1005</t>
        </is>
      </c>
      <c r="H255" t="inlineStr">
        <is>
          <t>ProClip Binder</t>
        </is>
      </c>
      <c r="I255" t="inlineStr">
        <is>
          <t>Furniture</t>
        </is>
      </c>
      <c r="J255" t="inlineStr">
        <is>
          <t>Textiles</t>
        </is>
      </c>
      <c r="K255" t="inlineStr">
        <is>
          <t>Central</t>
        </is>
      </c>
      <c r="L255" t="inlineStr">
        <is>
          <t>Illinois</t>
        </is>
      </c>
      <c r="M255" t="inlineStr">
        <is>
          <t>Kansas City</t>
        </is>
      </c>
      <c r="N255" t="inlineStr">
        <is>
          <t>Ava Patel</t>
        </is>
      </c>
      <c r="O255" t="n">
        <v>2</v>
      </c>
      <c r="P255" s="3" t="n">
        <v>12.66</v>
      </c>
      <c r="Q255" s="4" t="n">
        <v>0.043</v>
      </c>
      <c r="R255" s="3" t="n">
        <v>24.23</v>
      </c>
      <c r="S255" s="3" t="n">
        <v>12.98</v>
      </c>
      <c r="T255" s="3" t="n">
        <v>3.65</v>
      </c>
      <c r="U255" s="4" t="n">
        <v>0.1506</v>
      </c>
      <c r="V255" s="3" t="n">
        <v>7.6</v>
      </c>
      <c r="W255" t="inlineStr">
        <is>
          <t>Debit Card</t>
        </is>
      </c>
      <c r="X255" t="inlineStr">
        <is>
          <t>High</t>
        </is>
      </c>
    </row>
    <row r="256">
      <c r="A256" t="inlineStr">
        <is>
          <t>ORD-00255</t>
        </is>
      </c>
      <c r="B256" s="2" t="n">
        <v>45041</v>
      </c>
      <c r="C256" s="2" t="n">
        <v>45043</v>
      </c>
      <c r="D256" t="inlineStr">
        <is>
          <t>CUST-00255</t>
        </is>
      </c>
      <c r="E256" t="inlineStr">
        <is>
          <t>Customer 255</t>
        </is>
      </c>
      <c r="F256" t="inlineStr">
        <is>
          <t>Corporate</t>
        </is>
      </c>
      <c r="G256" t="inlineStr">
        <is>
          <t>P1012</t>
        </is>
      </c>
      <c r="H256" t="inlineStr">
        <is>
          <t>Cove Wall Clock</t>
        </is>
      </c>
      <c r="I256" t="inlineStr">
        <is>
          <t>Furniture</t>
        </is>
      </c>
      <c r="J256" t="inlineStr">
        <is>
          <t>Binders</t>
        </is>
      </c>
      <c r="K256" t="inlineStr">
        <is>
          <t>East</t>
        </is>
      </c>
      <c r="L256" t="inlineStr">
        <is>
          <t>Virginia</t>
        </is>
      </c>
      <c r="M256" t="inlineStr">
        <is>
          <t>Philadelphia</t>
        </is>
      </c>
      <c r="N256" t="inlineStr">
        <is>
          <t>Olivia Martin</t>
        </is>
      </c>
      <c r="O256" t="n">
        <v>4</v>
      </c>
      <c r="P256" s="3" t="n">
        <v>129.31</v>
      </c>
      <c r="Q256" s="4" t="n">
        <v>0.035</v>
      </c>
      <c r="R256" s="3" t="n">
        <v>499.14</v>
      </c>
      <c r="S256" s="3" t="n">
        <v>254.14</v>
      </c>
      <c r="T256" s="3" t="n">
        <v>234.8</v>
      </c>
      <c r="U256" s="4" t="n">
        <v>0.4704</v>
      </c>
      <c r="V256" s="3" t="n">
        <v>10.2</v>
      </c>
      <c r="W256" t="inlineStr">
        <is>
          <t>Debit Card</t>
        </is>
      </c>
      <c r="X256" t="inlineStr">
        <is>
          <t>Medium</t>
        </is>
      </c>
    </row>
    <row r="257">
      <c r="A257" t="inlineStr">
        <is>
          <t>ORD-00256</t>
        </is>
      </c>
      <c r="B257" s="2" t="n">
        <v>45581</v>
      </c>
      <c r="C257" s="2" t="n">
        <v>45587</v>
      </c>
      <c r="D257" t="inlineStr">
        <is>
          <t>CUST-00256</t>
        </is>
      </c>
      <c r="E257" t="inlineStr">
        <is>
          <t>Customer 256</t>
        </is>
      </c>
      <c r="F257" t="inlineStr">
        <is>
          <t>Consumer</t>
        </is>
      </c>
      <c r="G257" t="inlineStr">
        <is>
          <t>P1010</t>
        </is>
      </c>
      <c r="H257" t="inlineStr">
        <is>
          <t>Nimbus Monitor Arm</t>
        </is>
      </c>
      <c r="I257" t="inlineStr">
        <is>
          <t>Furniture</t>
        </is>
      </c>
      <c r="J257" t="inlineStr">
        <is>
          <t>Chairs</t>
        </is>
      </c>
      <c r="K257" t="inlineStr">
        <is>
          <t>South</t>
        </is>
      </c>
      <c r="L257" t="inlineStr">
        <is>
          <t>North Carolina</t>
        </is>
      </c>
      <c r="M257" t="inlineStr">
        <is>
          <t>Houston</t>
        </is>
      </c>
      <c r="N257" t="inlineStr">
        <is>
          <t>Liam Chen</t>
        </is>
      </c>
      <c r="O257" t="n">
        <v>2</v>
      </c>
      <c r="P257" s="3" t="n">
        <v>57.03</v>
      </c>
      <c r="Q257" s="4" t="n">
        <v>0.022</v>
      </c>
      <c r="R257" s="3" t="n">
        <v>111.55</v>
      </c>
      <c r="S257" s="3" t="n">
        <v>51.12</v>
      </c>
      <c r="T257" s="3" t="n">
        <v>52.83</v>
      </c>
      <c r="U257" s="4" t="n">
        <v>0.4736</v>
      </c>
      <c r="V257" s="3" t="n">
        <v>7.6</v>
      </c>
      <c r="W257" t="inlineStr">
        <is>
          <t>Credit Card</t>
        </is>
      </c>
      <c r="X257" t="inlineStr">
        <is>
          <t>Medium</t>
        </is>
      </c>
    </row>
    <row r="258">
      <c r="A258" t="inlineStr">
        <is>
          <t>ORD-00257</t>
        </is>
      </c>
      <c r="B258" s="2" t="n">
        <v>45774</v>
      </c>
      <c r="C258" s="2" t="n">
        <v>45778</v>
      </c>
      <c r="D258" t="inlineStr">
        <is>
          <t>CUST-00257</t>
        </is>
      </c>
      <c r="E258" t="inlineStr">
        <is>
          <t>Customer 257</t>
        </is>
      </c>
      <c r="F258" t="inlineStr">
        <is>
          <t>Consumer</t>
        </is>
      </c>
      <c r="G258" t="inlineStr">
        <is>
          <t>P1018</t>
        </is>
      </c>
      <c r="H258" t="inlineStr">
        <is>
          <t>Summit Patio Set</t>
        </is>
      </c>
      <c r="I258" t="inlineStr">
        <is>
          <t>Home Decor</t>
        </is>
      </c>
      <c r="J258" t="inlineStr">
        <is>
          <t>Textiles</t>
        </is>
      </c>
      <c r="K258" t="inlineStr">
        <is>
          <t>West</t>
        </is>
      </c>
      <c r="L258" t="inlineStr">
        <is>
          <t>California</t>
        </is>
      </c>
      <c r="M258" t="inlineStr">
        <is>
          <t>San Francisco</t>
        </is>
      </c>
      <c r="N258" t="inlineStr">
        <is>
          <t>Mia Rodriguez</t>
        </is>
      </c>
      <c r="O258" t="n">
        <v>2</v>
      </c>
      <c r="P258" s="3" t="n">
        <v>88.63</v>
      </c>
      <c r="Q258" s="4" t="n">
        <v>0.063</v>
      </c>
      <c r="R258" s="3" t="n">
        <v>166.09</v>
      </c>
      <c r="S258" s="3" t="n">
        <v>75.55</v>
      </c>
      <c r="T258" s="3" t="n">
        <v>81.94</v>
      </c>
      <c r="U258" s="4" t="n">
        <v>0.4933</v>
      </c>
      <c r="V258" s="3" t="n">
        <v>8.6</v>
      </c>
      <c r="W258" t="inlineStr">
        <is>
          <t>Cash on Delivery</t>
        </is>
      </c>
      <c r="X258" t="inlineStr">
        <is>
          <t>High</t>
        </is>
      </c>
    </row>
    <row r="259">
      <c r="A259" t="inlineStr">
        <is>
          <t>ORD-00258</t>
        </is>
      </c>
      <c r="B259" s="2" t="n">
        <v>45969</v>
      </c>
      <c r="C259" s="2" t="n">
        <v>45974</v>
      </c>
      <c r="D259" t="inlineStr">
        <is>
          <t>CUST-00258</t>
        </is>
      </c>
      <c r="E259" t="inlineStr">
        <is>
          <t>Customer 258</t>
        </is>
      </c>
      <c r="F259" t="inlineStr">
        <is>
          <t>Consumer</t>
        </is>
      </c>
      <c r="G259" t="inlineStr">
        <is>
          <t>P1006</t>
        </is>
      </c>
      <c r="H259" t="inlineStr">
        <is>
          <t>Pulse Keyboard</t>
        </is>
      </c>
      <c r="I259" t="inlineStr">
        <is>
          <t>Outdoor</t>
        </is>
      </c>
      <c r="J259" t="inlineStr">
        <is>
          <t>Accessories</t>
        </is>
      </c>
      <c r="K259" t="inlineStr">
        <is>
          <t>South</t>
        </is>
      </c>
      <c r="L259" t="inlineStr">
        <is>
          <t>Georgia</t>
        </is>
      </c>
      <c r="M259" t="inlineStr">
        <is>
          <t>Miami</t>
        </is>
      </c>
      <c r="N259" t="inlineStr">
        <is>
          <t>James Carter</t>
        </is>
      </c>
      <c r="O259" t="n">
        <v>3</v>
      </c>
      <c r="P259" s="3" t="n">
        <v>18.65</v>
      </c>
      <c r="Q259" s="4" t="n">
        <v>0.029</v>
      </c>
      <c r="R259" s="3" t="n">
        <v>54.33</v>
      </c>
      <c r="S259" s="3" t="n">
        <v>26.6</v>
      </c>
      <c r="T259" s="3" t="n">
        <v>19.33</v>
      </c>
      <c r="U259" s="4" t="n">
        <v>0.3558</v>
      </c>
      <c r="V259" s="3" t="n">
        <v>8.4</v>
      </c>
      <c r="W259" t="inlineStr">
        <is>
          <t>Bank Transfer</t>
        </is>
      </c>
      <c r="X259" t="inlineStr">
        <is>
          <t>Medium</t>
        </is>
      </c>
    </row>
    <row r="260">
      <c r="A260" t="inlineStr">
        <is>
          <t>ORD-00259</t>
        </is>
      </c>
      <c r="B260" s="2" t="n">
        <v>45650</v>
      </c>
      <c r="C260" s="2" t="n">
        <v>45655</v>
      </c>
      <c r="D260" t="inlineStr">
        <is>
          <t>CUST-00259</t>
        </is>
      </c>
      <c r="E260" t="inlineStr">
        <is>
          <t>Customer 259</t>
        </is>
      </c>
      <c r="F260" t="inlineStr">
        <is>
          <t>Consumer</t>
        </is>
      </c>
      <c r="G260" t="inlineStr">
        <is>
          <t>P1012</t>
        </is>
      </c>
      <c r="H260" t="inlineStr">
        <is>
          <t>CloudDrive File Box</t>
        </is>
      </c>
      <c r="I260" t="inlineStr">
        <is>
          <t>Technology</t>
        </is>
      </c>
      <c r="J260" t="inlineStr">
        <is>
          <t>Binders</t>
        </is>
      </c>
      <c r="K260" t="inlineStr">
        <is>
          <t>South</t>
        </is>
      </c>
      <c r="L260" t="inlineStr">
        <is>
          <t>Georgia</t>
        </is>
      </c>
      <c r="M260" t="inlineStr">
        <is>
          <t>Miami</t>
        </is>
      </c>
      <c r="N260" t="inlineStr">
        <is>
          <t>Mia Rodriguez</t>
        </is>
      </c>
      <c r="O260" t="n">
        <v>4</v>
      </c>
      <c r="P260" s="3" t="n">
        <v>136.42</v>
      </c>
      <c r="Q260" s="4" t="n">
        <v>0.003</v>
      </c>
      <c r="R260" s="3" t="n">
        <v>544.04</v>
      </c>
      <c r="S260" s="3" t="n">
        <v>272.56</v>
      </c>
      <c r="T260" s="3" t="n">
        <v>262.28</v>
      </c>
      <c r="U260" s="4" t="n">
        <v>0.4821</v>
      </c>
      <c r="V260" s="3" t="n">
        <v>9.199999999999999</v>
      </c>
      <c r="W260" t="inlineStr">
        <is>
          <t>PayPal</t>
        </is>
      </c>
      <c r="X260" t="inlineStr">
        <is>
          <t>Medium</t>
        </is>
      </c>
    </row>
    <row r="261">
      <c r="A261" t="inlineStr">
        <is>
          <t>ORD-00260</t>
        </is>
      </c>
      <c r="B261" s="2" t="n">
        <v>45033</v>
      </c>
      <c r="C261" s="2" t="n">
        <v>45039</v>
      </c>
      <c r="D261" t="inlineStr">
        <is>
          <t>CUST-00260</t>
        </is>
      </c>
      <c r="E261" t="inlineStr">
        <is>
          <t>Customer 260</t>
        </is>
      </c>
      <c r="F261" t="inlineStr">
        <is>
          <t>Corporate</t>
        </is>
      </c>
      <c r="G261" t="inlineStr">
        <is>
          <t>P1001</t>
        </is>
      </c>
      <c r="H261" t="inlineStr">
        <is>
          <t>CloudDrive File Box</t>
        </is>
      </c>
      <c r="I261" t="inlineStr">
        <is>
          <t>Home Decor</t>
        </is>
      </c>
      <c r="J261" t="inlineStr">
        <is>
          <t>Accessories</t>
        </is>
      </c>
      <c r="K261" t="inlineStr">
        <is>
          <t>East</t>
        </is>
      </c>
      <c r="L261" t="inlineStr">
        <is>
          <t>New Jersey</t>
        </is>
      </c>
      <c r="M261" t="inlineStr">
        <is>
          <t>New York</t>
        </is>
      </c>
      <c r="N261" t="inlineStr">
        <is>
          <t>Sophia Singh</t>
        </is>
      </c>
      <c r="O261" t="n">
        <v>3</v>
      </c>
      <c r="P261" s="3" t="n">
        <v>291.51</v>
      </c>
      <c r="Q261" s="4" t="n">
        <v>0.02</v>
      </c>
      <c r="R261" s="3" t="n">
        <v>857.04</v>
      </c>
      <c r="S261" s="3" t="n">
        <v>503.51</v>
      </c>
      <c r="T261" s="3" t="n">
        <v>344.13</v>
      </c>
      <c r="U261" s="4" t="n">
        <v>0.4015</v>
      </c>
      <c r="V261" s="3" t="n">
        <v>9.4</v>
      </c>
      <c r="W261" t="inlineStr">
        <is>
          <t>Credit Card</t>
        </is>
      </c>
      <c r="X261" t="inlineStr">
        <is>
          <t>Medium</t>
        </is>
      </c>
    </row>
    <row r="262">
      <c r="A262" t="inlineStr">
        <is>
          <t>ORD-00261</t>
        </is>
      </c>
      <c r="B262" s="2" t="n">
        <v>45540</v>
      </c>
      <c r="C262" s="2" t="n">
        <v>45543</v>
      </c>
      <c r="D262" t="inlineStr">
        <is>
          <t>CUST-00261</t>
        </is>
      </c>
      <c r="E262" t="inlineStr">
        <is>
          <t>Customer 261</t>
        </is>
      </c>
      <c r="F262" t="inlineStr">
        <is>
          <t>Corporate</t>
        </is>
      </c>
      <c r="G262" t="inlineStr">
        <is>
          <t>P1007</t>
        </is>
      </c>
      <c r="H262" t="inlineStr">
        <is>
          <t>Aero Standing Desk</t>
        </is>
      </c>
      <c r="I262" t="inlineStr">
        <is>
          <t>Furniture</t>
        </is>
      </c>
      <c r="J262" t="inlineStr">
        <is>
          <t>Lighting</t>
        </is>
      </c>
      <c r="K262" t="inlineStr">
        <is>
          <t>Central</t>
        </is>
      </c>
      <c r="L262" t="inlineStr">
        <is>
          <t>Kansas</t>
        </is>
      </c>
      <c r="M262" t="inlineStr">
        <is>
          <t>Minneapolis</t>
        </is>
      </c>
      <c r="N262" t="inlineStr">
        <is>
          <t>Ethan Brooks</t>
        </is>
      </c>
      <c r="O262" t="n">
        <v>5</v>
      </c>
      <c r="P262" s="3" t="n">
        <v>24.09</v>
      </c>
      <c r="Q262" s="4" t="n">
        <v>0.031</v>
      </c>
      <c r="R262" s="3" t="n">
        <v>116.72</v>
      </c>
      <c r="S262" s="3" t="n">
        <v>45.71</v>
      </c>
      <c r="T262" s="3" t="n">
        <v>61.01</v>
      </c>
      <c r="U262" s="4" t="n">
        <v>0.5227000000000001</v>
      </c>
      <c r="V262" s="3" t="n">
        <v>10</v>
      </c>
      <c r="W262" t="inlineStr">
        <is>
          <t>Debit Card</t>
        </is>
      </c>
      <c r="X262" t="inlineStr">
        <is>
          <t>Medium</t>
        </is>
      </c>
    </row>
    <row r="263">
      <c r="A263" t="inlineStr">
        <is>
          <t>ORD-00262</t>
        </is>
      </c>
      <c r="B263" s="2" t="n">
        <v>45700</v>
      </c>
      <c r="C263" s="2" t="n">
        <v>45706</v>
      </c>
      <c r="D263" t="inlineStr">
        <is>
          <t>CUST-00262</t>
        </is>
      </c>
      <c r="E263" t="inlineStr">
        <is>
          <t>Customer 262</t>
        </is>
      </c>
      <c r="F263" t="inlineStr">
        <is>
          <t>Corporate</t>
        </is>
      </c>
      <c r="G263" t="inlineStr">
        <is>
          <t>P1012</t>
        </is>
      </c>
      <c r="H263" t="inlineStr">
        <is>
          <t>Halo Planter</t>
        </is>
      </c>
      <c r="I263" t="inlineStr">
        <is>
          <t>Office Supplies</t>
        </is>
      </c>
      <c r="J263" t="inlineStr">
        <is>
          <t>Storage</t>
        </is>
      </c>
      <c r="K263" t="inlineStr">
        <is>
          <t>East</t>
        </is>
      </c>
      <c r="L263" t="inlineStr">
        <is>
          <t>Massachusetts</t>
        </is>
      </c>
      <c r="M263" t="inlineStr">
        <is>
          <t>Washington</t>
        </is>
      </c>
      <c r="N263" t="inlineStr">
        <is>
          <t>James Carter</t>
        </is>
      </c>
      <c r="O263" t="n">
        <v>5</v>
      </c>
      <c r="P263" s="3" t="n">
        <v>125.36</v>
      </c>
      <c r="Q263" s="4" t="n">
        <v>0.024</v>
      </c>
      <c r="R263" s="3" t="n">
        <v>611.76</v>
      </c>
      <c r="S263" s="3" t="n">
        <v>303.9</v>
      </c>
      <c r="T263" s="3" t="n">
        <v>296.86</v>
      </c>
      <c r="U263" s="4" t="n">
        <v>0.4853</v>
      </c>
      <c r="V263" s="3" t="n">
        <v>11</v>
      </c>
      <c r="W263" t="inlineStr">
        <is>
          <t>Credit Card</t>
        </is>
      </c>
      <c r="X263" t="inlineStr">
        <is>
          <t>High</t>
        </is>
      </c>
    </row>
    <row r="264">
      <c r="A264" t="inlineStr">
        <is>
          <t>ORD-00263</t>
        </is>
      </c>
      <c r="B264" s="2" t="n">
        <v>45083</v>
      </c>
      <c r="C264" s="2" t="n">
        <v>45088</v>
      </c>
      <c r="D264" t="inlineStr">
        <is>
          <t>CUST-00263</t>
        </is>
      </c>
      <c r="E264" t="inlineStr">
        <is>
          <t>Customer 263</t>
        </is>
      </c>
      <c r="F264" t="inlineStr">
        <is>
          <t>Consumer</t>
        </is>
      </c>
      <c r="G264" t="inlineStr">
        <is>
          <t>P1007</t>
        </is>
      </c>
      <c r="H264" t="inlineStr">
        <is>
          <t>Atlas Throw Pillow</t>
        </is>
      </c>
      <c r="I264" t="inlineStr">
        <is>
          <t>Office Supplies</t>
        </is>
      </c>
      <c r="J264" t="inlineStr">
        <is>
          <t>Lighting</t>
        </is>
      </c>
      <c r="K264" t="inlineStr">
        <is>
          <t>East</t>
        </is>
      </c>
      <c r="L264" t="inlineStr">
        <is>
          <t>Virginia</t>
        </is>
      </c>
      <c r="M264" t="inlineStr">
        <is>
          <t>Boston</t>
        </is>
      </c>
      <c r="N264" t="inlineStr">
        <is>
          <t>James Carter</t>
        </is>
      </c>
      <c r="O264" t="n">
        <v>5</v>
      </c>
      <c r="P264" s="3" t="n">
        <v>24.32</v>
      </c>
      <c r="Q264" s="4" t="n">
        <v>0.013</v>
      </c>
      <c r="R264" s="3" t="n">
        <v>120.02</v>
      </c>
      <c r="S264" s="3" t="n">
        <v>43.9</v>
      </c>
      <c r="T264" s="3" t="n">
        <v>65.12</v>
      </c>
      <c r="U264" s="4" t="n">
        <v>0.5426</v>
      </c>
      <c r="V264" s="3" t="n">
        <v>11</v>
      </c>
      <c r="W264" t="inlineStr">
        <is>
          <t>Bank Transfer</t>
        </is>
      </c>
      <c r="X264" t="inlineStr">
        <is>
          <t>Medium</t>
        </is>
      </c>
    </row>
    <row r="265">
      <c r="A265" t="inlineStr">
        <is>
          <t>ORD-00264</t>
        </is>
      </c>
      <c r="B265" s="2" t="n">
        <v>45583</v>
      </c>
      <c r="C265" s="2" t="n">
        <v>45586</v>
      </c>
      <c r="D265" t="inlineStr">
        <is>
          <t>CUST-00264</t>
        </is>
      </c>
      <c r="E265" t="inlineStr">
        <is>
          <t>Customer 264</t>
        </is>
      </c>
      <c r="F265" t="inlineStr">
        <is>
          <t>Home Office</t>
        </is>
      </c>
      <c r="G265" t="inlineStr">
        <is>
          <t>P1009</t>
        </is>
      </c>
      <c r="H265" t="inlineStr">
        <is>
          <t>Pulse Keyboard</t>
        </is>
      </c>
      <c r="I265" t="inlineStr">
        <is>
          <t>Office Supplies</t>
        </is>
      </c>
      <c r="J265" t="inlineStr">
        <is>
          <t>Lighting</t>
        </is>
      </c>
      <c r="K265" t="inlineStr">
        <is>
          <t>West</t>
        </is>
      </c>
      <c r="L265" t="inlineStr">
        <is>
          <t>California</t>
        </is>
      </c>
      <c r="M265" t="inlineStr">
        <is>
          <t>Los Angeles</t>
        </is>
      </c>
      <c r="N265" t="inlineStr">
        <is>
          <t>Olivia Martin</t>
        </is>
      </c>
      <c r="O265" t="n">
        <v>3</v>
      </c>
      <c r="P265" s="3" t="n">
        <v>96.73</v>
      </c>
      <c r="Q265" s="4" t="n">
        <v>0.054</v>
      </c>
      <c r="R265" s="3" t="n">
        <v>274.52</v>
      </c>
      <c r="S265" s="3" t="n">
        <v>138.82</v>
      </c>
      <c r="T265" s="3" t="n">
        <v>126.3</v>
      </c>
      <c r="U265" s="4" t="n">
        <v>0.4601</v>
      </c>
      <c r="V265" s="3" t="n">
        <v>9.4</v>
      </c>
      <c r="W265" t="inlineStr">
        <is>
          <t>Credit Card</t>
        </is>
      </c>
      <c r="X265" t="inlineStr">
        <is>
          <t>High</t>
        </is>
      </c>
    </row>
    <row r="266">
      <c r="A266" t="inlineStr">
        <is>
          <t>ORD-00265</t>
        </is>
      </c>
      <c r="B266" s="2" t="n">
        <v>45926</v>
      </c>
      <c r="C266" s="2" t="n">
        <v>45931</v>
      </c>
      <c r="D266" t="inlineStr">
        <is>
          <t>CUST-00265</t>
        </is>
      </c>
      <c r="E266" t="inlineStr">
        <is>
          <t>Customer 265</t>
        </is>
      </c>
      <c r="F266" t="inlineStr">
        <is>
          <t>Consumer</t>
        </is>
      </c>
      <c r="G266" t="inlineStr">
        <is>
          <t>P1020</t>
        </is>
      </c>
      <c r="H266" t="inlineStr">
        <is>
          <t>SmartInk Pen Set</t>
        </is>
      </c>
      <c r="I266" t="inlineStr">
        <is>
          <t>Office Supplies</t>
        </is>
      </c>
      <c r="J266" t="inlineStr">
        <is>
          <t>Plants</t>
        </is>
      </c>
      <c r="K266" t="inlineStr">
        <is>
          <t>East</t>
        </is>
      </c>
      <c r="L266" t="inlineStr">
        <is>
          <t>New York</t>
        </is>
      </c>
      <c r="M266" t="inlineStr">
        <is>
          <t>New York</t>
        </is>
      </c>
      <c r="N266" t="inlineStr">
        <is>
          <t>Noah Kim</t>
        </is>
      </c>
      <c r="O266" t="n">
        <v>4</v>
      </c>
      <c r="P266" s="3" t="n">
        <v>70.72</v>
      </c>
      <c r="Q266" s="4" t="n">
        <v>0.028</v>
      </c>
      <c r="R266" s="3" t="n">
        <v>274.96</v>
      </c>
      <c r="S266" s="3" t="n">
        <v>131.6</v>
      </c>
      <c r="T266" s="3" t="n">
        <v>133.16</v>
      </c>
      <c r="U266" s="4" t="n">
        <v>0.4843</v>
      </c>
      <c r="V266" s="3" t="n">
        <v>10.2</v>
      </c>
      <c r="W266" t="inlineStr">
        <is>
          <t>PayPal</t>
        </is>
      </c>
      <c r="X266" t="inlineStr">
        <is>
          <t>High</t>
        </is>
      </c>
    </row>
    <row r="267">
      <c r="A267" t="inlineStr">
        <is>
          <t>ORD-00266</t>
        </is>
      </c>
      <c r="B267" s="2" t="n">
        <v>45905</v>
      </c>
      <c r="C267" s="2" t="n">
        <v>45909</v>
      </c>
      <c r="D267" t="inlineStr">
        <is>
          <t>CUST-00266</t>
        </is>
      </c>
      <c r="E267" t="inlineStr">
        <is>
          <t>Customer 266</t>
        </is>
      </c>
      <c r="F267" t="inlineStr">
        <is>
          <t>Consumer</t>
        </is>
      </c>
      <c r="G267" t="inlineStr">
        <is>
          <t>P1015</t>
        </is>
      </c>
      <c r="H267" t="inlineStr">
        <is>
          <t>Tide Cooler</t>
        </is>
      </c>
      <c r="I267" t="inlineStr">
        <is>
          <t>Technology</t>
        </is>
      </c>
      <c r="J267" t="inlineStr">
        <is>
          <t>Decor</t>
        </is>
      </c>
      <c r="K267" t="inlineStr">
        <is>
          <t>North</t>
        </is>
      </c>
      <c r="L267" t="inlineStr">
        <is>
          <t>British Columbia</t>
        </is>
      </c>
      <c r="M267" t="inlineStr">
        <is>
          <t>Vancouver</t>
        </is>
      </c>
      <c r="N267" t="inlineStr">
        <is>
          <t>Mia Rodriguez</t>
        </is>
      </c>
      <c r="O267" t="n">
        <v>2</v>
      </c>
      <c r="P267" s="3" t="n">
        <v>64.45</v>
      </c>
      <c r="Q267" s="4" t="n">
        <v>0.018</v>
      </c>
      <c r="R267" s="3" t="n">
        <v>126.58</v>
      </c>
      <c r="S267" s="3" t="n">
        <v>62.2</v>
      </c>
      <c r="T267" s="3" t="n">
        <v>56.78</v>
      </c>
      <c r="U267" s="4" t="n">
        <v>0.4486</v>
      </c>
      <c r="V267" s="3" t="n">
        <v>7.6</v>
      </c>
      <c r="W267" t="inlineStr">
        <is>
          <t>Cash on Delivery</t>
        </is>
      </c>
      <c r="X267" t="inlineStr">
        <is>
          <t>Medium</t>
        </is>
      </c>
    </row>
    <row r="268">
      <c r="A268" t="inlineStr">
        <is>
          <t>ORD-00267</t>
        </is>
      </c>
      <c r="B268" s="2" t="n">
        <v>45783</v>
      </c>
      <c r="C268" s="2" t="n">
        <v>45785</v>
      </c>
      <c r="D268" t="inlineStr">
        <is>
          <t>CUST-00267</t>
        </is>
      </c>
      <c r="E268" t="inlineStr">
        <is>
          <t>Customer 267</t>
        </is>
      </c>
      <c r="F268" t="inlineStr">
        <is>
          <t>Corporate</t>
        </is>
      </c>
      <c r="G268" t="inlineStr">
        <is>
          <t>P1012</t>
        </is>
      </c>
      <c r="H268" t="inlineStr">
        <is>
          <t>ProClip Binder</t>
        </is>
      </c>
      <c r="I268" t="inlineStr">
        <is>
          <t>Furniture</t>
        </is>
      </c>
      <c r="J268" t="inlineStr">
        <is>
          <t>Decor</t>
        </is>
      </c>
      <c r="K268" t="inlineStr">
        <is>
          <t>West</t>
        </is>
      </c>
      <c r="L268" t="inlineStr">
        <is>
          <t>Colorado</t>
        </is>
      </c>
      <c r="M268" t="inlineStr">
        <is>
          <t>San Francisco</t>
        </is>
      </c>
      <c r="N268" t="inlineStr">
        <is>
          <t>Ethan Brooks</t>
        </is>
      </c>
      <c r="O268" t="n">
        <v>3</v>
      </c>
      <c r="P268" s="3" t="n">
        <v>137.16</v>
      </c>
      <c r="Q268" s="4" t="n">
        <v>0.034</v>
      </c>
      <c r="R268" s="3" t="n">
        <v>397.49</v>
      </c>
      <c r="S268" s="3" t="n">
        <v>204.45</v>
      </c>
      <c r="T268" s="3" t="n">
        <v>183.64</v>
      </c>
      <c r="U268" s="4" t="n">
        <v>0.462</v>
      </c>
      <c r="V268" s="3" t="n">
        <v>9.4</v>
      </c>
      <c r="W268" t="inlineStr">
        <is>
          <t>Bank Transfer</t>
        </is>
      </c>
      <c r="X268" t="inlineStr">
        <is>
          <t>Low</t>
        </is>
      </c>
    </row>
    <row r="269">
      <c r="A269" t="inlineStr">
        <is>
          <t>ORD-00268</t>
        </is>
      </c>
      <c r="B269" s="2" t="n">
        <v>45817</v>
      </c>
      <c r="C269" s="2" t="n">
        <v>45819</v>
      </c>
      <c r="D269" t="inlineStr">
        <is>
          <t>CUST-00268</t>
        </is>
      </c>
      <c r="E269" t="inlineStr">
        <is>
          <t>Customer 268</t>
        </is>
      </c>
      <c r="F269" t="inlineStr">
        <is>
          <t>Home Office</t>
        </is>
      </c>
      <c r="G269" t="inlineStr">
        <is>
          <t>P1013</t>
        </is>
      </c>
      <c r="H269" t="inlineStr">
        <is>
          <t>Aero Standing Desk</t>
        </is>
      </c>
      <c r="I269" t="inlineStr">
        <is>
          <t>Home Decor</t>
        </is>
      </c>
      <c r="J269" t="inlineStr">
        <is>
          <t>Desks</t>
        </is>
      </c>
      <c r="K269" t="inlineStr">
        <is>
          <t>East</t>
        </is>
      </c>
      <c r="L269" t="inlineStr">
        <is>
          <t>Virginia</t>
        </is>
      </c>
      <c r="M269" t="inlineStr">
        <is>
          <t>Boston</t>
        </is>
      </c>
      <c r="N269" t="inlineStr">
        <is>
          <t>Olivia Martin</t>
        </is>
      </c>
      <c r="O269" t="n">
        <v>1</v>
      </c>
      <c r="P269" s="3" t="n">
        <v>173.93</v>
      </c>
      <c r="Q269" s="4" t="n">
        <v>0.032</v>
      </c>
      <c r="R269" s="3" t="n">
        <v>168.36</v>
      </c>
      <c r="S269" s="3" t="n">
        <v>98.76000000000001</v>
      </c>
      <c r="T269" s="3" t="n">
        <v>61.8</v>
      </c>
      <c r="U269" s="4" t="n">
        <v>0.3671</v>
      </c>
      <c r="V269" s="3" t="n">
        <v>7.8</v>
      </c>
      <c r="W269" t="inlineStr">
        <is>
          <t>Credit Card</t>
        </is>
      </c>
      <c r="X269" t="inlineStr">
        <is>
          <t>High</t>
        </is>
      </c>
    </row>
    <row r="270">
      <c r="A270" t="inlineStr">
        <is>
          <t>ORD-00269</t>
        </is>
      </c>
      <c r="B270" s="2" t="n">
        <v>45337</v>
      </c>
      <c r="C270" s="2" t="n">
        <v>45340</v>
      </c>
      <c r="D270" t="inlineStr">
        <is>
          <t>CUST-00269</t>
        </is>
      </c>
      <c r="E270" t="inlineStr">
        <is>
          <t>Customer 269</t>
        </is>
      </c>
      <c r="F270" t="inlineStr">
        <is>
          <t>Consumer</t>
        </is>
      </c>
      <c r="G270" t="inlineStr">
        <is>
          <t>P1004</t>
        </is>
      </c>
      <c r="H270" t="inlineStr">
        <is>
          <t>FlexNote Notebook</t>
        </is>
      </c>
      <c r="I270" t="inlineStr">
        <is>
          <t>Home Decor</t>
        </is>
      </c>
      <c r="J270" t="inlineStr">
        <is>
          <t>Lighting</t>
        </is>
      </c>
      <c r="K270" t="inlineStr">
        <is>
          <t>West</t>
        </is>
      </c>
      <c r="L270" t="inlineStr">
        <is>
          <t>Oregon</t>
        </is>
      </c>
      <c r="M270" t="inlineStr">
        <is>
          <t>Los Angeles</t>
        </is>
      </c>
      <c r="N270" t="inlineStr">
        <is>
          <t>James Carter</t>
        </is>
      </c>
      <c r="O270" t="n">
        <v>2</v>
      </c>
      <c r="P270" s="3" t="n">
        <v>621.54</v>
      </c>
      <c r="Q270" s="4" t="n">
        <v>0.062</v>
      </c>
      <c r="R270" s="3" t="n">
        <v>1166.01</v>
      </c>
      <c r="S270" s="3" t="n">
        <v>741.3200000000001</v>
      </c>
      <c r="T270" s="3" t="n">
        <v>416.09</v>
      </c>
      <c r="U270" s="4" t="n">
        <v>0.3568</v>
      </c>
      <c r="V270" s="3" t="n">
        <v>8.6</v>
      </c>
      <c r="W270" t="inlineStr">
        <is>
          <t>Credit Card</t>
        </is>
      </c>
      <c r="X270" t="inlineStr">
        <is>
          <t>High</t>
        </is>
      </c>
    </row>
    <row r="271">
      <c r="A271" t="inlineStr">
        <is>
          <t>ORD-00270</t>
        </is>
      </c>
      <c r="B271" s="2" t="n">
        <v>45209</v>
      </c>
      <c r="C271" s="2" t="n">
        <v>45215</v>
      </c>
      <c r="D271" t="inlineStr">
        <is>
          <t>CUST-00270</t>
        </is>
      </c>
      <c r="E271" t="inlineStr">
        <is>
          <t>Customer 270</t>
        </is>
      </c>
      <c r="F271" t="inlineStr">
        <is>
          <t>Corporate</t>
        </is>
      </c>
      <c r="G271" t="inlineStr">
        <is>
          <t>P1010</t>
        </is>
      </c>
      <c r="H271" t="inlineStr">
        <is>
          <t>Nimbus Monitor Arm</t>
        </is>
      </c>
      <c r="I271" t="inlineStr">
        <is>
          <t>Technology</t>
        </is>
      </c>
      <c r="J271" t="inlineStr">
        <is>
          <t>Writing</t>
        </is>
      </c>
      <c r="K271" t="inlineStr">
        <is>
          <t>West</t>
        </is>
      </c>
      <c r="L271" t="inlineStr">
        <is>
          <t>Colorado</t>
        </is>
      </c>
      <c r="M271" t="inlineStr">
        <is>
          <t>Los Angeles</t>
        </is>
      </c>
      <c r="N271" t="inlineStr">
        <is>
          <t>Liam Chen</t>
        </is>
      </c>
      <c r="O271" t="n">
        <v>2</v>
      </c>
      <c r="P271" s="3" t="n">
        <v>63.97</v>
      </c>
      <c r="Q271" s="4" t="n">
        <v>0.08500000000000001</v>
      </c>
      <c r="R271" s="3" t="n">
        <v>117.07</v>
      </c>
      <c r="S271" s="3" t="n">
        <v>59.83</v>
      </c>
      <c r="T271" s="3" t="n">
        <v>48.64</v>
      </c>
      <c r="U271" s="4" t="n">
        <v>0.4155</v>
      </c>
      <c r="V271" s="3" t="n">
        <v>8.6</v>
      </c>
      <c r="W271" t="inlineStr">
        <is>
          <t>Debit Card</t>
        </is>
      </c>
      <c r="X271" t="inlineStr">
        <is>
          <t>Critical</t>
        </is>
      </c>
    </row>
    <row r="272">
      <c r="A272" t="inlineStr">
        <is>
          <t>ORD-00271</t>
        </is>
      </c>
      <c r="B272" s="2" t="n">
        <v>45855</v>
      </c>
      <c r="C272" s="2" t="n">
        <v>45860</v>
      </c>
      <c r="D272" t="inlineStr">
        <is>
          <t>CUST-00271</t>
        </is>
      </c>
      <c r="E272" t="inlineStr">
        <is>
          <t>Customer 271</t>
        </is>
      </c>
      <c r="F272" t="inlineStr">
        <is>
          <t>Home Office</t>
        </is>
      </c>
      <c r="G272" t="inlineStr">
        <is>
          <t>P1003</t>
        </is>
      </c>
      <c r="H272" t="inlineStr">
        <is>
          <t>ProClip Binder</t>
        </is>
      </c>
      <c r="I272" t="inlineStr">
        <is>
          <t>Furniture</t>
        </is>
      </c>
      <c r="J272" t="inlineStr">
        <is>
          <t>Textiles</t>
        </is>
      </c>
      <c r="K272" t="inlineStr">
        <is>
          <t>East</t>
        </is>
      </c>
      <c r="L272" t="inlineStr">
        <is>
          <t>Virginia</t>
        </is>
      </c>
      <c r="M272" t="inlineStr">
        <is>
          <t>Boston</t>
        </is>
      </c>
      <c r="N272" t="inlineStr">
        <is>
          <t>Olivia Martin</t>
        </is>
      </c>
      <c r="O272" t="n">
        <v>2</v>
      </c>
      <c r="P272" s="3" t="n">
        <v>150.49</v>
      </c>
      <c r="Q272" s="4" t="n">
        <v>0.058</v>
      </c>
      <c r="R272" s="3" t="n">
        <v>283.52</v>
      </c>
      <c r="S272" s="3" t="n">
        <v>154.53</v>
      </c>
      <c r="T272" s="3" t="n">
        <v>120.39</v>
      </c>
      <c r="U272" s="4" t="n">
        <v>0.4246</v>
      </c>
      <c r="V272" s="3" t="n">
        <v>8.6</v>
      </c>
      <c r="W272" t="inlineStr">
        <is>
          <t>Debit Card</t>
        </is>
      </c>
      <c r="X272" t="inlineStr">
        <is>
          <t>High</t>
        </is>
      </c>
    </row>
    <row r="273">
      <c r="A273" t="inlineStr">
        <is>
          <t>ORD-00272</t>
        </is>
      </c>
      <c r="B273" s="2" t="n">
        <v>45956</v>
      </c>
      <c r="C273" s="2" t="n">
        <v>45957</v>
      </c>
      <c r="D273" t="inlineStr">
        <is>
          <t>CUST-00272</t>
        </is>
      </c>
      <c r="E273" t="inlineStr">
        <is>
          <t>Customer 272</t>
        </is>
      </c>
      <c r="F273" t="inlineStr">
        <is>
          <t>Corporate</t>
        </is>
      </c>
      <c r="G273" t="inlineStr">
        <is>
          <t>P1005</t>
        </is>
      </c>
      <c r="H273" t="inlineStr">
        <is>
          <t>Cove Wall Clock</t>
        </is>
      </c>
      <c r="I273" t="inlineStr">
        <is>
          <t>Office Supplies</t>
        </is>
      </c>
      <c r="J273" t="inlineStr">
        <is>
          <t>Storage</t>
        </is>
      </c>
      <c r="K273" t="inlineStr">
        <is>
          <t>South</t>
        </is>
      </c>
      <c r="L273" t="inlineStr">
        <is>
          <t>Florida</t>
        </is>
      </c>
      <c r="M273" t="inlineStr">
        <is>
          <t>Miami</t>
        </is>
      </c>
      <c r="N273" t="inlineStr">
        <is>
          <t>James Carter</t>
        </is>
      </c>
      <c r="O273" t="n">
        <v>2</v>
      </c>
      <c r="P273" s="3" t="n">
        <v>12.57</v>
      </c>
      <c r="Q273" s="4" t="n">
        <v>0.053</v>
      </c>
      <c r="R273" s="3" t="n">
        <v>23.81</v>
      </c>
      <c r="S273" s="3" t="n">
        <v>17.79</v>
      </c>
      <c r="T273" s="3" t="n">
        <v>-1.58</v>
      </c>
      <c r="U273" s="4" t="n">
        <v>-0.0664</v>
      </c>
      <c r="V273" s="3" t="n">
        <v>7.6</v>
      </c>
      <c r="W273" t="inlineStr">
        <is>
          <t>Debit Card</t>
        </is>
      </c>
      <c r="X273" t="inlineStr">
        <is>
          <t>High</t>
        </is>
      </c>
    </row>
    <row r="274">
      <c r="A274" t="inlineStr">
        <is>
          <t>ORD-00273</t>
        </is>
      </c>
      <c r="B274" s="2" t="n">
        <v>45766</v>
      </c>
      <c r="C274" s="2" t="n">
        <v>45770</v>
      </c>
      <c r="D274" t="inlineStr">
        <is>
          <t>CUST-00273</t>
        </is>
      </c>
      <c r="E274" t="inlineStr">
        <is>
          <t>Customer 273</t>
        </is>
      </c>
      <c r="F274" t="inlineStr">
        <is>
          <t>Consumer</t>
        </is>
      </c>
      <c r="G274" t="inlineStr">
        <is>
          <t>P1004</t>
        </is>
      </c>
      <c r="H274" t="inlineStr">
        <is>
          <t>ErgoMesh Chair</t>
        </is>
      </c>
      <c r="I274" t="inlineStr">
        <is>
          <t>Office Supplies</t>
        </is>
      </c>
      <c r="J274" t="inlineStr">
        <is>
          <t>Plants</t>
        </is>
      </c>
      <c r="K274" t="inlineStr">
        <is>
          <t>East</t>
        </is>
      </c>
      <c r="L274" t="inlineStr">
        <is>
          <t>New York</t>
        </is>
      </c>
      <c r="M274" t="inlineStr">
        <is>
          <t>New York</t>
        </is>
      </c>
      <c r="N274" t="inlineStr">
        <is>
          <t>Noah Kim</t>
        </is>
      </c>
      <c r="O274" t="n">
        <v>1</v>
      </c>
      <c r="P274" s="3" t="n">
        <v>609.36</v>
      </c>
      <c r="Q274" s="4" t="n">
        <v>0.003</v>
      </c>
      <c r="R274" s="3" t="n">
        <v>607.53</v>
      </c>
      <c r="S274" s="3" t="n">
        <v>387.38</v>
      </c>
      <c r="T274" s="3" t="n">
        <v>212.35</v>
      </c>
      <c r="U274" s="4" t="n">
        <v>0.3495</v>
      </c>
      <c r="V274" s="3" t="n">
        <v>7.8</v>
      </c>
      <c r="W274" t="inlineStr">
        <is>
          <t>Credit Card</t>
        </is>
      </c>
      <c r="X274" t="inlineStr">
        <is>
          <t>Low</t>
        </is>
      </c>
    </row>
    <row r="275">
      <c r="A275" t="inlineStr">
        <is>
          <t>ORD-00274</t>
        </is>
      </c>
      <c r="B275" s="2" t="n">
        <v>45789</v>
      </c>
      <c r="C275" s="2" t="n">
        <v>45794</v>
      </c>
      <c r="D275" t="inlineStr">
        <is>
          <t>CUST-00274</t>
        </is>
      </c>
      <c r="E275" t="inlineStr">
        <is>
          <t>Customer 274</t>
        </is>
      </c>
      <c r="F275" t="inlineStr">
        <is>
          <t>Home Office</t>
        </is>
      </c>
      <c r="G275" t="inlineStr">
        <is>
          <t>P1019</t>
        </is>
      </c>
      <c r="H275" t="inlineStr">
        <is>
          <t>Trail Tote</t>
        </is>
      </c>
      <c r="I275" t="inlineStr">
        <is>
          <t>Technology</t>
        </is>
      </c>
      <c r="J275" t="inlineStr">
        <is>
          <t>Bags</t>
        </is>
      </c>
      <c r="K275" t="inlineStr">
        <is>
          <t>Central</t>
        </is>
      </c>
      <c r="L275" t="inlineStr">
        <is>
          <t>Missouri</t>
        </is>
      </c>
      <c r="M275" t="inlineStr">
        <is>
          <t>Chicago</t>
        </is>
      </c>
      <c r="N275" t="inlineStr">
        <is>
          <t>Ava Patel</t>
        </is>
      </c>
      <c r="O275" t="n">
        <v>3</v>
      </c>
      <c r="P275" s="3" t="n">
        <v>57.8</v>
      </c>
      <c r="Q275" s="4" t="n">
        <v>0.022</v>
      </c>
      <c r="R275" s="3" t="n">
        <v>169.59</v>
      </c>
      <c r="S275" s="3" t="n">
        <v>78.37</v>
      </c>
      <c r="T275" s="3" t="n">
        <v>82.81999999999999</v>
      </c>
      <c r="U275" s="4" t="n">
        <v>0.4884</v>
      </c>
      <c r="V275" s="3" t="n">
        <v>8.4</v>
      </c>
      <c r="W275" t="inlineStr">
        <is>
          <t>Debit Card</t>
        </is>
      </c>
      <c r="X275" t="inlineStr">
        <is>
          <t>High</t>
        </is>
      </c>
    </row>
    <row r="276">
      <c r="A276" t="inlineStr">
        <is>
          <t>ORD-00275</t>
        </is>
      </c>
      <c r="B276" s="2" t="n">
        <v>45421</v>
      </c>
      <c r="C276" s="2" t="n">
        <v>45428</v>
      </c>
      <c r="D276" t="inlineStr">
        <is>
          <t>CUST-00275</t>
        </is>
      </c>
      <c r="E276" t="inlineStr">
        <is>
          <t>Customer 275</t>
        </is>
      </c>
      <c r="F276" t="inlineStr">
        <is>
          <t>Corporate</t>
        </is>
      </c>
      <c r="G276" t="inlineStr">
        <is>
          <t>P1015</t>
        </is>
      </c>
      <c r="H276" t="inlineStr">
        <is>
          <t>Cove Wall Clock</t>
        </is>
      </c>
      <c r="I276" t="inlineStr">
        <is>
          <t>Office Supplies</t>
        </is>
      </c>
      <c r="J276" t="inlineStr">
        <is>
          <t>Paper</t>
        </is>
      </c>
      <c r="K276" t="inlineStr">
        <is>
          <t>Central</t>
        </is>
      </c>
      <c r="L276" t="inlineStr">
        <is>
          <t>Missouri</t>
        </is>
      </c>
      <c r="M276" t="inlineStr">
        <is>
          <t>Chicago</t>
        </is>
      </c>
      <c r="N276" t="inlineStr">
        <is>
          <t>Olivia Martin</t>
        </is>
      </c>
      <c r="O276" t="n">
        <v>3</v>
      </c>
      <c r="P276" s="3" t="n">
        <v>65.59</v>
      </c>
      <c r="Q276" s="4" t="n">
        <v>0.034</v>
      </c>
      <c r="R276" s="3" t="n">
        <v>190.08</v>
      </c>
      <c r="S276" s="3" t="n">
        <v>89.48999999999999</v>
      </c>
      <c r="T276" s="3" t="n">
        <v>92.19</v>
      </c>
      <c r="U276" s="4" t="n">
        <v>0.485</v>
      </c>
      <c r="V276" s="3" t="n">
        <v>8.4</v>
      </c>
      <c r="W276" t="inlineStr">
        <is>
          <t>PayPal</t>
        </is>
      </c>
      <c r="X276" t="inlineStr">
        <is>
          <t>Medium</t>
        </is>
      </c>
    </row>
    <row r="277">
      <c r="A277" t="inlineStr">
        <is>
          <t>ORD-00276</t>
        </is>
      </c>
      <c r="B277" s="2" t="n">
        <v>45306</v>
      </c>
      <c r="C277" s="2" t="n">
        <v>45307</v>
      </c>
      <c r="D277" t="inlineStr">
        <is>
          <t>CUST-00276</t>
        </is>
      </c>
      <c r="E277" t="inlineStr">
        <is>
          <t>Customer 276</t>
        </is>
      </c>
      <c r="F277" t="inlineStr">
        <is>
          <t>Corporate</t>
        </is>
      </c>
      <c r="G277" t="inlineStr">
        <is>
          <t>P1007</t>
        </is>
      </c>
      <c r="H277" t="inlineStr">
        <is>
          <t>ProClip Binder</t>
        </is>
      </c>
      <c r="I277" t="inlineStr">
        <is>
          <t>Home Decor</t>
        </is>
      </c>
      <c r="J277" t="inlineStr">
        <is>
          <t>Chairs</t>
        </is>
      </c>
      <c r="K277" t="inlineStr">
        <is>
          <t>West</t>
        </is>
      </c>
      <c r="L277" t="inlineStr">
        <is>
          <t>Colorado</t>
        </is>
      </c>
      <c r="M277" t="inlineStr">
        <is>
          <t>San Francisco</t>
        </is>
      </c>
      <c r="N277" t="inlineStr">
        <is>
          <t>Olivia Martin</t>
        </is>
      </c>
      <c r="O277" t="n">
        <v>3</v>
      </c>
      <c r="P277" s="3" t="n">
        <v>25.94</v>
      </c>
      <c r="Q277" s="4" t="n">
        <v>0.08699999999999999</v>
      </c>
      <c r="R277" s="3" t="n">
        <v>71.05</v>
      </c>
      <c r="S277" s="3" t="n">
        <v>33.61</v>
      </c>
      <c r="T277" s="3" t="n">
        <v>28.04</v>
      </c>
      <c r="U277" s="4" t="n">
        <v>0.3947</v>
      </c>
      <c r="V277" s="3" t="n">
        <v>9.4</v>
      </c>
      <c r="W277" t="inlineStr">
        <is>
          <t>Cash on Delivery</t>
        </is>
      </c>
      <c r="X277" t="inlineStr">
        <is>
          <t>Critical</t>
        </is>
      </c>
    </row>
    <row r="278">
      <c r="A278" t="inlineStr">
        <is>
          <t>ORD-00277</t>
        </is>
      </c>
      <c r="B278" s="2" t="n">
        <v>45791</v>
      </c>
      <c r="C278" s="2" t="n">
        <v>45795</v>
      </c>
      <c r="D278" t="inlineStr">
        <is>
          <t>CUST-00277</t>
        </is>
      </c>
      <c r="E278" t="inlineStr">
        <is>
          <t>Customer 277</t>
        </is>
      </c>
      <c r="F278" t="inlineStr">
        <is>
          <t>Corporate</t>
        </is>
      </c>
      <c r="G278" t="inlineStr">
        <is>
          <t>P1003</t>
        </is>
      </c>
      <c r="H278" t="inlineStr">
        <is>
          <t>Nimbus Monitor Arm</t>
        </is>
      </c>
      <c r="I278" t="inlineStr">
        <is>
          <t>Technology</t>
        </is>
      </c>
      <c r="J278" t="inlineStr">
        <is>
          <t>Video</t>
        </is>
      </c>
      <c r="K278" t="inlineStr">
        <is>
          <t>North</t>
        </is>
      </c>
      <c r="L278" t="inlineStr">
        <is>
          <t>Alberta</t>
        </is>
      </c>
      <c r="M278" t="inlineStr">
        <is>
          <t>Montreal</t>
        </is>
      </c>
      <c r="N278" t="inlineStr">
        <is>
          <t>Mia Rodriguez</t>
        </is>
      </c>
      <c r="O278" t="n">
        <v>1</v>
      </c>
      <c r="P278" s="3" t="n">
        <v>144.33</v>
      </c>
      <c r="Q278" s="4" t="n">
        <v>0.021</v>
      </c>
      <c r="R278" s="3" t="n">
        <v>141.3</v>
      </c>
      <c r="S278" s="3" t="n">
        <v>77.12</v>
      </c>
      <c r="T278" s="3" t="n">
        <v>57.38</v>
      </c>
      <c r="U278" s="4" t="n">
        <v>0.4061</v>
      </c>
      <c r="V278" s="3" t="n">
        <v>6.8</v>
      </c>
      <c r="W278" t="inlineStr">
        <is>
          <t>Bank Transfer</t>
        </is>
      </c>
      <c r="X278" t="inlineStr">
        <is>
          <t>Medium</t>
        </is>
      </c>
    </row>
    <row r="279">
      <c r="A279" t="inlineStr">
        <is>
          <t>ORD-00278</t>
        </is>
      </c>
      <c r="B279" s="2" t="n">
        <v>45597</v>
      </c>
      <c r="C279" s="2" t="n">
        <v>45601</v>
      </c>
      <c r="D279" t="inlineStr">
        <is>
          <t>CUST-00278</t>
        </is>
      </c>
      <c r="E279" t="inlineStr">
        <is>
          <t>Customer 278</t>
        </is>
      </c>
      <c r="F279" t="inlineStr">
        <is>
          <t>Home Office</t>
        </is>
      </c>
      <c r="G279" t="inlineStr">
        <is>
          <t>P1016</t>
        </is>
      </c>
      <c r="H279" t="inlineStr">
        <is>
          <t>Summit Patio Set</t>
        </is>
      </c>
      <c r="I279" t="inlineStr">
        <is>
          <t>Furniture</t>
        </is>
      </c>
      <c r="J279" t="inlineStr">
        <is>
          <t>Accessories</t>
        </is>
      </c>
      <c r="K279" t="inlineStr">
        <is>
          <t>Central</t>
        </is>
      </c>
      <c r="L279" t="inlineStr">
        <is>
          <t>Missouri</t>
        </is>
      </c>
      <c r="M279" t="inlineStr">
        <is>
          <t>Chicago</t>
        </is>
      </c>
      <c r="N279" t="inlineStr">
        <is>
          <t>Liam Chen</t>
        </is>
      </c>
      <c r="O279" t="n">
        <v>5</v>
      </c>
      <c r="P279" s="3" t="n">
        <v>43.05</v>
      </c>
      <c r="Q279" s="4" t="n">
        <v>0.006</v>
      </c>
      <c r="R279" s="3" t="n">
        <v>213.96</v>
      </c>
      <c r="S279" s="3" t="n">
        <v>86.93000000000001</v>
      </c>
      <c r="T279" s="3" t="n">
        <v>117.03</v>
      </c>
      <c r="U279" s="4" t="n">
        <v>0.547</v>
      </c>
      <c r="V279" s="3" t="n">
        <v>10</v>
      </c>
      <c r="W279" t="inlineStr">
        <is>
          <t>Credit Card</t>
        </is>
      </c>
      <c r="X279" t="inlineStr">
        <is>
          <t>Medium</t>
        </is>
      </c>
    </row>
    <row r="280">
      <c r="A280" t="inlineStr">
        <is>
          <t>ORD-00279</t>
        </is>
      </c>
      <c r="B280" s="2" t="n">
        <v>46008</v>
      </c>
      <c r="C280" s="2" t="n">
        <v>46010</v>
      </c>
      <c r="D280" t="inlineStr">
        <is>
          <t>CUST-00279</t>
        </is>
      </c>
      <c r="E280" t="inlineStr">
        <is>
          <t>Customer 279</t>
        </is>
      </c>
      <c r="F280" t="inlineStr">
        <is>
          <t>Consumer</t>
        </is>
      </c>
      <c r="G280" t="inlineStr">
        <is>
          <t>P1015</t>
        </is>
      </c>
      <c r="H280" t="inlineStr">
        <is>
          <t>Cove Wall Clock</t>
        </is>
      </c>
      <c r="I280" t="inlineStr">
        <is>
          <t>Technology</t>
        </is>
      </c>
      <c r="J280" t="inlineStr">
        <is>
          <t>Lighting</t>
        </is>
      </c>
      <c r="K280" t="inlineStr">
        <is>
          <t>East</t>
        </is>
      </c>
      <c r="L280" t="inlineStr">
        <is>
          <t>Massachusetts</t>
        </is>
      </c>
      <c r="M280" t="inlineStr">
        <is>
          <t>Washington</t>
        </is>
      </c>
      <c r="N280" t="inlineStr">
        <is>
          <t>Ethan Brooks</t>
        </is>
      </c>
      <c r="O280" t="n">
        <v>3</v>
      </c>
      <c r="P280" s="3" t="n">
        <v>73.73999999999999</v>
      </c>
      <c r="Q280" s="4" t="n">
        <v>0</v>
      </c>
      <c r="R280" s="3" t="n">
        <v>221.22</v>
      </c>
      <c r="S280" s="3" t="n">
        <v>102.73</v>
      </c>
      <c r="T280" s="3" t="n">
        <v>109.09</v>
      </c>
      <c r="U280" s="4" t="n">
        <v>0.4931</v>
      </c>
      <c r="V280" s="3" t="n">
        <v>9.4</v>
      </c>
      <c r="W280" t="inlineStr">
        <is>
          <t>Credit Card</t>
        </is>
      </c>
      <c r="X280" t="inlineStr">
        <is>
          <t>Medium</t>
        </is>
      </c>
    </row>
    <row r="281">
      <c r="A281" t="inlineStr">
        <is>
          <t>ORD-00280</t>
        </is>
      </c>
      <c r="B281" s="2" t="n">
        <v>45839</v>
      </c>
      <c r="C281" s="2" t="n">
        <v>45842</v>
      </c>
      <c r="D281" t="inlineStr">
        <is>
          <t>CUST-00280</t>
        </is>
      </c>
      <c r="E281" t="inlineStr">
        <is>
          <t>Customer 280</t>
        </is>
      </c>
      <c r="F281" t="inlineStr">
        <is>
          <t>Consumer</t>
        </is>
      </c>
      <c r="G281" t="inlineStr">
        <is>
          <t>P1018</t>
        </is>
      </c>
      <c r="H281" t="inlineStr">
        <is>
          <t>Northstar Lantern</t>
        </is>
      </c>
      <c r="I281" t="inlineStr">
        <is>
          <t>Office Supplies</t>
        </is>
      </c>
      <c r="J281" t="inlineStr">
        <is>
          <t>Coolers</t>
        </is>
      </c>
      <c r="K281" t="inlineStr">
        <is>
          <t>North</t>
        </is>
      </c>
      <c r="L281" t="inlineStr">
        <is>
          <t>Quebec</t>
        </is>
      </c>
      <c r="M281" t="inlineStr">
        <is>
          <t>Toronto</t>
        </is>
      </c>
      <c r="N281" t="inlineStr">
        <is>
          <t>Ava Patel</t>
        </is>
      </c>
      <c r="O281" t="n">
        <v>3</v>
      </c>
      <c r="P281" s="3" t="n">
        <v>94.93000000000001</v>
      </c>
      <c r="Q281" s="4" t="n">
        <v>0.016</v>
      </c>
      <c r="R281" s="3" t="n">
        <v>280.23</v>
      </c>
      <c r="S281" s="3" t="n">
        <v>129.2</v>
      </c>
      <c r="T281" s="3" t="n">
        <v>142.63</v>
      </c>
      <c r="U281" s="4" t="n">
        <v>0.509</v>
      </c>
      <c r="V281" s="3" t="n">
        <v>8.4</v>
      </c>
      <c r="W281" t="inlineStr">
        <is>
          <t>Debit Card</t>
        </is>
      </c>
      <c r="X281" t="inlineStr">
        <is>
          <t>Medium</t>
        </is>
      </c>
    </row>
    <row r="282">
      <c r="A282" t="inlineStr">
        <is>
          <t>ORD-00281</t>
        </is>
      </c>
      <c r="B282" s="2" t="n">
        <v>45861</v>
      </c>
      <c r="C282" s="2" t="n">
        <v>45866</v>
      </c>
      <c r="D282" t="inlineStr">
        <is>
          <t>CUST-00281</t>
        </is>
      </c>
      <c r="E282" t="inlineStr">
        <is>
          <t>Customer 281</t>
        </is>
      </c>
      <c r="F282" t="inlineStr">
        <is>
          <t>Consumer</t>
        </is>
      </c>
      <c r="G282" t="inlineStr">
        <is>
          <t>P1003</t>
        </is>
      </c>
      <c r="H282" t="inlineStr">
        <is>
          <t>SmartInk Pen Set</t>
        </is>
      </c>
      <c r="I282" t="inlineStr">
        <is>
          <t>Technology</t>
        </is>
      </c>
      <c r="J282" t="inlineStr">
        <is>
          <t>Writing</t>
        </is>
      </c>
      <c r="K282" t="inlineStr">
        <is>
          <t>Central</t>
        </is>
      </c>
      <c r="L282" t="inlineStr">
        <is>
          <t>Illinois</t>
        </is>
      </c>
      <c r="M282" t="inlineStr">
        <is>
          <t>St. Louis</t>
        </is>
      </c>
      <c r="N282" t="inlineStr">
        <is>
          <t>Sophia Singh</t>
        </is>
      </c>
      <c r="O282" t="n">
        <v>3</v>
      </c>
      <c r="P282" s="3" t="n">
        <v>160.9</v>
      </c>
      <c r="Q282" s="4" t="n">
        <v>0.018</v>
      </c>
      <c r="R282" s="3" t="n">
        <v>474.01</v>
      </c>
      <c r="S282" s="3" t="n">
        <v>247.73</v>
      </c>
      <c r="T282" s="3" t="n">
        <v>217.88</v>
      </c>
      <c r="U282" s="4" t="n">
        <v>0.4597</v>
      </c>
      <c r="V282" s="3" t="n">
        <v>8.4</v>
      </c>
      <c r="W282" t="inlineStr">
        <is>
          <t>Cash on Delivery</t>
        </is>
      </c>
      <c r="X282" t="inlineStr">
        <is>
          <t>Medium</t>
        </is>
      </c>
    </row>
    <row r="283">
      <c r="A283" t="inlineStr">
        <is>
          <t>ORD-00282</t>
        </is>
      </c>
      <c r="B283" s="2" t="n">
        <v>45312</v>
      </c>
      <c r="C283" s="2" t="n">
        <v>45316</v>
      </c>
      <c r="D283" t="inlineStr">
        <is>
          <t>CUST-00282</t>
        </is>
      </c>
      <c r="E283" t="inlineStr">
        <is>
          <t>Customer 282</t>
        </is>
      </c>
      <c r="F283" t="inlineStr">
        <is>
          <t>Consumer</t>
        </is>
      </c>
      <c r="G283" t="inlineStr">
        <is>
          <t>P1014</t>
        </is>
      </c>
      <c r="H283" t="inlineStr">
        <is>
          <t>Pulse Keyboard</t>
        </is>
      </c>
      <c r="I283" t="inlineStr">
        <is>
          <t>Technology</t>
        </is>
      </c>
      <c r="J283" t="inlineStr">
        <is>
          <t>Peripherals</t>
        </is>
      </c>
      <c r="K283" t="inlineStr">
        <is>
          <t>Central</t>
        </is>
      </c>
      <c r="L283" t="inlineStr">
        <is>
          <t>Illinois</t>
        </is>
      </c>
      <c r="M283" t="inlineStr">
        <is>
          <t>Minneapolis</t>
        </is>
      </c>
      <c r="N283" t="inlineStr">
        <is>
          <t>Sophia Singh</t>
        </is>
      </c>
      <c r="O283" t="n">
        <v>3</v>
      </c>
      <c r="P283" s="3" t="n">
        <v>41.02</v>
      </c>
      <c r="Q283" s="4" t="n">
        <v>0.023</v>
      </c>
      <c r="R283" s="3" t="n">
        <v>120.23</v>
      </c>
      <c r="S283" s="3" t="n">
        <v>58.53</v>
      </c>
      <c r="T283" s="3" t="n">
        <v>53.3</v>
      </c>
      <c r="U283" s="4" t="n">
        <v>0.4433</v>
      </c>
      <c r="V283" s="3" t="n">
        <v>8.4</v>
      </c>
      <c r="W283" t="inlineStr">
        <is>
          <t>PayPal</t>
        </is>
      </c>
      <c r="X283" t="inlineStr">
        <is>
          <t>Medium</t>
        </is>
      </c>
    </row>
    <row r="284">
      <c r="A284" t="inlineStr">
        <is>
          <t>ORD-00283</t>
        </is>
      </c>
      <c r="B284" s="2" t="n">
        <v>45618</v>
      </c>
      <c r="C284" s="2" t="n">
        <v>45623</v>
      </c>
      <c r="D284" t="inlineStr">
        <is>
          <t>CUST-00283</t>
        </is>
      </c>
      <c r="E284" t="inlineStr">
        <is>
          <t>Customer 283</t>
        </is>
      </c>
      <c r="F284" t="inlineStr">
        <is>
          <t>Consumer</t>
        </is>
      </c>
      <c r="G284" t="inlineStr">
        <is>
          <t>P1001</t>
        </is>
      </c>
      <c r="H284" t="inlineStr">
        <is>
          <t>SmartInk Pen Set</t>
        </is>
      </c>
      <c r="I284" t="inlineStr">
        <is>
          <t>Office Supplies</t>
        </is>
      </c>
      <c r="J284" t="inlineStr">
        <is>
          <t>Peripherals</t>
        </is>
      </c>
      <c r="K284" t="inlineStr">
        <is>
          <t>South</t>
        </is>
      </c>
      <c r="L284" t="inlineStr">
        <is>
          <t>Florida</t>
        </is>
      </c>
      <c r="M284" t="inlineStr">
        <is>
          <t>Dallas</t>
        </is>
      </c>
      <c r="N284" t="inlineStr">
        <is>
          <t>James Carter</t>
        </is>
      </c>
      <c r="O284" t="n">
        <v>2</v>
      </c>
      <c r="P284" s="3" t="n">
        <v>300.06</v>
      </c>
      <c r="Q284" s="4" t="n">
        <v>0.024</v>
      </c>
      <c r="R284" s="3" t="n">
        <v>585.72</v>
      </c>
      <c r="S284" s="3" t="n">
        <v>349.55</v>
      </c>
      <c r="T284" s="3" t="n">
        <v>228.57</v>
      </c>
      <c r="U284" s="4" t="n">
        <v>0.3902</v>
      </c>
      <c r="V284" s="3" t="n">
        <v>7.6</v>
      </c>
      <c r="W284" t="inlineStr">
        <is>
          <t>Bank Transfer</t>
        </is>
      </c>
      <c r="X284" t="inlineStr">
        <is>
          <t>Medium</t>
        </is>
      </c>
    </row>
    <row r="285">
      <c r="A285" t="inlineStr">
        <is>
          <t>ORD-00284</t>
        </is>
      </c>
      <c r="B285" s="2" t="n">
        <v>44939</v>
      </c>
      <c r="C285" s="2" t="n">
        <v>44943</v>
      </c>
      <c r="D285" t="inlineStr">
        <is>
          <t>CUST-00284</t>
        </is>
      </c>
      <c r="E285" t="inlineStr">
        <is>
          <t>Customer 284</t>
        </is>
      </c>
      <c r="F285" t="inlineStr">
        <is>
          <t>Corporate</t>
        </is>
      </c>
      <c r="G285" t="inlineStr">
        <is>
          <t>P1007</t>
        </is>
      </c>
      <c r="H285" t="inlineStr">
        <is>
          <t>Harbor Rug</t>
        </is>
      </c>
      <c r="I285" t="inlineStr">
        <is>
          <t>Office Supplies</t>
        </is>
      </c>
      <c r="J285" t="inlineStr">
        <is>
          <t>Bags</t>
        </is>
      </c>
      <c r="K285" t="inlineStr">
        <is>
          <t>South</t>
        </is>
      </c>
      <c r="L285" t="inlineStr">
        <is>
          <t>Texas</t>
        </is>
      </c>
      <c r="M285" t="inlineStr">
        <is>
          <t>Miami</t>
        </is>
      </c>
      <c r="N285" t="inlineStr">
        <is>
          <t>Noah Kim</t>
        </is>
      </c>
      <c r="O285" t="n">
        <v>1</v>
      </c>
      <c r="P285" s="3" t="n">
        <v>24.49</v>
      </c>
      <c r="Q285" s="4" t="n">
        <v>0.015</v>
      </c>
      <c r="R285" s="3" t="n">
        <v>24.12</v>
      </c>
      <c r="S285" s="3" t="n">
        <v>17.62</v>
      </c>
      <c r="T285" s="3" t="n">
        <v>-0.3</v>
      </c>
      <c r="U285" s="4" t="n">
        <v>-0.0124</v>
      </c>
      <c r="V285" s="3" t="n">
        <v>6.8</v>
      </c>
      <c r="W285" t="inlineStr">
        <is>
          <t>Credit Card</t>
        </is>
      </c>
      <c r="X285" t="inlineStr">
        <is>
          <t>Low</t>
        </is>
      </c>
    </row>
    <row r="286">
      <c r="A286" t="inlineStr">
        <is>
          <t>ORD-00285</t>
        </is>
      </c>
      <c r="B286" s="2" t="n">
        <v>45634</v>
      </c>
      <c r="C286" s="2" t="n">
        <v>45640</v>
      </c>
      <c r="D286" t="inlineStr">
        <is>
          <t>CUST-00285</t>
        </is>
      </c>
      <c r="E286" t="inlineStr">
        <is>
          <t>Customer 285</t>
        </is>
      </c>
      <c r="F286" t="inlineStr">
        <is>
          <t>Consumer</t>
        </is>
      </c>
      <c r="G286" t="inlineStr">
        <is>
          <t>P1002</t>
        </is>
      </c>
      <c r="H286" t="inlineStr">
        <is>
          <t>Cove Wall Clock</t>
        </is>
      </c>
      <c r="I286" t="inlineStr">
        <is>
          <t>Outdoor</t>
        </is>
      </c>
      <c r="J286" t="inlineStr">
        <is>
          <t>Bags</t>
        </is>
      </c>
      <c r="K286" t="inlineStr">
        <is>
          <t>North</t>
        </is>
      </c>
      <c r="L286" t="inlineStr">
        <is>
          <t>Ontario</t>
        </is>
      </c>
      <c r="M286" t="inlineStr">
        <is>
          <t>Toronto</t>
        </is>
      </c>
      <c r="N286" t="inlineStr">
        <is>
          <t>Ava Patel</t>
        </is>
      </c>
      <c r="O286" t="n">
        <v>4</v>
      </c>
      <c r="P286" s="3" t="n">
        <v>85.90000000000001</v>
      </c>
      <c r="Q286" s="4" t="n">
        <v>0.003</v>
      </c>
      <c r="R286" s="3" t="n">
        <v>342.57</v>
      </c>
      <c r="S286" s="3" t="n">
        <v>161.87</v>
      </c>
      <c r="T286" s="3" t="n">
        <v>171.5</v>
      </c>
      <c r="U286" s="4" t="n">
        <v>0.5006</v>
      </c>
      <c r="V286" s="3" t="n">
        <v>9.199999999999999</v>
      </c>
      <c r="W286" t="inlineStr">
        <is>
          <t>Debit Card</t>
        </is>
      </c>
      <c r="X286" t="inlineStr">
        <is>
          <t>Medium</t>
        </is>
      </c>
    </row>
    <row r="287">
      <c r="A287" t="inlineStr">
        <is>
          <t>ORD-00286</t>
        </is>
      </c>
      <c r="B287" s="2" t="n">
        <v>45120</v>
      </c>
      <c r="C287" s="2" t="n">
        <v>45122</v>
      </c>
      <c r="D287" t="inlineStr">
        <is>
          <t>CUST-00286</t>
        </is>
      </c>
      <c r="E287" t="inlineStr">
        <is>
          <t>Customer 286</t>
        </is>
      </c>
      <c r="F287" t="inlineStr">
        <is>
          <t>Corporate</t>
        </is>
      </c>
      <c r="G287" t="inlineStr">
        <is>
          <t>P1010</t>
        </is>
      </c>
      <c r="H287" t="inlineStr">
        <is>
          <t>Pulse Keyboard</t>
        </is>
      </c>
      <c r="I287" t="inlineStr">
        <is>
          <t>Home Decor</t>
        </is>
      </c>
      <c r="J287" t="inlineStr">
        <is>
          <t>Plants</t>
        </is>
      </c>
      <c r="K287" t="inlineStr">
        <is>
          <t>West</t>
        </is>
      </c>
      <c r="L287" t="inlineStr">
        <is>
          <t>Oregon</t>
        </is>
      </c>
      <c r="M287" t="inlineStr">
        <is>
          <t>San Francisco</t>
        </is>
      </c>
      <c r="N287" t="inlineStr">
        <is>
          <t>Noah Kim</t>
        </is>
      </c>
      <c r="O287" t="n">
        <v>2</v>
      </c>
      <c r="P287" s="3" t="n">
        <v>56.69</v>
      </c>
      <c r="Q287" s="4" t="n">
        <v>0.029</v>
      </c>
      <c r="R287" s="3" t="n">
        <v>110.09</v>
      </c>
      <c r="S287" s="3" t="n">
        <v>49.97</v>
      </c>
      <c r="T287" s="3" t="n">
        <v>51.52</v>
      </c>
      <c r="U287" s="4" t="n">
        <v>0.468</v>
      </c>
      <c r="V287" s="3" t="n">
        <v>8.6</v>
      </c>
      <c r="W287" t="inlineStr">
        <is>
          <t>Credit Card</t>
        </is>
      </c>
      <c r="X287" t="inlineStr">
        <is>
          <t>Medium</t>
        </is>
      </c>
    </row>
    <row r="288">
      <c r="A288" t="inlineStr">
        <is>
          <t>ORD-00287</t>
        </is>
      </c>
      <c r="B288" s="2" t="n">
        <v>45428</v>
      </c>
      <c r="C288" s="2" t="n">
        <v>45431</v>
      </c>
      <c r="D288" t="inlineStr">
        <is>
          <t>CUST-00287</t>
        </is>
      </c>
      <c r="E288" t="inlineStr">
        <is>
          <t>Customer 287</t>
        </is>
      </c>
      <c r="F288" t="inlineStr">
        <is>
          <t>Home Office</t>
        </is>
      </c>
      <c r="G288" t="inlineStr">
        <is>
          <t>P1016</t>
        </is>
      </c>
      <c r="H288" t="inlineStr">
        <is>
          <t>CloudDrive File Box</t>
        </is>
      </c>
      <c r="I288" t="inlineStr">
        <is>
          <t>Home Decor</t>
        </is>
      </c>
      <c r="J288" t="inlineStr">
        <is>
          <t>Furniture</t>
        </is>
      </c>
      <c r="K288" t="inlineStr">
        <is>
          <t>East</t>
        </is>
      </c>
      <c r="L288" t="inlineStr">
        <is>
          <t>Virginia</t>
        </is>
      </c>
      <c r="M288" t="inlineStr">
        <is>
          <t>Washington</t>
        </is>
      </c>
      <c r="N288" t="inlineStr">
        <is>
          <t>Ava Patel</t>
        </is>
      </c>
      <c r="O288" t="n">
        <v>3</v>
      </c>
      <c r="P288" s="3" t="n">
        <v>37.28</v>
      </c>
      <c r="Q288" s="4" t="n">
        <v>0.036</v>
      </c>
      <c r="R288" s="3" t="n">
        <v>107.81</v>
      </c>
      <c r="S288" s="3" t="n">
        <v>49.3</v>
      </c>
      <c r="T288" s="3" t="n">
        <v>49.11</v>
      </c>
      <c r="U288" s="4" t="n">
        <v>0.4555</v>
      </c>
      <c r="V288" s="3" t="n">
        <v>9.4</v>
      </c>
      <c r="W288" t="inlineStr">
        <is>
          <t>Credit Card</t>
        </is>
      </c>
      <c r="X288" t="inlineStr">
        <is>
          <t>Critical</t>
        </is>
      </c>
    </row>
    <row r="289">
      <c r="A289" t="inlineStr">
        <is>
          <t>ORD-00288</t>
        </is>
      </c>
      <c r="B289" s="2" t="n">
        <v>45628</v>
      </c>
      <c r="C289" s="2" t="n">
        <v>45629</v>
      </c>
      <c r="D289" t="inlineStr">
        <is>
          <t>CUST-00288</t>
        </is>
      </c>
      <c r="E289" t="inlineStr">
        <is>
          <t>Customer 288</t>
        </is>
      </c>
      <c r="F289" t="inlineStr">
        <is>
          <t>Consumer</t>
        </is>
      </c>
      <c r="G289" t="inlineStr">
        <is>
          <t>P1012</t>
        </is>
      </c>
      <c r="H289" t="inlineStr">
        <is>
          <t>Echo Web Camera</t>
        </is>
      </c>
      <c r="I289" t="inlineStr">
        <is>
          <t>Office Supplies</t>
        </is>
      </c>
      <c r="J289" t="inlineStr">
        <is>
          <t>Accessories</t>
        </is>
      </c>
      <c r="K289" t="inlineStr">
        <is>
          <t>West</t>
        </is>
      </c>
      <c r="L289" t="inlineStr">
        <is>
          <t>Washington</t>
        </is>
      </c>
      <c r="M289" t="inlineStr">
        <is>
          <t>Seattle</t>
        </is>
      </c>
      <c r="N289" t="inlineStr">
        <is>
          <t>Ethan Brooks</t>
        </is>
      </c>
      <c r="O289" t="n">
        <v>3</v>
      </c>
      <c r="P289" s="3" t="n">
        <v>148.3</v>
      </c>
      <c r="Q289" s="4" t="n">
        <v>0.027</v>
      </c>
      <c r="R289" s="3" t="n">
        <v>432.89</v>
      </c>
      <c r="S289" s="3" t="n">
        <v>221.05</v>
      </c>
      <c r="T289" s="3" t="n">
        <v>202.44</v>
      </c>
      <c r="U289" s="4" t="n">
        <v>0.4676</v>
      </c>
      <c r="V289" s="3" t="n">
        <v>9.4</v>
      </c>
      <c r="W289" t="inlineStr">
        <is>
          <t>Bank Transfer</t>
        </is>
      </c>
      <c r="X289" t="inlineStr">
        <is>
          <t>High</t>
        </is>
      </c>
    </row>
    <row r="290">
      <c r="A290" t="inlineStr">
        <is>
          <t>ORD-00289</t>
        </is>
      </c>
      <c r="B290" s="2" t="n">
        <v>44939</v>
      </c>
      <c r="C290" s="2" t="n">
        <v>44940</v>
      </c>
      <c r="D290" t="inlineStr">
        <is>
          <t>CUST-00289</t>
        </is>
      </c>
      <c r="E290" t="inlineStr">
        <is>
          <t>Customer 289</t>
        </is>
      </c>
      <c r="F290" t="inlineStr">
        <is>
          <t>Home Office</t>
        </is>
      </c>
      <c r="G290" t="inlineStr">
        <is>
          <t>P1018</t>
        </is>
      </c>
      <c r="H290" t="inlineStr">
        <is>
          <t>Halo Planter</t>
        </is>
      </c>
      <c r="I290" t="inlineStr">
        <is>
          <t>Home Decor</t>
        </is>
      </c>
      <c r="J290" t="inlineStr">
        <is>
          <t>Peripherals</t>
        </is>
      </c>
      <c r="K290" t="inlineStr">
        <is>
          <t>West</t>
        </is>
      </c>
      <c r="L290" t="inlineStr">
        <is>
          <t>Colorado</t>
        </is>
      </c>
      <c r="M290" t="inlineStr">
        <is>
          <t>San Francisco</t>
        </is>
      </c>
      <c r="N290" t="inlineStr">
        <is>
          <t>James Carter</t>
        </is>
      </c>
      <c r="O290" t="n">
        <v>5</v>
      </c>
      <c r="P290" s="3" t="n">
        <v>88.73</v>
      </c>
      <c r="Q290" s="4" t="n">
        <v>0.03</v>
      </c>
      <c r="R290" s="3" t="n">
        <v>430.34</v>
      </c>
      <c r="S290" s="3" t="n">
        <v>196.36</v>
      </c>
      <c r="T290" s="3" t="n">
        <v>222.98</v>
      </c>
      <c r="U290" s="4" t="n">
        <v>0.5181</v>
      </c>
      <c r="V290" s="3" t="n">
        <v>11</v>
      </c>
      <c r="W290" t="inlineStr">
        <is>
          <t>PayPal</t>
        </is>
      </c>
      <c r="X290" t="inlineStr">
        <is>
          <t>Medium</t>
        </is>
      </c>
    </row>
    <row r="291">
      <c r="A291" t="inlineStr">
        <is>
          <t>ORD-00290</t>
        </is>
      </c>
      <c r="B291" s="2" t="n">
        <v>45522</v>
      </c>
      <c r="C291" s="2" t="n">
        <v>45528</v>
      </c>
      <c r="D291" t="inlineStr">
        <is>
          <t>CUST-00290</t>
        </is>
      </c>
      <c r="E291" t="inlineStr">
        <is>
          <t>Customer 290</t>
        </is>
      </c>
      <c r="F291" t="inlineStr">
        <is>
          <t>Consumer</t>
        </is>
      </c>
      <c r="G291" t="inlineStr">
        <is>
          <t>P1006</t>
        </is>
      </c>
      <c r="H291" t="inlineStr">
        <is>
          <t>Orbit Wireless Mouse</t>
        </is>
      </c>
      <c r="I291" t="inlineStr">
        <is>
          <t>Furniture</t>
        </is>
      </c>
      <c r="J291" t="inlineStr">
        <is>
          <t>Flooring</t>
        </is>
      </c>
      <c r="K291" t="inlineStr">
        <is>
          <t>West</t>
        </is>
      </c>
      <c r="L291" t="inlineStr">
        <is>
          <t>Colorado</t>
        </is>
      </c>
      <c r="M291" t="inlineStr">
        <is>
          <t>Denver</t>
        </is>
      </c>
      <c r="N291" t="inlineStr">
        <is>
          <t>James Carter</t>
        </is>
      </c>
      <c r="O291" t="n">
        <v>1</v>
      </c>
      <c r="P291" s="3" t="n">
        <v>20.4</v>
      </c>
      <c r="Q291" s="4" t="n">
        <v>0.021</v>
      </c>
      <c r="R291" s="3" t="n">
        <v>19.97</v>
      </c>
      <c r="S291" s="3" t="n">
        <v>13.19</v>
      </c>
      <c r="T291" s="3" t="n">
        <v>-1.02</v>
      </c>
      <c r="U291" s="4" t="n">
        <v>-0.0511</v>
      </c>
      <c r="V291" s="3" t="n">
        <v>7.8</v>
      </c>
      <c r="W291" t="inlineStr">
        <is>
          <t>Credit Card</t>
        </is>
      </c>
      <c r="X291" t="inlineStr">
        <is>
          <t>High</t>
        </is>
      </c>
    </row>
    <row r="292">
      <c r="A292" t="inlineStr">
        <is>
          <t>ORD-00291</t>
        </is>
      </c>
      <c r="B292" s="2" t="n">
        <v>45141</v>
      </c>
      <c r="C292" s="2" t="n">
        <v>45148</v>
      </c>
      <c r="D292" t="inlineStr">
        <is>
          <t>CUST-00291</t>
        </is>
      </c>
      <c r="E292" t="inlineStr">
        <is>
          <t>Customer 291</t>
        </is>
      </c>
      <c r="F292" t="inlineStr">
        <is>
          <t>Home Office</t>
        </is>
      </c>
      <c r="G292" t="inlineStr">
        <is>
          <t>P1017</t>
        </is>
      </c>
      <c r="H292" t="inlineStr">
        <is>
          <t>Lumen Desk Lamp</t>
        </is>
      </c>
      <c r="I292" t="inlineStr">
        <is>
          <t>Technology</t>
        </is>
      </c>
      <c r="J292" t="inlineStr">
        <is>
          <t>Binders</t>
        </is>
      </c>
      <c r="K292" t="inlineStr">
        <is>
          <t>East</t>
        </is>
      </c>
      <c r="L292" t="inlineStr">
        <is>
          <t>Virginia</t>
        </is>
      </c>
      <c r="M292" t="inlineStr">
        <is>
          <t>Washington</t>
        </is>
      </c>
      <c r="N292" t="inlineStr">
        <is>
          <t>Ava Patel</t>
        </is>
      </c>
      <c r="O292" t="n">
        <v>3</v>
      </c>
      <c r="P292" s="3" t="n">
        <v>609.24</v>
      </c>
      <c r="Q292" s="4" t="n">
        <v>0.049</v>
      </c>
      <c r="R292" s="3" t="n">
        <v>1738.16</v>
      </c>
      <c r="S292" s="3" t="n">
        <v>1156.15</v>
      </c>
      <c r="T292" s="3" t="n">
        <v>572.61</v>
      </c>
      <c r="U292" s="4" t="n">
        <v>0.3294</v>
      </c>
      <c r="V292" s="3" t="n">
        <v>9.4</v>
      </c>
      <c r="W292" t="inlineStr">
        <is>
          <t>Bank Transfer</t>
        </is>
      </c>
      <c r="X292" t="inlineStr">
        <is>
          <t>High</t>
        </is>
      </c>
    </row>
    <row r="293">
      <c r="A293" t="inlineStr">
        <is>
          <t>ORD-00292</t>
        </is>
      </c>
      <c r="B293" s="2" t="n">
        <v>45029</v>
      </c>
      <c r="C293" s="2" t="n">
        <v>45031</v>
      </c>
      <c r="D293" t="inlineStr">
        <is>
          <t>CUST-00292</t>
        </is>
      </c>
      <c r="E293" t="inlineStr">
        <is>
          <t>Customer 292</t>
        </is>
      </c>
      <c r="F293" t="inlineStr">
        <is>
          <t>Home Office</t>
        </is>
      </c>
      <c r="G293" t="inlineStr">
        <is>
          <t>P1008</t>
        </is>
      </c>
      <c r="H293" t="inlineStr">
        <is>
          <t>Harbor Rug</t>
        </is>
      </c>
      <c r="I293" t="inlineStr">
        <is>
          <t>Furniture</t>
        </is>
      </c>
      <c r="J293" t="inlineStr">
        <is>
          <t>Decor</t>
        </is>
      </c>
      <c r="K293" t="inlineStr">
        <is>
          <t>East</t>
        </is>
      </c>
      <c r="L293" t="inlineStr">
        <is>
          <t>Virginia</t>
        </is>
      </c>
      <c r="M293" t="inlineStr">
        <is>
          <t>Washington</t>
        </is>
      </c>
      <c r="N293" t="inlineStr">
        <is>
          <t>Olivia Martin</t>
        </is>
      </c>
      <c r="O293" t="n">
        <v>5</v>
      </c>
      <c r="P293" s="3" t="n">
        <v>34.51</v>
      </c>
      <c r="Q293" s="4" t="n">
        <v>0.011</v>
      </c>
      <c r="R293" s="3" t="n">
        <v>170.65</v>
      </c>
      <c r="S293" s="3" t="n">
        <v>70.67</v>
      </c>
      <c r="T293" s="3" t="n">
        <v>88.98</v>
      </c>
      <c r="U293" s="4" t="n">
        <v>0.5214</v>
      </c>
      <c r="V293" s="3" t="n">
        <v>11</v>
      </c>
      <c r="W293" t="inlineStr">
        <is>
          <t>Bank Transfer</t>
        </is>
      </c>
      <c r="X293" t="inlineStr">
        <is>
          <t>Medium</t>
        </is>
      </c>
    </row>
    <row r="294">
      <c r="A294" t="inlineStr">
        <is>
          <t>ORD-00293</t>
        </is>
      </c>
      <c r="B294" s="2" t="n">
        <v>45827</v>
      </c>
      <c r="C294" s="2" t="n">
        <v>45831</v>
      </c>
      <c r="D294" t="inlineStr">
        <is>
          <t>CUST-00293</t>
        </is>
      </c>
      <c r="E294" t="inlineStr">
        <is>
          <t>Customer 293</t>
        </is>
      </c>
      <c r="F294" t="inlineStr">
        <is>
          <t>Consumer</t>
        </is>
      </c>
      <c r="G294" t="inlineStr">
        <is>
          <t>P1009</t>
        </is>
      </c>
      <c r="H294" t="inlineStr">
        <is>
          <t>Orbit Wireless Mouse</t>
        </is>
      </c>
      <c r="I294" t="inlineStr">
        <is>
          <t>Outdoor</t>
        </is>
      </c>
      <c r="J294" t="inlineStr">
        <is>
          <t>Peripherals</t>
        </is>
      </c>
      <c r="K294" t="inlineStr">
        <is>
          <t>East</t>
        </is>
      </c>
      <c r="L294" t="inlineStr">
        <is>
          <t>New York</t>
        </is>
      </c>
      <c r="M294" t="inlineStr">
        <is>
          <t>Washington</t>
        </is>
      </c>
      <c r="N294" t="inlineStr">
        <is>
          <t>Sophia Singh</t>
        </is>
      </c>
      <c r="O294" t="n">
        <v>2</v>
      </c>
      <c r="P294" s="3" t="n">
        <v>98.83</v>
      </c>
      <c r="Q294" s="4" t="n">
        <v>0.024</v>
      </c>
      <c r="R294" s="3" t="n">
        <v>192.92</v>
      </c>
      <c r="S294" s="3" t="n">
        <v>95.23</v>
      </c>
      <c r="T294" s="3" t="n">
        <v>89.09</v>
      </c>
      <c r="U294" s="4" t="n">
        <v>0.4618</v>
      </c>
      <c r="V294" s="3" t="n">
        <v>8.6</v>
      </c>
      <c r="W294" t="inlineStr">
        <is>
          <t>Debit Card</t>
        </is>
      </c>
      <c r="X294" t="inlineStr">
        <is>
          <t>Medium</t>
        </is>
      </c>
    </row>
    <row r="295">
      <c r="A295" t="inlineStr">
        <is>
          <t>ORD-00294</t>
        </is>
      </c>
      <c r="B295" s="2" t="n">
        <v>45548</v>
      </c>
      <c r="C295" s="2" t="n">
        <v>45550</v>
      </c>
      <c r="D295" t="inlineStr">
        <is>
          <t>CUST-00294</t>
        </is>
      </c>
      <c r="E295" t="inlineStr">
        <is>
          <t>Customer 294</t>
        </is>
      </c>
      <c r="F295" t="inlineStr">
        <is>
          <t>Consumer</t>
        </is>
      </c>
      <c r="G295" t="inlineStr">
        <is>
          <t>P1019</t>
        </is>
      </c>
      <c r="H295" t="inlineStr">
        <is>
          <t>Summit Patio Set</t>
        </is>
      </c>
      <c r="I295" t="inlineStr">
        <is>
          <t>Technology</t>
        </is>
      </c>
      <c r="J295" t="inlineStr">
        <is>
          <t>Flooring</t>
        </is>
      </c>
      <c r="K295" t="inlineStr">
        <is>
          <t>South</t>
        </is>
      </c>
      <c r="L295" t="inlineStr">
        <is>
          <t>North Carolina</t>
        </is>
      </c>
      <c r="M295" t="inlineStr">
        <is>
          <t>Houston</t>
        </is>
      </c>
      <c r="N295" t="inlineStr">
        <is>
          <t>James Carter</t>
        </is>
      </c>
      <c r="O295" t="n">
        <v>1</v>
      </c>
      <c r="P295" s="3" t="n">
        <v>52.39</v>
      </c>
      <c r="Q295" s="4" t="n">
        <v>0.014</v>
      </c>
      <c r="R295" s="3" t="n">
        <v>51.66</v>
      </c>
      <c r="S295" s="3" t="n">
        <v>28.77</v>
      </c>
      <c r="T295" s="3" t="n">
        <v>16.09</v>
      </c>
      <c r="U295" s="4" t="n">
        <v>0.3115</v>
      </c>
      <c r="V295" s="3" t="n">
        <v>6.8</v>
      </c>
      <c r="W295" t="inlineStr">
        <is>
          <t>Credit Card</t>
        </is>
      </c>
      <c r="X295" t="inlineStr">
        <is>
          <t>Low</t>
        </is>
      </c>
    </row>
    <row r="296">
      <c r="A296" t="inlineStr">
        <is>
          <t>ORD-00295</t>
        </is>
      </c>
      <c r="B296" s="2" t="n">
        <v>45218</v>
      </c>
      <c r="C296" s="2" t="n">
        <v>45221</v>
      </c>
      <c r="D296" t="inlineStr">
        <is>
          <t>CUST-00295</t>
        </is>
      </c>
      <c r="E296" t="inlineStr">
        <is>
          <t>Customer 295</t>
        </is>
      </c>
      <c r="F296" t="inlineStr">
        <is>
          <t>Consumer</t>
        </is>
      </c>
      <c r="G296" t="inlineStr">
        <is>
          <t>P1002</t>
        </is>
      </c>
      <c r="H296" t="inlineStr">
        <is>
          <t>Orbit Wireless Mouse</t>
        </is>
      </c>
      <c r="I296" t="inlineStr">
        <is>
          <t>Outdoor</t>
        </is>
      </c>
      <c r="J296" t="inlineStr">
        <is>
          <t>Furniture</t>
        </is>
      </c>
      <c r="K296" t="inlineStr">
        <is>
          <t>South</t>
        </is>
      </c>
      <c r="L296" t="inlineStr">
        <is>
          <t>North Carolina</t>
        </is>
      </c>
      <c r="M296" t="inlineStr">
        <is>
          <t>Houston</t>
        </is>
      </c>
      <c r="N296" t="inlineStr">
        <is>
          <t>Noah Kim</t>
        </is>
      </c>
      <c r="O296" t="n">
        <v>3</v>
      </c>
      <c r="P296" s="3" t="n">
        <v>87.29000000000001</v>
      </c>
      <c r="Q296" s="4" t="n">
        <v>0.004</v>
      </c>
      <c r="R296" s="3" t="n">
        <v>260.82</v>
      </c>
      <c r="S296" s="3" t="n">
        <v>124.54</v>
      </c>
      <c r="T296" s="3" t="n">
        <v>127.88</v>
      </c>
      <c r="U296" s="4" t="n">
        <v>0.4903</v>
      </c>
      <c r="V296" s="3" t="n">
        <v>8.4</v>
      </c>
      <c r="W296" t="inlineStr">
        <is>
          <t>Cash on Delivery</t>
        </is>
      </c>
      <c r="X296" t="inlineStr">
        <is>
          <t>Low</t>
        </is>
      </c>
    </row>
    <row r="297">
      <c r="A297" t="inlineStr">
        <is>
          <t>ORD-00296</t>
        </is>
      </c>
      <c r="B297" s="2" t="n">
        <v>45295</v>
      </c>
      <c r="C297" s="2" t="n">
        <v>45296</v>
      </c>
      <c r="D297" t="inlineStr">
        <is>
          <t>CUST-00296</t>
        </is>
      </c>
      <c r="E297" t="inlineStr">
        <is>
          <t>Customer 296</t>
        </is>
      </c>
      <c r="F297" t="inlineStr">
        <is>
          <t>Home Office</t>
        </is>
      </c>
      <c r="G297" t="inlineStr">
        <is>
          <t>P1007</t>
        </is>
      </c>
      <c r="H297" t="inlineStr">
        <is>
          <t>ProClip Binder</t>
        </is>
      </c>
      <c r="I297" t="inlineStr">
        <is>
          <t>Office Supplies</t>
        </is>
      </c>
      <c r="J297" t="inlineStr">
        <is>
          <t>Decor</t>
        </is>
      </c>
      <c r="K297" t="inlineStr">
        <is>
          <t>East</t>
        </is>
      </c>
      <c r="L297" t="inlineStr">
        <is>
          <t>New Jersey</t>
        </is>
      </c>
      <c r="M297" t="inlineStr">
        <is>
          <t>New York</t>
        </is>
      </c>
      <c r="N297" t="inlineStr">
        <is>
          <t>Sophia Singh</t>
        </is>
      </c>
      <c r="O297" t="n">
        <v>2</v>
      </c>
      <c r="P297" s="3" t="n">
        <v>25.68</v>
      </c>
      <c r="Q297" s="4" t="n">
        <v>0.019</v>
      </c>
      <c r="R297" s="3" t="n">
        <v>50.38</v>
      </c>
      <c r="S297" s="3" t="n">
        <v>20.84</v>
      </c>
      <c r="T297" s="3" t="n">
        <v>20.94</v>
      </c>
      <c r="U297" s="4" t="n">
        <v>0.4156</v>
      </c>
      <c r="V297" s="3" t="n">
        <v>8.6</v>
      </c>
      <c r="W297" t="inlineStr">
        <is>
          <t>PayPal</t>
        </is>
      </c>
      <c r="X297" t="inlineStr">
        <is>
          <t>Medium</t>
        </is>
      </c>
    </row>
    <row r="298">
      <c r="A298" t="inlineStr">
        <is>
          <t>ORD-00297</t>
        </is>
      </c>
      <c r="B298" s="2" t="n">
        <v>46010</v>
      </c>
      <c r="C298" s="2" t="n">
        <v>46015</v>
      </c>
      <c r="D298" t="inlineStr">
        <is>
          <t>CUST-00297</t>
        </is>
      </c>
      <c r="E298" t="inlineStr">
        <is>
          <t>Customer 297</t>
        </is>
      </c>
      <c r="F298" t="inlineStr">
        <is>
          <t>Home Office</t>
        </is>
      </c>
      <c r="G298" t="inlineStr">
        <is>
          <t>P1011</t>
        </is>
      </c>
      <c r="H298" t="inlineStr">
        <is>
          <t>Trail Tote</t>
        </is>
      </c>
      <c r="I298" t="inlineStr">
        <is>
          <t>Technology</t>
        </is>
      </c>
      <c r="J298" t="inlineStr">
        <is>
          <t>Decor</t>
        </is>
      </c>
      <c r="K298" t="inlineStr">
        <is>
          <t>West</t>
        </is>
      </c>
      <c r="L298" t="inlineStr">
        <is>
          <t>California</t>
        </is>
      </c>
      <c r="M298" t="inlineStr">
        <is>
          <t>San Francisco</t>
        </is>
      </c>
      <c r="N298" t="inlineStr">
        <is>
          <t>Ava Patel</t>
        </is>
      </c>
      <c r="O298" t="n">
        <v>4</v>
      </c>
      <c r="P298" s="3" t="n">
        <v>100.89</v>
      </c>
      <c r="Q298" s="4" t="n">
        <v>0.05599999999999999</v>
      </c>
      <c r="R298" s="3" t="n">
        <v>380.96</v>
      </c>
      <c r="S298" s="3" t="n">
        <v>187.09</v>
      </c>
      <c r="T298" s="3" t="n">
        <v>183.67</v>
      </c>
      <c r="U298" s="4" t="n">
        <v>0.4821</v>
      </c>
      <c r="V298" s="3" t="n">
        <v>10.2</v>
      </c>
      <c r="W298" t="inlineStr">
        <is>
          <t>Bank Transfer</t>
        </is>
      </c>
      <c r="X298" t="inlineStr">
        <is>
          <t>High</t>
        </is>
      </c>
    </row>
    <row r="299">
      <c r="A299" t="inlineStr">
        <is>
          <t>ORD-00298</t>
        </is>
      </c>
      <c r="B299" s="2" t="n">
        <v>45003</v>
      </c>
      <c r="C299" s="2" t="n">
        <v>45004</v>
      </c>
      <c r="D299" t="inlineStr">
        <is>
          <t>CUST-00298</t>
        </is>
      </c>
      <c r="E299" t="inlineStr">
        <is>
          <t>Customer 298</t>
        </is>
      </c>
      <c r="F299" t="inlineStr">
        <is>
          <t>Consumer</t>
        </is>
      </c>
      <c r="G299" t="inlineStr">
        <is>
          <t>P1013</t>
        </is>
      </c>
      <c r="H299" t="inlineStr">
        <is>
          <t>ErgoMesh Chair</t>
        </is>
      </c>
      <c r="I299" t="inlineStr">
        <is>
          <t>Outdoor</t>
        </is>
      </c>
      <c r="J299" t="inlineStr">
        <is>
          <t>Desks</t>
        </is>
      </c>
      <c r="K299" t="inlineStr">
        <is>
          <t>West</t>
        </is>
      </c>
      <c r="L299" t="inlineStr">
        <is>
          <t>California</t>
        </is>
      </c>
      <c r="M299" t="inlineStr">
        <is>
          <t>San Francisco</t>
        </is>
      </c>
      <c r="N299" t="inlineStr">
        <is>
          <t>Sophia Singh</t>
        </is>
      </c>
      <c r="O299" t="n">
        <v>4</v>
      </c>
      <c r="P299" s="3" t="n">
        <v>163.98</v>
      </c>
      <c r="Q299" s="4" t="n">
        <v>0.027</v>
      </c>
      <c r="R299" s="3" t="n">
        <v>638.21</v>
      </c>
      <c r="S299" s="3" t="n">
        <v>369.33</v>
      </c>
      <c r="T299" s="3" t="n">
        <v>258.68</v>
      </c>
      <c r="U299" s="4" t="n">
        <v>0.4053</v>
      </c>
      <c r="V299" s="3" t="n">
        <v>10.2</v>
      </c>
      <c r="W299" t="inlineStr">
        <is>
          <t>Cash on Delivery</t>
        </is>
      </c>
      <c r="X299" t="inlineStr">
        <is>
          <t>High</t>
        </is>
      </c>
    </row>
    <row r="300">
      <c r="A300" t="inlineStr">
        <is>
          <t>ORD-00299</t>
        </is>
      </c>
      <c r="B300" s="2" t="n">
        <v>45407</v>
      </c>
      <c r="C300" s="2" t="n">
        <v>45414</v>
      </c>
      <c r="D300" t="inlineStr">
        <is>
          <t>CUST-00299</t>
        </is>
      </c>
      <c r="E300" t="inlineStr">
        <is>
          <t>Customer 299</t>
        </is>
      </c>
      <c r="F300" t="inlineStr">
        <is>
          <t>Corporate</t>
        </is>
      </c>
      <c r="G300" t="inlineStr">
        <is>
          <t>P1010</t>
        </is>
      </c>
      <c r="H300" t="inlineStr">
        <is>
          <t>Summit Patio Set</t>
        </is>
      </c>
      <c r="I300" t="inlineStr">
        <is>
          <t>Home Decor</t>
        </is>
      </c>
      <c r="J300" t="inlineStr">
        <is>
          <t>Desks</t>
        </is>
      </c>
      <c r="K300" t="inlineStr">
        <is>
          <t>West</t>
        </is>
      </c>
      <c r="L300" t="inlineStr">
        <is>
          <t>Washington</t>
        </is>
      </c>
      <c r="M300" t="inlineStr">
        <is>
          <t>San Francisco</t>
        </is>
      </c>
      <c r="N300" t="inlineStr">
        <is>
          <t>Noah Kim</t>
        </is>
      </c>
      <c r="O300" t="n">
        <v>1</v>
      </c>
      <c r="P300" s="3" t="n">
        <v>55.63</v>
      </c>
      <c r="Q300" s="4" t="n">
        <v>0.057</v>
      </c>
      <c r="R300" s="3" t="n">
        <v>52.46</v>
      </c>
      <c r="S300" s="3" t="n">
        <v>29.14</v>
      </c>
      <c r="T300" s="3" t="n">
        <v>15.52</v>
      </c>
      <c r="U300" s="4" t="n">
        <v>0.2958</v>
      </c>
      <c r="V300" s="3" t="n">
        <v>7.8</v>
      </c>
      <c r="W300" t="inlineStr">
        <is>
          <t>Credit Card</t>
        </is>
      </c>
      <c r="X300" t="inlineStr">
        <is>
          <t>Critical</t>
        </is>
      </c>
    </row>
    <row r="301">
      <c r="A301" t="inlineStr">
        <is>
          <t>ORD-00300</t>
        </is>
      </c>
      <c r="B301" s="2" t="n">
        <v>45022</v>
      </c>
      <c r="C301" s="2" t="n">
        <v>45029</v>
      </c>
      <c r="D301" t="inlineStr">
        <is>
          <t>CUST-00300</t>
        </is>
      </c>
      <c r="E301" t="inlineStr">
        <is>
          <t>Customer 300</t>
        </is>
      </c>
      <c r="F301" t="inlineStr">
        <is>
          <t>Consumer</t>
        </is>
      </c>
      <c r="G301" t="inlineStr">
        <is>
          <t>P1015</t>
        </is>
      </c>
      <c r="H301" t="inlineStr">
        <is>
          <t>ErgoMesh Chair</t>
        </is>
      </c>
      <c r="I301" t="inlineStr">
        <is>
          <t>Home Decor</t>
        </is>
      </c>
      <c r="J301" t="inlineStr">
        <is>
          <t>Decor</t>
        </is>
      </c>
      <c r="K301" t="inlineStr">
        <is>
          <t>West</t>
        </is>
      </c>
      <c r="L301" t="inlineStr">
        <is>
          <t>Colorado</t>
        </is>
      </c>
      <c r="M301" t="inlineStr">
        <is>
          <t>San Francisco</t>
        </is>
      </c>
      <c r="N301" t="inlineStr">
        <is>
          <t>James Carter</t>
        </is>
      </c>
      <c r="O301" t="n">
        <v>3</v>
      </c>
      <c r="P301" s="3" t="n">
        <v>68.05</v>
      </c>
      <c r="Q301" s="4" t="n">
        <v>0.031</v>
      </c>
      <c r="R301" s="3" t="n">
        <v>197.82</v>
      </c>
      <c r="S301" s="3" t="n">
        <v>93.26000000000001</v>
      </c>
      <c r="T301" s="3" t="n">
        <v>95.16</v>
      </c>
      <c r="U301" s="4" t="n">
        <v>0.481</v>
      </c>
      <c r="V301" s="3" t="n">
        <v>9.4</v>
      </c>
      <c r="W301" t="inlineStr">
        <is>
          <t>Bank Transfer</t>
        </is>
      </c>
      <c r="X301" t="inlineStr">
        <is>
          <t>Medium</t>
        </is>
      </c>
    </row>
    <row r="302">
      <c r="A302" t="inlineStr">
        <is>
          <t>ORD-00301</t>
        </is>
      </c>
      <c r="B302" s="2" t="n">
        <v>44945</v>
      </c>
      <c r="C302" s="2" t="n">
        <v>44952</v>
      </c>
      <c r="D302" t="inlineStr">
        <is>
          <t>CUST-00301</t>
        </is>
      </c>
      <c r="E302" t="inlineStr">
        <is>
          <t>Customer 301</t>
        </is>
      </c>
      <c r="F302" t="inlineStr">
        <is>
          <t>Consumer</t>
        </is>
      </c>
      <c r="G302" t="inlineStr">
        <is>
          <t>P1007</t>
        </is>
      </c>
      <c r="H302" t="inlineStr">
        <is>
          <t>FlexNote Notebook</t>
        </is>
      </c>
      <c r="I302" t="inlineStr">
        <is>
          <t>Home Decor</t>
        </is>
      </c>
      <c r="J302" t="inlineStr">
        <is>
          <t>Decor</t>
        </is>
      </c>
      <c r="K302" t="inlineStr">
        <is>
          <t>Central</t>
        </is>
      </c>
      <c r="L302" t="inlineStr">
        <is>
          <t>Illinois</t>
        </is>
      </c>
      <c r="M302" t="inlineStr">
        <is>
          <t>Minneapolis</t>
        </is>
      </c>
      <c r="N302" t="inlineStr">
        <is>
          <t>Noah Kim</t>
        </is>
      </c>
      <c r="O302" t="n">
        <v>1</v>
      </c>
      <c r="P302" s="3" t="n">
        <v>24.06</v>
      </c>
      <c r="Q302" s="4" t="n">
        <v>0.02</v>
      </c>
      <c r="R302" s="3" t="n">
        <v>23.58</v>
      </c>
      <c r="S302" s="3" t="n">
        <v>17.34</v>
      </c>
      <c r="T302" s="3" t="n">
        <v>-0.5600000000000001</v>
      </c>
      <c r="U302" s="4" t="n">
        <v>-0.0237</v>
      </c>
      <c r="V302" s="3" t="n">
        <v>6.8</v>
      </c>
      <c r="W302" t="inlineStr">
        <is>
          <t>Credit Card</t>
        </is>
      </c>
      <c r="X302" t="inlineStr">
        <is>
          <t>Medium</t>
        </is>
      </c>
    </row>
    <row r="303">
      <c r="A303" t="inlineStr">
        <is>
          <t>ORD-00302</t>
        </is>
      </c>
      <c r="B303" s="2" t="n">
        <v>45376</v>
      </c>
      <c r="C303" s="2" t="n">
        <v>45383</v>
      </c>
      <c r="D303" t="inlineStr">
        <is>
          <t>CUST-00302</t>
        </is>
      </c>
      <c r="E303" t="inlineStr">
        <is>
          <t>Customer 302</t>
        </is>
      </c>
      <c r="F303" t="inlineStr">
        <is>
          <t>Home Office</t>
        </is>
      </c>
      <c r="G303" t="inlineStr">
        <is>
          <t>P1006</t>
        </is>
      </c>
      <c r="H303" t="inlineStr">
        <is>
          <t>Halo Planter</t>
        </is>
      </c>
      <c r="I303" t="inlineStr">
        <is>
          <t>Office Supplies</t>
        </is>
      </c>
      <c r="J303" t="inlineStr">
        <is>
          <t>Writing</t>
        </is>
      </c>
      <c r="K303" t="inlineStr">
        <is>
          <t>Central</t>
        </is>
      </c>
      <c r="L303" t="inlineStr">
        <is>
          <t>Kansas</t>
        </is>
      </c>
      <c r="M303" t="inlineStr">
        <is>
          <t>St. Louis</t>
        </is>
      </c>
      <c r="N303" t="inlineStr">
        <is>
          <t>Liam Chen</t>
        </is>
      </c>
      <c r="O303" t="n">
        <v>4</v>
      </c>
      <c r="P303" s="3" t="n">
        <v>18.37</v>
      </c>
      <c r="Q303" s="4" t="n">
        <v>0.011</v>
      </c>
      <c r="R303" s="3" t="n">
        <v>72.67</v>
      </c>
      <c r="S303" s="3" t="n">
        <v>28.27</v>
      </c>
      <c r="T303" s="3" t="n">
        <v>35.2</v>
      </c>
      <c r="U303" s="4" t="n">
        <v>0.4844</v>
      </c>
      <c r="V303" s="3" t="n">
        <v>9.199999999999999</v>
      </c>
      <c r="W303" t="inlineStr">
        <is>
          <t>Debit Card</t>
        </is>
      </c>
      <c r="X303" t="inlineStr">
        <is>
          <t>Low</t>
        </is>
      </c>
    </row>
    <row r="304">
      <c r="A304" t="inlineStr">
        <is>
          <t>ORD-00303</t>
        </is>
      </c>
      <c r="B304" s="2" t="n">
        <v>45630</v>
      </c>
      <c r="C304" s="2" t="n">
        <v>45633</v>
      </c>
      <c r="D304" t="inlineStr">
        <is>
          <t>CUST-00303</t>
        </is>
      </c>
      <c r="E304" t="inlineStr">
        <is>
          <t>Customer 303</t>
        </is>
      </c>
      <c r="F304" t="inlineStr">
        <is>
          <t>Consumer</t>
        </is>
      </c>
      <c r="G304" t="inlineStr">
        <is>
          <t>P1012</t>
        </is>
      </c>
      <c r="H304" t="inlineStr">
        <is>
          <t>ErgoMesh Chair</t>
        </is>
      </c>
      <c r="I304" t="inlineStr">
        <is>
          <t>Office Supplies</t>
        </is>
      </c>
      <c r="J304" t="inlineStr">
        <is>
          <t>Textiles</t>
        </is>
      </c>
      <c r="K304" t="inlineStr">
        <is>
          <t>East</t>
        </is>
      </c>
      <c r="L304" t="inlineStr">
        <is>
          <t>New York</t>
        </is>
      </c>
      <c r="M304" t="inlineStr">
        <is>
          <t>New York</t>
        </is>
      </c>
      <c r="N304" t="inlineStr">
        <is>
          <t>Sophia Singh</t>
        </is>
      </c>
      <c r="O304" t="n">
        <v>2</v>
      </c>
      <c r="P304" s="3" t="n">
        <v>141.79</v>
      </c>
      <c r="Q304" s="4" t="n">
        <v>0.052</v>
      </c>
      <c r="R304" s="3" t="n">
        <v>268.83</v>
      </c>
      <c r="S304" s="3" t="n">
        <v>140.51</v>
      </c>
      <c r="T304" s="3" t="n">
        <v>119.72</v>
      </c>
      <c r="U304" s="4" t="n">
        <v>0.4453</v>
      </c>
      <c r="V304" s="3" t="n">
        <v>8.6</v>
      </c>
      <c r="W304" t="inlineStr">
        <is>
          <t>Bank Transfer</t>
        </is>
      </c>
      <c r="X304" t="inlineStr">
        <is>
          <t>High</t>
        </is>
      </c>
    </row>
    <row r="305">
      <c r="A305" t="inlineStr">
        <is>
          <t>ORD-00304</t>
        </is>
      </c>
      <c r="B305" s="2" t="n">
        <v>45416</v>
      </c>
      <c r="C305" s="2" t="n">
        <v>45420</v>
      </c>
      <c r="D305" t="inlineStr">
        <is>
          <t>CUST-00304</t>
        </is>
      </c>
      <c r="E305" t="inlineStr">
        <is>
          <t>Customer 304</t>
        </is>
      </c>
      <c r="F305" t="inlineStr">
        <is>
          <t>Home Office</t>
        </is>
      </c>
      <c r="G305" t="inlineStr">
        <is>
          <t>P1003</t>
        </is>
      </c>
      <c r="H305" t="inlineStr">
        <is>
          <t>Summit Patio Set</t>
        </is>
      </c>
      <c r="I305" t="inlineStr">
        <is>
          <t>Home Decor</t>
        </is>
      </c>
      <c r="J305" t="inlineStr">
        <is>
          <t>Decor</t>
        </is>
      </c>
      <c r="K305" t="inlineStr">
        <is>
          <t>East</t>
        </is>
      </c>
      <c r="L305" t="inlineStr">
        <is>
          <t>New York</t>
        </is>
      </c>
      <c r="M305" t="inlineStr">
        <is>
          <t>Washington</t>
        </is>
      </c>
      <c r="N305" t="inlineStr">
        <is>
          <t>Liam Chen</t>
        </is>
      </c>
      <c r="O305" t="n">
        <v>4</v>
      </c>
      <c r="P305" s="3" t="n">
        <v>146.1</v>
      </c>
      <c r="Q305" s="4" t="n">
        <v>0.018</v>
      </c>
      <c r="R305" s="3" t="n">
        <v>573.88</v>
      </c>
      <c r="S305" s="3" t="n">
        <v>299.38</v>
      </c>
      <c r="T305" s="3" t="n">
        <v>264.3</v>
      </c>
      <c r="U305" s="4" t="n">
        <v>0.4605</v>
      </c>
      <c r="V305" s="3" t="n">
        <v>10.2</v>
      </c>
      <c r="W305" t="inlineStr">
        <is>
          <t>Debit Card</t>
        </is>
      </c>
      <c r="X305" t="inlineStr">
        <is>
          <t>Low</t>
        </is>
      </c>
    </row>
    <row r="306">
      <c r="A306" t="inlineStr">
        <is>
          <t>ORD-00305</t>
        </is>
      </c>
      <c r="B306" s="2" t="n">
        <v>45712</v>
      </c>
      <c r="C306" s="2" t="n">
        <v>45714</v>
      </c>
      <c r="D306" t="inlineStr">
        <is>
          <t>CUST-00305</t>
        </is>
      </c>
      <c r="E306" t="inlineStr">
        <is>
          <t>Customer 305</t>
        </is>
      </c>
      <c r="F306" t="inlineStr">
        <is>
          <t>Home Office</t>
        </is>
      </c>
      <c r="G306" t="inlineStr">
        <is>
          <t>P1016</t>
        </is>
      </c>
      <c r="H306" t="inlineStr">
        <is>
          <t>Cove Wall Clock</t>
        </is>
      </c>
      <c r="I306" t="inlineStr">
        <is>
          <t>Home Decor</t>
        </is>
      </c>
      <c r="J306" t="inlineStr">
        <is>
          <t>Paper</t>
        </is>
      </c>
      <c r="K306" t="inlineStr">
        <is>
          <t>Central</t>
        </is>
      </c>
      <c r="L306" t="inlineStr">
        <is>
          <t>Missouri</t>
        </is>
      </c>
      <c r="M306" t="inlineStr">
        <is>
          <t>Kansas City</t>
        </is>
      </c>
      <c r="N306" t="inlineStr">
        <is>
          <t>Ava Patel</t>
        </is>
      </c>
      <c r="O306" t="n">
        <v>1</v>
      </c>
      <c r="P306" s="3" t="n">
        <v>38.94</v>
      </c>
      <c r="Q306" s="4" t="n">
        <v>0.059</v>
      </c>
      <c r="R306" s="3" t="n">
        <v>36.64</v>
      </c>
      <c r="S306" s="3" t="n">
        <v>22.48</v>
      </c>
      <c r="T306" s="3" t="n">
        <v>7.36</v>
      </c>
      <c r="U306" s="4" t="n">
        <v>0.2009</v>
      </c>
      <c r="V306" s="3" t="n">
        <v>6.8</v>
      </c>
      <c r="W306" t="inlineStr">
        <is>
          <t>Debit Card</t>
        </is>
      </c>
      <c r="X306" t="inlineStr">
        <is>
          <t>Critical</t>
        </is>
      </c>
    </row>
    <row r="307">
      <c r="A307" t="inlineStr">
        <is>
          <t>ORD-00306</t>
        </is>
      </c>
      <c r="B307" s="2" t="n">
        <v>45695</v>
      </c>
      <c r="C307" s="2" t="n">
        <v>45696</v>
      </c>
      <c r="D307" t="inlineStr">
        <is>
          <t>CUST-00306</t>
        </is>
      </c>
      <c r="E307" t="inlineStr">
        <is>
          <t>Customer 306</t>
        </is>
      </c>
      <c r="F307" t="inlineStr">
        <is>
          <t>Home Office</t>
        </is>
      </c>
      <c r="G307" t="inlineStr">
        <is>
          <t>P1020</t>
        </is>
      </c>
      <c r="H307" t="inlineStr">
        <is>
          <t>Harbor Rug</t>
        </is>
      </c>
      <c r="I307" t="inlineStr">
        <is>
          <t>Home Decor</t>
        </is>
      </c>
      <c r="J307" t="inlineStr">
        <is>
          <t>Writing</t>
        </is>
      </c>
      <c r="K307" t="inlineStr">
        <is>
          <t>South</t>
        </is>
      </c>
      <c r="L307" t="inlineStr">
        <is>
          <t>Florida</t>
        </is>
      </c>
      <c r="M307" t="inlineStr">
        <is>
          <t>Dallas</t>
        </is>
      </c>
      <c r="N307" t="inlineStr">
        <is>
          <t>Ethan Brooks</t>
        </is>
      </c>
      <c r="O307" t="n">
        <v>3</v>
      </c>
      <c r="P307" s="3" t="n">
        <v>68.78</v>
      </c>
      <c r="Q307" s="4" t="n">
        <v>0.015</v>
      </c>
      <c r="R307" s="3" t="n">
        <v>203.24</v>
      </c>
      <c r="S307" s="3" t="n">
        <v>102.41</v>
      </c>
      <c r="T307" s="3" t="n">
        <v>92.43000000000001</v>
      </c>
      <c r="U307" s="4" t="n">
        <v>0.4548</v>
      </c>
      <c r="V307" s="3" t="n">
        <v>8.4</v>
      </c>
      <c r="W307" t="inlineStr">
        <is>
          <t>Credit Card</t>
        </is>
      </c>
      <c r="X307" t="inlineStr">
        <is>
          <t>Medium</t>
        </is>
      </c>
    </row>
    <row r="308">
      <c r="A308" t="inlineStr">
        <is>
          <t>ORD-00307</t>
        </is>
      </c>
      <c r="B308" s="2" t="n">
        <v>45572</v>
      </c>
      <c r="C308" s="2" t="n">
        <v>45579</v>
      </c>
      <c r="D308" t="inlineStr">
        <is>
          <t>CUST-00307</t>
        </is>
      </c>
      <c r="E308" t="inlineStr">
        <is>
          <t>Customer 307</t>
        </is>
      </c>
      <c r="F308" t="inlineStr">
        <is>
          <t>Consumer</t>
        </is>
      </c>
      <c r="G308" t="inlineStr">
        <is>
          <t>P1009</t>
        </is>
      </c>
      <c r="H308" t="inlineStr">
        <is>
          <t>Pulse Keyboard</t>
        </is>
      </c>
      <c r="I308" t="inlineStr">
        <is>
          <t>Outdoor</t>
        </is>
      </c>
      <c r="J308" t="inlineStr">
        <is>
          <t>Furniture</t>
        </is>
      </c>
      <c r="K308" t="inlineStr">
        <is>
          <t>West</t>
        </is>
      </c>
      <c r="L308" t="inlineStr">
        <is>
          <t>Oregon</t>
        </is>
      </c>
      <c r="M308" t="inlineStr">
        <is>
          <t>Seattle</t>
        </is>
      </c>
      <c r="N308" t="inlineStr">
        <is>
          <t>Sophia Singh</t>
        </is>
      </c>
      <c r="O308" t="n">
        <v>5</v>
      </c>
      <c r="P308" s="3" t="n">
        <v>97.31</v>
      </c>
      <c r="Q308" s="4" t="n">
        <v>0.035</v>
      </c>
      <c r="R308" s="3" t="n">
        <v>469.52</v>
      </c>
      <c r="S308" s="3" t="n">
        <v>227.01</v>
      </c>
      <c r="T308" s="3" t="n">
        <v>231.51</v>
      </c>
      <c r="U308" s="4" t="n">
        <v>0.4931</v>
      </c>
      <c r="V308" s="3" t="n">
        <v>11</v>
      </c>
      <c r="W308" t="inlineStr">
        <is>
          <t>Bank Transfer</t>
        </is>
      </c>
      <c r="X308" t="inlineStr">
        <is>
          <t>High</t>
        </is>
      </c>
    </row>
    <row r="309">
      <c r="A309" t="inlineStr">
        <is>
          <t>ORD-00308</t>
        </is>
      </c>
      <c r="B309" s="2" t="n">
        <v>45622</v>
      </c>
      <c r="C309" s="2" t="n">
        <v>45623</v>
      </c>
      <c r="D309" t="inlineStr">
        <is>
          <t>CUST-00308</t>
        </is>
      </c>
      <c r="E309" t="inlineStr">
        <is>
          <t>Customer 308</t>
        </is>
      </c>
      <c r="F309" t="inlineStr">
        <is>
          <t>Consumer</t>
        </is>
      </c>
      <c r="G309" t="inlineStr">
        <is>
          <t>P1010</t>
        </is>
      </c>
      <c r="H309" t="inlineStr">
        <is>
          <t>Echo Web Camera</t>
        </is>
      </c>
      <c r="I309" t="inlineStr">
        <is>
          <t>Furniture</t>
        </is>
      </c>
      <c r="J309" t="inlineStr">
        <is>
          <t>Plants</t>
        </is>
      </c>
      <c r="K309" t="inlineStr">
        <is>
          <t>East</t>
        </is>
      </c>
      <c r="L309" t="inlineStr">
        <is>
          <t>Virginia</t>
        </is>
      </c>
      <c r="M309" t="inlineStr">
        <is>
          <t>Washington</t>
        </is>
      </c>
      <c r="N309" t="inlineStr">
        <is>
          <t>Mia Rodriguez</t>
        </is>
      </c>
      <c r="O309" t="n">
        <v>1</v>
      </c>
      <c r="P309" s="3" t="n">
        <v>58.75</v>
      </c>
      <c r="Q309" s="4" t="n">
        <v>0.018</v>
      </c>
      <c r="R309" s="3" t="n">
        <v>57.69</v>
      </c>
      <c r="S309" s="3" t="n">
        <v>32.25</v>
      </c>
      <c r="T309" s="3" t="n">
        <v>17.64</v>
      </c>
      <c r="U309" s="4" t="n">
        <v>0.3058</v>
      </c>
      <c r="V309" s="3" t="n">
        <v>7.8</v>
      </c>
      <c r="W309" t="inlineStr">
        <is>
          <t>Credit Card</t>
        </is>
      </c>
      <c r="X309" t="inlineStr">
        <is>
          <t>Medium</t>
        </is>
      </c>
    </row>
    <row r="310">
      <c r="A310" t="inlineStr">
        <is>
          <t>ORD-00309</t>
        </is>
      </c>
      <c r="B310" s="2" t="n">
        <v>45770</v>
      </c>
      <c r="C310" s="2" t="n">
        <v>45777</v>
      </c>
      <c r="D310" t="inlineStr">
        <is>
          <t>CUST-00309</t>
        </is>
      </c>
      <c r="E310" t="inlineStr">
        <is>
          <t>Customer 309</t>
        </is>
      </c>
      <c r="F310" t="inlineStr">
        <is>
          <t>Consumer</t>
        </is>
      </c>
      <c r="G310" t="inlineStr">
        <is>
          <t>P1013</t>
        </is>
      </c>
      <c r="H310" t="inlineStr">
        <is>
          <t>ProClip Binder</t>
        </is>
      </c>
      <c r="I310" t="inlineStr">
        <is>
          <t>Home Decor</t>
        </is>
      </c>
      <c r="J310" t="inlineStr">
        <is>
          <t>Writing</t>
        </is>
      </c>
      <c r="K310" t="inlineStr">
        <is>
          <t>South</t>
        </is>
      </c>
      <c r="L310" t="inlineStr">
        <is>
          <t>Georgia</t>
        </is>
      </c>
      <c r="M310" t="inlineStr">
        <is>
          <t>Dallas</t>
        </is>
      </c>
      <c r="N310" t="inlineStr">
        <is>
          <t>Liam Chen</t>
        </is>
      </c>
      <c r="O310" t="n">
        <v>2</v>
      </c>
      <c r="P310" s="3" t="n">
        <v>150.06</v>
      </c>
      <c r="Q310" s="4" t="n">
        <v>0.001</v>
      </c>
      <c r="R310" s="3" t="n">
        <v>299.82</v>
      </c>
      <c r="S310" s="3" t="n">
        <v>173</v>
      </c>
      <c r="T310" s="3" t="n">
        <v>119.22</v>
      </c>
      <c r="U310" s="4" t="n">
        <v>0.3976</v>
      </c>
      <c r="V310" s="3" t="n">
        <v>7.6</v>
      </c>
      <c r="W310" t="inlineStr">
        <is>
          <t>Credit Card</t>
        </is>
      </c>
      <c r="X310" t="inlineStr">
        <is>
          <t>Medium</t>
        </is>
      </c>
    </row>
    <row r="311">
      <c r="A311" t="inlineStr">
        <is>
          <t>ORD-00310</t>
        </is>
      </c>
      <c r="B311" s="2" t="n">
        <v>44952</v>
      </c>
      <c r="C311" s="2" t="n">
        <v>44957</v>
      </c>
      <c r="D311" t="inlineStr">
        <is>
          <t>CUST-00310</t>
        </is>
      </c>
      <c r="E311" t="inlineStr">
        <is>
          <t>Customer 310</t>
        </is>
      </c>
      <c r="F311" t="inlineStr">
        <is>
          <t>Corporate</t>
        </is>
      </c>
      <c r="G311" t="inlineStr">
        <is>
          <t>P1008</t>
        </is>
      </c>
      <c r="H311" t="inlineStr">
        <is>
          <t>Pulse Keyboard</t>
        </is>
      </c>
      <c r="I311" t="inlineStr">
        <is>
          <t>Furniture</t>
        </is>
      </c>
      <c r="J311" t="inlineStr">
        <is>
          <t>Peripherals</t>
        </is>
      </c>
      <c r="K311" t="inlineStr">
        <is>
          <t>East</t>
        </is>
      </c>
      <c r="L311" t="inlineStr">
        <is>
          <t>New Jersey</t>
        </is>
      </c>
      <c r="M311" t="inlineStr">
        <is>
          <t>Washington</t>
        </is>
      </c>
      <c r="N311" t="inlineStr">
        <is>
          <t>Noah Kim</t>
        </is>
      </c>
      <c r="O311" t="n">
        <v>4</v>
      </c>
      <c r="P311" s="3" t="n">
        <v>36.17</v>
      </c>
      <c r="Q311" s="4" t="n">
        <v>0.019</v>
      </c>
      <c r="R311" s="3" t="n">
        <v>141.93</v>
      </c>
      <c r="S311" s="3" t="n">
        <v>59.66</v>
      </c>
      <c r="T311" s="3" t="n">
        <v>72.06999999999999</v>
      </c>
      <c r="U311" s="4" t="n">
        <v>0.5078</v>
      </c>
      <c r="V311" s="3" t="n">
        <v>10.2</v>
      </c>
      <c r="W311" t="inlineStr">
        <is>
          <t>Credit Card</t>
        </is>
      </c>
      <c r="X311" t="inlineStr">
        <is>
          <t>Medium</t>
        </is>
      </c>
    </row>
    <row r="312">
      <c r="A312" t="inlineStr">
        <is>
          <t>ORD-00311</t>
        </is>
      </c>
      <c r="B312" s="2" t="n">
        <v>45398</v>
      </c>
      <c r="C312" s="2" t="n">
        <v>45400</v>
      </c>
      <c r="D312" t="inlineStr">
        <is>
          <t>CUST-00311</t>
        </is>
      </c>
      <c r="E312" t="inlineStr">
        <is>
          <t>Customer 311</t>
        </is>
      </c>
      <c r="F312" t="inlineStr">
        <is>
          <t>Corporate</t>
        </is>
      </c>
      <c r="G312" t="inlineStr">
        <is>
          <t>P1006</t>
        </is>
      </c>
      <c r="H312" t="inlineStr">
        <is>
          <t>Lumen Desk Lamp</t>
        </is>
      </c>
      <c r="I312" t="inlineStr">
        <is>
          <t>Furniture</t>
        </is>
      </c>
      <c r="J312" t="inlineStr">
        <is>
          <t>Coolers</t>
        </is>
      </c>
      <c r="K312" t="inlineStr">
        <is>
          <t>East</t>
        </is>
      </c>
      <c r="L312" t="inlineStr">
        <is>
          <t>New Jersey</t>
        </is>
      </c>
      <c r="M312" t="inlineStr">
        <is>
          <t>Washington</t>
        </is>
      </c>
      <c r="N312" t="inlineStr">
        <is>
          <t>James Carter</t>
        </is>
      </c>
      <c r="O312" t="n">
        <v>3</v>
      </c>
      <c r="P312" s="3" t="n">
        <v>17.96</v>
      </c>
      <c r="Q312" s="4" t="n">
        <v>0.02</v>
      </c>
      <c r="R312" s="3" t="n">
        <v>52.8</v>
      </c>
      <c r="S312" s="3" t="n">
        <v>26.23</v>
      </c>
      <c r="T312" s="3" t="n">
        <v>17.17</v>
      </c>
      <c r="U312" s="4" t="n">
        <v>0.3252</v>
      </c>
      <c r="V312" s="3" t="n">
        <v>9.4</v>
      </c>
      <c r="W312" t="inlineStr">
        <is>
          <t>Credit Card</t>
        </is>
      </c>
      <c r="X312" t="inlineStr">
        <is>
          <t>Medium</t>
        </is>
      </c>
    </row>
    <row r="313">
      <c r="A313" t="inlineStr">
        <is>
          <t>ORD-00312</t>
        </is>
      </c>
      <c r="B313" s="2" t="n">
        <v>44984</v>
      </c>
      <c r="C313" s="2" t="n">
        <v>44989</v>
      </c>
      <c r="D313" t="inlineStr">
        <is>
          <t>CUST-00312</t>
        </is>
      </c>
      <c r="E313" t="inlineStr">
        <is>
          <t>Customer 312</t>
        </is>
      </c>
      <c r="F313" t="inlineStr">
        <is>
          <t>Consumer</t>
        </is>
      </c>
      <c r="G313" t="inlineStr">
        <is>
          <t>P1003</t>
        </is>
      </c>
      <c r="H313" t="inlineStr">
        <is>
          <t>Tide Cooler</t>
        </is>
      </c>
      <c r="I313" t="inlineStr">
        <is>
          <t>Outdoor</t>
        </is>
      </c>
      <c r="J313" t="inlineStr">
        <is>
          <t>Peripherals</t>
        </is>
      </c>
      <c r="K313" t="inlineStr">
        <is>
          <t>West</t>
        </is>
      </c>
      <c r="L313" t="inlineStr">
        <is>
          <t>Washington</t>
        </is>
      </c>
      <c r="M313" t="inlineStr">
        <is>
          <t>San Francisco</t>
        </is>
      </c>
      <c r="N313" t="inlineStr">
        <is>
          <t>Liam Chen</t>
        </is>
      </c>
      <c r="O313" t="n">
        <v>3</v>
      </c>
      <c r="P313" s="3" t="n">
        <v>152.76</v>
      </c>
      <c r="Q313" s="4" t="n">
        <v>0.063</v>
      </c>
      <c r="R313" s="3" t="n">
        <v>429.41</v>
      </c>
      <c r="S313" s="3" t="n">
        <v>229.81</v>
      </c>
      <c r="T313" s="3" t="n">
        <v>190.2</v>
      </c>
      <c r="U313" s="4" t="n">
        <v>0.4429</v>
      </c>
      <c r="V313" s="3" t="n">
        <v>9.4</v>
      </c>
      <c r="W313" t="inlineStr">
        <is>
          <t>Debit Card</t>
        </is>
      </c>
      <c r="X313" t="inlineStr">
        <is>
          <t>High</t>
        </is>
      </c>
    </row>
    <row r="314">
      <c r="A314" t="inlineStr">
        <is>
          <t>ORD-00313</t>
        </is>
      </c>
      <c r="B314" s="2" t="n">
        <v>44973</v>
      </c>
      <c r="C314" s="2" t="n">
        <v>44978</v>
      </c>
      <c r="D314" t="inlineStr">
        <is>
          <t>CUST-00313</t>
        </is>
      </c>
      <c r="E314" t="inlineStr">
        <is>
          <t>Customer 313</t>
        </is>
      </c>
      <c r="F314" t="inlineStr">
        <is>
          <t>Corporate</t>
        </is>
      </c>
      <c r="G314" t="inlineStr">
        <is>
          <t>P1012</t>
        </is>
      </c>
      <c r="H314" t="inlineStr">
        <is>
          <t>Echo Web Camera</t>
        </is>
      </c>
      <c r="I314" t="inlineStr">
        <is>
          <t>Office Supplies</t>
        </is>
      </c>
      <c r="J314" t="inlineStr">
        <is>
          <t>Decor</t>
        </is>
      </c>
      <c r="K314" t="inlineStr">
        <is>
          <t>South</t>
        </is>
      </c>
      <c r="L314" t="inlineStr">
        <is>
          <t>Georgia</t>
        </is>
      </c>
      <c r="M314" t="inlineStr">
        <is>
          <t>Miami</t>
        </is>
      </c>
      <c r="N314" t="inlineStr">
        <is>
          <t>Sophia Singh</t>
        </is>
      </c>
      <c r="O314" t="n">
        <v>4</v>
      </c>
      <c r="P314" s="3" t="n">
        <v>120.14</v>
      </c>
      <c r="Q314" s="4" t="n">
        <v>0.021</v>
      </c>
      <c r="R314" s="3" t="n">
        <v>470.47</v>
      </c>
      <c r="S314" s="3" t="n">
        <v>238.38</v>
      </c>
      <c r="T314" s="3" t="n">
        <v>222.89</v>
      </c>
      <c r="U314" s="4" t="n">
        <v>0.4738</v>
      </c>
      <c r="V314" s="3" t="n">
        <v>9.199999999999999</v>
      </c>
      <c r="W314" t="inlineStr">
        <is>
          <t>Credit Card</t>
        </is>
      </c>
      <c r="X314" t="inlineStr">
        <is>
          <t>Medium</t>
        </is>
      </c>
    </row>
    <row r="315">
      <c r="A315" t="inlineStr">
        <is>
          <t>ORD-00314</t>
        </is>
      </c>
      <c r="B315" s="2" t="n">
        <v>45813</v>
      </c>
      <c r="C315" s="2" t="n">
        <v>45820</v>
      </c>
      <c r="D315" t="inlineStr">
        <is>
          <t>CUST-00314</t>
        </is>
      </c>
      <c r="E315" t="inlineStr">
        <is>
          <t>Customer 314</t>
        </is>
      </c>
      <c r="F315" t="inlineStr">
        <is>
          <t>Consumer</t>
        </is>
      </c>
      <c r="G315" t="inlineStr">
        <is>
          <t>P1009</t>
        </is>
      </c>
      <c r="H315" t="inlineStr">
        <is>
          <t>Halo Planter</t>
        </is>
      </c>
      <c r="I315" t="inlineStr">
        <is>
          <t>Technology</t>
        </is>
      </c>
      <c r="J315" t="inlineStr">
        <is>
          <t>Desks</t>
        </is>
      </c>
      <c r="K315" t="inlineStr">
        <is>
          <t>East</t>
        </is>
      </c>
      <c r="L315" t="inlineStr">
        <is>
          <t>New Jersey</t>
        </is>
      </c>
      <c r="M315" t="inlineStr">
        <is>
          <t>Washington</t>
        </is>
      </c>
      <c r="N315" t="inlineStr">
        <is>
          <t>Liam Chen</t>
        </is>
      </c>
      <c r="O315" t="n">
        <v>4</v>
      </c>
      <c r="P315" s="3" t="n">
        <v>90.45</v>
      </c>
      <c r="Q315" s="4" t="n">
        <v>0.007</v>
      </c>
      <c r="R315" s="3" t="n">
        <v>359.27</v>
      </c>
      <c r="S315" s="3" t="n">
        <v>180.22</v>
      </c>
      <c r="T315" s="3" t="n">
        <v>168.85</v>
      </c>
      <c r="U315" s="4" t="n">
        <v>0.47</v>
      </c>
      <c r="V315" s="3" t="n">
        <v>10.2</v>
      </c>
      <c r="W315" t="inlineStr">
        <is>
          <t>Credit Card</t>
        </is>
      </c>
      <c r="X315" t="inlineStr">
        <is>
          <t>Low</t>
        </is>
      </c>
    </row>
    <row r="316">
      <c r="A316" t="inlineStr">
        <is>
          <t>ORD-00315</t>
        </is>
      </c>
      <c r="B316" s="2" t="n">
        <v>45762</v>
      </c>
      <c r="C316" s="2" t="n">
        <v>45766</v>
      </c>
      <c r="D316" t="inlineStr">
        <is>
          <t>CUST-00315</t>
        </is>
      </c>
      <c r="E316" t="inlineStr">
        <is>
          <t>Customer 315</t>
        </is>
      </c>
      <c r="F316" t="inlineStr">
        <is>
          <t>Consumer</t>
        </is>
      </c>
      <c r="G316" t="inlineStr">
        <is>
          <t>P1009</t>
        </is>
      </c>
      <c r="H316" t="inlineStr">
        <is>
          <t>Nova Laptop Stand</t>
        </is>
      </c>
      <c r="I316" t="inlineStr">
        <is>
          <t>Office Supplies</t>
        </is>
      </c>
      <c r="J316" t="inlineStr">
        <is>
          <t>Accessories</t>
        </is>
      </c>
      <c r="K316" t="inlineStr">
        <is>
          <t>South</t>
        </is>
      </c>
      <c r="L316" t="inlineStr">
        <is>
          <t>Texas</t>
        </is>
      </c>
      <c r="M316" t="inlineStr">
        <is>
          <t>Atlanta</t>
        </is>
      </c>
      <c r="N316" t="inlineStr">
        <is>
          <t>James Carter</t>
        </is>
      </c>
      <c r="O316" t="n">
        <v>2</v>
      </c>
      <c r="P316" s="3" t="n">
        <v>89.45999999999999</v>
      </c>
      <c r="Q316" s="4" t="n">
        <v>0.012</v>
      </c>
      <c r="R316" s="3" t="n">
        <v>176.77</v>
      </c>
      <c r="S316" s="3" t="n">
        <v>94.18000000000001</v>
      </c>
      <c r="T316" s="3" t="n">
        <v>74.98999999999999</v>
      </c>
      <c r="U316" s="4" t="n">
        <v>0.4242</v>
      </c>
      <c r="V316" s="3" t="n">
        <v>7.6</v>
      </c>
      <c r="W316" t="inlineStr">
        <is>
          <t>Credit Card</t>
        </is>
      </c>
      <c r="X316" t="inlineStr">
        <is>
          <t>Low</t>
        </is>
      </c>
    </row>
    <row r="317">
      <c r="A317" t="inlineStr">
        <is>
          <t>ORD-00316</t>
        </is>
      </c>
      <c r="B317" s="2" t="n">
        <v>45861</v>
      </c>
      <c r="C317" s="2" t="n">
        <v>45862</v>
      </c>
      <c r="D317" t="inlineStr">
        <is>
          <t>CUST-00316</t>
        </is>
      </c>
      <c r="E317" t="inlineStr">
        <is>
          <t>Customer 316</t>
        </is>
      </c>
      <c r="F317" t="inlineStr">
        <is>
          <t>Consumer</t>
        </is>
      </c>
      <c r="G317" t="inlineStr">
        <is>
          <t>P1011</t>
        </is>
      </c>
      <c r="H317" t="inlineStr">
        <is>
          <t>CloudDrive File Box</t>
        </is>
      </c>
      <c r="I317" t="inlineStr">
        <is>
          <t>Furniture</t>
        </is>
      </c>
      <c r="J317" t="inlineStr">
        <is>
          <t>Decor</t>
        </is>
      </c>
      <c r="K317" t="inlineStr">
        <is>
          <t>East</t>
        </is>
      </c>
      <c r="L317" t="inlineStr">
        <is>
          <t>New Jersey</t>
        </is>
      </c>
      <c r="M317" t="inlineStr">
        <is>
          <t>New York</t>
        </is>
      </c>
      <c r="N317" t="inlineStr">
        <is>
          <t>James Carter</t>
        </is>
      </c>
      <c r="O317" t="n">
        <v>3</v>
      </c>
      <c r="P317" s="3" t="n">
        <v>88.90000000000001</v>
      </c>
      <c r="Q317" s="4" t="n">
        <v>0.028</v>
      </c>
      <c r="R317" s="3" t="n">
        <v>259.23</v>
      </c>
      <c r="S317" s="3" t="n">
        <v>124.75</v>
      </c>
      <c r="T317" s="3" t="n">
        <v>125.08</v>
      </c>
      <c r="U317" s="4" t="n">
        <v>0.4825</v>
      </c>
      <c r="V317" s="3" t="n">
        <v>9.4</v>
      </c>
      <c r="W317" t="inlineStr">
        <is>
          <t>Bank Transfer</t>
        </is>
      </c>
      <c r="X317" t="inlineStr">
        <is>
          <t>Critical</t>
        </is>
      </c>
    </row>
    <row r="318">
      <c r="A318" t="inlineStr">
        <is>
          <t>ORD-00317</t>
        </is>
      </c>
      <c r="B318" s="2" t="n">
        <v>45386</v>
      </c>
      <c r="C318" s="2" t="n">
        <v>45392</v>
      </c>
      <c r="D318" t="inlineStr">
        <is>
          <t>CUST-00317</t>
        </is>
      </c>
      <c r="E318" t="inlineStr">
        <is>
          <t>Customer 317</t>
        </is>
      </c>
      <c r="F318" t="inlineStr">
        <is>
          <t>Consumer</t>
        </is>
      </c>
      <c r="G318" t="inlineStr">
        <is>
          <t>P1006</t>
        </is>
      </c>
      <c r="H318" t="inlineStr">
        <is>
          <t>Tide Cooler</t>
        </is>
      </c>
      <c r="I318" t="inlineStr">
        <is>
          <t>Office Supplies</t>
        </is>
      </c>
      <c r="J318" t="inlineStr">
        <is>
          <t>Bags</t>
        </is>
      </c>
      <c r="K318" t="inlineStr">
        <is>
          <t>East</t>
        </is>
      </c>
      <c r="L318" t="inlineStr">
        <is>
          <t>New Jersey</t>
        </is>
      </c>
      <c r="M318" t="inlineStr">
        <is>
          <t>Washington</t>
        </is>
      </c>
      <c r="N318" t="inlineStr">
        <is>
          <t>Noah Kim</t>
        </is>
      </c>
      <c r="O318" t="n">
        <v>3</v>
      </c>
      <c r="P318" s="3" t="n">
        <v>18.49</v>
      </c>
      <c r="Q318" s="4" t="n">
        <v>0.016</v>
      </c>
      <c r="R318" s="3" t="n">
        <v>54.58</v>
      </c>
      <c r="S318" s="3" t="n">
        <v>20.81</v>
      </c>
      <c r="T318" s="3" t="n">
        <v>24.37</v>
      </c>
      <c r="U318" s="4" t="n">
        <v>0.4465</v>
      </c>
      <c r="V318" s="3" t="n">
        <v>9.4</v>
      </c>
      <c r="W318" t="inlineStr">
        <is>
          <t>Bank Transfer</t>
        </is>
      </c>
      <c r="X318" t="inlineStr">
        <is>
          <t>Medium</t>
        </is>
      </c>
    </row>
    <row r="319">
      <c r="A319" t="inlineStr">
        <is>
          <t>ORD-00318</t>
        </is>
      </c>
      <c r="B319" s="2" t="n">
        <v>45284</v>
      </c>
      <c r="C319" s="2" t="n">
        <v>45286</v>
      </c>
      <c r="D319" t="inlineStr">
        <is>
          <t>CUST-00318</t>
        </is>
      </c>
      <c r="E319" t="inlineStr">
        <is>
          <t>Customer 318</t>
        </is>
      </c>
      <c r="F319" t="inlineStr">
        <is>
          <t>Consumer</t>
        </is>
      </c>
      <c r="G319" t="inlineStr">
        <is>
          <t>P1002</t>
        </is>
      </c>
      <c r="H319" t="inlineStr">
        <is>
          <t>Atlas Throw Pillow</t>
        </is>
      </c>
      <c r="I319" t="inlineStr">
        <is>
          <t>Furniture</t>
        </is>
      </c>
      <c r="J319" t="inlineStr">
        <is>
          <t>Accessories</t>
        </is>
      </c>
      <c r="K319" t="inlineStr">
        <is>
          <t>East</t>
        </is>
      </c>
      <c r="L319" t="inlineStr">
        <is>
          <t>Massachusetts</t>
        </is>
      </c>
      <c r="M319" t="inlineStr">
        <is>
          <t>New York</t>
        </is>
      </c>
      <c r="N319" t="inlineStr">
        <is>
          <t>Liam Chen</t>
        </is>
      </c>
      <c r="O319" t="n">
        <v>1</v>
      </c>
      <c r="P319" s="3" t="n">
        <v>84.45999999999999</v>
      </c>
      <c r="Q319" s="4" t="n">
        <v>0.015</v>
      </c>
      <c r="R319" s="3" t="n">
        <v>83.19</v>
      </c>
      <c r="S319" s="3" t="n">
        <v>46.17</v>
      </c>
      <c r="T319" s="3" t="n">
        <v>29.22</v>
      </c>
      <c r="U319" s="4" t="n">
        <v>0.3512</v>
      </c>
      <c r="V319" s="3" t="n">
        <v>7.8</v>
      </c>
      <c r="W319" t="inlineStr">
        <is>
          <t>PayPal</t>
        </is>
      </c>
      <c r="X319" t="inlineStr">
        <is>
          <t>Low</t>
        </is>
      </c>
    </row>
    <row r="320">
      <c r="A320" t="inlineStr">
        <is>
          <t>ORD-00319</t>
        </is>
      </c>
      <c r="B320" s="2" t="n">
        <v>45285</v>
      </c>
      <c r="C320" s="2" t="n">
        <v>45289</v>
      </c>
      <c r="D320" t="inlineStr">
        <is>
          <t>CUST-00319</t>
        </is>
      </c>
      <c r="E320" t="inlineStr">
        <is>
          <t>Customer 319</t>
        </is>
      </c>
      <c r="F320" t="inlineStr">
        <is>
          <t>Consumer</t>
        </is>
      </c>
      <c r="G320" t="inlineStr">
        <is>
          <t>P1007</t>
        </is>
      </c>
      <c r="H320" t="inlineStr">
        <is>
          <t>Orbit Wireless Mouse</t>
        </is>
      </c>
      <c r="I320" t="inlineStr">
        <is>
          <t>Office Supplies</t>
        </is>
      </c>
      <c r="J320" t="inlineStr">
        <is>
          <t>Accessories</t>
        </is>
      </c>
      <c r="K320" t="inlineStr">
        <is>
          <t>South</t>
        </is>
      </c>
      <c r="L320" t="inlineStr">
        <is>
          <t>Florida</t>
        </is>
      </c>
      <c r="M320" t="inlineStr">
        <is>
          <t>Miami</t>
        </is>
      </c>
      <c r="N320" t="inlineStr">
        <is>
          <t>Liam Chen</t>
        </is>
      </c>
      <c r="O320" t="n">
        <v>4</v>
      </c>
      <c r="P320" s="3" t="n">
        <v>24.39</v>
      </c>
      <c r="Q320" s="4" t="n">
        <v>0.003</v>
      </c>
      <c r="R320" s="3" t="n">
        <v>97.27</v>
      </c>
      <c r="S320" s="3" t="n">
        <v>36.21</v>
      </c>
      <c r="T320" s="3" t="n">
        <v>51.86</v>
      </c>
      <c r="U320" s="4" t="n">
        <v>0.5332</v>
      </c>
      <c r="V320" s="3" t="n">
        <v>9.199999999999999</v>
      </c>
      <c r="W320" t="inlineStr">
        <is>
          <t>PayPal</t>
        </is>
      </c>
      <c r="X320" t="inlineStr">
        <is>
          <t>Low</t>
        </is>
      </c>
    </row>
    <row r="321">
      <c r="A321" t="inlineStr">
        <is>
          <t>ORD-00320</t>
        </is>
      </c>
      <c r="B321" s="2" t="n">
        <v>45151</v>
      </c>
      <c r="C321" s="2" t="n">
        <v>45157</v>
      </c>
      <c r="D321" t="inlineStr">
        <is>
          <t>CUST-00320</t>
        </is>
      </c>
      <c r="E321" t="inlineStr">
        <is>
          <t>Customer 320</t>
        </is>
      </c>
      <c r="F321" t="inlineStr">
        <is>
          <t>Home Office</t>
        </is>
      </c>
      <c r="G321" t="inlineStr">
        <is>
          <t>P1009</t>
        </is>
      </c>
      <c r="H321" t="inlineStr">
        <is>
          <t>Echo Web Camera</t>
        </is>
      </c>
      <c r="I321" t="inlineStr">
        <is>
          <t>Home Decor</t>
        </is>
      </c>
      <c r="J321" t="inlineStr">
        <is>
          <t>Bags</t>
        </is>
      </c>
      <c r="K321" t="inlineStr">
        <is>
          <t>South</t>
        </is>
      </c>
      <c r="L321" t="inlineStr">
        <is>
          <t>North Carolina</t>
        </is>
      </c>
      <c r="M321" t="inlineStr">
        <is>
          <t>Atlanta</t>
        </is>
      </c>
      <c r="N321" t="inlineStr">
        <is>
          <t>Mia Rodriguez</t>
        </is>
      </c>
      <c r="O321" t="n">
        <v>1</v>
      </c>
      <c r="P321" s="3" t="n">
        <v>92.73</v>
      </c>
      <c r="Q321" s="4" t="n">
        <v>0.018</v>
      </c>
      <c r="R321" s="3" t="n">
        <v>91.06</v>
      </c>
      <c r="S321" s="3" t="n">
        <v>47.07</v>
      </c>
      <c r="T321" s="3" t="n">
        <v>37.19</v>
      </c>
      <c r="U321" s="4" t="n">
        <v>0.4084</v>
      </c>
      <c r="V321" s="3" t="n">
        <v>6.8</v>
      </c>
      <c r="W321" t="inlineStr">
        <is>
          <t>Bank Transfer</t>
        </is>
      </c>
      <c r="X321" t="inlineStr">
        <is>
          <t>Low</t>
        </is>
      </c>
    </row>
    <row r="322">
      <c r="A322" t="inlineStr">
        <is>
          <t>ORD-00321</t>
        </is>
      </c>
      <c r="B322" s="2" t="n">
        <v>45471</v>
      </c>
      <c r="C322" s="2" t="n">
        <v>45475</v>
      </c>
      <c r="D322" t="inlineStr">
        <is>
          <t>CUST-00321</t>
        </is>
      </c>
      <c r="E322" t="inlineStr">
        <is>
          <t>Customer 321</t>
        </is>
      </c>
      <c r="F322" t="inlineStr">
        <is>
          <t>Corporate</t>
        </is>
      </c>
      <c r="G322" t="inlineStr">
        <is>
          <t>P1019</t>
        </is>
      </c>
      <c r="H322" t="inlineStr">
        <is>
          <t>Trail Tote</t>
        </is>
      </c>
      <c r="I322" t="inlineStr">
        <is>
          <t>Furniture</t>
        </is>
      </c>
      <c r="J322" t="inlineStr">
        <is>
          <t>Video</t>
        </is>
      </c>
      <c r="K322" t="inlineStr">
        <is>
          <t>Central</t>
        </is>
      </c>
      <c r="L322" t="inlineStr">
        <is>
          <t>Missouri</t>
        </is>
      </c>
      <c r="M322" t="inlineStr">
        <is>
          <t>Chicago</t>
        </is>
      </c>
      <c r="N322" t="inlineStr">
        <is>
          <t>Ava Patel</t>
        </is>
      </c>
      <c r="O322" t="n">
        <v>2</v>
      </c>
      <c r="P322" s="3" t="n">
        <v>55.47</v>
      </c>
      <c r="Q322" s="4" t="n">
        <v>0.03</v>
      </c>
      <c r="R322" s="3" t="n">
        <v>107.61</v>
      </c>
      <c r="S322" s="3" t="n">
        <v>52.24</v>
      </c>
      <c r="T322" s="3" t="n">
        <v>47.77</v>
      </c>
      <c r="U322" s="4" t="n">
        <v>0.4439</v>
      </c>
      <c r="V322" s="3" t="n">
        <v>7.6</v>
      </c>
      <c r="W322" t="inlineStr">
        <is>
          <t>Credit Card</t>
        </is>
      </c>
      <c r="X322" t="inlineStr">
        <is>
          <t>Medium</t>
        </is>
      </c>
    </row>
    <row r="323">
      <c r="A323" t="inlineStr">
        <is>
          <t>ORD-00322</t>
        </is>
      </c>
      <c r="B323" s="2" t="n">
        <v>45827</v>
      </c>
      <c r="C323" s="2" t="n">
        <v>45834</v>
      </c>
      <c r="D323" t="inlineStr">
        <is>
          <t>CUST-00322</t>
        </is>
      </c>
      <c r="E323" t="inlineStr">
        <is>
          <t>Customer 322</t>
        </is>
      </c>
      <c r="F323" t="inlineStr">
        <is>
          <t>Consumer</t>
        </is>
      </c>
      <c r="G323" t="inlineStr">
        <is>
          <t>P1018</t>
        </is>
      </c>
      <c r="H323" t="inlineStr">
        <is>
          <t>Echo Web Camera</t>
        </is>
      </c>
      <c r="I323" t="inlineStr">
        <is>
          <t>Furniture</t>
        </is>
      </c>
      <c r="J323" t="inlineStr">
        <is>
          <t>Peripherals</t>
        </is>
      </c>
      <c r="K323" t="inlineStr">
        <is>
          <t>East</t>
        </is>
      </c>
      <c r="L323" t="inlineStr">
        <is>
          <t>New York</t>
        </is>
      </c>
      <c r="M323" t="inlineStr">
        <is>
          <t>Philadelphia</t>
        </is>
      </c>
      <c r="N323" t="inlineStr">
        <is>
          <t>Olivia Martin</t>
        </is>
      </c>
      <c r="O323" t="n">
        <v>5</v>
      </c>
      <c r="P323" s="3" t="n">
        <v>95.67</v>
      </c>
      <c r="Q323" s="4" t="n">
        <v>0.008</v>
      </c>
      <c r="R323" s="3" t="n">
        <v>474.52</v>
      </c>
      <c r="S323" s="3" t="n">
        <v>213.11</v>
      </c>
      <c r="T323" s="3" t="n">
        <v>250.41</v>
      </c>
      <c r="U323" s="4" t="n">
        <v>0.5276999999999999</v>
      </c>
      <c r="V323" s="3" t="n">
        <v>11</v>
      </c>
      <c r="W323" t="inlineStr">
        <is>
          <t>Bank Transfer</t>
        </is>
      </c>
      <c r="X323" t="inlineStr">
        <is>
          <t>Low</t>
        </is>
      </c>
    </row>
    <row r="324">
      <c r="A324" t="inlineStr">
        <is>
          <t>ORD-00323</t>
        </is>
      </c>
      <c r="B324" s="2" t="n">
        <v>45815</v>
      </c>
      <c r="C324" s="2" t="n">
        <v>45822</v>
      </c>
      <c r="D324" t="inlineStr">
        <is>
          <t>CUST-00323</t>
        </is>
      </c>
      <c r="E324" t="inlineStr">
        <is>
          <t>Customer 323</t>
        </is>
      </c>
      <c r="F324" t="inlineStr">
        <is>
          <t>Corporate</t>
        </is>
      </c>
      <c r="G324" t="inlineStr">
        <is>
          <t>P1012</t>
        </is>
      </c>
      <c r="H324" t="inlineStr">
        <is>
          <t>Orbit Wireless Mouse</t>
        </is>
      </c>
      <c r="I324" t="inlineStr">
        <is>
          <t>Home Decor</t>
        </is>
      </c>
      <c r="J324" t="inlineStr">
        <is>
          <t>Bags</t>
        </is>
      </c>
      <c r="K324" t="inlineStr">
        <is>
          <t>North</t>
        </is>
      </c>
      <c r="L324" t="inlineStr">
        <is>
          <t>British Columbia</t>
        </is>
      </c>
      <c r="M324" t="inlineStr">
        <is>
          <t>Toronto</t>
        </is>
      </c>
      <c r="N324" t="inlineStr">
        <is>
          <t>Noah Kim</t>
        </is>
      </c>
      <c r="O324" t="n">
        <v>2</v>
      </c>
      <c r="P324" s="3" t="n">
        <v>140.67</v>
      </c>
      <c r="Q324" s="4" t="n">
        <v>0.023</v>
      </c>
      <c r="R324" s="3" t="n">
        <v>274.87</v>
      </c>
      <c r="S324" s="3" t="n">
        <v>144.05</v>
      </c>
      <c r="T324" s="3" t="n">
        <v>123.22</v>
      </c>
      <c r="U324" s="4" t="n">
        <v>0.4483</v>
      </c>
      <c r="V324" s="3" t="n">
        <v>7.6</v>
      </c>
      <c r="W324" t="inlineStr">
        <is>
          <t>Credit Card</t>
        </is>
      </c>
      <c r="X324" t="inlineStr">
        <is>
          <t>Low</t>
        </is>
      </c>
    </row>
    <row r="325">
      <c r="A325" t="inlineStr">
        <is>
          <t>ORD-00324</t>
        </is>
      </c>
      <c r="B325" s="2" t="n">
        <v>45211</v>
      </c>
      <c r="C325" s="2" t="n">
        <v>45215</v>
      </c>
      <c r="D325" t="inlineStr">
        <is>
          <t>CUST-00324</t>
        </is>
      </c>
      <c r="E325" t="inlineStr">
        <is>
          <t>Customer 324</t>
        </is>
      </c>
      <c r="F325" t="inlineStr">
        <is>
          <t>Corporate</t>
        </is>
      </c>
      <c r="G325" t="inlineStr">
        <is>
          <t>P1011</t>
        </is>
      </c>
      <c r="H325" t="inlineStr">
        <is>
          <t>Cove Wall Clock</t>
        </is>
      </c>
      <c r="I325" t="inlineStr">
        <is>
          <t>Technology</t>
        </is>
      </c>
      <c r="J325" t="inlineStr">
        <is>
          <t>Coolers</t>
        </is>
      </c>
      <c r="K325" t="inlineStr">
        <is>
          <t>South</t>
        </is>
      </c>
      <c r="L325" t="inlineStr">
        <is>
          <t>North Carolina</t>
        </is>
      </c>
      <c r="M325" t="inlineStr">
        <is>
          <t>Atlanta</t>
        </is>
      </c>
      <c r="N325" t="inlineStr">
        <is>
          <t>Olivia Martin</t>
        </is>
      </c>
      <c r="O325" t="n">
        <v>2</v>
      </c>
      <c r="P325" s="3" t="n">
        <v>88.40000000000001</v>
      </c>
      <c r="Q325" s="4" t="n">
        <v>0.048</v>
      </c>
      <c r="R325" s="3" t="n">
        <v>168.31</v>
      </c>
      <c r="S325" s="3" t="n">
        <v>85.09999999999999</v>
      </c>
      <c r="T325" s="3" t="n">
        <v>75.61</v>
      </c>
      <c r="U325" s="4" t="n">
        <v>0.4492</v>
      </c>
      <c r="V325" s="3" t="n">
        <v>7.6</v>
      </c>
      <c r="W325" t="inlineStr">
        <is>
          <t>Debit Card</t>
        </is>
      </c>
      <c r="X325" t="inlineStr">
        <is>
          <t>Critical</t>
        </is>
      </c>
    </row>
    <row r="326">
      <c r="A326" t="inlineStr">
        <is>
          <t>ORD-00325</t>
        </is>
      </c>
      <c r="B326" s="2" t="n">
        <v>45864</v>
      </c>
      <c r="C326" s="2" t="n">
        <v>45867</v>
      </c>
      <c r="D326" t="inlineStr">
        <is>
          <t>CUST-00325</t>
        </is>
      </c>
      <c r="E326" t="inlineStr">
        <is>
          <t>Customer 325</t>
        </is>
      </c>
      <c r="F326" t="inlineStr">
        <is>
          <t>Consumer</t>
        </is>
      </c>
      <c r="G326" t="inlineStr">
        <is>
          <t>P1010</t>
        </is>
      </c>
      <c r="H326" t="inlineStr">
        <is>
          <t>Aero Standing Desk</t>
        </is>
      </c>
      <c r="I326" t="inlineStr">
        <is>
          <t>Office Supplies</t>
        </is>
      </c>
      <c r="J326" t="inlineStr">
        <is>
          <t>Video</t>
        </is>
      </c>
      <c r="K326" t="inlineStr">
        <is>
          <t>East</t>
        </is>
      </c>
      <c r="L326" t="inlineStr">
        <is>
          <t>Massachusetts</t>
        </is>
      </c>
      <c r="M326" t="inlineStr">
        <is>
          <t>Philadelphia</t>
        </is>
      </c>
      <c r="N326" t="inlineStr">
        <is>
          <t>James Carter</t>
        </is>
      </c>
      <c r="O326" t="n">
        <v>3</v>
      </c>
      <c r="P326" s="3" t="n">
        <v>55.37</v>
      </c>
      <c r="Q326" s="4" t="n">
        <v>0.015</v>
      </c>
      <c r="R326" s="3" t="n">
        <v>163.62</v>
      </c>
      <c r="S326" s="3" t="n">
        <v>77.77</v>
      </c>
      <c r="T326" s="3" t="n">
        <v>76.45</v>
      </c>
      <c r="U326" s="4" t="n">
        <v>0.4672</v>
      </c>
      <c r="V326" s="3" t="n">
        <v>9.4</v>
      </c>
      <c r="W326" t="inlineStr">
        <is>
          <t>Cash on Delivery</t>
        </is>
      </c>
      <c r="X326" t="inlineStr">
        <is>
          <t>Medium</t>
        </is>
      </c>
    </row>
    <row r="327">
      <c r="A327" t="inlineStr">
        <is>
          <t>ORD-00326</t>
        </is>
      </c>
      <c r="B327" s="2" t="n">
        <v>45970</v>
      </c>
      <c r="C327" s="2" t="n">
        <v>45973</v>
      </c>
      <c r="D327" t="inlineStr">
        <is>
          <t>CUST-00326</t>
        </is>
      </c>
      <c r="E327" t="inlineStr">
        <is>
          <t>Customer 326</t>
        </is>
      </c>
      <c r="F327" t="inlineStr">
        <is>
          <t>Corporate</t>
        </is>
      </c>
      <c r="G327" t="inlineStr">
        <is>
          <t>P1003</t>
        </is>
      </c>
      <c r="H327" t="inlineStr">
        <is>
          <t>Halo Planter</t>
        </is>
      </c>
      <c r="I327" t="inlineStr">
        <is>
          <t>Furniture</t>
        </is>
      </c>
      <c r="J327" t="inlineStr">
        <is>
          <t>Desks</t>
        </is>
      </c>
      <c r="K327" t="inlineStr">
        <is>
          <t>West</t>
        </is>
      </c>
      <c r="L327" t="inlineStr">
        <is>
          <t>Colorado</t>
        </is>
      </c>
      <c r="M327" t="inlineStr">
        <is>
          <t>Denver</t>
        </is>
      </c>
      <c r="N327" t="inlineStr">
        <is>
          <t>Ava Patel</t>
        </is>
      </c>
      <c r="O327" t="n">
        <v>4</v>
      </c>
      <c r="P327" s="3" t="n">
        <v>172.26</v>
      </c>
      <c r="Q327" s="4" t="n">
        <v>0.019</v>
      </c>
      <c r="R327" s="3" t="n">
        <v>675.95</v>
      </c>
      <c r="S327" s="3" t="n">
        <v>355.11</v>
      </c>
      <c r="T327" s="3" t="n">
        <v>310.64</v>
      </c>
      <c r="U327" s="4" t="n">
        <v>0.4596</v>
      </c>
      <c r="V327" s="3" t="n">
        <v>10.2</v>
      </c>
      <c r="W327" t="inlineStr">
        <is>
          <t>Bank Transfer</t>
        </is>
      </c>
      <c r="X327" t="inlineStr">
        <is>
          <t>Medium</t>
        </is>
      </c>
    </row>
    <row r="328">
      <c r="A328" t="inlineStr">
        <is>
          <t>ORD-00327</t>
        </is>
      </c>
      <c r="B328" s="2" t="n">
        <v>45643</v>
      </c>
      <c r="C328" s="2" t="n">
        <v>45647</v>
      </c>
      <c r="D328" t="inlineStr">
        <is>
          <t>CUST-00327</t>
        </is>
      </c>
      <c r="E328" t="inlineStr">
        <is>
          <t>Customer 327</t>
        </is>
      </c>
      <c r="F328" t="inlineStr">
        <is>
          <t>Corporate</t>
        </is>
      </c>
      <c r="G328" t="inlineStr">
        <is>
          <t>P1012</t>
        </is>
      </c>
      <c r="H328" t="inlineStr">
        <is>
          <t>Trail Tote</t>
        </is>
      </c>
      <c r="I328" t="inlineStr">
        <is>
          <t>Technology</t>
        </is>
      </c>
      <c r="J328" t="inlineStr">
        <is>
          <t>Lighting</t>
        </is>
      </c>
      <c r="K328" t="inlineStr">
        <is>
          <t>East</t>
        </is>
      </c>
      <c r="L328" t="inlineStr">
        <is>
          <t>New York</t>
        </is>
      </c>
      <c r="M328" t="inlineStr">
        <is>
          <t>Philadelphia</t>
        </is>
      </c>
      <c r="N328" t="inlineStr">
        <is>
          <t>Mia Rodriguez</t>
        </is>
      </c>
      <c r="O328" t="n">
        <v>2</v>
      </c>
      <c r="P328" s="3" t="n">
        <v>139.01</v>
      </c>
      <c r="Q328" s="4" t="n">
        <v>0.064</v>
      </c>
      <c r="R328" s="3" t="n">
        <v>260.23</v>
      </c>
      <c r="S328" s="3" t="n">
        <v>138.89</v>
      </c>
      <c r="T328" s="3" t="n">
        <v>112.74</v>
      </c>
      <c r="U328" s="4" t="n">
        <v>0.4332</v>
      </c>
      <c r="V328" s="3" t="n">
        <v>8.6</v>
      </c>
      <c r="W328" t="inlineStr">
        <is>
          <t>Debit Card</t>
        </is>
      </c>
      <c r="X328" t="inlineStr">
        <is>
          <t>High</t>
        </is>
      </c>
    </row>
    <row r="329">
      <c r="A329" t="inlineStr">
        <is>
          <t>ORD-00328</t>
        </is>
      </c>
      <c r="B329" s="2" t="n">
        <v>45414</v>
      </c>
      <c r="C329" s="2" t="n">
        <v>45417</v>
      </c>
      <c r="D329" t="inlineStr">
        <is>
          <t>CUST-00328</t>
        </is>
      </c>
      <c r="E329" t="inlineStr">
        <is>
          <t>Customer 328</t>
        </is>
      </c>
      <c r="F329" t="inlineStr">
        <is>
          <t>Corporate</t>
        </is>
      </c>
      <c r="G329" t="inlineStr">
        <is>
          <t>P1004</t>
        </is>
      </c>
      <c r="H329" t="inlineStr">
        <is>
          <t>Nova Laptop Stand</t>
        </is>
      </c>
      <c r="I329" t="inlineStr">
        <is>
          <t>Office Supplies</t>
        </is>
      </c>
      <c r="J329" t="inlineStr">
        <is>
          <t>Lighting</t>
        </is>
      </c>
      <c r="K329" t="inlineStr">
        <is>
          <t>East</t>
        </is>
      </c>
      <c r="L329" t="inlineStr">
        <is>
          <t>New Jersey</t>
        </is>
      </c>
      <c r="M329" t="inlineStr">
        <is>
          <t>Philadelphia</t>
        </is>
      </c>
      <c r="N329" t="inlineStr">
        <is>
          <t>James Carter</t>
        </is>
      </c>
      <c r="O329" t="n">
        <v>4</v>
      </c>
      <c r="P329" s="3" t="n">
        <v>590.34</v>
      </c>
      <c r="Q329" s="4" t="n">
        <v>0.038</v>
      </c>
      <c r="R329" s="3" t="n">
        <v>2271.63</v>
      </c>
      <c r="S329" s="3" t="n">
        <v>1440.86</v>
      </c>
      <c r="T329" s="3" t="n">
        <v>820.5700000000001</v>
      </c>
      <c r="U329" s="4" t="n">
        <v>0.3612</v>
      </c>
      <c r="V329" s="3" t="n">
        <v>10.2</v>
      </c>
      <c r="W329" t="inlineStr">
        <is>
          <t>Cash on Delivery</t>
        </is>
      </c>
      <c r="X329" t="inlineStr">
        <is>
          <t>High</t>
        </is>
      </c>
    </row>
    <row r="330">
      <c r="A330" t="inlineStr">
        <is>
          <t>ORD-00329</t>
        </is>
      </c>
      <c r="B330" s="2" t="n">
        <v>45520</v>
      </c>
      <c r="C330" s="2" t="n">
        <v>45522</v>
      </c>
      <c r="D330" t="inlineStr">
        <is>
          <t>CUST-00329</t>
        </is>
      </c>
      <c r="E330" t="inlineStr">
        <is>
          <t>Customer 329</t>
        </is>
      </c>
      <c r="F330" t="inlineStr">
        <is>
          <t>Corporate</t>
        </is>
      </c>
      <c r="G330" t="inlineStr">
        <is>
          <t>P1010</t>
        </is>
      </c>
      <c r="H330" t="inlineStr">
        <is>
          <t>SmartInk Pen Set</t>
        </is>
      </c>
      <c r="I330" t="inlineStr">
        <is>
          <t>Home Decor</t>
        </is>
      </c>
      <c r="J330" t="inlineStr">
        <is>
          <t>Furniture</t>
        </is>
      </c>
      <c r="K330" t="inlineStr">
        <is>
          <t>Central</t>
        </is>
      </c>
      <c r="L330" t="inlineStr">
        <is>
          <t>Illinois</t>
        </is>
      </c>
      <c r="M330" t="inlineStr">
        <is>
          <t>Chicago</t>
        </is>
      </c>
      <c r="N330" t="inlineStr">
        <is>
          <t>Olivia Martin</t>
        </is>
      </c>
      <c r="O330" t="n">
        <v>1</v>
      </c>
      <c r="P330" s="3" t="n">
        <v>54.22</v>
      </c>
      <c r="Q330" s="4" t="n">
        <v>0.021</v>
      </c>
      <c r="R330" s="3" t="n">
        <v>53.08</v>
      </c>
      <c r="S330" s="3" t="n">
        <v>30.48</v>
      </c>
      <c r="T330" s="3" t="n">
        <v>15.8</v>
      </c>
      <c r="U330" s="4" t="n">
        <v>0.2977</v>
      </c>
      <c r="V330" s="3" t="n">
        <v>6.8</v>
      </c>
      <c r="W330" t="inlineStr">
        <is>
          <t>Credit Card</t>
        </is>
      </c>
      <c r="X330" t="inlineStr">
        <is>
          <t>Low</t>
        </is>
      </c>
    </row>
    <row r="331">
      <c r="A331" t="inlineStr">
        <is>
          <t>ORD-00330</t>
        </is>
      </c>
      <c r="B331" s="2" t="n">
        <v>44964</v>
      </c>
      <c r="C331" s="2" t="n">
        <v>44965</v>
      </c>
      <c r="D331" t="inlineStr">
        <is>
          <t>CUST-00330</t>
        </is>
      </c>
      <c r="E331" t="inlineStr">
        <is>
          <t>Customer 330</t>
        </is>
      </c>
      <c r="F331" t="inlineStr">
        <is>
          <t>Corporate</t>
        </is>
      </c>
      <c r="G331" t="inlineStr">
        <is>
          <t>P1002</t>
        </is>
      </c>
      <c r="H331" t="inlineStr">
        <is>
          <t>SmartInk Pen Set</t>
        </is>
      </c>
      <c r="I331" t="inlineStr">
        <is>
          <t>Technology</t>
        </is>
      </c>
      <c r="J331" t="inlineStr">
        <is>
          <t>Storage</t>
        </is>
      </c>
      <c r="K331" t="inlineStr">
        <is>
          <t>East</t>
        </is>
      </c>
      <c r="L331" t="inlineStr">
        <is>
          <t>Massachusetts</t>
        </is>
      </c>
      <c r="M331" t="inlineStr">
        <is>
          <t>Philadelphia</t>
        </is>
      </c>
      <c r="N331" t="inlineStr">
        <is>
          <t>Ethan Brooks</t>
        </is>
      </c>
      <c r="O331" t="n">
        <v>1</v>
      </c>
      <c r="P331" s="3" t="n">
        <v>79.81999999999999</v>
      </c>
      <c r="Q331" s="4" t="n">
        <v>0.032</v>
      </c>
      <c r="R331" s="3" t="n">
        <v>77.27</v>
      </c>
      <c r="S331" s="3" t="n">
        <v>40.73</v>
      </c>
      <c r="T331" s="3" t="n">
        <v>28.74</v>
      </c>
      <c r="U331" s="4" t="n">
        <v>0.3719</v>
      </c>
      <c r="V331" s="3" t="n">
        <v>7.8</v>
      </c>
      <c r="W331" t="inlineStr">
        <is>
          <t>Cash on Delivery</t>
        </is>
      </c>
      <c r="X331" t="inlineStr">
        <is>
          <t>Medium</t>
        </is>
      </c>
    </row>
    <row r="332">
      <c r="A332" t="inlineStr">
        <is>
          <t>ORD-00331</t>
        </is>
      </c>
      <c r="B332" s="2" t="n">
        <v>45400</v>
      </c>
      <c r="C332" s="2" t="n">
        <v>45406</v>
      </c>
      <c r="D332" t="inlineStr">
        <is>
          <t>CUST-00331</t>
        </is>
      </c>
      <c r="E332" t="inlineStr">
        <is>
          <t>Customer 331</t>
        </is>
      </c>
      <c r="F332" t="inlineStr">
        <is>
          <t>Consumer</t>
        </is>
      </c>
      <c r="G332" t="inlineStr">
        <is>
          <t>P1012</t>
        </is>
      </c>
      <c r="H332" t="inlineStr">
        <is>
          <t>Trail Tote</t>
        </is>
      </c>
      <c r="I332" t="inlineStr">
        <is>
          <t>Outdoor</t>
        </is>
      </c>
      <c r="J332" t="inlineStr">
        <is>
          <t>Peripherals</t>
        </is>
      </c>
      <c r="K332" t="inlineStr">
        <is>
          <t>East</t>
        </is>
      </c>
      <c r="L332" t="inlineStr">
        <is>
          <t>New Jersey</t>
        </is>
      </c>
      <c r="M332" t="inlineStr">
        <is>
          <t>Washington</t>
        </is>
      </c>
      <c r="N332" t="inlineStr">
        <is>
          <t>Ethan Brooks</t>
        </is>
      </c>
      <c r="O332" t="n">
        <v>1</v>
      </c>
      <c r="P332" s="3" t="n">
        <v>126.51</v>
      </c>
      <c r="Q332" s="4" t="n">
        <v>0.033</v>
      </c>
      <c r="R332" s="3" t="n">
        <v>122.34</v>
      </c>
      <c r="S332" s="3" t="n">
        <v>71.47</v>
      </c>
      <c r="T332" s="3" t="n">
        <v>43.07</v>
      </c>
      <c r="U332" s="4" t="n">
        <v>0.3521</v>
      </c>
      <c r="V332" s="3" t="n">
        <v>7.8</v>
      </c>
      <c r="W332" t="inlineStr">
        <is>
          <t>Bank Transfer</t>
        </is>
      </c>
      <c r="X332" t="inlineStr">
        <is>
          <t>High</t>
        </is>
      </c>
    </row>
    <row r="333">
      <c r="A333" t="inlineStr">
        <is>
          <t>ORD-00332</t>
        </is>
      </c>
      <c r="B333" s="2" t="n">
        <v>45815</v>
      </c>
      <c r="C333" s="2" t="n">
        <v>45822</v>
      </c>
      <c r="D333" t="inlineStr">
        <is>
          <t>CUST-00332</t>
        </is>
      </c>
      <c r="E333" t="inlineStr">
        <is>
          <t>Customer 332</t>
        </is>
      </c>
      <c r="F333" t="inlineStr">
        <is>
          <t>Home Office</t>
        </is>
      </c>
      <c r="G333" t="inlineStr">
        <is>
          <t>P1011</t>
        </is>
      </c>
      <c r="H333" t="inlineStr">
        <is>
          <t>Nova Laptop Stand</t>
        </is>
      </c>
      <c r="I333" t="inlineStr">
        <is>
          <t>Outdoor</t>
        </is>
      </c>
      <c r="J333" t="inlineStr">
        <is>
          <t>Paper</t>
        </is>
      </c>
      <c r="K333" t="inlineStr">
        <is>
          <t>South</t>
        </is>
      </c>
      <c r="L333" t="inlineStr">
        <is>
          <t>North Carolina</t>
        </is>
      </c>
      <c r="M333" t="inlineStr">
        <is>
          <t>Atlanta</t>
        </is>
      </c>
      <c r="N333" t="inlineStr">
        <is>
          <t>Sophia Singh</t>
        </is>
      </c>
      <c r="O333" t="n">
        <v>2</v>
      </c>
      <c r="P333" s="3" t="n">
        <v>84.83</v>
      </c>
      <c r="Q333" s="4" t="n">
        <v>0.023</v>
      </c>
      <c r="R333" s="3" t="n">
        <v>165.76</v>
      </c>
      <c r="S333" s="3" t="n">
        <v>86.18000000000001</v>
      </c>
      <c r="T333" s="3" t="n">
        <v>71.98</v>
      </c>
      <c r="U333" s="4" t="n">
        <v>0.4342</v>
      </c>
      <c r="V333" s="3" t="n">
        <v>7.6</v>
      </c>
      <c r="W333" t="inlineStr">
        <is>
          <t>PayPal</t>
        </is>
      </c>
      <c r="X333" t="inlineStr">
        <is>
          <t>High</t>
        </is>
      </c>
    </row>
    <row r="334">
      <c r="A334" t="inlineStr">
        <is>
          <t>ORD-00333</t>
        </is>
      </c>
      <c r="B334" s="2" t="n">
        <v>45017</v>
      </c>
      <c r="C334" s="2" t="n">
        <v>45019</v>
      </c>
      <c r="D334" t="inlineStr">
        <is>
          <t>CUST-00333</t>
        </is>
      </c>
      <c r="E334" t="inlineStr">
        <is>
          <t>Customer 333</t>
        </is>
      </c>
      <c r="F334" t="inlineStr">
        <is>
          <t>Consumer</t>
        </is>
      </c>
      <c r="G334" t="inlineStr">
        <is>
          <t>P1014</t>
        </is>
      </c>
      <c r="H334" t="inlineStr">
        <is>
          <t>Orbit Wireless Mouse</t>
        </is>
      </c>
      <c r="I334" t="inlineStr">
        <is>
          <t>Furniture</t>
        </is>
      </c>
      <c r="J334" t="inlineStr">
        <is>
          <t>Paper</t>
        </is>
      </c>
      <c r="K334" t="inlineStr">
        <is>
          <t>West</t>
        </is>
      </c>
      <c r="L334" t="inlineStr">
        <is>
          <t>California</t>
        </is>
      </c>
      <c r="M334" t="inlineStr">
        <is>
          <t>Denver</t>
        </is>
      </c>
      <c r="N334" t="inlineStr">
        <is>
          <t>Sophia Singh</t>
        </is>
      </c>
      <c r="O334" t="n">
        <v>2</v>
      </c>
      <c r="P334" s="3" t="n">
        <v>43.55</v>
      </c>
      <c r="Q334" s="4" t="n">
        <v>0.018</v>
      </c>
      <c r="R334" s="3" t="n">
        <v>85.53</v>
      </c>
      <c r="S334" s="3" t="n">
        <v>41.65</v>
      </c>
      <c r="T334" s="3" t="n">
        <v>35.28</v>
      </c>
      <c r="U334" s="4" t="n">
        <v>0.4125</v>
      </c>
      <c r="V334" s="3" t="n">
        <v>8.6</v>
      </c>
      <c r="W334" t="inlineStr">
        <is>
          <t>Credit Card</t>
        </is>
      </c>
      <c r="X334" t="inlineStr">
        <is>
          <t>High</t>
        </is>
      </c>
    </row>
    <row r="335">
      <c r="A335" t="inlineStr">
        <is>
          <t>ORD-00334</t>
        </is>
      </c>
      <c r="B335" s="2" t="n">
        <v>45233</v>
      </c>
      <c r="C335" s="2" t="n">
        <v>45234</v>
      </c>
      <c r="D335" t="inlineStr">
        <is>
          <t>CUST-00334</t>
        </is>
      </c>
      <c r="E335" t="inlineStr">
        <is>
          <t>Customer 334</t>
        </is>
      </c>
      <c r="F335" t="inlineStr">
        <is>
          <t>Home Office</t>
        </is>
      </c>
      <c r="G335" t="inlineStr">
        <is>
          <t>P1015</t>
        </is>
      </c>
      <c r="H335" t="inlineStr">
        <is>
          <t>Trail Tote</t>
        </is>
      </c>
      <c r="I335" t="inlineStr">
        <is>
          <t>Technology</t>
        </is>
      </c>
      <c r="J335" t="inlineStr">
        <is>
          <t>Flooring</t>
        </is>
      </c>
      <c r="K335" t="inlineStr">
        <is>
          <t>West</t>
        </is>
      </c>
      <c r="L335" t="inlineStr">
        <is>
          <t>California</t>
        </is>
      </c>
      <c r="M335" t="inlineStr">
        <is>
          <t>Denver</t>
        </is>
      </c>
      <c r="N335" t="inlineStr">
        <is>
          <t>Mia Rodriguez</t>
        </is>
      </c>
      <c r="O335" t="n">
        <v>3</v>
      </c>
      <c r="P335" s="3" t="n">
        <v>74.7</v>
      </c>
      <c r="Q335" s="4" t="n">
        <v>0.029</v>
      </c>
      <c r="R335" s="3" t="n">
        <v>217.6</v>
      </c>
      <c r="S335" s="3" t="n">
        <v>98.03</v>
      </c>
      <c r="T335" s="3" t="n">
        <v>110.17</v>
      </c>
      <c r="U335" s="4" t="n">
        <v>0.5063</v>
      </c>
      <c r="V335" s="3" t="n">
        <v>9.4</v>
      </c>
      <c r="W335" t="inlineStr">
        <is>
          <t>Bank Transfer</t>
        </is>
      </c>
      <c r="X335" t="inlineStr">
        <is>
          <t>Medium</t>
        </is>
      </c>
    </row>
    <row r="336">
      <c r="A336" t="inlineStr">
        <is>
          <t>ORD-00335</t>
        </is>
      </c>
      <c r="B336" s="2" t="n">
        <v>45006</v>
      </c>
      <c r="C336" s="2" t="n">
        <v>45009</v>
      </c>
      <c r="D336" t="inlineStr">
        <is>
          <t>CUST-00335</t>
        </is>
      </c>
      <c r="E336" t="inlineStr">
        <is>
          <t>Customer 335</t>
        </is>
      </c>
      <c r="F336" t="inlineStr">
        <is>
          <t>Consumer</t>
        </is>
      </c>
      <c r="G336" t="inlineStr">
        <is>
          <t>P1014</t>
        </is>
      </c>
      <c r="H336" t="inlineStr">
        <is>
          <t>Harbor Rug</t>
        </is>
      </c>
      <c r="I336" t="inlineStr">
        <is>
          <t>Office Supplies</t>
        </is>
      </c>
      <c r="J336" t="inlineStr">
        <is>
          <t>Desks</t>
        </is>
      </c>
      <c r="K336" t="inlineStr">
        <is>
          <t>East</t>
        </is>
      </c>
      <c r="L336" t="inlineStr">
        <is>
          <t>New Jersey</t>
        </is>
      </c>
      <c r="M336" t="inlineStr">
        <is>
          <t>New York</t>
        </is>
      </c>
      <c r="N336" t="inlineStr">
        <is>
          <t>Sophia Singh</t>
        </is>
      </c>
      <c r="O336" t="n">
        <v>6</v>
      </c>
      <c r="P336" s="3" t="n">
        <v>44.12</v>
      </c>
      <c r="Q336" s="4" t="n">
        <v>0.003</v>
      </c>
      <c r="R336" s="3" t="n">
        <v>263.93</v>
      </c>
      <c r="S336" s="3" t="n">
        <v>108.89</v>
      </c>
      <c r="T336" s="3" t="n">
        <v>143.24</v>
      </c>
      <c r="U336" s="4" t="n">
        <v>0.5427</v>
      </c>
      <c r="V336" s="3" t="n">
        <v>11.8</v>
      </c>
      <c r="W336" t="inlineStr">
        <is>
          <t>Credit Card</t>
        </is>
      </c>
      <c r="X336" t="inlineStr">
        <is>
          <t>Low</t>
        </is>
      </c>
    </row>
    <row r="337">
      <c r="A337" t="inlineStr">
        <is>
          <t>ORD-00336</t>
        </is>
      </c>
      <c r="B337" s="2" t="n">
        <v>45135</v>
      </c>
      <c r="C337" s="2" t="n">
        <v>45141</v>
      </c>
      <c r="D337" t="inlineStr">
        <is>
          <t>CUST-00336</t>
        </is>
      </c>
      <c r="E337" t="inlineStr">
        <is>
          <t>Customer 336</t>
        </is>
      </c>
      <c r="F337" t="inlineStr">
        <is>
          <t>Consumer</t>
        </is>
      </c>
      <c r="G337" t="inlineStr">
        <is>
          <t>P1012</t>
        </is>
      </c>
      <c r="H337" t="inlineStr">
        <is>
          <t>ProClip Binder</t>
        </is>
      </c>
      <c r="I337" t="inlineStr">
        <is>
          <t>Furniture</t>
        </is>
      </c>
      <c r="J337" t="inlineStr">
        <is>
          <t>Flooring</t>
        </is>
      </c>
      <c r="K337" t="inlineStr">
        <is>
          <t>East</t>
        </is>
      </c>
      <c r="L337" t="inlineStr">
        <is>
          <t>New York</t>
        </is>
      </c>
      <c r="M337" t="inlineStr">
        <is>
          <t>Philadelphia</t>
        </is>
      </c>
      <c r="N337" t="inlineStr">
        <is>
          <t>Sophia Singh</t>
        </is>
      </c>
      <c r="O337" t="n">
        <v>4</v>
      </c>
      <c r="P337" s="3" t="n">
        <v>137.16</v>
      </c>
      <c r="Q337" s="4" t="n">
        <v>0.018</v>
      </c>
      <c r="R337" s="3" t="n">
        <v>538.76</v>
      </c>
      <c r="S337" s="3" t="n">
        <v>272.92</v>
      </c>
      <c r="T337" s="3" t="n">
        <v>255.64</v>
      </c>
      <c r="U337" s="4" t="n">
        <v>0.4745</v>
      </c>
      <c r="V337" s="3" t="n">
        <v>10.2</v>
      </c>
      <c r="W337" t="inlineStr">
        <is>
          <t>Credit Card</t>
        </is>
      </c>
      <c r="X337" t="inlineStr">
        <is>
          <t>High</t>
        </is>
      </c>
    </row>
    <row r="338">
      <c r="A338" t="inlineStr">
        <is>
          <t>ORD-00337</t>
        </is>
      </c>
      <c r="B338" s="2" t="n">
        <v>45911</v>
      </c>
      <c r="C338" s="2" t="n">
        <v>45913</v>
      </c>
      <c r="D338" t="inlineStr">
        <is>
          <t>CUST-00337</t>
        </is>
      </c>
      <c r="E338" t="inlineStr">
        <is>
          <t>Customer 337</t>
        </is>
      </c>
      <c r="F338" t="inlineStr">
        <is>
          <t>Corporate</t>
        </is>
      </c>
      <c r="G338" t="inlineStr">
        <is>
          <t>P1002</t>
        </is>
      </c>
      <c r="H338" t="inlineStr">
        <is>
          <t>Aero Standing Desk</t>
        </is>
      </c>
      <c r="I338" t="inlineStr">
        <is>
          <t>Outdoor</t>
        </is>
      </c>
      <c r="J338" t="inlineStr">
        <is>
          <t>Textiles</t>
        </is>
      </c>
      <c r="K338" t="inlineStr">
        <is>
          <t>Central</t>
        </is>
      </c>
      <c r="L338" t="inlineStr">
        <is>
          <t>Missouri</t>
        </is>
      </c>
      <c r="M338" t="inlineStr">
        <is>
          <t>Kansas City</t>
        </is>
      </c>
      <c r="N338" t="inlineStr">
        <is>
          <t>Liam Chen</t>
        </is>
      </c>
      <c r="O338" t="n">
        <v>4</v>
      </c>
      <c r="P338" s="3" t="n">
        <v>79.40000000000001</v>
      </c>
      <c r="Q338" s="4" t="n">
        <v>0.02</v>
      </c>
      <c r="R338" s="3" t="n">
        <v>311.25</v>
      </c>
      <c r="S338" s="3" t="n">
        <v>144.2</v>
      </c>
      <c r="T338" s="3" t="n">
        <v>157.85</v>
      </c>
      <c r="U338" s="4" t="n">
        <v>0.5071</v>
      </c>
      <c r="V338" s="3" t="n">
        <v>9.199999999999999</v>
      </c>
      <c r="W338" t="inlineStr">
        <is>
          <t>PayPal</t>
        </is>
      </c>
      <c r="X338" t="inlineStr">
        <is>
          <t>Medium</t>
        </is>
      </c>
    </row>
    <row r="339">
      <c r="A339" t="inlineStr">
        <is>
          <t>ORD-00338</t>
        </is>
      </c>
      <c r="B339" s="2" t="n">
        <v>45952</v>
      </c>
      <c r="C339" s="2" t="n">
        <v>45957</v>
      </c>
      <c r="D339" t="inlineStr">
        <is>
          <t>CUST-00338</t>
        </is>
      </c>
      <c r="E339" t="inlineStr">
        <is>
          <t>Customer 338</t>
        </is>
      </c>
      <c r="F339" t="inlineStr">
        <is>
          <t>Consumer</t>
        </is>
      </c>
      <c r="G339" t="inlineStr">
        <is>
          <t>P1002</t>
        </is>
      </c>
      <c r="H339" t="inlineStr">
        <is>
          <t>Summit Patio Set</t>
        </is>
      </c>
      <c r="I339" t="inlineStr">
        <is>
          <t>Furniture</t>
        </is>
      </c>
      <c r="J339" t="inlineStr">
        <is>
          <t>Video</t>
        </is>
      </c>
      <c r="K339" t="inlineStr">
        <is>
          <t>West</t>
        </is>
      </c>
      <c r="L339" t="inlineStr">
        <is>
          <t>Oregon</t>
        </is>
      </c>
      <c r="M339" t="inlineStr">
        <is>
          <t>Seattle</t>
        </is>
      </c>
      <c r="N339" t="inlineStr">
        <is>
          <t>Olivia Martin</t>
        </is>
      </c>
      <c r="O339" t="n">
        <v>4</v>
      </c>
      <c r="P339" s="3" t="n">
        <v>93.40000000000001</v>
      </c>
      <c r="Q339" s="4" t="n">
        <v>0.017</v>
      </c>
      <c r="R339" s="3" t="n">
        <v>367.25</v>
      </c>
      <c r="S339" s="3" t="n">
        <v>173.05</v>
      </c>
      <c r="T339" s="3" t="n">
        <v>184</v>
      </c>
      <c r="U339" s="4" t="n">
        <v>0.501</v>
      </c>
      <c r="V339" s="3" t="n">
        <v>10.2</v>
      </c>
      <c r="W339" t="inlineStr">
        <is>
          <t>Credit Card</t>
        </is>
      </c>
      <c r="X339" t="inlineStr">
        <is>
          <t>Low</t>
        </is>
      </c>
    </row>
    <row r="340">
      <c r="A340" t="inlineStr">
        <is>
          <t>ORD-00339</t>
        </is>
      </c>
      <c r="B340" s="2" t="n">
        <v>45458</v>
      </c>
      <c r="C340" s="2" t="n">
        <v>45465</v>
      </c>
      <c r="D340" t="inlineStr">
        <is>
          <t>CUST-00339</t>
        </is>
      </c>
      <c r="E340" t="inlineStr">
        <is>
          <t>Customer 339</t>
        </is>
      </c>
      <c r="F340" t="inlineStr">
        <is>
          <t>Home Office</t>
        </is>
      </c>
      <c r="G340" t="inlineStr">
        <is>
          <t>P1001</t>
        </is>
      </c>
      <c r="H340" t="inlineStr">
        <is>
          <t>Cove Wall Clock</t>
        </is>
      </c>
      <c r="I340" t="inlineStr">
        <is>
          <t>Furniture</t>
        </is>
      </c>
      <c r="J340" t="inlineStr">
        <is>
          <t>Decor</t>
        </is>
      </c>
      <c r="K340" t="inlineStr">
        <is>
          <t>East</t>
        </is>
      </c>
      <c r="L340" t="inlineStr">
        <is>
          <t>New York</t>
        </is>
      </c>
      <c r="M340" t="inlineStr">
        <is>
          <t>Boston</t>
        </is>
      </c>
      <c r="N340" t="inlineStr">
        <is>
          <t>Liam Chen</t>
        </is>
      </c>
      <c r="O340" t="n">
        <v>2</v>
      </c>
      <c r="P340" s="3" t="n">
        <v>300.14</v>
      </c>
      <c r="Q340" s="4" t="n">
        <v>0.025</v>
      </c>
      <c r="R340" s="3" t="n">
        <v>585.27</v>
      </c>
      <c r="S340" s="3" t="n">
        <v>351.16</v>
      </c>
      <c r="T340" s="3" t="n">
        <v>225.51</v>
      </c>
      <c r="U340" s="4" t="n">
        <v>0.3853</v>
      </c>
      <c r="V340" s="3" t="n">
        <v>8.6</v>
      </c>
      <c r="W340" t="inlineStr">
        <is>
          <t>Debit Card</t>
        </is>
      </c>
      <c r="X340" t="inlineStr">
        <is>
          <t>Medium</t>
        </is>
      </c>
    </row>
    <row r="341">
      <c r="A341" t="inlineStr">
        <is>
          <t>ORD-00340</t>
        </is>
      </c>
      <c r="B341" s="2" t="n">
        <v>45255</v>
      </c>
      <c r="C341" s="2" t="n">
        <v>45259</v>
      </c>
      <c r="D341" t="inlineStr">
        <is>
          <t>CUST-00340</t>
        </is>
      </c>
      <c r="E341" t="inlineStr">
        <is>
          <t>Customer 340</t>
        </is>
      </c>
      <c r="F341" t="inlineStr">
        <is>
          <t>Consumer</t>
        </is>
      </c>
      <c r="G341" t="inlineStr">
        <is>
          <t>P1020</t>
        </is>
      </c>
      <c r="H341" t="inlineStr">
        <is>
          <t>Nimbus Monitor Arm</t>
        </is>
      </c>
      <c r="I341" t="inlineStr">
        <is>
          <t>Technology</t>
        </is>
      </c>
      <c r="J341" t="inlineStr">
        <is>
          <t>Accessories</t>
        </is>
      </c>
      <c r="K341" t="inlineStr">
        <is>
          <t>East</t>
        </is>
      </c>
      <c r="L341" t="inlineStr">
        <is>
          <t>New Jersey</t>
        </is>
      </c>
      <c r="M341" t="inlineStr">
        <is>
          <t>Washington</t>
        </is>
      </c>
      <c r="N341" t="inlineStr">
        <is>
          <t>Liam Chen</t>
        </is>
      </c>
      <c r="O341" t="n">
        <v>2</v>
      </c>
      <c r="P341" s="3" t="n">
        <v>79.25</v>
      </c>
      <c r="Q341" s="4" t="n">
        <v>0.051</v>
      </c>
      <c r="R341" s="3" t="n">
        <v>150.42</v>
      </c>
      <c r="S341" s="3" t="n">
        <v>73.3</v>
      </c>
      <c r="T341" s="3" t="n">
        <v>68.52</v>
      </c>
      <c r="U341" s="4" t="n">
        <v>0.4555</v>
      </c>
      <c r="V341" s="3" t="n">
        <v>8.6</v>
      </c>
      <c r="W341" t="inlineStr">
        <is>
          <t>PayPal</t>
        </is>
      </c>
      <c r="X341" t="inlineStr">
        <is>
          <t>High</t>
        </is>
      </c>
    </row>
    <row r="342">
      <c r="A342" t="inlineStr">
        <is>
          <t>ORD-00341</t>
        </is>
      </c>
      <c r="B342" s="2" t="n">
        <v>45529</v>
      </c>
      <c r="C342" s="2" t="n">
        <v>45536</v>
      </c>
      <c r="D342" t="inlineStr">
        <is>
          <t>CUST-00341</t>
        </is>
      </c>
      <c r="E342" t="inlineStr">
        <is>
          <t>Customer 341</t>
        </is>
      </c>
      <c r="F342" t="inlineStr">
        <is>
          <t>Corporate</t>
        </is>
      </c>
      <c r="G342" t="inlineStr">
        <is>
          <t>P1015</t>
        </is>
      </c>
      <c r="H342" t="inlineStr">
        <is>
          <t>ErgoMesh Chair</t>
        </is>
      </c>
      <c r="I342" t="inlineStr">
        <is>
          <t>Home Decor</t>
        </is>
      </c>
      <c r="J342" t="inlineStr">
        <is>
          <t>Binders</t>
        </is>
      </c>
      <c r="K342" t="inlineStr">
        <is>
          <t>East</t>
        </is>
      </c>
      <c r="L342" t="inlineStr">
        <is>
          <t>Virginia</t>
        </is>
      </c>
      <c r="M342" t="inlineStr">
        <is>
          <t>Philadelphia</t>
        </is>
      </c>
      <c r="N342" t="inlineStr">
        <is>
          <t>Ethan Brooks</t>
        </is>
      </c>
      <c r="O342" t="n">
        <v>4</v>
      </c>
      <c r="P342" s="3" t="n">
        <v>74.62</v>
      </c>
      <c r="Q342" s="4" t="n">
        <v>0.029</v>
      </c>
      <c r="R342" s="3" t="n">
        <v>289.82</v>
      </c>
      <c r="S342" s="3" t="n">
        <v>127.67</v>
      </c>
      <c r="T342" s="3" t="n">
        <v>151.95</v>
      </c>
      <c r="U342" s="4" t="n">
        <v>0.5243</v>
      </c>
      <c r="V342" s="3" t="n">
        <v>10.2</v>
      </c>
      <c r="W342" t="inlineStr">
        <is>
          <t>Credit Card</t>
        </is>
      </c>
      <c r="X342" t="inlineStr">
        <is>
          <t>High</t>
        </is>
      </c>
    </row>
    <row r="343">
      <c r="A343" t="inlineStr">
        <is>
          <t>ORD-00342</t>
        </is>
      </c>
      <c r="B343" s="2" t="n">
        <v>45446</v>
      </c>
      <c r="C343" s="2" t="n">
        <v>45447</v>
      </c>
      <c r="D343" t="inlineStr">
        <is>
          <t>CUST-00342</t>
        </is>
      </c>
      <c r="E343" t="inlineStr">
        <is>
          <t>Customer 342</t>
        </is>
      </c>
      <c r="F343" t="inlineStr">
        <is>
          <t>Consumer</t>
        </is>
      </c>
      <c r="G343" t="inlineStr">
        <is>
          <t>P1010</t>
        </is>
      </c>
      <c r="H343" t="inlineStr">
        <is>
          <t>Tide Cooler</t>
        </is>
      </c>
      <c r="I343" t="inlineStr">
        <is>
          <t>Outdoor</t>
        </is>
      </c>
      <c r="J343" t="inlineStr">
        <is>
          <t>Storage</t>
        </is>
      </c>
      <c r="K343" t="inlineStr">
        <is>
          <t>West</t>
        </is>
      </c>
      <c r="L343" t="inlineStr">
        <is>
          <t>California</t>
        </is>
      </c>
      <c r="M343" t="inlineStr">
        <is>
          <t>San Francisco</t>
        </is>
      </c>
      <c r="N343" t="inlineStr">
        <is>
          <t>Olivia Martin</t>
        </is>
      </c>
      <c r="O343" t="n">
        <v>3</v>
      </c>
      <c r="P343" s="3" t="n">
        <v>59.97</v>
      </c>
      <c r="Q343" s="4" t="n">
        <v>0.051</v>
      </c>
      <c r="R343" s="3" t="n">
        <v>170.73</v>
      </c>
      <c r="S343" s="3" t="n">
        <v>81.59999999999999</v>
      </c>
      <c r="T343" s="3" t="n">
        <v>79.73</v>
      </c>
      <c r="U343" s="4" t="n">
        <v>0.467</v>
      </c>
      <c r="V343" s="3" t="n">
        <v>9.4</v>
      </c>
      <c r="W343" t="inlineStr">
        <is>
          <t>Debit Card</t>
        </is>
      </c>
      <c r="X343" t="inlineStr">
        <is>
          <t>High</t>
        </is>
      </c>
    </row>
    <row r="344">
      <c r="A344" t="inlineStr">
        <is>
          <t>ORD-00343</t>
        </is>
      </c>
      <c r="B344" s="2" t="n">
        <v>44981</v>
      </c>
      <c r="C344" s="2" t="n">
        <v>44982</v>
      </c>
      <c r="D344" t="inlineStr">
        <is>
          <t>CUST-00343</t>
        </is>
      </c>
      <c r="E344" t="inlineStr">
        <is>
          <t>Customer 343</t>
        </is>
      </c>
      <c r="F344" t="inlineStr">
        <is>
          <t>Consumer</t>
        </is>
      </c>
      <c r="G344" t="inlineStr">
        <is>
          <t>P1020</t>
        </is>
      </c>
      <c r="H344" t="inlineStr">
        <is>
          <t>Lumen Desk Lamp</t>
        </is>
      </c>
      <c r="I344" t="inlineStr">
        <is>
          <t>Office Supplies</t>
        </is>
      </c>
      <c r="J344" t="inlineStr">
        <is>
          <t>Textiles</t>
        </is>
      </c>
      <c r="K344" t="inlineStr">
        <is>
          <t>Central</t>
        </is>
      </c>
      <c r="L344" t="inlineStr">
        <is>
          <t>Minnesota</t>
        </is>
      </c>
      <c r="M344" t="inlineStr">
        <is>
          <t>Minneapolis</t>
        </is>
      </c>
      <c r="N344" t="inlineStr">
        <is>
          <t>Olivia Martin</t>
        </is>
      </c>
      <c r="O344" t="n">
        <v>2</v>
      </c>
      <c r="P344" s="3" t="n">
        <v>72.56</v>
      </c>
      <c r="Q344" s="4" t="n">
        <v>0.008</v>
      </c>
      <c r="R344" s="3" t="n">
        <v>143.96</v>
      </c>
      <c r="S344" s="3" t="n">
        <v>71.94</v>
      </c>
      <c r="T344" s="3" t="n">
        <v>64.42</v>
      </c>
      <c r="U344" s="4" t="n">
        <v>0.4475</v>
      </c>
      <c r="V344" s="3" t="n">
        <v>7.6</v>
      </c>
      <c r="W344" t="inlineStr">
        <is>
          <t>Credit Card</t>
        </is>
      </c>
      <c r="X344" t="inlineStr">
        <is>
          <t>Medium</t>
        </is>
      </c>
    </row>
    <row r="345">
      <c r="A345" t="inlineStr">
        <is>
          <t>ORD-00344</t>
        </is>
      </c>
      <c r="B345" s="2" t="n">
        <v>45486</v>
      </c>
      <c r="C345" s="2" t="n">
        <v>45491</v>
      </c>
      <c r="D345" t="inlineStr">
        <is>
          <t>CUST-00344</t>
        </is>
      </c>
      <c r="E345" t="inlineStr">
        <is>
          <t>Customer 344</t>
        </is>
      </c>
      <c r="F345" t="inlineStr">
        <is>
          <t>Consumer</t>
        </is>
      </c>
      <c r="G345" t="inlineStr">
        <is>
          <t>P1001</t>
        </is>
      </c>
      <c r="H345" t="inlineStr">
        <is>
          <t>CloudDrive File Box</t>
        </is>
      </c>
      <c r="I345" t="inlineStr">
        <is>
          <t>Home Decor</t>
        </is>
      </c>
      <c r="J345" t="inlineStr">
        <is>
          <t>Lighting</t>
        </is>
      </c>
      <c r="K345" t="inlineStr">
        <is>
          <t>West</t>
        </is>
      </c>
      <c r="L345" t="inlineStr">
        <is>
          <t>Oregon</t>
        </is>
      </c>
      <c r="M345" t="inlineStr">
        <is>
          <t>Denver</t>
        </is>
      </c>
      <c r="N345" t="inlineStr">
        <is>
          <t>Mia Rodriguez</t>
        </is>
      </c>
      <c r="O345" t="n">
        <v>5</v>
      </c>
      <c r="P345" s="3" t="n">
        <v>329.18</v>
      </c>
      <c r="Q345" s="4" t="n">
        <v>0.062</v>
      </c>
      <c r="R345" s="3" t="n">
        <v>1543.85</v>
      </c>
      <c r="S345" s="3" t="n">
        <v>903.42</v>
      </c>
      <c r="T345" s="3" t="n">
        <v>629.4299999999999</v>
      </c>
      <c r="U345" s="4" t="n">
        <v>0.4077</v>
      </c>
      <c r="V345" s="3" t="n">
        <v>11</v>
      </c>
      <c r="W345" t="inlineStr">
        <is>
          <t>Credit Card</t>
        </is>
      </c>
      <c r="X345" t="inlineStr">
        <is>
          <t>High</t>
        </is>
      </c>
    </row>
    <row r="346">
      <c r="A346" t="inlineStr">
        <is>
          <t>ORD-00345</t>
        </is>
      </c>
      <c r="B346" s="2" t="n">
        <v>45600</v>
      </c>
      <c r="C346" s="2" t="n">
        <v>45605</v>
      </c>
      <c r="D346" t="inlineStr">
        <is>
          <t>CUST-00345</t>
        </is>
      </c>
      <c r="E346" t="inlineStr">
        <is>
          <t>Customer 345</t>
        </is>
      </c>
      <c r="F346" t="inlineStr">
        <is>
          <t>Corporate</t>
        </is>
      </c>
      <c r="G346" t="inlineStr">
        <is>
          <t>P1001</t>
        </is>
      </c>
      <c r="H346" t="inlineStr">
        <is>
          <t>Atlas Throw Pillow</t>
        </is>
      </c>
      <c r="I346" t="inlineStr">
        <is>
          <t>Technology</t>
        </is>
      </c>
      <c r="J346" t="inlineStr">
        <is>
          <t>Lighting</t>
        </is>
      </c>
      <c r="K346" t="inlineStr">
        <is>
          <t>South</t>
        </is>
      </c>
      <c r="L346" t="inlineStr">
        <is>
          <t>North Carolina</t>
        </is>
      </c>
      <c r="M346" t="inlineStr">
        <is>
          <t>Atlanta</t>
        </is>
      </c>
      <c r="N346" t="inlineStr">
        <is>
          <t>Ethan Brooks</t>
        </is>
      </c>
      <c r="O346" t="n">
        <v>3</v>
      </c>
      <c r="P346" s="3" t="n">
        <v>297.05</v>
      </c>
      <c r="Q346" s="4" t="n">
        <v>0.037</v>
      </c>
      <c r="R346" s="3" t="n">
        <v>858.1799999999999</v>
      </c>
      <c r="S346" s="3" t="n">
        <v>507.01</v>
      </c>
      <c r="T346" s="3" t="n">
        <v>342.77</v>
      </c>
      <c r="U346" s="4" t="n">
        <v>0.3994</v>
      </c>
      <c r="V346" s="3" t="n">
        <v>8.4</v>
      </c>
      <c r="W346" t="inlineStr">
        <is>
          <t>PayPal</t>
        </is>
      </c>
      <c r="X346" t="inlineStr">
        <is>
          <t>High</t>
        </is>
      </c>
    </row>
    <row r="347">
      <c r="A347" t="inlineStr">
        <is>
          <t>ORD-00346</t>
        </is>
      </c>
      <c r="B347" s="2" t="n">
        <v>45558</v>
      </c>
      <c r="C347" s="2" t="n">
        <v>45562</v>
      </c>
      <c r="D347" t="inlineStr">
        <is>
          <t>CUST-00346</t>
        </is>
      </c>
      <c r="E347" t="inlineStr">
        <is>
          <t>Customer 346</t>
        </is>
      </c>
      <c r="F347" t="inlineStr">
        <is>
          <t>Corporate</t>
        </is>
      </c>
      <c r="G347" t="inlineStr">
        <is>
          <t>P1001</t>
        </is>
      </c>
      <c r="H347" t="inlineStr">
        <is>
          <t>Aero Standing Desk</t>
        </is>
      </c>
      <c r="I347" t="inlineStr">
        <is>
          <t>Technology</t>
        </is>
      </c>
      <c r="J347" t="inlineStr">
        <is>
          <t>Binders</t>
        </is>
      </c>
      <c r="K347" t="inlineStr">
        <is>
          <t>South</t>
        </is>
      </c>
      <c r="L347" t="inlineStr">
        <is>
          <t>North Carolina</t>
        </is>
      </c>
      <c r="M347" t="inlineStr">
        <is>
          <t>Houston</t>
        </is>
      </c>
      <c r="N347" t="inlineStr">
        <is>
          <t>Sophia Singh</t>
        </is>
      </c>
      <c r="O347" t="n">
        <v>4</v>
      </c>
      <c r="P347" s="3" t="n">
        <v>294.8</v>
      </c>
      <c r="Q347" s="4" t="n">
        <v>0.075</v>
      </c>
      <c r="R347" s="3" t="n">
        <v>1090.76</v>
      </c>
      <c r="S347" s="3" t="n">
        <v>643.38</v>
      </c>
      <c r="T347" s="3" t="n">
        <v>438.18</v>
      </c>
      <c r="U347" s="4" t="n">
        <v>0.4017</v>
      </c>
      <c r="V347" s="3" t="n">
        <v>9.199999999999999</v>
      </c>
      <c r="W347" t="inlineStr">
        <is>
          <t>PayPal</t>
        </is>
      </c>
      <c r="X347" t="inlineStr">
        <is>
          <t>Critical</t>
        </is>
      </c>
    </row>
    <row r="348">
      <c r="A348" t="inlineStr">
        <is>
          <t>ORD-00347</t>
        </is>
      </c>
      <c r="B348" s="2" t="n">
        <v>45618</v>
      </c>
      <c r="C348" s="2" t="n">
        <v>45621</v>
      </c>
      <c r="D348" t="inlineStr">
        <is>
          <t>CUST-00347</t>
        </is>
      </c>
      <c r="E348" t="inlineStr">
        <is>
          <t>Customer 347</t>
        </is>
      </c>
      <c r="F348" t="inlineStr">
        <is>
          <t>Corporate</t>
        </is>
      </c>
      <c r="G348" t="inlineStr">
        <is>
          <t>P1011</t>
        </is>
      </c>
      <c r="H348" t="inlineStr">
        <is>
          <t>Northstar Lantern</t>
        </is>
      </c>
      <c r="I348" t="inlineStr">
        <is>
          <t>Furniture</t>
        </is>
      </c>
      <c r="J348" t="inlineStr">
        <is>
          <t>Lighting</t>
        </is>
      </c>
      <c r="K348" t="inlineStr">
        <is>
          <t>Central</t>
        </is>
      </c>
      <c r="L348" t="inlineStr">
        <is>
          <t>Minnesota</t>
        </is>
      </c>
      <c r="M348" t="inlineStr">
        <is>
          <t>St. Louis</t>
        </is>
      </c>
      <c r="N348" t="inlineStr">
        <is>
          <t>Olivia Martin</t>
        </is>
      </c>
      <c r="O348" t="n">
        <v>1</v>
      </c>
      <c r="P348" s="3" t="n">
        <v>91.81</v>
      </c>
      <c r="Q348" s="4" t="n">
        <v>0.026</v>
      </c>
      <c r="R348" s="3" t="n">
        <v>89.42</v>
      </c>
      <c r="S348" s="3" t="n">
        <v>46.78</v>
      </c>
      <c r="T348" s="3" t="n">
        <v>35.84</v>
      </c>
      <c r="U348" s="4" t="n">
        <v>0.4008</v>
      </c>
      <c r="V348" s="3" t="n">
        <v>6.8</v>
      </c>
      <c r="W348" t="inlineStr">
        <is>
          <t>PayPal</t>
        </is>
      </c>
      <c r="X348" t="inlineStr">
        <is>
          <t>Low</t>
        </is>
      </c>
    </row>
    <row r="349">
      <c r="A349" t="inlineStr">
        <is>
          <t>ORD-00348</t>
        </is>
      </c>
      <c r="B349" s="2" t="n">
        <v>45115</v>
      </c>
      <c r="C349" s="2" t="n">
        <v>45122</v>
      </c>
      <c r="D349" t="inlineStr">
        <is>
          <t>CUST-00348</t>
        </is>
      </c>
      <c r="E349" t="inlineStr">
        <is>
          <t>Customer 348</t>
        </is>
      </c>
      <c r="F349" t="inlineStr">
        <is>
          <t>Home Office</t>
        </is>
      </c>
      <c r="G349" t="inlineStr">
        <is>
          <t>P1012</t>
        </is>
      </c>
      <c r="H349" t="inlineStr">
        <is>
          <t>Trail Tote</t>
        </is>
      </c>
      <c r="I349" t="inlineStr">
        <is>
          <t>Home Decor</t>
        </is>
      </c>
      <c r="J349" t="inlineStr">
        <is>
          <t>Lighting</t>
        </is>
      </c>
      <c r="K349" t="inlineStr">
        <is>
          <t>South</t>
        </is>
      </c>
      <c r="L349" t="inlineStr">
        <is>
          <t>Florida</t>
        </is>
      </c>
      <c r="M349" t="inlineStr">
        <is>
          <t>Houston</t>
        </is>
      </c>
      <c r="N349" t="inlineStr">
        <is>
          <t>Ava Patel</t>
        </is>
      </c>
      <c r="O349" t="n">
        <v>1</v>
      </c>
      <c r="P349" s="3" t="n">
        <v>133</v>
      </c>
      <c r="Q349" s="4" t="n">
        <v>0.007</v>
      </c>
      <c r="R349" s="3" t="n">
        <v>132.07</v>
      </c>
      <c r="S349" s="3" t="n">
        <v>74.06999999999999</v>
      </c>
      <c r="T349" s="3" t="n">
        <v>51.2</v>
      </c>
      <c r="U349" s="4" t="n">
        <v>0.3877</v>
      </c>
      <c r="V349" s="3" t="n">
        <v>6.8</v>
      </c>
      <c r="W349" t="inlineStr">
        <is>
          <t>Cash on Delivery</t>
        </is>
      </c>
      <c r="X349" t="inlineStr">
        <is>
          <t>Low</t>
        </is>
      </c>
    </row>
    <row r="350">
      <c r="A350" t="inlineStr">
        <is>
          <t>ORD-00349</t>
        </is>
      </c>
      <c r="B350" s="2" t="n">
        <v>45373</v>
      </c>
      <c r="C350" s="2" t="n">
        <v>45375</v>
      </c>
      <c r="D350" t="inlineStr">
        <is>
          <t>CUST-00349</t>
        </is>
      </c>
      <c r="E350" t="inlineStr">
        <is>
          <t>Customer 349</t>
        </is>
      </c>
      <c r="F350" t="inlineStr">
        <is>
          <t>Corporate</t>
        </is>
      </c>
      <c r="G350" t="inlineStr">
        <is>
          <t>P1015</t>
        </is>
      </c>
      <c r="H350" t="inlineStr">
        <is>
          <t>Orbit Wireless Mouse</t>
        </is>
      </c>
      <c r="I350" t="inlineStr">
        <is>
          <t>Technology</t>
        </is>
      </c>
      <c r="J350" t="inlineStr">
        <is>
          <t>Lighting</t>
        </is>
      </c>
      <c r="K350" t="inlineStr">
        <is>
          <t>South</t>
        </is>
      </c>
      <c r="L350" t="inlineStr">
        <is>
          <t>North Carolina</t>
        </is>
      </c>
      <c r="M350" t="inlineStr">
        <is>
          <t>Dallas</t>
        </is>
      </c>
      <c r="N350" t="inlineStr">
        <is>
          <t>Ethan Brooks</t>
        </is>
      </c>
      <c r="O350" t="n">
        <v>3</v>
      </c>
      <c r="P350" s="3" t="n">
        <v>64.02</v>
      </c>
      <c r="Q350" s="4" t="n">
        <v>0.037</v>
      </c>
      <c r="R350" s="3" t="n">
        <v>184.95</v>
      </c>
      <c r="S350" s="3" t="n">
        <v>87</v>
      </c>
      <c r="T350" s="3" t="n">
        <v>89.55</v>
      </c>
      <c r="U350" s="4" t="n">
        <v>0.4842</v>
      </c>
      <c r="V350" s="3" t="n">
        <v>8.4</v>
      </c>
      <c r="W350" t="inlineStr">
        <is>
          <t>Cash on Delivery</t>
        </is>
      </c>
      <c r="X350" t="inlineStr">
        <is>
          <t>Medium</t>
        </is>
      </c>
    </row>
    <row r="351">
      <c r="A351" t="inlineStr">
        <is>
          <t>ORD-00350</t>
        </is>
      </c>
      <c r="B351" s="2" t="n">
        <v>45295</v>
      </c>
      <c r="C351" s="2" t="n">
        <v>45297</v>
      </c>
      <c r="D351" t="inlineStr">
        <is>
          <t>CUST-00350</t>
        </is>
      </c>
      <c r="E351" t="inlineStr">
        <is>
          <t>Customer 350</t>
        </is>
      </c>
      <c r="F351" t="inlineStr">
        <is>
          <t>Home Office</t>
        </is>
      </c>
      <c r="G351" t="inlineStr">
        <is>
          <t>P1014</t>
        </is>
      </c>
      <c r="H351" t="inlineStr">
        <is>
          <t>Summit Patio Set</t>
        </is>
      </c>
      <c r="I351" t="inlineStr">
        <is>
          <t>Furniture</t>
        </is>
      </c>
      <c r="J351" t="inlineStr">
        <is>
          <t>Flooring</t>
        </is>
      </c>
      <c r="K351" t="inlineStr">
        <is>
          <t>West</t>
        </is>
      </c>
      <c r="L351" t="inlineStr">
        <is>
          <t>California</t>
        </is>
      </c>
      <c r="M351" t="inlineStr">
        <is>
          <t>Denver</t>
        </is>
      </c>
      <c r="N351" t="inlineStr">
        <is>
          <t>Noah Kim</t>
        </is>
      </c>
      <c r="O351" t="n">
        <v>1</v>
      </c>
      <c r="P351" s="3" t="n">
        <v>43.44</v>
      </c>
      <c r="Q351" s="4" t="n">
        <v>0.025</v>
      </c>
      <c r="R351" s="3" t="n">
        <v>42.35</v>
      </c>
      <c r="S351" s="3" t="n">
        <v>26.25</v>
      </c>
      <c r="T351" s="3" t="n">
        <v>8.300000000000001</v>
      </c>
      <c r="U351" s="4" t="n">
        <v>0.196</v>
      </c>
      <c r="V351" s="3" t="n">
        <v>7.8</v>
      </c>
      <c r="W351" t="inlineStr">
        <is>
          <t>PayPal</t>
        </is>
      </c>
      <c r="X351" t="inlineStr">
        <is>
          <t>Medium</t>
        </is>
      </c>
    </row>
    <row r="352">
      <c r="A352" t="inlineStr">
        <is>
          <t>ORD-00351</t>
        </is>
      </c>
      <c r="B352" s="2" t="n">
        <v>45430</v>
      </c>
      <c r="C352" s="2" t="n">
        <v>45432</v>
      </c>
      <c r="D352" t="inlineStr">
        <is>
          <t>CUST-00351</t>
        </is>
      </c>
      <c r="E352" t="inlineStr">
        <is>
          <t>Customer 351</t>
        </is>
      </c>
      <c r="F352" t="inlineStr">
        <is>
          <t>Consumer</t>
        </is>
      </c>
      <c r="G352" t="inlineStr">
        <is>
          <t>P1001</t>
        </is>
      </c>
      <c r="H352" t="inlineStr">
        <is>
          <t>Summit Patio Set</t>
        </is>
      </c>
      <c r="I352" t="inlineStr">
        <is>
          <t>Home Decor</t>
        </is>
      </c>
      <c r="J352" t="inlineStr">
        <is>
          <t>Furniture</t>
        </is>
      </c>
      <c r="K352" t="inlineStr">
        <is>
          <t>West</t>
        </is>
      </c>
      <c r="L352" t="inlineStr">
        <is>
          <t>California</t>
        </is>
      </c>
      <c r="M352" t="inlineStr">
        <is>
          <t>San Francisco</t>
        </is>
      </c>
      <c r="N352" t="inlineStr">
        <is>
          <t>Olivia Martin</t>
        </is>
      </c>
      <c r="O352" t="n">
        <v>6</v>
      </c>
      <c r="P352" s="3" t="n">
        <v>295.92</v>
      </c>
      <c r="Q352" s="4" t="n">
        <v>0.04799999999999999</v>
      </c>
      <c r="R352" s="3" t="n">
        <v>1690.3</v>
      </c>
      <c r="S352" s="3" t="n">
        <v>985.05</v>
      </c>
      <c r="T352" s="3" t="n">
        <v>693.45</v>
      </c>
      <c r="U352" s="4" t="n">
        <v>0.4103</v>
      </c>
      <c r="V352" s="3" t="n">
        <v>11.8</v>
      </c>
      <c r="W352" t="inlineStr">
        <is>
          <t>Bank Transfer</t>
        </is>
      </c>
      <c r="X352" t="inlineStr">
        <is>
          <t>High</t>
        </is>
      </c>
    </row>
    <row r="353">
      <c r="A353" t="inlineStr">
        <is>
          <t>ORD-00352</t>
        </is>
      </c>
      <c r="B353" s="2" t="n">
        <v>45937</v>
      </c>
      <c r="C353" s="2" t="n">
        <v>45940</v>
      </c>
      <c r="D353" t="inlineStr">
        <is>
          <t>CUST-00352</t>
        </is>
      </c>
      <c r="E353" t="inlineStr">
        <is>
          <t>Customer 352</t>
        </is>
      </c>
      <c r="F353" t="inlineStr">
        <is>
          <t>Consumer</t>
        </is>
      </c>
      <c r="G353" t="inlineStr">
        <is>
          <t>P1001</t>
        </is>
      </c>
      <c r="H353" t="inlineStr">
        <is>
          <t>SmartInk Pen Set</t>
        </is>
      </c>
      <c r="I353" t="inlineStr">
        <is>
          <t>Outdoor</t>
        </is>
      </c>
      <c r="J353" t="inlineStr">
        <is>
          <t>Storage</t>
        </is>
      </c>
      <c r="K353" t="inlineStr">
        <is>
          <t>West</t>
        </is>
      </c>
      <c r="L353" t="inlineStr">
        <is>
          <t>Washington</t>
        </is>
      </c>
      <c r="M353" t="inlineStr">
        <is>
          <t>San Francisco</t>
        </is>
      </c>
      <c r="N353" t="inlineStr">
        <is>
          <t>Sophia Singh</t>
        </is>
      </c>
      <c r="O353" t="n">
        <v>4</v>
      </c>
      <c r="P353" s="3" t="n">
        <v>336.11</v>
      </c>
      <c r="Q353" s="4" t="n">
        <v>0.014</v>
      </c>
      <c r="R353" s="3" t="n">
        <v>1325.62</v>
      </c>
      <c r="S353" s="3" t="n">
        <v>773.35</v>
      </c>
      <c r="T353" s="3" t="n">
        <v>542.0700000000001</v>
      </c>
      <c r="U353" s="4" t="n">
        <v>0.4089</v>
      </c>
      <c r="V353" s="3" t="n">
        <v>10.2</v>
      </c>
      <c r="W353" t="inlineStr">
        <is>
          <t>Bank Transfer</t>
        </is>
      </c>
      <c r="X353" t="inlineStr">
        <is>
          <t>Medium</t>
        </is>
      </c>
    </row>
    <row r="354">
      <c r="A354" t="inlineStr">
        <is>
          <t>ORD-00353</t>
        </is>
      </c>
      <c r="B354" s="2" t="n">
        <v>45972</v>
      </c>
      <c r="C354" s="2" t="n">
        <v>45979</v>
      </c>
      <c r="D354" t="inlineStr">
        <is>
          <t>CUST-00353</t>
        </is>
      </c>
      <c r="E354" t="inlineStr">
        <is>
          <t>Customer 353</t>
        </is>
      </c>
      <c r="F354" t="inlineStr">
        <is>
          <t>Consumer</t>
        </is>
      </c>
      <c r="G354" t="inlineStr">
        <is>
          <t>P1006</t>
        </is>
      </c>
      <c r="H354" t="inlineStr">
        <is>
          <t>Nova Laptop Stand</t>
        </is>
      </c>
      <c r="I354" t="inlineStr">
        <is>
          <t>Home Decor</t>
        </is>
      </c>
      <c r="J354" t="inlineStr">
        <is>
          <t>Accessories</t>
        </is>
      </c>
      <c r="K354" t="inlineStr">
        <is>
          <t>South</t>
        </is>
      </c>
      <c r="L354" t="inlineStr">
        <is>
          <t>North Carolina</t>
        </is>
      </c>
      <c r="M354" t="inlineStr">
        <is>
          <t>Houston</t>
        </is>
      </c>
      <c r="N354" t="inlineStr">
        <is>
          <t>Olivia Martin</t>
        </is>
      </c>
      <c r="O354" t="n">
        <v>3</v>
      </c>
      <c r="P354" s="3" t="n">
        <v>18.91</v>
      </c>
      <c r="Q354" s="4" t="n">
        <v>0.004</v>
      </c>
      <c r="R354" s="3" t="n">
        <v>56.5</v>
      </c>
      <c r="S354" s="3" t="n">
        <v>23.88</v>
      </c>
      <c r="T354" s="3" t="n">
        <v>24.22</v>
      </c>
      <c r="U354" s="4" t="n">
        <v>0.4287</v>
      </c>
      <c r="V354" s="3" t="n">
        <v>8.4</v>
      </c>
      <c r="W354" t="inlineStr">
        <is>
          <t>Credit Card</t>
        </is>
      </c>
      <c r="X354" t="inlineStr">
        <is>
          <t>Low</t>
        </is>
      </c>
    </row>
    <row r="355">
      <c r="A355" t="inlineStr">
        <is>
          <t>ORD-00354</t>
        </is>
      </c>
      <c r="B355" s="2" t="n">
        <v>45073</v>
      </c>
      <c r="C355" s="2" t="n">
        <v>45080</v>
      </c>
      <c r="D355" t="inlineStr">
        <is>
          <t>CUST-00354</t>
        </is>
      </c>
      <c r="E355" t="inlineStr">
        <is>
          <t>Customer 354</t>
        </is>
      </c>
      <c r="F355" t="inlineStr">
        <is>
          <t>Consumer</t>
        </is>
      </c>
      <c r="G355" t="inlineStr">
        <is>
          <t>P1003</t>
        </is>
      </c>
      <c r="H355" t="inlineStr">
        <is>
          <t>SmartInk Pen Set</t>
        </is>
      </c>
      <c r="I355" t="inlineStr">
        <is>
          <t>Outdoor</t>
        </is>
      </c>
      <c r="J355" t="inlineStr">
        <is>
          <t>Paper</t>
        </is>
      </c>
      <c r="K355" t="inlineStr">
        <is>
          <t>West</t>
        </is>
      </c>
      <c r="L355" t="inlineStr">
        <is>
          <t>Colorado</t>
        </is>
      </c>
      <c r="M355" t="inlineStr">
        <is>
          <t>Los Angeles</t>
        </is>
      </c>
      <c r="N355" t="inlineStr">
        <is>
          <t>Ethan Brooks</t>
        </is>
      </c>
      <c r="O355" t="n">
        <v>6</v>
      </c>
      <c r="P355" s="3" t="n">
        <v>155.56</v>
      </c>
      <c r="Q355" s="4" t="n">
        <v>0.032</v>
      </c>
      <c r="R355" s="3" t="n">
        <v>903.49</v>
      </c>
      <c r="S355" s="3" t="n">
        <v>470.21</v>
      </c>
      <c r="T355" s="3" t="n">
        <v>421.48</v>
      </c>
      <c r="U355" s="4" t="n">
        <v>0.4665</v>
      </c>
      <c r="V355" s="3" t="n">
        <v>11.8</v>
      </c>
      <c r="W355" t="inlineStr">
        <is>
          <t>Bank Transfer</t>
        </is>
      </c>
      <c r="X355" t="inlineStr">
        <is>
          <t>Medium</t>
        </is>
      </c>
    </row>
    <row r="356">
      <c r="A356" t="inlineStr">
        <is>
          <t>ORD-00355</t>
        </is>
      </c>
      <c r="B356" s="2" t="n">
        <v>45111</v>
      </c>
      <c r="C356" s="2" t="n">
        <v>45115</v>
      </c>
      <c r="D356" t="inlineStr">
        <is>
          <t>CUST-00355</t>
        </is>
      </c>
      <c r="E356" t="inlineStr">
        <is>
          <t>Customer 355</t>
        </is>
      </c>
      <c r="F356" t="inlineStr">
        <is>
          <t>Corporate</t>
        </is>
      </c>
      <c r="G356" t="inlineStr">
        <is>
          <t>P1014</t>
        </is>
      </c>
      <c r="H356" t="inlineStr">
        <is>
          <t>Nimbus Monitor Arm</t>
        </is>
      </c>
      <c r="I356" t="inlineStr">
        <is>
          <t>Furniture</t>
        </is>
      </c>
      <c r="J356" t="inlineStr">
        <is>
          <t>Storage</t>
        </is>
      </c>
      <c r="K356" t="inlineStr">
        <is>
          <t>West</t>
        </is>
      </c>
      <c r="L356" t="inlineStr">
        <is>
          <t>Washington</t>
        </is>
      </c>
      <c r="M356" t="inlineStr">
        <is>
          <t>San Francisco</t>
        </is>
      </c>
      <c r="N356" t="inlineStr">
        <is>
          <t>Mia Rodriguez</t>
        </is>
      </c>
      <c r="O356" t="n">
        <v>2</v>
      </c>
      <c r="P356" s="3" t="n">
        <v>43.96</v>
      </c>
      <c r="Q356" s="4" t="n">
        <v>0.03</v>
      </c>
      <c r="R356" s="3" t="n">
        <v>85.28</v>
      </c>
      <c r="S356" s="3" t="n">
        <v>39.37</v>
      </c>
      <c r="T356" s="3" t="n">
        <v>37.31</v>
      </c>
      <c r="U356" s="4" t="n">
        <v>0.4375</v>
      </c>
      <c r="V356" s="3" t="n">
        <v>8.6</v>
      </c>
      <c r="W356" t="inlineStr">
        <is>
          <t>Credit Card</t>
        </is>
      </c>
      <c r="X356" t="inlineStr">
        <is>
          <t>Medium</t>
        </is>
      </c>
    </row>
    <row r="357">
      <c r="A357" t="inlineStr">
        <is>
          <t>ORD-00356</t>
        </is>
      </c>
      <c r="B357" s="2" t="n">
        <v>45456</v>
      </c>
      <c r="C357" s="2" t="n">
        <v>45458</v>
      </c>
      <c r="D357" t="inlineStr">
        <is>
          <t>CUST-00356</t>
        </is>
      </c>
      <c r="E357" t="inlineStr">
        <is>
          <t>Customer 356</t>
        </is>
      </c>
      <c r="F357" t="inlineStr">
        <is>
          <t>Corporate</t>
        </is>
      </c>
      <c r="G357" t="inlineStr">
        <is>
          <t>P1006</t>
        </is>
      </c>
      <c r="H357" t="inlineStr">
        <is>
          <t>Echo Web Camera</t>
        </is>
      </c>
      <c r="I357" t="inlineStr">
        <is>
          <t>Outdoor</t>
        </is>
      </c>
      <c r="J357" t="inlineStr">
        <is>
          <t>Accessories</t>
        </is>
      </c>
      <c r="K357" t="inlineStr">
        <is>
          <t>West</t>
        </is>
      </c>
      <c r="L357" t="inlineStr">
        <is>
          <t>Colorado</t>
        </is>
      </c>
      <c r="M357" t="inlineStr">
        <is>
          <t>Seattle</t>
        </is>
      </c>
      <c r="N357" t="inlineStr">
        <is>
          <t>Liam Chen</t>
        </is>
      </c>
      <c r="O357" t="n">
        <v>3</v>
      </c>
      <c r="P357" s="3" t="n">
        <v>20.18</v>
      </c>
      <c r="Q357" s="4" t="n">
        <v>0.027</v>
      </c>
      <c r="R357" s="3" t="n">
        <v>58.91</v>
      </c>
      <c r="S357" s="3" t="n">
        <v>23.49</v>
      </c>
      <c r="T357" s="3" t="n">
        <v>26.02</v>
      </c>
      <c r="U357" s="4" t="n">
        <v>0.4417</v>
      </c>
      <c r="V357" s="3" t="n">
        <v>9.4</v>
      </c>
      <c r="W357" t="inlineStr">
        <is>
          <t>Credit Card</t>
        </is>
      </c>
      <c r="X357" t="inlineStr">
        <is>
          <t>Medium</t>
        </is>
      </c>
    </row>
    <row r="358">
      <c r="A358" t="inlineStr">
        <is>
          <t>ORD-00357</t>
        </is>
      </c>
      <c r="B358" s="2" t="n">
        <v>45086</v>
      </c>
      <c r="C358" s="2" t="n">
        <v>45087</v>
      </c>
      <c r="D358" t="inlineStr">
        <is>
          <t>CUST-00357</t>
        </is>
      </c>
      <c r="E358" t="inlineStr">
        <is>
          <t>Customer 357</t>
        </is>
      </c>
      <c r="F358" t="inlineStr">
        <is>
          <t>Corporate</t>
        </is>
      </c>
      <c r="G358" t="inlineStr">
        <is>
          <t>P1008</t>
        </is>
      </c>
      <c r="H358" t="inlineStr">
        <is>
          <t>Aero Standing Desk</t>
        </is>
      </c>
      <c r="I358" t="inlineStr">
        <is>
          <t>Home Decor</t>
        </is>
      </c>
      <c r="J358" t="inlineStr">
        <is>
          <t>Textiles</t>
        </is>
      </c>
      <c r="K358" t="inlineStr">
        <is>
          <t>West</t>
        </is>
      </c>
      <c r="L358" t="inlineStr">
        <is>
          <t>Washington</t>
        </is>
      </c>
      <c r="M358" t="inlineStr">
        <is>
          <t>Seattle</t>
        </is>
      </c>
      <c r="N358" t="inlineStr">
        <is>
          <t>Noah Kim</t>
        </is>
      </c>
      <c r="O358" t="n">
        <v>1</v>
      </c>
      <c r="P358" s="3" t="n">
        <v>39.04</v>
      </c>
      <c r="Q358" s="4" t="n">
        <v>0.028</v>
      </c>
      <c r="R358" s="3" t="n">
        <v>37.95</v>
      </c>
      <c r="S358" s="3" t="n">
        <v>19</v>
      </c>
      <c r="T358" s="3" t="n">
        <v>11.15</v>
      </c>
      <c r="U358" s="4" t="n">
        <v>0.2938</v>
      </c>
      <c r="V358" s="3" t="n">
        <v>7.8</v>
      </c>
      <c r="W358" t="inlineStr">
        <is>
          <t>Credit Card</t>
        </is>
      </c>
      <c r="X358" t="inlineStr">
        <is>
          <t>Low</t>
        </is>
      </c>
    </row>
    <row r="359">
      <c r="A359" t="inlineStr">
        <is>
          <t>ORD-00358</t>
        </is>
      </c>
      <c r="B359" s="2" t="n">
        <v>45391</v>
      </c>
      <c r="C359" s="2" t="n">
        <v>45392</v>
      </c>
      <c r="D359" t="inlineStr">
        <is>
          <t>CUST-00358</t>
        </is>
      </c>
      <c r="E359" t="inlineStr">
        <is>
          <t>Customer 358</t>
        </is>
      </c>
      <c r="F359" t="inlineStr">
        <is>
          <t>Corporate</t>
        </is>
      </c>
      <c r="G359" t="inlineStr">
        <is>
          <t>P1020</t>
        </is>
      </c>
      <c r="H359" t="inlineStr">
        <is>
          <t>Summit Patio Set</t>
        </is>
      </c>
      <c r="I359" t="inlineStr">
        <is>
          <t>Home Decor</t>
        </is>
      </c>
      <c r="J359" t="inlineStr">
        <is>
          <t>Textiles</t>
        </is>
      </c>
      <c r="K359" t="inlineStr">
        <is>
          <t>Central</t>
        </is>
      </c>
      <c r="L359" t="inlineStr">
        <is>
          <t>Missouri</t>
        </is>
      </c>
      <c r="M359" t="inlineStr">
        <is>
          <t>Minneapolis</t>
        </is>
      </c>
      <c r="N359" t="inlineStr">
        <is>
          <t>Ethan Brooks</t>
        </is>
      </c>
      <c r="O359" t="n">
        <v>2</v>
      </c>
      <c r="P359" s="3" t="n">
        <v>74.84</v>
      </c>
      <c r="Q359" s="4" t="n">
        <v>0.026</v>
      </c>
      <c r="R359" s="3" t="n">
        <v>145.79</v>
      </c>
      <c r="S359" s="3" t="n">
        <v>70.12</v>
      </c>
      <c r="T359" s="3" t="n">
        <v>68.06999999999999</v>
      </c>
      <c r="U359" s="4" t="n">
        <v>0.4669</v>
      </c>
      <c r="V359" s="3" t="n">
        <v>7.6</v>
      </c>
      <c r="W359" t="inlineStr">
        <is>
          <t>Bank Transfer</t>
        </is>
      </c>
      <c r="X359" t="inlineStr">
        <is>
          <t>Low</t>
        </is>
      </c>
    </row>
    <row r="360">
      <c r="A360" t="inlineStr">
        <is>
          <t>ORD-00359</t>
        </is>
      </c>
      <c r="B360" s="2" t="n">
        <v>45739</v>
      </c>
      <c r="C360" s="2" t="n">
        <v>45740</v>
      </c>
      <c r="D360" t="inlineStr">
        <is>
          <t>CUST-00359</t>
        </is>
      </c>
      <c r="E360" t="inlineStr">
        <is>
          <t>Customer 359</t>
        </is>
      </c>
      <c r="F360" t="inlineStr">
        <is>
          <t>Home Office</t>
        </is>
      </c>
      <c r="G360" t="inlineStr">
        <is>
          <t>P1015</t>
        </is>
      </c>
      <c r="H360" t="inlineStr">
        <is>
          <t>Nimbus Monitor Arm</t>
        </is>
      </c>
      <c r="I360" t="inlineStr">
        <is>
          <t>Outdoor</t>
        </is>
      </c>
      <c r="J360" t="inlineStr">
        <is>
          <t>Video</t>
        </is>
      </c>
      <c r="K360" t="inlineStr">
        <is>
          <t>East</t>
        </is>
      </c>
      <c r="L360" t="inlineStr">
        <is>
          <t>New Jersey</t>
        </is>
      </c>
      <c r="M360" t="inlineStr">
        <is>
          <t>Philadelphia</t>
        </is>
      </c>
      <c r="N360" t="inlineStr">
        <is>
          <t>Noah Kim</t>
        </is>
      </c>
      <c r="O360" t="n">
        <v>1</v>
      </c>
      <c r="P360" s="3" t="n">
        <v>70.89</v>
      </c>
      <c r="Q360" s="4" t="n">
        <v>0.035</v>
      </c>
      <c r="R360" s="3" t="n">
        <v>68.41</v>
      </c>
      <c r="S360" s="3" t="n">
        <v>36.9</v>
      </c>
      <c r="T360" s="3" t="n">
        <v>23.71</v>
      </c>
      <c r="U360" s="4" t="n">
        <v>0.3466</v>
      </c>
      <c r="V360" s="3" t="n">
        <v>7.8</v>
      </c>
      <c r="W360" t="inlineStr">
        <is>
          <t>Cash on Delivery</t>
        </is>
      </c>
      <c r="X360" t="inlineStr">
        <is>
          <t>Critical</t>
        </is>
      </c>
    </row>
    <row r="361">
      <c r="A361" t="inlineStr">
        <is>
          <t>ORD-00360</t>
        </is>
      </c>
      <c r="B361" s="2" t="n">
        <v>45403</v>
      </c>
      <c r="C361" s="2" t="n">
        <v>45408</v>
      </c>
      <c r="D361" t="inlineStr">
        <is>
          <t>CUST-00360</t>
        </is>
      </c>
      <c r="E361" t="inlineStr">
        <is>
          <t>Customer 360</t>
        </is>
      </c>
      <c r="F361" t="inlineStr">
        <is>
          <t>Home Office</t>
        </is>
      </c>
      <c r="G361" t="inlineStr">
        <is>
          <t>P1017</t>
        </is>
      </c>
      <c r="H361" t="inlineStr">
        <is>
          <t>Pulse Keyboard</t>
        </is>
      </c>
      <c r="I361" t="inlineStr">
        <is>
          <t>Furniture</t>
        </is>
      </c>
      <c r="J361" t="inlineStr">
        <is>
          <t>Peripherals</t>
        </is>
      </c>
      <c r="K361" t="inlineStr">
        <is>
          <t>Central</t>
        </is>
      </c>
      <c r="L361" t="inlineStr">
        <is>
          <t>Kansas</t>
        </is>
      </c>
      <c r="M361" t="inlineStr">
        <is>
          <t>Minneapolis</t>
        </is>
      </c>
      <c r="N361" t="inlineStr">
        <is>
          <t>Noah Kim</t>
        </is>
      </c>
      <c r="O361" t="n">
        <v>2</v>
      </c>
      <c r="P361" s="3" t="n">
        <v>569.9</v>
      </c>
      <c r="Q361" s="4" t="n">
        <v>0.031</v>
      </c>
      <c r="R361" s="3" t="n">
        <v>1104.47</v>
      </c>
      <c r="S361" s="3" t="n">
        <v>737.01</v>
      </c>
      <c r="T361" s="3" t="n">
        <v>359.86</v>
      </c>
      <c r="U361" s="4" t="n">
        <v>0.3258</v>
      </c>
      <c r="V361" s="3" t="n">
        <v>7.6</v>
      </c>
      <c r="W361" t="inlineStr">
        <is>
          <t>Debit Card</t>
        </is>
      </c>
      <c r="X361" t="inlineStr">
        <is>
          <t>High</t>
        </is>
      </c>
    </row>
    <row r="362">
      <c r="A362" t="inlineStr">
        <is>
          <t>ORD-00361</t>
        </is>
      </c>
      <c r="B362" s="2" t="n">
        <v>45341</v>
      </c>
      <c r="C362" s="2" t="n">
        <v>45346</v>
      </c>
      <c r="D362" t="inlineStr">
        <is>
          <t>CUST-00361</t>
        </is>
      </c>
      <c r="E362" t="inlineStr">
        <is>
          <t>Customer 361</t>
        </is>
      </c>
      <c r="F362" t="inlineStr">
        <is>
          <t>Consumer</t>
        </is>
      </c>
      <c r="G362" t="inlineStr">
        <is>
          <t>P1009</t>
        </is>
      </c>
      <c r="H362" t="inlineStr">
        <is>
          <t>CloudDrive File Box</t>
        </is>
      </c>
      <c r="I362" t="inlineStr">
        <is>
          <t>Furniture</t>
        </is>
      </c>
      <c r="J362" t="inlineStr">
        <is>
          <t>Coolers</t>
        </is>
      </c>
      <c r="K362" t="inlineStr">
        <is>
          <t>Central</t>
        </is>
      </c>
      <c r="L362" t="inlineStr">
        <is>
          <t>Kansas</t>
        </is>
      </c>
      <c r="M362" t="inlineStr">
        <is>
          <t>Chicago</t>
        </is>
      </c>
      <c r="N362" t="inlineStr">
        <is>
          <t>James Carter</t>
        </is>
      </c>
      <c r="O362" t="n">
        <v>2</v>
      </c>
      <c r="P362" s="3" t="n">
        <v>89.31</v>
      </c>
      <c r="Q362" s="4" t="n">
        <v>0.053</v>
      </c>
      <c r="R362" s="3" t="n">
        <v>169.15</v>
      </c>
      <c r="S362" s="3" t="n">
        <v>84.88</v>
      </c>
      <c r="T362" s="3" t="n">
        <v>76.67</v>
      </c>
      <c r="U362" s="4" t="n">
        <v>0.4533</v>
      </c>
      <c r="V362" s="3" t="n">
        <v>7.6</v>
      </c>
      <c r="W362" t="inlineStr">
        <is>
          <t>PayPal</t>
        </is>
      </c>
      <c r="X362" t="inlineStr">
        <is>
          <t>High</t>
        </is>
      </c>
    </row>
    <row r="363">
      <c r="A363" t="inlineStr">
        <is>
          <t>ORD-00362</t>
        </is>
      </c>
      <c r="B363" s="2" t="n">
        <v>45385</v>
      </c>
      <c r="C363" s="2" t="n">
        <v>45388</v>
      </c>
      <c r="D363" t="inlineStr">
        <is>
          <t>CUST-00362</t>
        </is>
      </c>
      <c r="E363" t="inlineStr">
        <is>
          <t>Customer 362</t>
        </is>
      </c>
      <c r="F363" t="inlineStr">
        <is>
          <t>Consumer</t>
        </is>
      </c>
      <c r="G363" t="inlineStr">
        <is>
          <t>P1016</t>
        </is>
      </c>
      <c r="H363" t="inlineStr">
        <is>
          <t>Lumen Desk Lamp</t>
        </is>
      </c>
      <c r="I363" t="inlineStr">
        <is>
          <t>Furniture</t>
        </is>
      </c>
      <c r="J363" t="inlineStr">
        <is>
          <t>Flooring</t>
        </is>
      </c>
      <c r="K363" t="inlineStr">
        <is>
          <t>West</t>
        </is>
      </c>
      <c r="L363" t="inlineStr">
        <is>
          <t>California</t>
        </is>
      </c>
      <c r="M363" t="inlineStr">
        <is>
          <t>San Francisco</t>
        </is>
      </c>
      <c r="N363" t="inlineStr">
        <is>
          <t>Ava Patel</t>
        </is>
      </c>
      <c r="O363" t="n">
        <v>2</v>
      </c>
      <c r="P363" s="3" t="n">
        <v>40.47</v>
      </c>
      <c r="Q363" s="4" t="n">
        <v>0.017</v>
      </c>
      <c r="R363" s="3" t="n">
        <v>79.56</v>
      </c>
      <c r="S363" s="3" t="n">
        <v>32.93</v>
      </c>
      <c r="T363" s="3" t="n">
        <v>38.03</v>
      </c>
      <c r="U363" s="4" t="n">
        <v>0.478</v>
      </c>
      <c r="V363" s="3" t="n">
        <v>8.6</v>
      </c>
      <c r="W363" t="inlineStr">
        <is>
          <t>Debit Card</t>
        </is>
      </c>
      <c r="X363" t="inlineStr">
        <is>
          <t>High</t>
        </is>
      </c>
    </row>
    <row r="364">
      <c r="A364" t="inlineStr">
        <is>
          <t>ORD-00363</t>
        </is>
      </c>
      <c r="B364" s="2" t="n">
        <v>45316</v>
      </c>
      <c r="C364" s="2" t="n">
        <v>45318</v>
      </c>
      <c r="D364" t="inlineStr">
        <is>
          <t>CUST-00363</t>
        </is>
      </c>
      <c r="E364" t="inlineStr">
        <is>
          <t>Customer 363</t>
        </is>
      </c>
      <c r="F364" t="inlineStr">
        <is>
          <t>Consumer</t>
        </is>
      </c>
      <c r="G364" t="inlineStr">
        <is>
          <t>P1001</t>
        </is>
      </c>
      <c r="H364" t="inlineStr">
        <is>
          <t>Cove Wall Clock</t>
        </is>
      </c>
      <c r="I364" t="inlineStr">
        <is>
          <t>Furniture</t>
        </is>
      </c>
      <c r="J364" t="inlineStr">
        <is>
          <t>Accessories</t>
        </is>
      </c>
      <c r="K364" t="inlineStr">
        <is>
          <t>East</t>
        </is>
      </c>
      <c r="L364" t="inlineStr">
        <is>
          <t>Virginia</t>
        </is>
      </c>
      <c r="M364" t="inlineStr">
        <is>
          <t>New York</t>
        </is>
      </c>
      <c r="N364" t="inlineStr">
        <is>
          <t>Ethan Brooks</t>
        </is>
      </c>
      <c r="O364" t="n">
        <v>3</v>
      </c>
      <c r="P364" s="3" t="n">
        <v>308.49</v>
      </c>
      <c r="Q364" s="4" t="n">
        <v>0.048</v>
      </c>
      <c r="R364" s="3" t="n">
        <v>881.05</v>
      </c>
      <c r="S364" s="3" t="n">
        <v>522.71</v>
      </c>
      <c r="T364" s="3" t="n">
        <v>348.94</v>
      </c>
      <c r="U364" s="4" t="n">
        <v>0.3961</v>
      </c>
      <c r="V364" s="3" t="n">
        <v>9.4</v>
      </c>
      <c r="W364" t="inlineStr">
        <is>
          <t>Credit Card</t>
        </is>
      </c>
      <c r="X364" t="inlineStr">
        <is>
          <t>High</t>
        </is>
      </c>
    </row>
    <row r="365">
      <c r="A365" t="inlineStr">
        <is>
          <t>ORD-00364</t>
        </is>
      </c>
      <c r="B365" s="2" t="n">
        <v>45560</v>
      </c>
      <c r="C365" s="2" t="n">
        <v>45565</v>
      </c>
      <c r="D365" t="inlineStr">
        <is>
          <t>CUST-00364</t>
        </is>
      </c>
      <c r="E365" t="inlineStr">
        <is>
          <t>Customer 364</t>
        </is>
      </c>
      <c r="F365" t="inlineStr">
        <is>
          <t>Consumer</t>
        </is>
      </c>
      <c r="G365" t="inlineStr">
        <is>
          <t>P1016</t>
        </is>
      </c>
      <c r="H365" t="inlineStr">
        <is>
          <t>Aero Standing Desk</t>
        </is>
      </c>
      <c r="I365" t="inlineStr">
        <is>
          <t>Home Decor</t>
        </is>
      </c>
      <c r="J365" t="inlineStr">
        <is>
          <t>Coolers</t>
        </is>
      </c>
      <c r="K365" t="inlineStr">
        <is>
          <t>East</t>
        </is>
      </c>
      <c r="L365" t="inlineStr">
        <is>
          <t>New Jersey</t>
        </is>
      </c>
      <c r="M365" t="inlineStr">
        <is>
          <t>Washington</t>
        </is>
      </c>
      <c r="N365" t="inlineStr">
        <is>
          <t>James Carter</t>
        </is>
      </c>
      <c r="O365" t="n">
        <v>3</v>
      </c>
      <c r="P365" s="3" t="n">
        <v>40.19</v>
      </c>
      <c r="Q365" s="4" t="n">
        <v>0.027</v>
      </c>
      <c r="R365" s="3" t="n">
        <v>117.31</v>
      </c>
      <c r="S365" s="3" t="n">
        <v>48.55</v>
      </c>
      <c r="T365" s="3" t="n">
        <v>59.36</v>
      </c>
      <c r="U365" s="4" t="n">
        <v>0.506</v>
      </c>
      <c r="V365" s="3" t="n">
        <v>9.4</v>
      </c>
      <c r="W365" t="inlineStr">
        <is>
          <t>Bank Transfer</t>
        </is>
      </c>
      <c r="X365" t="inlineStr">
        <is>
          <t>Medium</t>
        </is>
      </c>
    </row>
    <row r="366">
      <c r="A366" t="inlineStr">
        <is>
          <t>ORD-00365</t>
        </is>
      </c>
      <c r="B366" s="2" t="n">
        <v>45789</v>
      </c>
      <c r="C366" s="2" t="n">
        <v>45790</v>
      </c>
      <c r="D366" t="inlineStr">
        <is>
          <t>CUST-00365</t>
        </is>
      </c>
      <c r="E366" t="inlineStr">
        <is>
          <t>Customer 365</t>
        </is>
      </c>
      <c r="F366" t="inlineStr">
        <is>
          <t>Corporate</t>
        </is>
      </c>
      <c r="G366" t="inlineStr">
        <is>
          <t>P1019</t>
        </is>
      </c>
      <c r="H366" t="inlineStr">
        <is>
          <t>Atlas Throw Pillow</t>
        </is>
      </c>
      <c r="I366" t="inlineStr">
        <is>
          <t>Office Supplies</t>
        </is>
      </c>
      <c r="J366" t="inlineStr">
        <is>
          <t>Peripherals</t>
        </is>
      </c>
      <c r="K366" t="inlineStr">
        <is>
          <t>Central</t>
        </is>
      </c>
      <c r="L366" t="inlineStr">
        <is>
          <t>Missouri</t>
        </is>
      </c>
      <c r="M366" t="inlineStr">
        <is>
          <t>Kansas City</t>
        </is>
      </c>
      <c r="N366" t="inlineStr">
        <is>
          <t>Ethan Brooks</t>
        </is>
      </c>
      <c r="O366" t="n">
        <v>2</v>
      </c>
      <c r="P366" s="3" t="n">
        <v>54.91</v>
      </c>
      <c r="Q366" s="4" t="n">
        <v>0.013</v>
      </c>
      <c r="R366" s="3" t="n">
        <v>108.39</v>
      </c>
      <c r="S366" s="3" t="n">
        <v>53.86</v>
      </c>
      <c r="T366" s="3" t="n">
        <v>46.93</v>
      </c>
      <c r="U366" s="4" t="n">
        <v>0.433</v>
      </c>
      <c r="V366" s="3" t="n">
        <v>7.6</v>
      </c>
      <c r="W366" t="inlineStr">
        <is>
          <t>PayPal</t>
        </is>
      </c>
      <c r="X366" t="inlineStr">
        <is>
          <t>Medium</t>
        </is>
      </c>
    </row>
    <row r="367">
      <c r="A367" t="inlineStr">
        <is>
          <t>ORD-00366</t>
        </is>
      </c>
      <c r="B367" s="2" t="n">
        <v>45637</v>
      </c>
      <c r="C367" s="2" t="n">
        <v>45642</v>
      </c>
      <c r="D367" t="inlineStr">
        <is>
          <t>CUST-00366</t>
        </is>
      </c>
      <c r="E367" t="inlineStr">
        <is>
          <t>Customer 366</t>
        </is>
      </c>
      <c r="F367" t="inlineStr">
        <is>
          <t>Corporate</t>
        </is>
      </c>
      <c r="G367" t="inlineStr">
        <is>
          <t>P1009</t>
        </is>
      </c>
      <c r="H367" t="inlineStr">
        <is>
          <t>Cove Wall Clock</t>
        </is>
      </c>
      <c r="I367" t="inlineStr">
        <is>
          <t>Home Decor</t>
        </is>
      </c>
      <c r="J367" t="inlineStr">
        <is>
          <t>Peripherals</t>
        </is>
      </c>
      <c r="K367" t="inlineStr">
        <is>
          <t>Central</t>
        </is>
      </c>
      <c r="L367" t="inlineStr">
        <is>
          <t>Illinois</t>
        </is>
      </c>
      <c r="M367" t="inlineStr">
        <is>
          <t>Chicago</t>
        </is>
      </c>
      <c r="N367" t="inlineStr">
        <is>
          <t>Olivia Martin</t>
        </is>
      </c>
      <c r="O367" t="n">
        <v>2</v>
      </c>
      <c r="P367" s="3" t="n">
        <v>92.37</v>
      </c>
      <c r="Q367" s="4" t="n">
        <v>0.06899999999999999</v>
      </c>
      <c r="R367" s="3" t="n">
        <v>171.99</v>
      </c>
      <c r="S367" s="3" t="n">
        <v>92.59999999999999</v>
      </c>
      <c r="T367" s="3" t="n">
        <v>71.79000000000001</v>
      </c>
      <c r="U367" s="4" t="n">
        <v>0.4174</v>
      </c>
      <c r="V367" s="3" t="n">
        <v>7.6</v>
      </c>
      <c r="W367" t="inlineStr">
        <is>
          <t>PayPal</t>
        </is>
      </c>
      <c r="X367" t="inlineStr">
        <is>
          <t>Critical</t>
        </is>
      </c>
    </row>
    <row r="368">
      <c r="A368" t="inlineStr">
        <is>
          <t>ORD-00367</t>
        </is>
      </c>
      <c r="B368" s="2" t="n">
        <v>45767</v>
      </c>
      <c r="C368" s="2" t="n">
        <v>45774</v>
      </c>
      <c r="D368" t="inlineStr">
        <is>
          <t>CUST-00367</t>
        </is>
      </c>
      <c r="E368" t="inlineStr">
        <is>
          <t>Customer 367</t>
        </is>
      </c>
      <c r="F368" t="inlineStr">
        <is>
          <t>Consumer</t>
        </is>
      </c>
      <c r="G368" t="inlineStr">
        <is>
          <t>P1017</t>
        </is>
      </c>
      <c r="H368" t="inlineStr">
        <is>
          <t>SmartInk Pen Set</t>
        </is>
      </c>
      <c r="I368" t="inlineStr">
        <is>
          <t>Home Decor</t>
        </is>
      </c>
      <c r="J368" t="inlineStr">
        <is>
          <t>Paper</t>
        </is>
      </c>
      <c r="K368" t="inlineStr">
        <is>
          <t>West</t>
        </is>
      </c>
      <c r="L368" t="inlineStr">
        <is>
          <t>Colorado</t>
        </is>
      </c>
      <c r="M368" t="inlineStr">
        <is>
          <t>Seattle</t>
        </is>
      </c>
      <c r="N368" t="inlineStr">
        <is>
          <t>Liam Chen</t>
        </is>
      </c>
      <c r="O368" t="n">
        <v>3</v>
      </c>
      <c r="P368" s="3" t="n">
        <v>590.92</v>
      </c>
      <c r="Q368" s="4" t="n">
        <v>0.017</v>
      </c>
      <c r="R368" s="3" t="n">
        <v>1742.62</v>
      </c>
      <c r="S368" s="3" t="n">
        <v>1154.64</v>
      </c>
      <c r="T368" s="3" t="n">
        <v>578.58</v>
      </c>
      <c r="U368" s="4" t="n">
        <v>0.332</v>
      </c>
      <c r="V368" s="3" t="n">
        <v>9.4</v>
      </c>
      <c r="W368" t="inlineStr">
        <is>
          <t>PayPal</t>
        </is>
      </c>
      <c r="X368" t="inlineStr">
        <is>
          <t>Medium</t>
        </is>
      </c>
    </row>
    <row r="369">
      <c r="A369" t="inlineStr">
        <is>
          <t>ORD-00368</t>
        </is>
      </c>
      <c r="B369" s="2" t="n">
        <v>45788</v>
      </c>
      <c r="C369" s="2" t="n">
        <v>45789</v>
      </c>
      <c r="D369" t="inlineStr">
        <is>
          <t>CUST-00368</t>
        </is>
      </c>
      <c r="E369" t="inlineStr">
        <is>
          <t>Customer 368</t>
        </is>
      </c>
      <c r="F369" t="inlineStr">
        <is>
          <t>Corporate</t>
        </is>
      </c>
      <c r="G369" t="inlineStr">
        <is>
          <t>P1006</t>
        </is>
      </c>
      <c r="H369" t="inlineStr">
        <is>
          <t>Orbit Wireless Mouse</t>
        </is>
      </c>
      <c r="I369" t="inlineStr">
        <is>
          <t>Home Decor</t>
        </is>
      </c>
      <c r="J369" t="inlineStr">
        <is>
          <t>Accessories</t>
        </is>
      </c>
      <c r="K369" t="inlineStr">
        <is>
          <t>East</t>
        </is>
      </c>
      <c r="L369" t="inlineStr">
        <is>
          <t>New York</t>
        </is>
      </c>
      <c r="M369" t="inlineStr">
        <is>
          <t>Philadelphia</t>
        </is>
      </c>
      <c r="N369" t="inlineStr">
        <is>
          <t>Liam Chen</t>
        </is>
      </c>
      <c r="O369" t="n">
        <v>3</v>
      </c>
      <c r="P369" s="3" t="n">
        <v>17.89</v>
      </c>
      <c r="Q369" s="4" t="n">
        <v>0.022</v>
      </c>
      <c r="R369" s="3" t="n">
        <v>52.49</v>
      </c>
      <c r="S369" s="3" t="n">
        <v>19.79</v>
      </c>
      <c r="T369" s="3" t="n">
        <v>23.3</v>
      </c>
      <c r="U369" s="4" t="n">
        <v>0.4439</v>
      </c>
      <c r="V369" s="3" t="n">
        <v>9.4</v>
      </c>
      <c r="W369" t="inlineStr">
        <is>
          <t>Credit Card</t>
        </is>
      </c>
      <c r="X369" t="inlineStr">
        <is>
          <t>Low</t>
        </is>
      </c>
    </row>
    <row r="370">
      <c r="A370" t="inlineStr">
        <is>
          <t>ORD-00369</t>
        </is>
      </c>
      <c r="B370" s="2" t="n">
        <v>45094</v>
      </c>
      <c r="C370" s="2" t="n">
        <v>45096</v>
      </c>
      <c r="D370" t="inlineStr">
        <is>
          <t>CUST-00369</t>
        </is>
      </c>
      <c r="E370" t="inlineStr">
        <is>
          <t>Customer 369</t>
        </is>
      </c>
      <c r="F370" t="inlineStr">
        <is>
          <t>Corporate</t>
        </is>
      </c>
      <c r="G370" t="inlineStr">
        <is>
          <t>P1014</t>
        </is>
      </c>
      <c r="H370" t="inlineStr">
        <is>
          <t>Echo Web Camera</t>
        </is>
      </c>
      <c r="I370" t="inlineStr">
        <is>
          <t>Technology</t>
        </is>
      </c>
      <c r="J370" t="inlineStr">
        <is>
          <t>Lighting</t>
        </is>
      </c>
      <c r="K370" t="inlineStr">
        <is>
          <t>Central</t>
        </is>
      </c>
      <c r="L370" t="inlineStr">
        <is>
          <t>Minnesota</t>
        </is>
      </c>
      <c r="M370" t="inlineStr">
        <is>
          <t>Kansas City</t>
        </is>
      </c>
      <c r="N370" t="inlineStr">
        <is>
          <t>Liam Chen</t>
        </is>
      </c>
      <c r="O370" t="n">
        <v>2</v>
      </c>
      <c r="P370" s="3" t="n">
        <v>41.52</v>
      </c>
      <c r="Q370" s="4" t="n">
        <v>0.014</v>
      </c>
      <c r="R370" s="3" t="n">
        <v>81.88</v>
      </c>
      <c r="S370" s="3" t="n">
        <v>36.98</v>
      </c>
      <c r="T370" s="3" t="n">
        <v>37.3</v>
      </c>
      <c r="U370" s="4" t="n">
        <v>0.4555</v>
      </c>
      <c r="V370" s="3" t="n">
        <v>7.6</v>
      </c>
      <c r="W370" t="inlineStr">
        <is>
          <t>Bank Transfer</t>
        </is>
      </c>
      <c r="X370" t="inlineStr">
        <is>
          <t>Low</t>
        </is>
      </c>
    </row>
    <row r="371">
      <c r="A371" t="inlineStr">
        <is>
          <t>ORD-00370</t>
        </is>
      </c>
      <c r="B371" s="2" t="n">
        <v>44952</v>
      </c>
      <c r="C371" s="2" t="n">
        <v>44959</v>
      </c>
      <c r="D371" t="inlineStr">
        <is>
          <t>CUST-00370</t>
        </is>
      </c>
      <c r="E371" t="inlineStr">
        <is>
          <t>Customer 370</t>
        </is>
      </c>
      <c r="F371" t="inlineStr">
        <is>
          <t>Consumer</t>
        </is>
      </c>
      <c r="G371" t="inlineStr">
        <is>
          <t>P1018</t>
        </is>
      </c>
      <c r="H371" t="inlineStr">
        <is>
          <t>CloudDrive File Box</t>
        </is>
      </c>
      <c r="I371" t="inlineStr">
        <is>
          <t>Furniture</t>
        </is>
      </c>
      <c r="J371" t="inlineStr">
        <is>
          <t>Plants</t>
        </is>
      </c>
      <c r="K371" t="inlineStr">
        <is>
          <t>West</t>
        </is>
      </c>
      <c r="L371" t="inlineStr">
        <is>
          <t>California</t>
        </is>
      </c>
      <c r="M371" t="inlineStr">
        <is>
          <t>Seattle</t>
        </is>
      </c>
      <c r="N371" t="inlineStr">
        <is>
          <t>Liam Chen</t>
        </is>
      </c>
      <c r="O371" t="n">
        <v>4</v>
      </c>
      <c r="P371" s="3" t="n">
        <v>89.67</v>
      </c>
      <c r="Q371" s="4" t="n">
        <v>0.013</v>
      </c>
      <c r="R371" s="3" t="n">
        <v>354.02</v>
      </c>
      <c r="S371" s="3" t="n">
        <v>157.26</v>
      </c>
      <c r="T371" s="3" t="n">
        <v>186.56</v>
      </c>
      <c r="U371" s="4" t="n">
        <v>0.527</v>
      </c>
      <c r="V371" s="3" t="n">
        <v>10.2</v>
      </c>
      <c r="W371" t="inlineStr">
        <is>
          <t>Credit Card</t>
        </is>
      </c>
      <c r="X371" t="inlineStr">
        <is>
          <t>Medium</t>
        </is>
      </c>
    </row>
    <row r="372">
      <c r="A372" t="inlineStr">
        <is>
          <t>ORD-00371</t>
        </is>
      </c>
      <c r="B372" s="2" t="n">
        <v>45251</v>
      </c>
      <c r="C372" s="2" t="n">
        <v>45254</v>
      </c>
      <c r="D372" t="inlineStr">
        <is>
          <t>CUST-00371</t>
        </is>
      </c>
      <c r="E372" t="inlineStr">
        <is>
          <t>Customer 371</t>
        </is>
      </c>
      <c r="F372" t="inlineStr">
        <is>
          <t>Consumer</t>
        </is>
      </c>
      <c r="G372" t="inlineStr">
        <is>
          <t>P1014</t>
        </is>
      </c>
      <c r="H372" t="inlineStr">
        <is>
          <t>Pulse Keyboard</t>
        </is>
      </c>
      <c r="I372" t="inlineStr">
        <is>
          <t>Furniture</t>
        </is>
      </c>
      <c r="J372" t="inlineStr">
        <is>
          <t>Paper</t>
        </is>
      </c>
      <c r="K372" t="inlineStr">
        <is>
          <t>North</t>
        </is>
      </c>
      <c r="L372" t="inlineStr">
        <is>
          <t>British Columbia</t>
        </is>
      </c>
      <c r="M372" t="inlineStr">
        <is>
          <t>Calgary</t>
        </is>
      </c>
      <c r="N372" t="inlineStr">
        <is>
          <t>Sophia Singh</t>
        </is>
      </c>
      <c r="O372" t="n">
        <v>5</v>
      </c>
      <c r="P372" s="3" t="n">
        <v>44.81</v>
      </c>
      <c r="Q372" s="4" t="n">
        <v>0.008999999999999999</v>
      </c>
      <c r="R372" s="3" t="n">
        <v>222.03</v>
      </c>
      <c r="S372" s="3" t="n">
        <v>92.69</v>
      </c>
      <c r="T372" s="3" t="n">
        <v>119.34</v>
      </c>
      <c r="U372" s="4" t="n">
        <v>0.5375</v>
      </c>
      <c r="V372" s="3" t="n">
        <v>10</v>
      </c>
      <c r="W372" t="inlineStr">
        <is>
          <t>PayPal</t>
        </is>
      </c>
      <c r="X372" t="inlineStr">
        <is>
          <t>Low</t>
        </is>
      </c>
    </row>
    <row r="373">
      <c r="A373" t="inlineStr">
        <is>
          <t>ORD-00372</t>
        </is>
      </c>
      <c r="B373" s="2" t="n">
        <v>44940</v>
      </c>
      <c r="C373" s="2" t="n">
        <v>44944</v>
      </c>
      <c r="D373" t="inlineStr">
        <is>
          <t>CUST-00372</t>
        </is>
      </c>
      <c r="E373" t="inlineStr">
        <is>
          <t>Customer 372</t>
        </is>
      </c>
      <c r="F373" t="inlineStr">
        <is>
          <t>Home Office</t>
        </is>
      </c>
      <c r="G373" t="inlineStr">
        <is>
          <t>P1007</t>
        </is>
      </c>
      <c r="H373" t="inlineStr">
        <is>
          <t>Trail Tote</t>
        </is>
      </c>
      <c r="I373" t="inlineStr">
        <is>
          <t>Home Decor</t>
        </is>
      </c>
      <c r="J373" t="inlineStr">
        <is>
          <t>Paper</t>
        </is>
      </c>
      <c r="K373" t="inlineStr">
        <is>
          <t>South</t>
        </is>
      </c>
      <c r="L373" t="inlineStr">
        <is>
          <t>North Carolina</t>
        </is>
      </c>
      <c r="M373" t="inlineStr">
        <is>
          <t>Dallas</t>
        </is>
      </c>
      <c r="N373" t="inlineStr">
        <is>
          <t>Noah Kim</t>
        </is>
      </c>
      <c r="O373" t="n">
        <v>3</v>
      </c>
      <c r="P373" s="3" t="n">
        <v>23.84</v>
      </c>
      <c r="Q373" s="4" t="n">
        <v>0.028</v>
      </c>
      <c r="R373" s="3" t="n">
        <v>69.52</v>
      </c>
      <c r="S373" s="3" t="n">
        <v>30.38</v>
      </c>
      <c r="T373" s="3" t="n">
        <v>30.74</v>
      </c>
      <c r="U373" s="4" t="n">
        <v>0.4422</v>
      </c>
      <c r="V373" s="3" t="n">
        <v>8.4</v>
      </c>
      <c r="W373" t="inlineStr">
        <is>
          <t>Credit Card</t>
        </is>
      </c>
      <c r="X373" t="inlineStr">
        <is>
          <t>High</t>
        </is>
      </c>
    </row>
    <row r="374">
      <c r="A374" t="inlineStr">
        <is>
          <t>ORD-00373</t>
        </is>
      </c>
      <c r="B374" s="2" t="n">
        <v>45276</v>
      </c>
      <c r="C374" s="2" t="n">
        <v>45280</v>
      </c>
      <c r="D374" t="inlineStr">
        <is>
          <t>CUST-00373</t>
        </is>
      </c>
      <c r="E374" t="inlineStr">
        <is>
          <t>Customer 373</t>
        </is>
      </c>
      <c r="F374" t="inlineStr">
        <is>
          <t>Corporate</t>
        </is>
      </c>
      <c r="G374" t="inlineStr">
        <is>
          <t>P1010</t>
        </is>
      </c>
      <c r="H374" t="inlineStr">
        <is>
          <t>Harbor Rug</t>
        </is>
      </c>
      <c r="I374" t="inlineStr">
        <is>
          <t>Furniture</t>
        </is>
      </c>
      <c r="J374" t="inlineStr">
        <is>
          <t>Textiles</t>
        </is>
      </c>
      <c r="K374" t="inlineStr">
        <is>
          <t>Central</t>
        </is>
      </c>
      <c r="L374" t="inlineStr">
        <is>
          <t>Missouri</t>
        </is>
      </c>
      <c r="M374" t="inlineStr">
        <is>
          <t>Kansas City</t>
        </is>
      </c>
      <c r="N374" t="inlineStr">
        <is>
          <t>Noah Kim</t>
        </is>
      </c>
      <c r="O374" t="n">
        <v>3</v>
      </c>
      <c r="P374" s="3" t="n">
        <v>57.82</v>
      </c>
      <c r="Q374" s="4" t="n">
        <v>0.021</v>
      </c>
      <c r="R374" s="3" t="n">
        <v>169.82</v>
      </c>
      <c r="S374" s="3" t="n">
        <v>80.45</v>
      </c>
      <c r="T374" s="3" t="n">
        <v>80.97</v>
      </c>
      <c r="U374" s="4" t="n">
        <v>0.4768</v>
      </c>
      <c r="V374" s="3" t="n">
        <v>8.4</v>
      </c>
      <c r="W374" t="inlineStr">
        <is>
          <t>Debit Card</t>
        </is>
      </c>
      <c r="X374" t="inlineStr">
        <is>
          <t>Medium</t>
        </is>
      </c>
    </row>
    <row r="375">
      <c r="A375" t="inlineStr">
        <is>
          <t>ORD-00374</t>
        </is>
      </c>
      <c r="B375" s="2" t="n">
        <v>46015</v>
      </c>
      <c r="C375" s="2" t="n">
        <v>46022</v>
      </c>
      <c r="D375" t="inlineStr">
        <is>
          <t>CUST-00374</t>
        </is>
      </c>
      <c r="E375" t="inlineStr">
        <is>
          <t>Customer 374</t>
        </is>
      </c>
      <c r="F375" t="inlineStr">
        <is>
          <t>Consumer</t>
        </is>
      </c>
      <c r="G375" t="inlineStr">
        <is>
          <t>P1016</t>
        </is>
      </c>
      <c r="H375" t="inlineStr">
        <is>
          <t>Echo Web Camera</t>
        </is>
      </c>
      <c r="I375" t="inlineStr">
        <is>
          <t>Office Supplies</t>
        </is>
      </c>
      <c r="J375" t="inlineStr">
        <is>
          <t>Furniture</t>
        </is>
      </c>
      <c r="K375" t="inlineStr">
        <is>
          <t>West</t>
        </is>
      </c>
      <c r="L375" t="inlineStr">
        <is>
          <t>Oregon</t>
        </is>
      </c>
      <c r="M375" t="inlineStr">
        <is>
          <t>Denver</t>
        </is>
      </c>
      <c r="N375" t="inlineStr">
        <is>
          <t>Noah Kim</t>
        </is>
      </c>
      <c r="O375" t="n">
        <v>4</v>
      </c>
      <c r="P375" s="3" t="n">
        <v>43.53</v>
      </c>
      <c r="Q375" s="4" t="n">
        <v>0.019</v>
      </c>
      <c r="R375" s="3" t="n">
        <v>170.81</v>
      </c>
      <c r="S375" s="3" t="n">
        <v>70.23</v>
      </c>
      <c r="T375" s="3" t="n">
        <v>90.38</v>
      </c>
      <c r="U375" s="4" t="n">
        <v>0.5291</v>
      </c>
      <c r="V375" s="3" t="n">
        <v>10.2</v>
      </c>
      <c r="W375" t="inlineStr">
        <is>
          <t>Credit Card</t>
        </is>
      </c>
      <c r="X375" t="inlineStr">
        <is>
          <t>Medium</t>
        </is>
      </c>
    </row>
    <row r="376">
      <c r="A376" t="inlineStr">
        <is>
          <t>ORD-00375</t>
        </is>
      </c>
      <c r="B376" s="2" t="n">
        <v>45148</v>
      </c>
      <c r="C376" s="2" t="n">
        <v>45149</v>
      </c>
      <c r="D376" t="inlineStr">
        <is>
          <t>CUST-00375</t>
        </is>
      </c>
      <c r="E376" t="inlineStr">
        <is>
          <t>Customer 375</t>
        </is>
      </c>
      <c r="F376" t="inlineStr">
        <is>
          <t>Consumer</t>
        </is>
      </c>
      <c r="G376" t="inlineStr">
        <is>
          <t>P1007</t>
        </is>
      </c>
      <c r="H376" t="inlineStr">
        <is>
          <t>SmartInk Pen Set</t>
        </is>
      </c>
      <c r="I376" t="inlineStr">
        <is>
          <t>Furniture</t>
        </is>
      </c>
      <c r="J376" t="inlineStr">
        <is>
          <t>Writing</t>
        </is>
      </c>
      <c r="K376" t="inlineStr">
        <is>
          <t>East</t>
        </is>
      </c>
      <c r="L376" t="inlineStr">
        <is>
          <t>New Jersey</t>
        </is>
      </c>
      <c r="M376" t="inlineStr">
        <is>
          <t>Philadelphia</t>
        </is>
      </c>
      <c r="N376" t="inlineStr">
        <is>
          <t>Olivia Martin</t>
        </is>
      </c>
      <c r="O376" t="n">
        <v>5</v>
      </c>
      <c r="P376" s="3" t="n">
        <v>24.49</v>
      </c>
      <c r="Q376" s="4" t="n">
        <v>0.012</v>
      </c>
      <c r="R376" s="3" t="n">
        <v>120.98</v>
      </c>
      <c r="S376" s="3" t="n">
        <v>49.37</v>
      </c>
      <c r="T376" s="3" t="n">
        <v>60.61</v>
      </c>
      <c r="U376" s="4" t="n">
        <v>0.501</v>
      </c>
      <c r="V376" s="3" t="n">
        <v>11</v>
      </c>
      <c r="W376" t="inlineStr">
        <is>
          <t>Cash on Delivery</t>
        </is>
      </c>
      <c r="X376" t="inlineStr">
        <is>
          <t>Low</t>
        </is>
      </c>
    </row>
    <row r="377">
      <c r="A377" t="inlineStr">
        <is>
          <t>ORD-00376</t>
        </is>
      </c>
      <c r="B377" s="2" t="n">
        <v>45508</v>
      </c>
      <c r="C377" s="2" t="n">
        <v>45513</v>
      </c>
      <c r="D377" t="inlineStr">
        <is>
          <t>CUST-00376</t>
        </is>
      </c>
      <c r="E377" t="inlineStr">
        <is>
          <t>Customer 376</t>
        </is>
      </c>
      <c r="F377" t="inlineStr">
        <is>
          <t>Consumer</t>
        </is>
      </c>
      <c r="G377" t="inlineStr">
        <is>
          <t>P1020</t>
        </is>
      </c>
      <c r="H377" t="inlineStr">
        <is>
          <t>Echo Web Camera</t>
        </is>
      </c>
      <c r="I377" t="inlineStr">
        <is>
          <t>Home Decor</t>
        </is>
      </c>
      <c r="J377" t="inlineStr">
        <is>
          <t>Lighting</t>
        </is>
      </c>
      <c r="K377" t="inlineStr">
        <is>
          <t>East</t>
        </is>
      </c>
      <c r="L377" t="inlineStr">
        <is>
          <t>New Jersey</t>
        </is>
      </c>
      <c r="M377" t="inlineStr">
        <is>
          <t>New York</t>
        </is>
      </c>
      <c r="N377" t="inlineStr">
        <is>
          <t>Mia Rodriguez</t>
        </is>
      </c>
      <c r="O377" t="n">
        <v>5</v>
      </c>
      <c r="P377" s="3" t="n">
        <v>72.56999999999999</v>
      </c>
      <c r="Q377" s="4" t="n">
        <v>0.027</v>
      </c>
      <c r="R377" s="3" t="n">
        <v>353.05</v>
      </c>
      <c r="S377" s="3" t="n">
        <v>163.93</v>
      </c>
      <c r="T377" s="3" t="n">
        <v>178.12</v>
      </c>
      <c r="U377" s="4" t="n">
        <v>0.5044999999999999</v>
      </c>
      <c r="V377" s="3" t="n">
        <v>11</v>
      </c>
      <c r="W377" t="inlineStr">
        <is>
          <t>Debit Card</t>
        </is>
      </c>
      <c r="X377" t="inlineStr">
        <is>
          <t>Medium</t>
        </is>
      </c>
    </row>
    <row r="378">
      <c r="A378" t="inlineStr">
        <is>
          <t>ORD-00377</t>
        </is>
      </c>
      <c r="B378" s="2" t="n">
        <v>45910</v>
      </c>
      <c r="C378" s="2" t="n">
        <v>45915</v>
      </c>
      <c r="D378" t="inlineStr">
        <is>
          <t>CUST-00377</t>
        </is>
      </c>
      <c r="E378" t="inlineStr">
        <is>
          <t>Customer 377</t>
        </is>
      </c>
      <c r="F378" t="inlineStr">
        <is>
          <t>Consumer</t>
        </is>
      </c>
      <c r="G378" t="inlineStr">
        <is>
          <t>P1006</t>
        </is>
      </c>
      <c r="H378" t="inlineStr">
        <is>
          <t>Orbit Wireless Mouse</t>
        </is>
      </c>
      <c r="I378" t="inlineStr">
        <is>
          <t>Home Decor</t>
        </is>
      </c>
      <c r="J378" t="inlineStr">
        <is>
          <t>Decor</t>
        </is>
      </c>
      <c r="K378" t="inlineStr">
        <is>
          <t>North</t>
        </is>
      </c>
      <c r="L378" t="inlineStr">
        <is>
          <t>Ontario</t>
        </is>
      </c>
      <c r="M378" t="inlineStr">
        <is>
          <t>Toronto</t>
        </is>
      </c>
      <c r="N378" t="inlineStr">
        <is>
          <t>Liam Chen</t>
        </is>
      </c>
      <c r="O378" t="n">
        <v>5</v>
      </c>
      <c r="P378" s="3" t="n">
        <v>18.21</v>
      </c>
      <c r="Q378" s="4" t="n">
        <v>0.031</v>
      </c>
      <c r="R378" s="3" t="n">
        <v>88.23</v>
      </c>
      <c r="S378" s="3" t="n">
        <v>31.16</v>
      </c>
      <c r="T378" s="3" t="n">
        <v>47.07</v>
      </c>
      <c r="U378" s="4" t="n">
        <v>0.5335</v>
      </c>
      <c r="V378" s="3" t="n">
        <v>10</v>
      </c>
      <c r="W378" t="inlineStr">
        <is>
          <t>Bank Transfer</t>
        </is>
      </c>
      <c r="X378" t="inlineStr">
        <is>
          <t>Critical</t>
        </is>
      </c>
    </row>
    <row r="379">
      <c r="A379" t="inlineStr">
        <is>
          <t>ORD-00378</t>
        </is>
      </c>
      <c r="B379" s="2" t="n">
        <v>45103</v>
      </c>
      <c r="C379" s="2" t="n">
        <v>45104</v>
      </c>
      <c r="D379" t="inlineStr">
        <is>
          <t>CUST-00378</t>
        </is>
      </c>
      <c r="E379" t="inlineStr">
        <is>
          <t>Customer 378</t>
        </is>
      </c>
      <c r="F379" t="inlineStr">
        <is>
          <t>Home Office</t>
        </is>
      </c>
      <c r="G379" t="inlineStr">
        <is>
          <t>P1006</t>
        </is>
      </c>
      <c r="H379" t="inlineStr">
        <is>
          <t>SmartInk Pen Set</t>
        </is>
      </c>
      <c r="I379" t="inlineStr">
        <is>
          <t>Furniture</t>
        </is>
      </c>
      <c r="J379" t="inlineStr">
        <is>
          <t>Coolers</t>
        </is>
      </c>
      <c r="K379" t="inlineStr">
        <is>
          <t>West</t>
        </is>
      </c>
      <c r="L379" t="inlineStr">
        <is>
          <t>Washington</t>
        </is>
      </c>
      <c r="M379" t="inlineStr">
        <is>
          <t>Los Angeles</t>
        </is>
      </c>
      <c r="N379" t="inlineStr">
        <is>
          <t>Sophia Singh</t>
        </is>
      </c>
      <c r="O379" t="n">
        <v>4</v>
      </c>
      <c r="P379" s="3" t="n">
        <v>20.24</v>
      </c>
      <c r="Q379" s="4" t="n">
        <v>0.029</v>
      </c>
      <c r="R379" s="3" t="n">
        <v>78.61</v>
      </c>
      <c r="S379" s="3" t="n">
        <v>28.7</v>
      </c>
      <c r="T379" s="3" t="n">
        <v>39.71</v>
      </c>
      <c r="U379" s="4" t="n">
        <v>0.5052</v>
      </c>
      <c r="V379" s="3" t="n">
        <v>10.2</v>
      </c>
      <c r="W379" t="inlineStr">
        <is>
          <t>Bank Transfer</t>
        </is>
      </c>
      <c r="X379" t="inlineStr">
        <is>
          <t>Medium</t>
        </is>
      </c>
    </row>
    <row r="380">
      <c r="A380" t="inlineStr">
        <is>
          <t>ORD-00379</t>
        </is>
      </c>
      <c r="B380" s="2" t="n">
        <v>45920</v>
      </c>
      <c r="C380" s="2" t="n">
        <v>45922</v>
      </c>
      <c r="D380" t="inlineStr">
        <is>
          <t>CUST-00379</t>
        </is>
      </c>
      <c r="E380" t="inlineStr">
        <is>
          <t>Customer 379</t>
        </is>
      </c>
      <c r="F380" t="inlineStr">
        <is>
          <t>Consumer</t>
        </is>
      </c>
      <c r="G380" t="inlineStr">
        <is>
          <t>P1007</t>
        </is>
      </c>
      <c r="H380" t="inlineStr">
        <is>
          <t>Northstar Lantern</t>
        </is>
      </c>
      <c r="I380" t="inlineStr">
        <is>
          <t>Furniture</t>
        </is>
      </c>
      <c r="J380" t="inlineStr">
        <is>
          <t>Video</t>
        </is>
      </c>
      <c r="K380" t="inlineStr">
        <is>
          <t>East</t>
        </is>
      </c>
      <c r="L380" t="inlineStr">
        <is>
          <t>New Jersey</t>
        </is>
      </c>
      <c r="M380" t="inlineStr">
        <is>
          <t>Washington</t>
        </is>
      </c>
      <c r="N380" t="inlineStr">
        <is>
          <t>Sophia Singh</t>
        </is>
      </c>
      <c r="O380" t="n">
        <v>3</v>
      </c>
      <c r="P380" s="3" t="n">
        <v>24.43</v>
      </c>
      <c r="Q380" s="4" t="n">
        <v>0.041</v>
      </c>
      <c r="R380" s="3" t="n">
        <v>70.29000000000001</v>
      </c>
      <c r="S380" s="3" t="n">
        <v>26.83</v>
      </c>
      <c r="T380" s="3" t="n">
        <v>34.06</v>
      </c>
      <c r="U380" s="4" t="n">
        <v>0.4846</v>
      </c>
      <c r="V380" s="3" t="n">
        <v>9.4</v>
      </c>
      <c r="W380" t="inlineStr">
        <is>
          <t>Credit Card</t>
        </is>
      </c>
      <c r="X380" t="inlineStr">
        <is>
          <t>High</t>
        </is>
      </c>
    </row>
    <row r="381">
      <c r="A381" t="inlineStr">
        <is>
          <t>ORD-00380</t>
        </is>
      </c>
      <c r="B381" s="2" t="n">
        <v>44938</v>
      </c>
      <c r="C381" s="2" t="n">
        <v>44945</v>
      </c>
      <c r="D381" t="inlineStr">
        <is>
          <t>CUST-00380</t>
        </is>
      </c>
      <c r="E381" t="inlineStr">
        <is>
          <t>Customer 380</t>
        </is>
      </c>
      <c r="F381" t="inlineStr">
        <is>
          <t>Consumer</t>
        </is>
      </c>
      <c r="G381" t="inlineStr">
        <is>
          <t>P1017</t>
        </is>
      </c>
      <c r="H381" t="inlineStr">
        <is>
          <t>SmartInk Pen Set</t>
        </is>
      </c>
      <c r="I381" t="inlineStr">
        <is>
          <t>Technology</t>
        </is>
      </c>
      <c r="J381" t="inlineStr">
        <is>
          <t>Furniture</t>
        </is>
      </c>
      <c r="K381" t="inlineStr">
        <is>
          <t>Central</t>
        </is>
      </c>
      <c r="L381" t="inlineStr">
        <is>
          <t>Illinois</t>
        </is>
      </c>
      <c r="M381" t="inlineStr">
        <is>
          <t>Minneapolis</t>
        </is>
      </c>
      <c r="N381" t="inlineStr">
        <is>
          <t>Ethan Brooks</t>
        </is>
      </c>
      <c r="O381" t="n">
        <v>3</v>
      </c>
      <c r="P381" s="3" t="n">
        <v>528.3200000000001</v>
      </c>
      <c r="Q381" s="4" t="n">
        <v>0.015</v>
      </c>
      <c r="R381" s="3" t="n">
        <v>1561.19</v>
      </c>
      <c r="S381" s="3" t="n">
        <v>1034.88</v>
      </c>
      <c r="T381" s="3" t="n">
        <v>517.91</v>
      </c>
      <c r="U381" s="4" t="n">
        <v>0.3317</v>
      </c>
      <c r="V381" s="3" t="n">
        <v>8.4</v>
      </c>
      <c r="W381" t="inlineStr">
        <is>
          <t>PayPal</t>
        </is>
      </c>
      <c r="X381" t="inlineStr">
        <is>
          <t>Medium</t>
        </is>
      </c>
    </row>
    <row r="382">
      <c r="A382" t="inlineStr">
        <is>
          <t>ORD-00381</t>
        </is>
      </c>
      <c r="B382" s="2" t="n">
        <v>44935</v>
      </c>
      <c r="C382" s="2" t="n">
        <v>44936</v>
      </c>
      <c r="D382" t="inlineStr">
        <is>
          <t>CUST-00381</t>
        </is>
      </c>
      <c r="E382" t="inlineStr">
        <is>
          <t>Customer 381</t>
        </is>
      </c>
      <c r="F382" t="inlineStr">
        <is>
          <t>Consumer</t>
        </is>
      </c>
      <c r="G382" t="inlineStr">
        <is>
          <t>P1008</t>
        </is>
      </c>
      <c r="H382" t="inlineStr">
        <is>
          <t>Tide Cooler</t>
        </is>
      </c>
      <c r="I382" t="inlineStr">
        <is>
          <t>Office Supplies</t>
        </is>
      </c>
      <c r="J382" t="inlineStr">
        <is>
          <t>Binders</t>
        </is>
      </c>
      <c r="K382" t="inlineStr">
        <is>
          <t>Central</t>
        </is>
      </c>
      <c r="L382" t="inlineStr">
        <is>
          <t>Illinois</t>
        </is>
      </c>
      <c r="M382" t="inlineStr">
        <is>
          <t>Chicago</t>
        </is>
      </c>
      <c r="N382" t="inlineStr">
        <is>
          <t>Ethan Brooks</t>
        </is>
      </c>
      <c r="O382" t="n">
        <v>4</v>
      </c>
      <c r="P382" s="3" t="n">
        <v>34.39</v>
      </c>
      <c r="Q382" s="4" t="n">
        <v>0.015</v>
      </c>
      <c r="R382" s="3" t="n">
        <v>135.5</v>
      </c>
      <c r="S382" s="3" t="n">
        <v>56.41</v>
      </c>
      <c r="T382" s="3" t="n">
        <v>69.89</v>
      </c>
      <c r="U382" s="4" t="n">
        <v>0.5158</v>
      </c>
      <c r="V382" s="3" t="n">
        <v>9.199999999999999</v>
      </c>
      <c r="W382" t="inlineStr">
        <is>
          <t>Cash on Delivery</t>
        </is>
      </c>
      <c r="X382" t="inlineStr">
        <is>
          <t>Medium</t>
        </is>
      </c>
    </row>
    <row r="383">
      <c r="A383" t="inlineStr">
        <is>
          <t>ORD-00382</t>
        </is>
      </c>
      <c r="B383" s="2" t="n">
        <v>45853</v>
      </c>
      <c r="C383" s="2" t="n">
        <v>45855</v>
      </c>
      <c r="D383" t="inlineStr">
        <is>
          <t>CUST-00382</t>
        </is>
      </c>
      <c r="E383" t="inlineStr">
        <is>
          <t>Customer 382</t>
        </is>
      </c>
      <c r="F383" t="inlineStr">
        <is>
          <t>Corporate</t>
        </is>
      </c>
      <c r="G383" t="inlineStr">
        <is>
          <t>P1002</t>
        </is>
      </c>
      <c r="H383" t="inlineStr">
        <is>
          <t>Echo Web Camera</t>
        </is>
      </c>
      <c r="I383" t="inlineStr">
        <is>
          <t>Home Decor</t>
        </is>
      </c>
      <c r="J383" t="inlineStr">
        <is>
          <t>Paper</t>
        </is>
      </c>
      <c r="K383" t="inlineStr">
        <is>
          <t>West</t>
        </is>
      </c>
      <c r="L383" t="inlineStr">
        <is>
          <t>Colorado</t>
        </is>
      </c>
      <c r="M383" t="inlineStr">
        <is>
          <t>Denver</t>
        </is>
      </c>
      <c r="N383" t="inlineStr">
        <is>
          <t>James Carter</t>
        </is>
      </c>
      <c r="O383" t="n">
        <v>1</v>
      </c>
      <c r="P383" s="3" t="n">
        <v>84.37</v>
      </c>
      <c r="Q383" s="4" t="n">
        <v>0.07000000000000001</v>
      </c>
      <c r="R383" s="3" t="n">
        <v>78.45999999999999</v>
      </c>
      <c r="S383" s="3" t="n">
        <v>39.66</v>
      </c>
      <c r="T383" s="3" t="n">
        <v>31</v>
      </c>
      <c r="U383" s="4" t="n">
        <v>0.3951</v>
      </c>
      <c r="V383" s="3" t="n">
        <v>7.8</v>
      </c>
      <c r="W383" t="inlineStr">
        <is>
          <t>Debit Card</t>
        </is>
      </c>
      <c r="X383" t="inlineStr">
        <is>
          <t>Critical</t>
        </is>
      </c>
    </row>
    <row r="384">
      <c r="A384" t="inlineStr">
        <is>
          <t>ORD-00383</t>
        </is>
      </c>
      <c r="B384" s="2" t="n">
        <v>45513</v>
      </c>
      <c r="C384" s="2" t="n">
        <v>45516</v>
      </c>
      <c r="D384" t="inlineStr">
        <is>
          <t>CUST-00383</t>
        </is>
      </c>
      <c r="E384" t="inlineStr">
        <is>
          <t>Customer 383</t>
        </is>
      </c>
      <c r="F384" t="inlineStr">
        <is>
          <t>Consumer</t>
        </is>
      </c>
      <c r="G384" t="inlineStr">
        <is>
          <t>P1019</t>
        </is>
      </c>
      <c r="H384" t="inlineStr">
        <is>
          <t>Aero Standing Desk</t>
        </is>
      </c>
      <c r="I384" t="inlineStr">
        <is>
          <t>Office Supplies</t>
        </is>
      </c>
      <c r="J384" t="inlineStr">
        <is>
          <t>Writing</t>
        </is>
      </c>
      <c r="K384" t="inlineStr">
        <is>
          <t>South</t>
        </is>
      </c>
      <c r="L384" t="inlineStr">
        <is>
          <t>Florida</t>
        </is>
      </c>
      <c r="M384" t="inlineStr">
        <is>
          <t>Atlanta</t>
        </is>
      </c>
      <c r="N384" t="inlineStr">
        <is>
          <t>Mia Rodriguez</t>
        </is>
      </c>
      <c r="O384" t="n">
        <v>1</v>
      </c>
      <c r="P384" s="3" t="n">
        <v>57.3</v>
      </c>
      <c r="Q384" s="4" t="n">
        <v>0.028</v>
      </c>
      <c r="R384" s="3" t="n">
        <v>55.7</v>
      </c>
      <c r="S384" s="3" t="n">
        <v>31.78</v>
      </c>
      <c r="T384" s="3" t="n">
        <v>17.12</v>
      </c>
      <c r="U384" s="4" t="n">
        <v>0.3074</v>
      </c>
      <c r="V384" s="3" t="n">
        <v>6.8</v>
      </c>
      <c r="W384" t="inlineStr">
        <is>
          <t>Credit Card</t>
        </is>
      </c>
      <c r="X384" t="inlineStr">
        <is>
          <t>Medium</t>
        </is>
      </c>
    </row>
    <row r="385">
      <c r="A385" t="inlineStr">
        <is>
          <t>ORD-00384</t>
        </is>
      </c>
      <c r="B385" s="2" t="n">
        <v>45998</v>
      </c>
      <c r="C385" s="2" t="n">
        <v>46001</v>
      </c>
      <c r="D385" t="inlineStr">
        <is>
          <t>CUST-00384</t>
        </is>
      </c>
      <c r="E385" t="inlineStr">
        <is>
          <t>Customer 384</t>
        </is>
      </c>
      <c r="F385" t="inlineStr">
        <is>
          <t>Consumer</t>
        </is>
      </c>
      <c r="G385" t="inlineStr">
        <is>
          <t>P1007</t>
        </is>
      </c>
      <c r="H385" t="inlineStr">
        <is>
          <t>ErgoMesh Chair</t>
        </is>
      </c>
      <c r="I385" t="inlineStr">
        <is>
          <t>Technology</t>
        </is>
      </c>
      <c r="J385" t="inlineStr">
        <is>
          <t>Coolers</t>
        </is>
      </c>
      <c r="K385" t="inlineStr">
        <is>
          <t>East</t>
        </is>
      </c>
      <c r="L385" t="inlineStr">
        <is>
          <t>Massachusetts</t>
        </is>
      </c>
      <c r="M385" t="inlineStr">
        <is>
          <t>Philadelphia</t>
        </is>
      </c>
      <c r="N385" t="inlineStr">
        <is>
          <t>Olivia Martin</t>
        </is>
      </c>
      <c r="O385" t="n">
        <v>4</v>
      </c>
      <c r="P385" s="3" t="n">
        <v>27.26</v>
      </c>
      <c r="Q385" s="4" t="n">
        <v>0.037</v>
      </c>
      <c r="R385" s="3" t="n">
        <v>105.01</v>
      </c>
      <c r="S385" s="3" t="n">
        <v>38.35</v>
      </c>
      <c r="T385" s="3" t="n">
        <v>56.46</v>
      </c>
      <c r="U385" s="4" t="n">
        <v>0.5377</v>
      </c>
      <c r="V385" s="3" t="n">
        <v>10.2</v>
      </c>
      <c r="W385" t="inlineStr">
        <is>
          <t>Bank Transfer</t>
        </is>
      </c>
      <c r="X385" t="inlineStr">
        <is>
          <t>High</t>
        </is>
      </c>
    </row>
    <row r="386">
      <c r="A386" t="inlineStr">
        <is>
          <t>ORD-00385</t>
        </is>
      </c>
      <c r="B386" s="2" t="n">
        <v>45714</v>
      </c>
      <c r="C386" s="2" t="n">
        <v>45721</v>
      </c>
      <c r="D386" t="inlineStr">
        <is>
          <t>CUST-00385</t>
        </is>
      </c>
      <c r="E386" t="inlineStr">
        <is>
          <t>Customer 385</t>
        </is>
      </c>
      <c r="F386" t="inlineStr">
        <is>
          <t>Corporate</t>
        </is>
      </c>
      <c r="G386" t="inlineStr">
        <is>
          <t>P1012</t>
        </is>
      </c>
      <c r="H386" t="inlineStr">
        <is>
          <t>FlexNote Notebook</t>
        </is>
      </c>
      <c r="I386" t="inlineStr">
        <is>
          <t>Furniture</t>
        </is>
      </c>
      <c r="J386" t="inlineStr">
        <is>
          <t>Bags</t>
        </is>
      </c>
      <c r="K386" t="inlineStr">
        <is>
          <t>Central</t>
        </is>
      </c>
      <c r="L386" t="inlineStr">
        <is>
          <t>Missouri</t>
        </is>
      </c>
      <c r="M386" t="inlineStr">
        <is>
          <t>Minneapolis</t>
        </is>
      </c>
      <c r="N386" t="inlineStr">
        <is>
          <t>Olivia Martin</t>
        </is>
      </c>
      <c r="O386" t="n">
        <v>3</v>
      </c>
      <c r="P386" s="3" t="n">
        <v>127.39</v>
      </c>
      <c r="Q386" s="4" t="n">
        <v>0.028</v>
      </c>
      <c r="R386" s="3" t="n">
        <v>371.47</v>
      </c>
      <c r="S386" s="3" t="n">
        <v>188.08</v>
      </c>
      <c r="T386" s="3" t="n">
        <v>174.99</v>
      </c>
      <c r="U386" s="4" t="n">
        <v>0.4711</v>
      </c>
      <c r="V386" s="3" t="n">
        <v>8.4</v>
      </c>
      <c r="W386" t="inlineStr">
        <is>
          <t>PayPal</t>
        </is>
      </c>
      <c r="X386" t="inlineStr">
        <is>
          <t>Low</t>
        </is>
      </c>
    </row>
    <row r="387">
      <c r="A387" t="inlineStr">
        <is>
          <t>ORD-00386</t>
        </is>
      </c>
      <c r="B387" s="2" t="n">
        <v>45985</v>
      </c>
      <c r="C387" s="2" t="n">
        <v>45986</v>
      </c>
      <c r="D387" t="inlineStr">
        <is>
          <t>CUST-00386</t>
        </is>
      </c>
      <c r="E387" t="inlineStr">
        <is>
          <t>Customer 386</t>
        </is>
      </c>
      <c r="F387" t="inlineStr">
        <is>
          <t>Consumer</t>
        </is>
      </c>
      <c r="G387" t="inlineStr">
        <is>
          <t>P1020</t>
        </is>
      </c>
      <c r="H387" t="inlineStr">
        <is>
          <t>Orbit Wireless Mouse</t>
        </is>
      </c>
      <c r="I387" t="inlineStr">
        <is>
          <t>Office Supplies</t>
        </is>
      </c>
      <c r="J387" t="inlineStr">
        <is>
          <t>Peripherals</t>
        </is>
      </c>
      <c r="K387" t="inlineStr">
        <is>
          <t>East</t>
        </is>
      </c>
      <c r="L387" t="inlineStr">
        <is>
          <t>Virginia</t>
        </is>
      </c>
      <c r="M387" t="inlineStr">
        <is>
          <t>Philadelphia</t>
        </is>
      </c>
      <c r="N387" t="inlineStr">
        <is>
          <t>Mia Rodriguez</t>
        </is>
      </c>
      <c r="O387" t="n">
        <v>4</v>
      </c>
      <c r="P387" s="3" t="n">
        <v>80.01000000000001</v>
      </c>
      <c r="Q387" s="4" t="n">
        <v>0.005</v>
      </c>
      <c r="R387" s="3" t="n">
        <v>318.44</v>
      </c>
      <c r="S387" s="3" t="n">
        <v>149.44</v>
      </c>
      <c r="T387" s="3" t="n">
        <v>158.8</v>
      </c>
      <c r="U387" s="4" t="n">
        <v>0.4987</v>
      </c>
      <c r="V387" s="3" t="n">
        <v>10.2</v>
      </c>
      <c r="W387" t="inlineStr">
        <is>
          <t>Bank Transfer</t>
        </is>
      </c>
      <c r="X387" t="inlineStr">
        <is>
          <t>Medium</t>
        </is>
      </c>
    </row>
    <row r="388">
      <c r="A388" t="inlineStr">
        <is>
          <t>ORD-00387</t>
        </is>
      </c>
      <c r="B388" s="2" t="n">
        <v>45028</v>
      </c>
      <c r="C388" s="2" t="n">
        <v>45031</v>
      </c>
      <c r="D388" t="inlineStr">
        <is>
          <t>CUST-00387</t>
        </is>
      </c>
      <c r="E388" t="inlineStr">
        <is>
          <t>Customer 387</t>
        </is>
      </c>
      <c r="F388" t="inlineStr">
        <is>
          <t>Consumer</t>
        </is>
      </c>
      <c r="G388" t="inlineStr">
        <is>
          <t>P1003</t>
        </is>
      </c>
      <c r="H388" t="inlineStr">
        <is>
          <t>SmartInk Pen Set</t>
        </is>
      </c>
      <c r="I388" t="inlineStr">
        <is>
          <t>Office Supplies</t>
        </is>
      </c>
      <c r="J388" t="inlineStr">
        <is>
          <t>Paper</t>
        </is>
      </c>
      <c r="K388" t="inlineStr">
        <is>
          <t>West</t>
        </is>
      </c>
      <c r="L388" t="inlineStr">
        <is>
          <t>Washington</t>
        </is>
      </c>
      <c r="M388" t="inlineStr">
        <is>
          <t>San Francisco</t>
        </is>
      </c>
      <c r="N388" t="inlineStr">
        <is>
          <t>Ethan Brooks</t>
        </is>
      </c>
      <c r="O388" t="n">
        <v>2</v>
      </c>
      <c r="P388" s="3" t="n">
        <v>151.43</v>
      </c>
      <c r="Q388" s="4" t="n">
        <v>0.029</v>
      </c>
      <c r="R388" s="3" t="n">
        <v>294.08</v>
      </c>
      <c r="S388" s="3" t="n">
        <v>156.49</v>
      </c>
      <c r="T388" s="3" t="n">
        <v>128.99</v>
      </c>
      <c r="U388" s="4" t="n">
        <v>0.4386</v>
      </c>
      <c r="V388" s="3" t="n">
        <v>8.6</v>
      </c>
      <c r="W388" t="inlineStr">
        <is>
          <t>Debit Card</t>
        </is>
      </c>
      <c r="X388" t="inlineStr">
        <is>
          <t>Medium</t>
        </is>
      </c>
    </row>
    <row r="389">
      <c r="A389" t="inlineStr">
        <is>
          <t>ORD-00388</t>
        </is>
      </c>
      <c r="B389" s="2" t="n">
        <v>45105</v>
      </c>
      <c r="C389" s="2" t="n">
        <v>45110</v>
      </c>
      <c r="D389" t="inlineStr">
        <is>
          <t>CUST-00388</t>
        </is>
      </c>
      <c r="E389" t="inlineStr">
        <is>
          <t>Customer 388</t>
        </is>
      </c>
      <c r="F389" t="inlineStr">
        <is>
          <t>Consumer</t>
        </is>
      </c>
      <c r="G389" t="inlineStr">
        <is>
          <t>P1004</t>
        </is>
      </c>
      <c r="H389" t="inlineStr">
        <is>
          <t>Trail Tote</t>
        </is>
      </c>
      <c r="I389" t="inlineStr">
        <is>
          <t>Office Supplies</t>
        </is>
      </c>
      <c r="J389" t="inlineStr">
        <is>
          <t>Binders</t>
        </is>
      </c>
      <c r="K389" t="inlineStr">
        <is>
          <t>West</t>
        </is>
      </c>
      <c r="L389" t="inlineStr">
        <is>
          <t>Oregon</t>
        </is>
      </c>
      <c r="M389" t="inlineStr">
        <is>
          <t>San Francisco</t>
        </is>
      </c>
      <c r="N389" t="inlineStr">
        <is>
          <t>Ethan Brooks</t>
        </is>
      </c>
      <c r="O389" t="n">
        <v>5</v>
      </c>
      <c r="P389" s="3" t="n">
        <v>669.6</v>
      </c>
      <c r="Q389" s="4" t="n">
        <v>0.063</v>
      </c>
      <c r="R389" s="3" t="n">
        <v>3137.08</v>
      </c>
      <c r="S389" s="3" t="n">
        <v>1987.64</v>
      </c>
      <c r="T389" s="3" t="n">
        <v>1138.44</v>
      </c>
      <c r="U389" s="4" t="n">
        <v>0.3629</v>
      </c>
      <c r="V389" s="3" t="n">
        <v>11</v>
      </c>
      <c r="W389" t="inlineStr">
        <is>
          <t>Credit Card</t>
        </is>
      </c>
      <c r="X389" t="inlineStr">
        <is>
          <t>High</t>
        </is>
      </c>
    </row>
    <row r="390">
      <c r="A390" t="inlineStr">
        <is>
          <t>ORD-00389</t>
        </is>
      </c>
      <c r="B390" s="2" t="n">
        <v>45797</v>
      </c>
      <c r="C390" s="2" t="n">
        <v>45799</v>
      </c>
      <c r="D390" t="inlineStr">
        <is>
          <t>CUST-00389</t>
        </is>
      </c>
      <c r="E390" t="inlineStr">
        <is>
          <t>Customer 389</t>
        </is>
      </c>
      <c r="F390" t="inlineStr">
        <is>
          <t>Corporate</t>
        </is>
      </c>
      <c r="G390" t="inlineStr">
        <is>
          <t>P1011</t>
        </is>
      </c>
      <c r="H390" t="inlineStr">
        <is>
          <t>SmartInk Pen Set</t>
        </is>
      </c>
      <c r="I390" t="inlineStr">
        <is>
          <t>Home Decor</t>
        </is>
      </c>
      <c r="J390" t="inlineStr">
        <is>
          <t>Writing</t>
        </is>
      </c>
      <c r="K390" t="inlineStr">
        <is>
          <t>South</t>
        </is>
      </c>
      <c r="L390" t="inlineStr">
        <is>
          <t>Florida</t>
        </is>
      </c>
      <c r="M390" t="inlineStr">
        <is>
          <t>Miami</t>
        </is>
      </c>
      <c r="N390" t="inlineStr">
        <is>
          <t>Olivia Martin</t>
        </is>
      </c>
      <c r="O390" t="n">
        <v>2</v>
      </c>
      <c r="P390" s="3" t="n">
        <v>88.62</v>
      </c>
      <c r="Q390" s="4" t="n">
        <v>0.062</v>
      </c>
      <c r="R390" s="3" t="n">
        <v>166.25</v>
      </c>
      <c r="S390" s="3" t="n">
        <v>80.70999999999999</v>
      </c>
      <c r="T390" s="3" t="n">
        <v>77.94</v>
      </c>
      <c r="U390" s="4" t="n">
        <v>0.4688</v>
      </c>
      <c r="V390" s="3" t="n">
        <v>7.6</v>
      </c>
      <c r="W390" t="inlineStr">
        <is>
          <t>Debit Card</t>
        </is>
      </c>
      <c r="X390" t="inlineStr">
        <is>
          <t>High</t>
        </is>
      </c>
    </row>
    <row r="391">
      <c r="A391" t="inlineStr">
        <is>
          <t>ORD-00390</t>
        </is>
      </c>
      <c r="B391" s="2" t="n">
        <v>45832</v>
      </c>
      <c r="C391" s="2" t="n">
        <v>45836</v>
      </c>
      <c r="D391" t="inlineStr">
        <is>
          <t>CUST-00390</t>
        </is>
      </c>
      <c r="E391" t="inlineStr">
        <is>
          <t>Customer 390</t>
        </is>
      </c>
      <c r="F391" t="inlineStr">
        <is>
          <t>Home Office</t>
        </is>
      </c>
      <c r="G391" t="inlineStr">
        <is>
          <t>P1012</t>
        </is>
      </c>
      <c r="H391" t="inlineStr">
        <is>
          <t>Harbor Rug</t>
        </is>
      </c>
      <c r="I391" t="inlineStr">
        <is>
          <t>Technology</t>
        </is>
      </c>
      <c r="J391" t="inlineStr">
        <is>
          <t>Accessories</t>
        </is>
      </c>
      <c r="K391" t="inlineStr">
        <is>
          <t>East</t>
        </is>
      </c>
      <c r="L391" t="inlineStr">
        <is>
          <t>New York</t>
        </is>
      </c>
      <c r="M391" t="inlineStr">
        <is>
          <t>Boston</t>
        </is>
      </c>
      <c r="N391" t="inlineStr">
        <is>
          <t>Noah Kim</t>
        </is>
      </c>
      <c r="O391" t="n">
        <v>1</v>
      </c>
      <c r="P391" s="3" t="n">
        <v>137.31</v>
      </c>
      <c r="Q391" s="4" t="n">
        <v>0.031</v>
      </c>
      <c r="R391" s="3" t="n">
        <v>133.05</v>
      </c>
      <c r="S391" s="3" t="n">
        <v>77.16</v>
      </c>
      <c r="T391" s="3" t="n">
        <v>48.09</v>
      </c>
      <c r="U391" s="4" t="n">
        <v>0.3614</v>
      </c>
      <c r="V391" s="3" t="n">
        <v>7.8</v>
      </c>
      <c r="W391" t="inlineStr">
        <is>
          <t>PayPal</t>
        </is>
      </c>
      <c r="X391" t="inlineStr">
        <is>
          <t>Critical</t>
        </is>
      </c>
    </row>
    <row r="392">
      <c r="A392" t="inlineStr">
        <is>
          <t>ORD-00391</t>
        </is>
      </c>
      <c r="B392" s="2" t="n">
        <v>45730</v>
      </c>
      <c r="C392" s="2" t="n">
        <v>45734</v>
      </c>
      <c r="D392" t="inlineStr">
        <is>
          <t>CUST-00391</t>
        </is>
      </c>
      <c r="E392" t="inlineStr">
        <is>
          <t>Customer 391</t>
        </is>
      </c>
      <c r="F392" t="inlineStr">
        <is>
          <t>Consumer</t>
        </is>
      </c>
      <c r="G392" t="inlineStr">
        <is>
          <t>P1019</t>
        </is>
      </c>
      <c r="H392" t="inlineStr">
        <is>
          <t>Cove Wall Clock</t>
        </is>
      </c>
      <c r="I392" t="inlineStr">
        <is>
          <t>Furniture</t>
        </is>
      </c>
      <c r="J392" t="inlineStr">
        <is>
          <t>Accessories</t>
        </is>
      </c>
      <c r="K392" t="inlineStr">
        <is>
          <t>West</t>
        </is>
      </c>
      <c r="L392" t="inlineStr">
        <is>
          <t>California</t>
        </is>
      </c>
      <c r="M392" t="inlineStr">
        <is>
          <t>San Francisco</t>
        </is>
      </c>
      <c r="N392" t="inlineStr">
        <is>
          <t>Noah Kim</t>
        </is>
      </c>
      <c r="O392" t="n">
        <v>2</v>
      </c>
      <c r="P392" s="3" t="n">
        <v>56.96</v>
      </c>
      <c r="Q392" s="4" t="n">
        <v>0.035</v>
      </c>
      <c r="R392" s="3" t="n">
        <v>109.93</v>
      </c>
      <c r="S392" s="3" t="n">
        <v>52.18</v>
      </c>
      <c r="T392" s="3" t="n">
        <v>49.15</v>
      </c>
      <c r="U392" s="4" t="n">
        <v>0.4471</v>
      </c>
      <c r="V392" s="3" t="n">
        <v>8.6</v>
      </c>
      <c r="W392" t="inlineStr">
        <is>
          <t>Credit Card</t>
        </is>
      </c>
      <c r="X392" t="inlineStr">
        <is>
          <t>Critical</t>
        </is>
      </c>
    </row>
    <row r="393">
      <c r="A393" t="inlineStr">
        <is>
          <t>ORD-00392</t>
        </is>
      </c>
      <c r="B393" s="2" t="n">
        <v>45495</v>
      </c>
      <c r="C393" s="2" t="n">
        <v>45498</v>
      </c>
      <c r="D393" t="inlineStr">
        <is>
          <t>CUST-00392</t>
        </is>
      </c>
      <c r="E393" t="inlineStr">
        <is>
          <t>Customer 392</t>
        </is>
      </c>
      <c r="F393" t="inlineStr">
        <is>
          <t>Consumer</t>
        </is>
      </c>
      <c r="G393" t="inlineStr">
        <is>
          <t>P1019</t>
        </is>
      </c>
      <c r="H393" t="inlineStr">
        <is>
          <t>FlexNote Notebook</t>
        </is>
      </c>
      <c r="I393" t="inlineStr">
        <is>
          <t>Outdoor</t>
        </is>
      </c>
      <c r="J393" t="inlineStr">
        <is>
          <t>Lighting</t>
        </is>
      </c>
      <c r="K393" t="inlineStr">
        <is>
          <t>South</t>
        </is>
      </c>
      <c r="L393" t="inlineStr">
        <is>
          <t>Texas</t>
        </is>
      </c>
      <c r="M393" t="inlineStr">
        <is>
          <t>Dallas</t>
        </is>
      </c>
      <c r="N393" t="inlineStr">
        <is>
          <t>Noah Kim</t>
        </is>
      </c>
      <c r="O393" t="n">
        <v>4</v>
      </c>
      <c r="P393" s="3" t="n">
        <v>57.19</v>
      </c>
      <c r="Q393" s="4" t="n">
        <v>0.022</v>
      </c>
      <c r="R393" s="3" t="n">
        <v>223.73</v>
      </c>
      <c r="S393" s="3" t="n">
        <v>101.08</v>
      </c>
      <c r="T393" s="3" t="n">
        <v>113.45</v>
      </c>
      <c r="U393" s="4" t="n">
        <v>0.5071</v>
      </c>
      <c r="V393" s="3" t="n">
        <v>9.199999999999999</v>
      </c>
      <c r="W393" t="inlineStr">
        <is>
          <t>Bank Transfer</t>
        </is>
      </c>
      <c r="X393" t="inlineStr">
        <is>
          <t>Medium</t>
        </is>
      </c>
    </row>
    <row r="394">
      <c r="A394" t="inlineStr">
        <is>
          <t>ORD-00393</t>
        </is>
      </c>
      <c r="B394" s="2" t="n">
        <v>45612</v>
      </c>
      <c r="C394" s="2" t="n">
        <v>45614</v>
      </c>
      <c r="D394" t="inlineStr">
        <is>
          <t>CUST-00393</t>
        </is>
      </c>
      <c r="E394" t="inlineStr">
        <is>
          <t>Customer 393</t>
        </is>
      </c>
      <c r="F394" t="inlineStr">
        <is>
          <t>Consumer</t>
        </is>
      </c>
      <c r="G394" t="inlineStr">
        <is>
          <t>P1011</t>
        </is>
      </c>
      <c r="H394" t="inlineStr">
        <is>
          <t>Lumen Desk Lamp</t>
        </is>
      </c>
      <c r="I394" t="inlineStr">
        <is>
          <t>Technology</t>
        </is>
      </c>
      <c r="J394" t="inlineStr">
        <is>
          <t>Bags</t>
        </is>
      </c>
      <c r="K394" t="inlineStr">
        <is>
          <t>Central</t>
        </is>
      </c>
      <c r="L394" t="inlineStr">
        <is>
          <t>Missouri</t>
        </is>
      </c>
      <c r="M394" t="inlineStr">
        <is>
          <t>Kansas City</t>
        </is>
      </c>
      <c r="N394" t="inlineStr">
        <is>
          <t>Olivia Martin</t>
        </is>
      </c>
      <c r="O394" t="n">
        <v>1</v>
      </c>
      <c r="P394" s="3" t="n">
        <v>98.43000000000001</v>
      </c>
      <c r="Q394" s="4" t="n">
        <v>0.03</v>
      </c>
      <c r="R394" s="3" t="n">
        <v>95.48</v>
      </c>
      <c r="S394" s="3" t="n">
        <v>52.63</v>
      </c>
      <c r="T394" s="3" t="n">
        <v>36.05</v>
      </c>
      <c r="U394" s="4" t="n">
        <v>0.3776</v>
      </c>
      <c r="V394" s="3" t="n">
        <v>6.8</v>
      </c>
      <c r="W394" t="inlineStr">
        <is>
          <t>Debit Card</t>
        </is>
      </c>
      <c r="X394" t="inlineStr">
        <is>
          <t>Medium</t>
        </is>
      </c>
    </row>
    <row r="395">
      <c r="A395" t="inlineStr">
        <is>
          <t>ORD-00394</t>
        </is>
      </c>
      <c r="B395" s="2" t="n">
        <v>45827</v>
      </c>
      <c r="C395" s="2" t="n">
        <v>45832</v>
      </c>
      <c r="D395" t="inlineStr">
        <is>
          <t>CUST-00394</t>
        </is>
      </c>
      <c r="E395" t="inlineStr">
        <is>
          <t>Customer 394</t>
        </is>
      </c>
      <c r="F395" t="inlineStr">
        <is>
          <t>Corporate</t>
        </is>
      </c>
      <c r="G395" t="inlineStr">
        <is>
          <t>P1013</t>
        </is>
      </c>
      <c r="H395" t="inlineStr">
        <is>
          <t>Cove Wall Clock</t>
        </is>
      </c>
      <c r="I395" t="inlineStr">
        <is>
          <t>Outdoor</t>
        </is>
      </c>
      <c r="J395" t="inlineStr">
        <is>
          <t>Desks</t>
        </is>
      </c>
      <c r="K395" t="inlineStr">
        <is>
          <t>South</t>
        </is>
      </c>
      <c r="L395" t="inlineStr">
        <is>
          <t>Florida</t>
        </is>
      </c>
      <c r="M395" t="inlineStr">
        <is>
          <t>Houston</t>
        </is>
      </c>
      <c r="N395" t="inlineStr">
        <is>
          <t>Noah Kim</t>
        </is>
      </c>
      <c r="O395" t="n">
        <v>2</v>
      </c>
      <c r="P395" s="3" t="n">
        <v>167.77</v>
      </c>
      <c r="Q395" s="4" t="n">
        <v>0.011</v>
      </c>
      <c r="R395" s="3" t="n">
        <v>331.85</v>
      </c>
      <c r="S395" s="3" t="n">
        <v>193.36</v>
      </c>
      <c r="T395" s="3" t="n">
        <v>130.89</v>
      </c>
      <c r="U395" s="4" t="n">
        <v>0.3944</v>
      </c>
      <c r="V395" s="3" t="n">
        <v>7.6</v>
      </c>
      <c r="W395" t="inlineStr">
        <is>
          <t>Bank Transfer</t>
        </is>
      </c>
      <c r="X395" t="inlineStr">
        <is>
          <t>Low</t>
        </is>
      </c>
    </row>
    <row r="396">
      <c r="A396" t="inlineStr">
        <is>
          <t>ORD-00395</t>
        </is>
      </c>
      <c r="B396" s="2" t="n">
        <v>45496</v>
      </c>
      <c r="C396" s="2" t="n">
        <v>45500</v>
      </c>
      <c r="D396" t="inlineStr">
        <is>
          <t>CUST-00395</t>
        </is>
      </c>
      <c r="E396" t="inlineStr">
        <is>
          <t>Customer 395</t>
        </is>
      </c>
      <c r="F396" t="inlineStr">
        <is>
          <t>Corporate</t>
        </is>
      </c>
      <c r="G396" t="inlineStr">
        <is>
          <t>P1001</t>
        </is>
      </c>
      <c r="H396" t="inlineStr">
        <is>
          <t>CloudDrive File Box</t>
        </is>
      </c>
      <c r="I396" t="inlineStr">
        <is>
          <t>Furniture</t>
        </is>
      </c>
      <c r="J396" t="inlineStr">
        <is>
          <t>Paper</t>
        </is>
      </c>
      <c r="K396" t="inlineStr">
        <is>
          <t>East</t>
        </is>
      </c>
      <c r="L396" t="inlineStr">
        <is>
          <t>Virginia</t>
        </is>
      </c>
      <c r="M396" t="inlineStr">
        <is>
          <t>Washington</t>
        </is>
      </c>
      <c r="N396" t="inlineStr">
        <is>
          <t>Ethan Brooks</t>
        </is>
      </c>
      <c r="O396" t="n">
        <v>5</v>
      </c>
      <c r="P396" s="3" t="n">
        <v>321.33</v>
      </c>
      <c r="Q396" s="4" t="n">
        <v>0.031</v>
      </c>
      <c r="R396" s="3" t="n">
        <v>1556.84</v>
      </c>
      <c r="S396" s="3" t="n">
        <v>908.8200000000001</v>
      </c>
      <c r="T396" s="3" t="n">
        <v>637.02</v>
      </c>
      <c r="U396" s="4" t="n">
        <v>0.4092</v>
      </c>
      <c r="V396" s="3" t="n">
        <v>11</v>
      </c>
      <c r="W396" t="inlineStr">
        <is>
          <t>Cash on Delivery</t>
        </is>
      </c>
      <c r="X396" t="inlineStr">
        <is>
          <t>Medium</t>
        </is>
      </c>
    </row>
    <row r="397">
      <c r="A397" t="inlineStr">
        <is>
          <t>ORD-00396</t>
        </is>
      </c>
      <c r="B397" s="2" t="n">
        <v>45964</v>
      </c>
      <c r="C397" s="2" t="n">
        <v>45969</v>
      </c>
      <c r="D397" t="inlineStr">
        <is>
          <t>CUST-00396</t>
        </is>
      </c>
      <c r="E397" t="inlineStr">
        <is>
          <t>Customer 396</t>
        </is>
      </c>
      <c r="F397" t="inlineStr">
        <is>
          <t>Corporate</t>
        </is>
      </c>
      <c r="G397" t="inlineStr">
        <is>
          <t>P1006</t>
        </is>
      </c>
      <c r="H397" t="inlineStr">
        <is>
          <t>Trail Tote</t>
        </is>
      </c>
      <c r="I397" t="inlineStr">
        <is>
          <t>Technology</t>
        </is>
      </c>
      <c r="J397" t="inlineStr">
        <is>
          <t>Lighting</t>
        </is>
      </c>
      <c r="K397" t="inlineStr">
        <is>
          <t>East</t>
        </is>
      </c>
      <c r="L397" t="inlineStr">
        <is>
          <t>New York</t>
        </is>
      </c>
      <c r="M397" t="inlineStr">
        <is>
          <t>Boston</t>
        </is>
      </c>
      <c r="N397" t="inlineStr">
        <is>
          <t>Olivia Martin</t>
        </is>
      </c>
      <c r="O397" t="n">
        <v>1</v>
      </c>
      <c r="P397" s="3" t="n">
        <v>20.14</v>
      </c>
      <c r="Q397" s="4" t="n">
        <v>0.027</v>
      </c>
      <c r="R397" s="3" t="n">
        <v>19.6</v>
      </c>
      <c r="S397" s="3" t="n">
        <v>15.25</v>
      </c>
      <c r="T397" s="3" t="n">
        <v>-3.45</v>
      </c>
      <c r="U397" s="4" t="n">
        <v>-0.176</v>
      </c>
      <c r="V397" s="3" t="n">
        <v>7.8</v>
      </c>
      <c r="W397" t="inlineStr">
        <is>
          <t>Debit Card</t>
        </is>
      </c>
      <c r="X397" t="inlineStr">
        <is>
          <t>Low</t>
        </is>
      </c>
    </row>
    <row r="398">
      <c r="A398" t="inlineStr">
        <is>
          <t>ORD-00397</t>
        </is>
      </c>
      <c r="B398" s="2" t="n">
        <v>45941</v>
      </c>
      <c r="C398" s="2" t="n">
        <v>45946</v>
      </c>
      <c r="D398" t="inlineStr">
        <is>
          <t>CUST-00397</t>
        </is>
      </c>
      <c r="E398" t="inlineStr">
        <is>
          <t>Customer 397</t>
        </is>
      </c>
      <c r="F398" t="inlineStr">
        <is>
          <t>Corporate</t>
        </is>
      </c>
      <c r="G398" t="inlineStr">
        <is>
          <t>P1016</t>
        </is>
      </c>
      <c r="H398" t="inlineStr">
        <is>
          <t>Lumen Desk Lamp</t>
        </is>
      </c>
      <c r="I398" t="inlineStr">
        <is>
          <t>Technology</t>
        </is>
      </c>
      <c r="J398" t="inlineStr">
        <is>
          <t>Textiles</t>
        </is>
      </c>
      <c r="K398" t="inlineStr">
        <is>
          <t>North</t>
        </is>
      </c>
      <c r="L398" t="inlineStr">
        <is>
          <t>Alberta</t>
        </is>
      </c>
      <c r="M398" t="inlineStr">
        <is>
          <t>Vancouver</t>
        </is>
      </c>
      <c r="N398" t="inlineStr">
        <is>
          <t>Noah Kim</t>
        </is>
      </c>
      <c r="O398" t="n">
        <v>2</v>
      </c>
      <c r="P398" s="3" t="n">
        <v>39.86</v>
      </c>
      <c r="Q398" s="4" t="n">
        <v>0.024</v>
      </c>
      <c r="R398" s="3" t="n">
        <v>77.81</v>
      </c>
      <c r="S398" s="3" t="n">
        <v>33.64</v>
      </c>
      <c r="T398" s="3" t="n">
        <v>36.57</v>
      </c>
      <c r="U398" s="4" t="n">
        <v>0.47</v>
      </c>
      <c r="V398" s="3" t="n">
        <v>7.6</v>
      </c>
      <c r="W398" t="inlineStr">
        <is>
          <t>Debit Card</t>
        </is>
      </c>
      <c r="X398" t="inlineStr">
        <is>
          <t>Low</t>
        </is>
      </c>
    </row>
    <row r="399">
      <c r="A399" t="inlineStr">
        <is>
          <t>ORD-00398</t>
        </is>
      </c>
      <c r="B399" s="2" t="n">
        <v>45496</v>
      </c>
      <c r="C399" s="2" t="n">
        <v>45500</v>
      </c>
      <c r="D399" t="inlineStr">
        <is>
          <t>CUST-00398</t>
        </is>
      </c>
      <c r="E399" t="inlineStr">
        <is>
          <t>Customer 398</t>
        </is>
      </c>
      <c r="F399" t="inlineStr">
        <is>
          <t>Home Office</t>
        </is>
      </c>
      <c r="G399" t="inlineStr">
        <is>
          <t>P1002</t>
        </is>
      </c>
      <c r="H399" t="inlineStr">
        <is>
          <t>CloudDrive File Box</t>
        </is>
      </c>
      <c r="I399" t="inlineStr">
        <is>
          <t>Outdoor</t>
        </is>
      </c>
      <c r="J399" t="inlineStr">
        <is>
          <t>Video</t>
        </is>
      </c>
      <c r="K399" t="inlineStr">
        <is>
          <t>North</t>
        </is>
      </c>
      <c r="L399" t="inlineStr">
        <is>
          <t>British Columbia</t>
        </is>
      </c>
      <c r="M399" t="inlineStr">
        <is>
          <t>Montreal</t>
        </is>
      </c>
      <c r="N399" t="inlineStr">
        <is>
          <t>Ethan Brooks</t>
        </is>
      </c>
      <c r="O399" t="n">
        <v>2</v>
      </c>
      <c r="P399" s="3" t="n">
        <v>81.26000000000001</v>
      </c>
      <c r="Q399" s="4" t="n">
        <v>0.01</v>
      </c>
      <c r="R399" s="3" t="n">
        <v>160.89</v>
      </c>
      <c r="S399" s="3" t="n">
        <v>82.73</v>
      </c>
      <c r="T399" s="3" t="n">
        <v>70.56</v>
      </c>
      <c r="U399" s="4" t="n">
        <v>0.4386</v>
      </c>
      <c r="V399" s="3" t="n">
        <v>7.6</v>
      </c>
      <c r="W399" t="inlineStr">
        <is>
          <t>Credit Card</t>
        </is>
      </c>
      <c r="X399" t="inlineStr">
        <is>
          <t>Medium</t>
        </is>
      </c>
    </row>
    <row r="400">
      <c r="A400" t="inlineStr">
        <is>
          <t>ORD-00399</t>
        </is>
      </c>
      <c r="B400" s="2" t="n">
        <v>45768</v>
      </c>
      <c r="C400" s="2" t="n">
        <v>45772</v>
      </c>
      <c r="D400" t="inlineStr">
        <is>
          <t>CUST-00399</t>
        </is>
      </c>
      <c r="E400" t="inlineStr">
        <is>
          <t>Customer 399</t>
        </is>
      </c>
      <c r="F400" t="inlineStr">
        <is>
          <t>Home Office</t>
        </is>
      </c>
      <c r="G400" t="inlineStr">
        <is>
          <t>P1014</t>
        </is>
      </c>
      <c r="H400" t="inlineStr">
        <is>
          <t>Trail Tote</t>
        </is>
      </c>
      <c r="I400" t="inlineStr">
        <is>
          <t>Office Supplies</t>
        </is>
      </c>
      <c r="J400" t="inlineStr">
        <is>
          <t>Plants</t>
        </is>
      </c>
      <c r="K400" t="inlineStr">
        <is>
          <t>East</t>
        </is>
      </c>
      <c r="L400" t="inlineStr">
        <is>
          <t>New York</t>
        </is>
      </c>
      <c r="M400" t="inlineStr">
        <is>
          <t>Boston</t>
        </is>
      </c>
      <c r="N400" t="inlineStr">
        <is>
          <t>Olivia Martin</t>
        </is>
      </c>
      <c r="O400" t="n">
        <v>5</v>
      </c>
      <c r="P400" s="3" t="n">
        <v>44.94</v>
      </c>
      <c r="Q400" s="4" t="n">
        <v>0.049</v>
      </c>
      <c r="R400" s="3" t="n">
        <v>213.69</v>
      </c>
      <c r="S400" s="3" t="n">
        <v>91.29000000000001</v>
      </c>
      <c r="T400" s="3" t="n">
        <v>111.4</v>
      </c>
      <c r="U400" s="4" t="n">
        <v>0.5213</v>
      </c>
      <c r="V400" s="3" t="n">
        <v>11</v>
      </c>
      <c r="W400" t="inlineStr">
        <is>
          <t>Debit Card</t>
        </is>
      </c>
      <c r="X400" t="inlineStr">
        <is>
          <t>High</t>
        </is>
      </c>
    </row>
    <row r="401">
      <c r="A401" t="inlineStr">
        <is>
          <t>ORD-00400</t>
        </is>
      </c>
      <c r="B401" s="2" t="n">
        <v>46011</v>
      </c>
      <c r="C401" s="2" t="n">
        <v>46014</v>
      </c>
      <c r="D401" t="inlineStr">
        <is>
          <t>CUST-00400</t>
        </is>
      </c>
      <c r="E401" t="inlineStr">
        <is>
          <t>Customer 400</t>
        </is>
      </c>
      <c r="F401" t="inlineStr">
        <is>
          <t>Corporate</t>
        </is>
      </c>
      <c r="G401" t="inlineStr">
        <is>
          <t>P1018</t>
        </is>
      </c>
      <c r="H401" t="inlineStr">
        <is>
          <t>FlexNote Notebook</t>
        </is>
      </c>
      <c r="I401" t="inlineStr">
        <is>
          <t>Outdoor</t>
        </is>
      </c>
      <c r="J401" t="inlineStr">
        <is>
          <t>Desks</t>
        </is>
      </c>
      <c r="K401" t="inlineStr">
        <is>
          <t>Central</t>
        </is>
      </c>
      <c r="L401" t="inlineStr">
        <is>
          <t>Minnesota</t>
        </is>
      </c>
      <c r="M401" t="inlineStr">
        <is>
          <t>Chicago</t>
        </is>
      </c>
      <c r="N401" t="inlineStr">
        <is>
          <t>Liam Chen</t>
        </is>
      </c>
      <c r="O401" t="n">
        <v>4</v>
      </c>
      <c r="P401" s="3" t="n">
        <v>92.42</v>
      </c>
      <c r="Q401" s="4" t="n">
        <v>0.044</v>
      </c>
      <c r="R401" s="3" t="n">
        <v>353.41</v>
      </c>
      <c r="S401" s="3" t="n">
        <v>162.86</v>
      </c>
      <c r="T401" s="3" t="n">
        <v>181.35</v>
      </c>
      <c r="U401" s="4" t="n">
        <v>0.5131</v>
      </c>
      <c r="V401" s="3" t="n">
        <v>9.199999999999999</v>
      </c>
      <c r="W401" t="inlineStr">
        <is>
          <t>Debit Card</t>
        </is>
      </c>
      <c r="X401" t="inlineStr">
        <is>
          <t>Critical</t>
        </is>
      </c>
    </row>
    <row r="402">
      <c r="A402" t="inlineStr">
        <is>
          <t>ORD-00401</t>
        </is>
      </c>
      <c r="B402" s="2" t="n">
        <v>45157</v>
      </c>
      <c r="C402" s="2" t="n">
        <v>45164</v>
      </c>
      <c r="D402" t="inlineStr">
        <is>
          <t>CUST-00401</t>
        </is>
      </c>
      <c r="E402" t="inlineStr">
        <is>
          <t>Customer 401</t>
        </is>
      </c>
      <c r="F402" t="inlineStr">
        <is>
          <t>Consumer</t>
        </is>
      </c>
      <c r="G402" t="inlineStr">
        <is>
          <t>P1017</t>
        </is>
      </c>
      <c r="H402" t="inlineStr">
        <is>
          <t>Echo Web Camera</t>
        </is>
      </c>
      <c r="I402" t="inlineStr">
        <is>
          <t>Office Supplies</t>
        </is>
      </c>
      <c r="J402" t="inlineStr">
        <is>
          <t>Accessories</t>
        </is>
      </c>
      <c r="K402" t="inlineStr">
        <is>
          <t>West</t>
        </is>
      </c>
      <c r="L402" t="inlineStr">
        <is>
          <t>Colorado</t>
        </is>
      </c>
      <c r="M402" t="inlineStr">
        <is>
          <t>Los Angeles</t>
        </is>
      </c>
      <c r="N402" t="inlineStr">
        <is>
          <t>James Carter</t>
        </is>
      </c>
      <c r="O402" t="n">
        <v>3</v>
      </c>
      <c r="P402" s="3" t="n">
        <v>596.58</v>
      </c>
      <c r="Q402" s="4" t="n">
        <v>0.046</v>
      </c>
      <c r="R402" s="3" t="n">
        <v>1707.41</v>
      </c>
      <c r="S402" s="3" t="n">
        <v>1131.34</v>
      </c>
      <c r="T402" s="3" t="n">
        <v>566.67</v>
      </c>
      <c r="U402" s="4" t="n">
        <v>0.3319</v>
      </c>
      <c r="V402" s="3" t="n">
        <v>9.4</v>
      </c>
      <c r="W402" t="inlineStr">
        <is>
          <t>Credit Card</t>
        </is>
      </c>
      <c r="X402" t="inlineStr">
        <is>
          <t>High</t>
        </is>
      </c>
    </row>
    <row r="403">
      <c r="A403" t="inlineStr">
        <is>
          <t>ORD-00402</t>
        </is>
      </c>
      <c r="B403" s="2" t="n">
        <v>45755</v>
      </c>
      <c r="C403" s="2" t="n">
        <v>45757</v>
      </c>
      <c r="D403" t="inlineStr">
        <is>
          <t>CUST-00402</t>
        </is>
      </c>
      <c r="E403" t="inlineStr">
        <is>
          <t>Customer 402</t>
        </is>
      </c>
      <c r="F403" t="inlineStr">
        <is>
          <t>Consumer</t>
        </is>
      </c>
      <c r="G403" t="inlineStr">
        <is>
          <t>P1020</t>
        </is>
      </c>
      <c r="H403" t="inlineStr">
        <is>
          <t>SmartInk Pen Set</t>
        </is>
      </c>
      <c r="I403" t="inlineStr">
        <is>
          <t>Technology</t>
        </is>
      </c>
      <c r="J403" t="inlineStr">
        <is>
          <t>Decor</t>
        </is>
      </c>
      <c r="K403" t="inlineStr">
        <is>
          <t>Central</t>
        </is>
      </c>
      <c r="L403" t="inlineStr">
        <is>
          <t>Minnesota</t>
        </is>
      </c>
      <c r="M403" t="inlineStr">
        <is>
          <t>St. Louis</t>
        </is>
      </c>
      <c r="N403" t="inlineStr">
        <is>
          <t>Sophia Singh</t>
        </is>
      </c>
      <c r="O403" t="n">
        <v>2</v>
      </c>
      <c r="P403" s="3" t="n">
        <v>68.52</v>
      </c>
      <c r="Q403" s="4" t="n">
        <v>0.047</v>
      </c>
      <c r="R403" s="3" t="n">
        <v>130.6</v>
      </c>
      <c r="S403" s="3" t="n">
        <v>62.95</v>
      </c>
      <c r="T403" s="3" t="n">
        <v>60.05</v>
      </c>
      <c r="U403" s="4" t="n">
        <v>0.4598</v>
      </c>
      <c r="V403" s="3" t="n">
        <v>7.6</v>
      </c>
      <c r="W403" t="inlineStr">
        <is>
          <t>Credit Card</t>
        </is>
      </c>
      <c r="X403" t="inlineStr">
        <is>
          <t>High</t>
        </is>
      </c>
    </row>
    <row r="404">
      <c r="A404" t="inlineStr">
        <is>
          <t>ORD-00403</t>
        </is>
      </c>
      <c r="B404" s="2" t="n">
        <v>45432</v>
      </c>
      <c r="C404" s="2" t="n">
        <v>45433</v>
      </c>
      <c r="D404" t="inlineStr">
        <is>
          <t>CUST-00403</t>
        </is>
      </c>
      <c r="E404" t="inlineStr">
        <is>
          <t>Customer 403</t>
        </is>
      </c>
      <c r="F404" t="inlineStr">
        <is>
          <t>Corporate</t>
        </is>
      </c>
      <c r="G404" t="inlineStr">
        <is>
          <t>P1018</t>
        </is>
      </c>
      <c r="H404" t="inlineStr">
        <is>
          <t>Harbor Rug</t>
        </is>
      </c>
      <c r="I404" t="inlineStr">
        <is>
          <t>Office Supplies</t>
        </is>
      </c>
      <c r="J404" t="inlineStr">
        <is>
          <t>Flooring</t>
        </is>
      </c>
      <c r="K404" t="inlineStr">
        <is>
          <t>East</t>
        </is>
      </c>
      <c r="L404" t="inlineStr">
        <is>
          <t>New York</t>
        </is>
      </c>
      <c r="M404" t="inlineStr">
        <is>
          <t>Washington</t>
        </is>
      </c>
      <c r="N404" t="inlineStr">
        <is>
          <t>James Carter</t>
        </is>
      </c>
      <c r="O404" t="n">
        <v>5</v>
      </c>
      <c r="P404" s="3" t="n">
        <v>87.06999999999999</v>
      </c>
      <c r="Q404" s="4" t="n">
        <v>0.034</v>
      </c>
      <c r="R404" s="3" t="n">
        <v>420.55</v>
      </c>
      <c r="S404" s="3" t="n">
        <v>187.37</v>
      </c>
      <c r="T404" s="3" t="n">
        <v>222.18</v>
      </c>
      <c r="U404" s="4" t="n">
        <v>0.5283</v>
      </c>
      <c r="V404" s="3" t="n">
        <v>11</v>
      </c>
      <c r="W404" t="inlineStr">
        <is>
          <t>Credit Card</t>
        </is>
      </c>
      <c r="X404" t="inlineStr">
        <is>
          <t>Medium</t>
        </is>
      </c>
    </row>
    <row r="405">
      <c r="A405" t="inlineStr">
        <is>
          <t>ORD-00404</t>
        </is>
      </c>
      <c r="B405" s="2" t="n">
        <v>45969</v>
      </c>
      <c r="C405" s="2" t="n">
        <v>45971</v>
      </c>
      <c r="D405" t="inlineStr">
        <is>
          <t>CUST-00404</t>
        </is>
      </c>
      <c r="E405" t="inlineStr">
        <is>
          <t>Customer 404</t>
        </is>
      </c>
      <c r="F405" t="inlineStr">
        <is>
          <t>Corporate</t>
        </is>
      </c>
      <c r="G405" t="inlineStr">
        <is>
          <t>P1019</t>
        </is>
      </c>
      <c r="H405" t="inlineStr">
        <is>
          <t>Halo Planter</t>
        </is>
      </c>
      <c r="I405" t="inlineStr">
        <is>
          <t>Technology</t>
        </is>
      </c>
      <c r="J405" t="inlineStr">
        <is>
          <t>Binders</t>
        </is>
      </c>
      <c r="K405" t="inlineStr">
        <is>
          <t>West</t>
        </is>
      </c>
      <c r="L405" t="inlineStr">
        <is>
          <t>Oregon</t>
        </is>
      </c>
      <c r="M405" t="inlineStr">
        <is>
          <t>San Francisco</t>
        </is>
      </c>
      <c r="N405" t="inlineStr">
        <is>
          <t>Liam Chen</t>
        </is>
      </c>
      <c r="O405" t="n">
        <v>2</v>
      </c>
      <c r="P405" s="3" t="n">
        <v>65.02</v>
      </c>
      <c r="Q405" s="4" t="n">
        <v>0.021</v>
      </c>
      <c r="R405" s="3" t="n">
        <v>127.31</v>
      </c>
      <c r="S405" s="3" t="n">
        <v>62</v>
      </c>
      <c r="T405" s="3" t="n">
        <v>56.71</v>
      </c>
      <c r="U405" s="4" t="n">
        <v>0.4454</v>
      </c>
      <c r="V405" s="3" t="n">
        <v>8.6</v>
      </c>
      <c r="W405" t="inlineStr">
        <is>
          <t>PayPal</t>
        </is>
      </c>
      <c r="X405" t="inlineStr">
        <is>
          <t>Medium</t>
        </is>
      </c>
    </row>
    <row r="406">
      <c r="A406" t="inlineStr">
        <is>
          <t>ORD-00405</t>
        </is>
      </c>
      <c r="B406" s="2" t="n">
        <v>45317</v>
      </c>
      <c r="C406" s="2" t="n">
        <v>45318</v>
      </c>
      <c r="D406" t="inlineStr">
        <is>
          <t>CUST-00405</t>
        </is>
      </c>
      <c r="E406" t="inlineStr">
        <is>
          <t>Customer 405</t>
        </is>
      </c>
      <c r="F406" t="inlineStr">
        <is>
          <t>Corporate</t>
        </is>
      </c>
      <c r="G406" t="inlineStr">
        <is>
          <t>P1015</t>
        </is>
      </c>
      <c r="H406" t="inlineStr">
        <is>
          <t>Orbit Wireless Mouse</t>
        </is>
      </c>
      <c r="I406" t="inlineStr">
        <is>
          <t>Furniture</t>
        </is>
      </c>
      <c r="J406" t="inlineStr">
        <is>
          <t>Desks</t>
        </is>
      </c>
      <c r="K406" t="inlineStr">
        <is>
          <t>South</t>
        </is>
      </c>
      <c r="L406" t="inlineStr">
        <is>
          <t>Florida</t>
        </is>
      </c>
      <c r="M406" t="inlineStr">
        <is>
          <t>Miami</t>
        </is>
      </c>
      <c r="N406" t="inlineStr">
        <is>
          <t>Sophia Singh</t>
        </is>
      </c>
      <c r="O406" t="n">
        <v>3</v>
      </c>
      <c r="P406" s="3" t="n">
        <v>66.45</v>
      </c>
      <c r="Q406" s="4" t="n">
        <v>0.035</v>
      </c>
      <c r="R406" s="3" t="n">
        <v>192.37</v>
      </c>
      <c r="S406" s="3" t="n">
        <v>85.83</v>
      </c>
      <c r="T406" s="3" t="n">
        <v>98.14</v>
      </c>
      <c r="U406" s="4" t="n">
        <v>0.5102</v>
      </c>
      <c r="V406" s="3" t="n">
        <v>8.4</v>
      </c>
      <c r="W406" t="inlineStr">
        <is>
          <t>Bank Transfer</t>
        </is>
      </c>
      <c r="X406" t="inlineStr">
        <is>
          <t>Medium</t>
        </is>
      </c>
    </row>
    <row r="407">
      <c r="A407" t="inlineStr">
        <is>
          <t>ORD-00406</t>
        </is>
      </c>
      <c r="B407" s="2" t="n">
        <v>45994</v>
      </c>
      <c r="C407" s="2" t="n">
        <v>45998</v>
      </c>
      <c r="D407" t="inlineStr">
        <is>
          <t>CUST-00406</t>
        </is>
      </c>
      <c r="E407" t="inlineStr">
        <is>
          <t>Customer 406</t>
        </is>
      </c>
      <c r="F407" t="inlineStr">
        <is>
          <t>Consumer</t>
        </is>
      </c>
      <c r="G407" t="inlineStr">
        <is>
          <t>P1002</t>
        </is>
      </c>
      <c r="H407" t="inlineStr">
        <is>
          <t>Aero Standing Desk</t>
        </is>
      </c>
      <c r="I407" t="inlineStr">
        <is>
          <t>Office Supplies</t>
        </is>
      </c>
      <c r="J407" t="inlineStr">
        <is>
          <t>Chairs</t>
        </is>
      </c>
      <c r="K407" t="inlineStr">
        <is>
          <t>Central</t>
        </is>
      </c>
      <c r="L407" t="inlineStr">
        <is>
          <t>Illinois</t>
        </is>
      </c>
      <c r="M407" t="inlineStr">
        <is>
          <t>St. Louis</t>
        </is>
      </c>
      <c r="N407" t="inlineStr">
        <is>
          <t>Ava Patel</t>
        </is>
      </c>
      <c r="O407" t="n">
        <v>3</v>
      </c>
      <c r="P407" s="3" t="n">
        <v>88.64</v>
      </c>
      <c r="Q407" s="4" t="n">
        <v>0.006</v>
      </c>
      <c r="R407" s="3" t="n">
        <v>264.32</v>
      </c>
      <c r="S407" s="3" t="n">
        <v>125.62</v>
      </c>
      <c r="T407" s="3" t="n">
        <v>130.3</v>
      </c>
      <c r="U407" s="4" t="n">
        <v>0.493</v>
      </c>
      <c r="V407" s="3" t="n">
        <v>8.4</v>
      </c>
      <c r="W407" t="inlineStr">
        <is>
          <t>Credit Card</t>
        </is>
      </c>
      <c r="X407" t="inlineStr">
        <is>
          <t>Low</t>
        </is>
      </c>
    </row>
    <row r="408">
      <c r="A408" t="inlineStr">
        <is>
          <t>ORD-00407</t>
        </is>
      </c>
      <c r="B408" s="2" t="n">
        <v>45361</v>
      </c>
      <c r="C408" s="2" t="n">
        <v>45366</v>
      </c>
      <c r="D408" t="inlineStr">
        <is>
          <t>CUST-00407</t>
        </is>
      </c>
      <c r="E408" t="inlineStr">
        <is>
          <t>Customer 407</t>
        </is>
      </c>
      <c r="F408" t="inlineStr">
        <is>
          <t>Corporate</t>
        </is>
      </c>
      <c r="G408" t="inlineStr">
        <is>
          <t>P1004</t>
        </is>
      </c>
      <c r="H408" t="inlineStr">
        <is>
          <t>Atlas Throw Pillow</t>
        </is>
      </c>
      <c r="I408" t="inlineStr">
        <is>
          <t>Furniture</t>
        </is>
      </c>
      <c r="J408" t="inlineStr">
        <is>
          <t>Accessories</t>
        </is>
      </c>
      <c r="K408" t="inlineStr">
        <is>
          <t>Central</t>
        </is>
      </c>
      <c r="L408" t="inlineStr">
        <is>
          <t>Illinois</t>
        </is>
      </c>
      <c r="M408" t="inlineStr">
        <is>
          <t>Minneapolis</t>
        </is>
      </c>
      <c r="N408" t="inlineStr">
        <is>
          <t>Olivia Martin</t>
        </is>
      </c>
      <c r="O408" t="n">
        <v>5</v>
      </c>
      <c r="P408" s="3" t="n">
        <v>575.66</v>
      </c>
      <c r="Q408" s="4" t="n">
        <v>0.018</v>
      </c>
      <c r="R408" s="3" t="n">
        <v>2826.49</v>
      </c>
      <c r="S408" s="3" t="n">
        <v>1790.5</v>
      </c>
      <c r="T408" s="3" t="n">
        <v>1025.99</v>
      </c>
      <c r="U408" s="4" t="n">
        <v>0.363</v>
      </c>
      <c r="V408" s="3" t="n">
        <v>10</v>
      </c>
      <c r="W408" t="inlineStr">
        <is>
          <t>PayPal</t>
        </is>
      </c>
      <c r="X408" t="inlineStr">
        <is>
          <t>Low</t>
        </is>
      </c>
    </row>
    <row r="409">
      <c r="A409" t="inlineStr">
        <is>
          <t>ORD-00408</t>
        </is>
      </c>
      <c r="B409" s="2" t="n">
        <v>45243</v>
      </c>
      <c r="C409" s="2" t="n">
        <v>45245</v>
      </c>
      <c r="D409" t="inlineStr">
        <is>
          <t>CUST-00408</t>
        </is>
      </c>
      <c r="E409" t="inlineStr">
        <is>
          <t>Customer 408</t>
        </is>
      </c>
      <c r="F409" t="inlineStr">
        <is>
          <t>Consumer</t>
        </is>
      </c>
      <c r="G409" t="inlineStr">
        <is>
          <t>P1001</t>
        </is>
      </c>
      <c r="H409" t="inlineStr">
        <is>
          <t>SmartInk Pen Set</t>
        </is>
      </c>
      <c r="I409" t="inlineStr">
        <is>
          <t>Office Supplies</t>
        </is>
      </c>
      <c r="J409" t="inlineStr">
        <is>
          <t>Video</t>
        </is>
      </c>
      <c r="K409" t="inlineStr">
        <is>
          <t>East</t>
        </is>
      </c>
      <c r="L409" t="inlineStr">
        <is>
          <t>Virginia</t>
        </is>
      </c>
      <c r="M409" t="inlineStr">
        <is>
          <t>Philadelphia</t>
        </is>
      </c>
      <c r="N409" t="inlineStr">
        <is>
          <t>Ava Patel</t>
        </is>
      </c>
      <c r="O409" t="n">
        <v>4</v>
      </c>
      <c r="P409" s="3" t="n">
        <v>326.27</v>
      </c>
      <c r="Q409" s="4" t="n">
        <v>0.018</v>
      </c>
      <c r="R409" s="3" t="n">
        <v>1281.59</v>
      </c>
      <c r="S409" s="3" t="n">
        <v>753.6799999999999</v>
      </c>
      <c r="T409" s="3" t="n">
        <v>517.71</v>
      </c>
      <c r="U409" s="4" t="n">
        <v>0.404</v>
      </c>
      <c r="V409" s="3" t="n">
        <v>10.2</v>
      </c>
      <c r="W409" t="inlineStr">
        <is>
          <t>Credit Card</t>
        </is>
      </c>
      <c r="X409" t="inlineStr">
        <is>
          <t>Low</t>
        </is>
      </c>
    </row>
    <row r="410">
      <c r="A410" t="inlineStr">
        <is>
          <t>ORD-00409</t>
        </is>
      </c>
      <c r="B410" s="2" t="n">
        <v>45817</v>
      </c>
      <c r="C410" s="2" t="n">
        <v>45822</v>
      </c>
      <c r="D410" t="inlineStr">
        <is>
          <t>CUST-00409</t>
        </is>
      </c>
      <c r="E410" t="inlineStr">
        <is>
          <t>Customer 409</t>
        </is>
      </c>
      <c r="F410" t="inlineStr">
        <is>
          <t>Corporate</t>
        </is>
      </c>
      <c r="G410" t="inlineStr">
        <is>
          <t>P1008</t>
        </is>
      </c>
      <c r="H410" t="inlineStr">
        <is>
          <t>Harbor Rug</t>
        </is>
      </c>
      <c r="I410" t="inlineStr">
        <is>
          <t>Outdoor</t>
        </is>
      </c>
      <c r="J410" t="inlineStr">
        <is>
          <t>Accessories</t>
        </is>
      </c>
      <c r="K410" t="inlineStr">
        <is>
          <t>North</t>
        </is>
      </c>
      <c r="L410" t="inlineStr">
        <is>
          <t>British Columbia</t>
        </is>
      </c>
      <c r="M410" t="inlineStr">
        <is>
          <t>Toronto</t>
        </is>
      </c>
      <c r="N410" t="inlineStr">
        <is>
          <t>Olivia Martin</t>
        </is>
      </c>
      <c r="O410" t="n">
        <v>3</v>
      </c>
      <c r="P410" s="3" t="n">
        <v>38.01</v>
      </c>
      <c r="Q410" s="4" t="n">
        <v>0.055</v>
      </c>
      <c r="R410" s="3" t="n">
        <v>107.76</v>
      </c>
      <c r="S410" s="3" t="n">
        <v>50.93</v>
      </c>
      <c r="T410" s="3" t="n">
        <v>48.43</v>
      </c>
      <c r="U410" s="4" t="n">
        <v>0.4494</v>
      </c>
      <c r="V410" s="3" t="n">
        <v>8.4</v>
      </c>
      <c r="W410" t="inlineStr">
        <is>
          <t>Credit Card</t>
        </is>
      </c>
      <c r="X410" t="inlineStr">
        <is>
          <t>High</t>
        </is>
      </c>
    </row>
    <row r="411">
      <c r="A411" t="inlineStr">
        <is>
          <t>ORD-00410</t>
        </is>
      </c>
      <c r="B411" s="2" t="n">
        <v>45113</v>
      </c>
      <c r="C411" s="2" t="n">
        <v>45115</v>
      </c>
      <c r="D411" t="inlineStr">
        <is>
          <t>CUST-00410</t>
        </is>
      </c>
      <c r="E411" t="inlineStr">
        <is>
          <t>Customer 410</t>
        </is>
      </c>
      <c r="F411" t="inlineStr">
        <is>
          <t>Consumer</t>
        </is>
      </c>
      <c r="G411" t="inlineStr">
        <is>
          <t>P1020</t>
        </is>
      </c>
      <c r="H411" t="inlineStr">
        <is>
          <t>Aero Standing Desk</t>
        </is>
      </c>
      <c r="I411" t="inlineStr">
        <is>
          <t>Home Decor</t>
        </is>
      </c>
      <c r="J411" t="inlineStr">
        <is>
          <t>Coolers</t>
        </is>
      </c>
      <c r="K411" t="inlineStr">
        <is>
          <t>South</t>
        </is>
      </c>
      <c r="L411" t="inlineStr">
        <is>
          <t>Georgia</t>
        </is>
      </c>
      <c r="M411" t="inlineStr">
        <is>
          <t>Houston</t>
        </is>
      </c>
      <c r="N411" t="inlineStr">
        <is>
          <t>Ava Patel</t>
        </is>
      </c>
      <c r="O411" t="n">
        <v>3</v>
      </c>
      <c r="P411" s="3" t="n">
        <v>73.01000000000001</v>
      </c>
      <c r="Q411" s="4" t="n">
        <v>0.027</v>
      </c>
      <c r="R411" s="3" t="n">
        <v>213.12</v>
      </c>
      <c r="S411" s="3" t="n">
        <v>100.9</v>
      </c>
      <c r="T411" s="3" t="n">
        <v>103.82</v>
      </c>
      <c r="U411" s="4" t="n">
        <v>0.4871</v>
      </c>
      <c r="V411" s="3" t="n">
        <v>8.4</v>
      </c>
      <c r="W411" t="inlineStr">
        <is>
          <t>Debit Card</t>
        </is>
      </c>
      <c r="X411" t="inlineStr">
        <is>
          <t>Medium</t>
        </is>
      </c>
    </row>
    <row r="412">
      <c r="A412" t="inlineStr">
        <is>
          <t>ORD-00411</t>
        </is>
      </c>
      <c r="B412" s="2" t="n">
        <v>45611</v>
      </c>
      <c r="C412" s="2" t="n">
        <v>45618</v>
      </c>
      <c r="D412" t="inlineStr">
        <is>
          <t>CUST-00411</t>
        </is>
      </c>
      <c r="E412" t="inlineStr">
        <is>
          <t>Customer 411</t>
        </is>
      </c>
      <c r="F412" t="inlineStr">
        <is>
          <t>Consumer</t>
        </is>
      </c>
      <c r="G412" t="inlineStr">
        <is>
          <t>P1014</t>
        </is>
      </c>
      <c r="H412" t="inlineStr">
        <is>
          <t>Echo Web Camera</t>
        </is>
      </c>
      <c r="I412" t="inlineStr">
        <is>
          <t>Furniture</t>
        </is>
      </c>
      <c r="J412" t="inlineStr">
        <is>
          <t>Decor</t>
        </is>
      </c>
      <c r="K412" t="inlineStr">
        <is>
          <t>South</t>
        </is>
      </c>
      <c r="L412" t="inlineStr">
        <is>
          <t>Florida</t>
        </is>
      </c>
      <c r="M412" t="inlineStr">
        <is>
          <t>Dallas</t>
        </is>
      </c>
      <c r="N412" t="inlineStr">
        <is>
          <t>Sophia Singh</t>
        </is>
      </c>
      <c r="O412" t="n">
        <v>5</v>
      </c>
      <c r="P412" s="3" t="n">
        <v>42.26</v>
      </c>
      <c r="Q412" s="4" t="n">
        <v>0.023</v>
      </c>
      <c r="R412" s="3" t="n">
        <v>206.44</v>
      </c>
      <c r="S412" s="3" t="n">
        <v>86</v>
      </c>
      <c r="T412" s="3" t="n">
        <v>110.44</v>
      </c>
      <c r="U412" s="4" t="n">
        <v>0.535</v>
      </c>
      <c r="V412" s="3" t="n">
        <v>10</v>
      </c>
      <c r="W412" t="inlineStr">
        <is>
          <t>Bank Transfer</t>
        </is>
      </c>
      <c r="X412" t="inlineStr">
        <is>
          <t>Medium</t>
        </is>
      </c>
    </row>
    <row r="413">
      <c r="A413" t="inlineStr">
        <is>
          <t>ORD-00412</t>
        </is>
      </c>
      <c r="B413" s="2" t="n">
        <v>45824</v>
      </c>
      <c r="C413" s="2" t="n">
        <v>45830</v>
      </c>
      <c r="D413" t="inlineStr">
        <is>
          <t>CUST-00412</t>
        </is>
      </c>
      <c r="E413" t="inlineStr">
        <is>
          <t>Customer 412</t>
        </is>
      </c>
      <c r="F413" t="inlineStr">
        <is>
          <t>Consumer</t>
        </is>
      </c>
      <c r="G413" t="inlineStr">
        <is>
          <t>P1011</t>
        </is>
      </c>
      <c r="H413" t="inlineStr">
        <is>
          <t>Trail Tote</t>
        </is>
      </c>
      <c r="I413" t="inlineStr">
        <is>
          <t>Outdoor</t>
        </is>
      </c>
      <c r="J413" t="inlineStr">
        <is>
          <t>Paper</t>
        </is>
      </c>
      <c r="K413" t="inlineStr">
        <is>
          <t>Central</t>
        </is>
      </c>
      <c r="L413" t="inlineStr">
        <is>
          <t>Minnesota</t>
        </is>
      </c>
      <c r="M413" t="inlineStr">
        <is>
          <t>Chicago</t>
        </is>
      </c>
      <c r="N413" t="inlineStr">
        <is>
          <t>Mia Rodriguez</t>
        </is>
      </c>
      <c r="O413" t="n">
        <v>4</v>
      </c>
      <c r="P413" s="3" t="n">
        <v>90.47</v>
      </c>
      <c r="Q413" s="4" t="n">
        <v>0.015</v>
      </c>
      <c r="R413" s="3" t="n">
        <v>356.45</v>
      </c>
      <c r="S413" s="3" t="n">
        <v>173.32</v>
      </c>
      <c r="T413" s="3" t="n">
        <v>173.93</v>
      </c>
      <c r="U413" s="4" t="n">
        <v>0.488</v>
      </c>
      <c r="V413" s="3" t="n">
        <v>9.199999999999999</v>
      </c>
      <c r="W413" t="inlineStr">
        <is>
          <t>PayPal</t>
        </is>
      </c>
      <c r="X413" t="inlineStr">
        <is>
          <t>Medium</t>
        </is>
      </c>
    </row>
    <row r="414">
      <c r="A414" t="inlineStr">
        <is>
          <t>ORD-00413</t>
        </is>
      </c>
      <c r="B414" s="2" t="n">
        <v>45874</v>
      </c>
      <c r="C414" s="2" t="n">
        <v>45876</v>
      </c>
      <c r="D414" t="inlineStr">
        <is>
          <t>CUST-00413</t>
        </is>
      </c>
      <c r="E414" t="inlineStr">
        <is>
          <t>Customer 413</t>
        </is>
      </c>
      <c r="F414" t="inlineStr">
        <is>
          <t>Home Office</t>
        </is>
      </c>
      <c r="G414" t="inlineStr">
        <is>
          <t>P1014</t>
        </is>
      </c>
      <c r="H414" t="inlineStr">
        <is>
          <t>Lumen Desk Lamp</t>
        </is>
      </c>
      <c r="I414" t="inlineStr">
        <is>
          <t>Home Decor</t>
        </is>
      </c>
      <c r="J414" t="inlineStr">
        <is>
          <t>Chairs</t>
        </is>
      </c>
      <c r="K414" t="inlineStr">
        <is>
          <t>West</t>
        </is>
      </c>
      <c r="L414" t="inlineStr">
        <is>
          <t>Oregon</t>
        </is>
      </c>
      <c r="M414" t="inlineStr">
        <is>
          <t>Los Angeles</t>
        </is>
      </c>
      <c r="N414" t="inlineStr">
        <is>
          <t>Liam Chen</t>
        </is>
      </c>
      <c r="O414" t="n">
        <v>3</v>
      </c>
      <c r="P414" s="3" t="n">
        <v>43.71</v>
      </c>
      <c r="Q414" s="4" t="n">
        <v>0.025</v>
      </c>
      <c r="R414" s="3" t="n">
        <v>127.85</v>
      </c>
      <c r="S414" s="3" t="n">
        <v>59.59</v>
      </c>
      <c r="T414" s="3" t="n">
        <v>58.86</v>
      </c>
      <c r="U414" s="4" t="n">
        <v>0.4604</v>
      </c>
      <c r="V414" s="3" t="n">
        <v>9.4</v>
      </c>
      <c r="W414" t="inlineStr">
        <is>
          <t>PayPal</t>
        </is>
      </c>
      <c r="X414" t="inlineStr">
        <is>
          <t>High</t>
        </is>
      </c>
    </row>
    <row r="415">
      <c r="A415" t="inlineStr">
        <is>
          <t>ORD-00414</t>
        </is>
      </c>
      <c r="B415" s="2" t="n">
        <v>45312</v>
      </c>
      <c r="C415" s="2" t="n">
        <v>45317</v>
      </c>
      <c r="D415" t="inlineStr">
        <is>
          <t>CUST-00414</t>
        </is>
      </c>
      <c r="E415" t="inlineStr">
        <is>
          <t>Customer 414</t>
        </is>
      </c>
      <c r="F415" t="inlineStr">
        <is>
          <t>Consumer</t>
        </is>
      </c>
      <c r="G415" t="inlineStr">
        <is>
          <t>P1016</t>
        </is>
      </c>
      <c r="H415" t="inlineStr">
        <is>
          <t>FlexNote Notebook</t>
        </is>
      </c>
      <c r="I415" t="inlineStr">
        <is>
          <t>Home Decor</t>
        </is>
      </c>
      <c r="J415" t="inlineStr">
        <is>
          <t>Decor</t>
        </is>
      </c>
      <c r="K415" t="inlineStr">
        <is>
          <t>West</t>
        </is>
      </c>
      <c r="L415" t="inlineStr">
        <is>
          <t>Oregon</t>
        </is>
      </c>
      <c r="M415" t="inlineStr">
        <is>
          <t>Los Angeles</t>
        </is>
      </c>
      <c r="N415" t="inlineStr">
        <is>
          <t>Mia Rodriguez</t>
        </is>
      </c>
      <c r="O415" t="n">
        <v>5</v>
      </c>
      <c r="P415" s="3" t="n">
        <v>40.96</v>
      </c>
      <c r="Q415" s="4" t="n">
        <v>0.08400000000000001</v>
      </c>
      <c r="R415" s="3" t="n">
        <v>187.6</v>
      </c>
      <c r="S415" s="3" t="n">
        <v>72.53</v>
      </c>
      <c r="T415" s="3" t="n">
        <v>104.07</v>
      </c>
      <c r="U415" s="4" t="n">
        <v>0.5547</v>
      </c>
      <c r="V415" s="3" t="n">
        <v>11</v>
      </c>
      <c r="W415" t="inlineStr">
        <is>
          <t>Credit Card</t>
        </is>
      </c>
      <c r="X415" t="inlineStr">
        <is>
          <t>Critical</t>
        </is>
      </c>
    </row>
    <row r="416">
      <c r="A416" t="inlineStr">
        <is>
          <t>ORD-00415</t>
        </is>
      </c>
      <c r="B416" s="2" t="n">
        <v>45304</v>
      </c>
      <c r="C416" s="2" t="n">
        <v>45310</v>
      </c>
      <c r="D416" t="inlineStr">
        <is>
          <t>CUST-00415</t>
        </is>
      </c>
      <c r="E416" t="inlineStr">
        <is>
          <t>Customer 415</t>
        </is>
      </c>
      <c r="F416" t="inlineStr">
        <is>
          <t>Consumer</t>
        </is>
      </c>
      <c r="G416" t="inlineStr">
        <is>
          <t>P1010</t>
        </is>
      </c>
      <c r="H416" t="inlineStr">
        <is>
          <t>CloudDrive File Box</t>
        </is>
      </c>
      <c r="I416" t="inlineStr">
        <is>
          <t>Furniture</t>
        </is>
      </c>
      <c r="J416" t="inlineStr">
        <is>
          <t>Video</t>
        </is>
      </c>
      <c r="K416" t="inlineStr">
        <is>
          <t>North</t>
        </is>
      </c>
      <c r="L416" t="inlineStr">
        <is>
          <t>Quebec</t>
        </is>
      </c>
      <c r="M416" t="inlineStr">
        <is>
          <t>Montreal</t>
        </is>
      </c>
      <c r="N416" t="inlineStr">
        <is>
          <t>Sophia Singh</t>
        </is>
      </c>
      <c r="O416" t="n">
        <v>2</v>
      </c>
      <c r="P416" s="3" t="n">
        <v>53.85</v>
      </c>
      <c r="Q416" s="4" t="n">
        <v>0.017</v>
      </c>
      <c r="R416" s="3" t="n">
        <v>105.87</v>
      </c>
      <c r="S416" s="3" t="n">
        <v>55.22</v>
      </c>
      <c r="T416" s="3" t="n">
        <v>43.05</v>
      </c>
      <c r="U416" s="4" t="n">
        <v>0.4066</v>
      </c>
      <c r="V416" s="3" t="n">
        <v>7.6</v>
      </c>
      <c r="W416" t="inlineStr">
        <is>
          <t>Credit Card</t>
        </is>
      </c>
      <c r="X416" t="inlineStr">
        <is>
          <t>Medium</t>
        </is>
      </c>
    </row>
    <row r="417">
      <c r="A417" t="inlineStr">
        <is>
          <t>ORD-00416</t>
        </is>
      </c>
      <c r="B417" s="2" t="n">
        <v>45401</v>
      </c>
      <c r="C417" s="2" t="n">
        <v>45404</v>
      </c>
      <c r="D417" t="inlineStr">
        <is>
          <t>CUST-00416</t>
        </is>
      </c>
      <c r="E417" t="inlineStr">
        <is>
          <t>Customer 416</t>
        </is>
      </c>
      <c r="F417" t="inlineStr">
        <is>
          <t>Consumer</t>
        </is>
      </c>
      <c r="G417" t="inlineStr">
        <is>
          <t>P1007</t>
        </is>
      </c>
      <c r="H417" t="inlineStr">
        <is>
          <t>Aero Standing Desk</t>
        </is>
      </c>
      <c r="I417" t="inlineStr">
        <is>
          <t>Outdoor</t>
        </is>
      </c>
      <c r="J417" t="inlineStr">
        <is>
          <t>Chairs</t>
        </is>
      </c>
      <c r="K417" t="inlineStr">
        <is>
          <t>East</t>
        </is>
      </c>
      <c r="L417" t="inlineStr">
        <is>
          <t>New York</t>
        </is>
      </c>
      <c r="M417" t="inlineStr">
        <is>
          <t>Philadelphia</t>
        </is>
      </c>
      <c r="N417" t="inlineStr">
        <is>
          <t>Noah Kim</t>
        </is>
      </c>
      <c r="O417" t="n">
        <v>4</v>
      </c>
      <c r="P417" s="3" t="n">
        <v>24.03</v>
      </c>
      <c r="Q417" s="4" t="n">
        <v>0.024</v>
      </c>
      <c r="R417" s="3" t="n">
        <v>93.81</v>
      </c>
      <c r="S417" s="3" t="n">
        <v>38.72</v>
      </c>
      <c r="T417" s="3" t="n">
        <v>44.89</v>
      </c>
      <c r="U417" s="4" t="n">
        <v>0.4785</v>
      </c>
      <c r="V417" s="3" t="n">
        <v>10.2</v>
      </c>
      <c r="W417" t="inlineStr">
        <is>
          <t>Debit Card</t>
        </is>
      </c>
      <c r="X417" t="inlineStr">
        <is>
          <t>Medium</t>
        </is>
      </c>
    </row>
    <row r="418">
      <c r="A418" t="inlineStr">
        <is>
          <t>ORD-00417</t>
        </is>
      </c>
      <c r="B418" s="2" t="n">
        <v>45171</v>
      </c>
      <c r="C418" s="2" t="n">
        <v>45178</v>
      </c>
      <c r="D418" t="inlineStr">
        <is>
          <t>CUST-00417</t>
        </is>
      </c>
      <c r="E418" t="inlineStr">
        <is>
          <t>Customer 417</t>
        </is>
      </c>
      <c r="F418" t="inlineStr">
        <is>
          <t>Corporate</t>
        </is>
      </c>
      <c r="G418" t="inlineStr">
        <is>
          <t>P1016</t>
        </is>
      </c>
      <c r="H418" t="inlineStr">
        <is>
          <t>Lumen Desk Lamp</t>
        </is>
      </c>
      <c r="I418" t="inlineStr">
        <is>
          <t>Office Supplies</t>
        </is>
      </c>
      <c r="J418" t="inlineStr">
        <is>
          <t>Lighting</t>
        </is>
      </c>
      <c r="K418" t="inlineStr">
        <is>
          <t>Central</t>
        </is>
      </c>
      <c r="L418" t="inlineStr">
        <is>
          <t>Illinois</t>
        </is>
      </c>
      <c r="M418" t="inlineStr">
        <is>
          <t>Minneapolis</t>
        </is>
      </c>
      <c r="N418" t="inlineStr">
        <is>
          <t>Mia Rodriguez</t>
        </is>
      </c>
      <c r="O418" t="n">
        <v>1</v>
      </c>
      <c r="P418" s="3" t="n">
        <v>37.94</v>
      </c>
      <c r="Q418" s="4" t="n">
        <v>0.038</v>
      </c>
      <c r="R418" s="3" t="n">
        <v>36.5</v>
      </c>
      <c r="S418" s="3" t="n">
        <v>21.52</v>
      </c>
      <c r="T418" s="3" t="n">
        <v>8.18</v>
      </c>
      <c r="U418" s="4" t="n">
        <v>0.2241</v>
      </c>
      <c r="V418" s="3" t="n">
        <v>6.8</v>
      </c>
      <c r="W418" t="inlineStr">
        <is>
          <t>Bank Transfer</t>
        </is>
      </c>
      <c r="X418" t="inlineStr">
        <is>
          <t>Medium</t>
        </is>
      </c>
    </row>
    <row r="419">
      <c r="A419" t="inlineStr">
        <is>
          <t>ORD-00418</t>
        </is>
      </c>
      <c r="B419" s="2" t="n">
        <v>45357</v>
      </c>
      <c r="C419" s="2" t="n">
        <v>45361</v>
      </c>
      <c r="D419" t="inlineStr">
        <is>
          <t>CUST-00418</t>
        </is>
      </c>
      <c r="E419" t="inlineStr">
        <is>
          <t>Customer 418</t>
        </is>
      </c>
      <c r="F419" t="inlineStr">
        <is>
          <t>Consumer</t>
        </is>
      </c>
      <c r="G419" t="inlineStr">
        <is>
          <t>P1004</t>
        </is>
      </c>
      <c r="H419" t="inlineStr">
        <is>
          <t>ProClip Binder</t>
        </is>
      </c>
      <c r="I419" t="inlineStr">
        <is>
          <t>Outdoor</t>
        </is>
      </c>
      <c r="J419" t="inlineStr">
        <is>
          <t>Video</t>
        </is>
      </c>
      <c r="K419" t="inlineStr">
        <is>
          <t>Central</t>
        </is>
      </c>
      <c r="L419" t="inlineStr">
        <is>
          <t>Kansas</t>
        </is>
      </c>
      <c r="M419" t="inlineStr">
        <is>
          <t>Minneapolis</t>
        </is>
      </c>
      <c r="N419" t="inlineStr">
        <is>
          <t>Olivia Martin</t>
        </is>
      </c>
      <c r="O419" t="n">
        <v>3</v>
      </c>
      <c r="P419" s="3" t="n">
        <v>598.27</v>
      </c>
      <c r="Q419" s="4" t="n">
        <v>0.055</v>
      </c>
      <c r="R419" s="3" t="n">
        <v>1696.1</v>
      </c>
      <c r="S419" s="3" t="n">
        <v>1074.91</v>
      </c>
      <c r="T419" s="3" t="n">
        <v>612.79</v>
      </c>
      <c r="U419" s="4" t="n">
        <v>0.3613</v>
      </c>
      <c r="V419" s="3" t="n">
        <v>8.4</v>
      </c>
      <c r="W419" t="inlineStr">
        <is>
          <t>Credit Card</t>
        </is>
      </c>
      <c r="X419" t="inlineStr">
        <is>
          <t>Critical</t>
        </is>
      </c>
    </row>
    <row r="420">
      <c r="A420" t="inlineStr">
        <is>
          <t>ORD-00419</t>
        </is>
      </c>
      <c r="B420" s="2" t="n">
        <v>45715</v>
      </c>
      <c r="C420" s="2" t="n">
        <v>45718</v>
      </c>
      <c r="D420" t="inlineStr">
        <is>
          <t>CUST-00419</t>
        </is>
      </c>
      <c r="E420" t="inlineStr">
        <is>
          <t>Customer 419</t>
        </is>
      </c>
      <c r="F420" t="inlineStr">
        <is>
          <t>Home Office</t>
        </is>
      </c>
      <c r="G420" t="inlineStr">
        <is>
          <t>P1012</t>
        </is>
      </c>
      <c r="H420" t="inlineStr">
        <is>
          <t>Nimbus Monitor Arm</t>
        </is>
      </c>
      <c r="I420" t="inlineStr">
        <is>
          <t>Outdoor</t>
        </is>
      </c>
      <c r="J420" t="inlineStr">
        <is>
          <t>Flooring</t>
        </is>
      </c>
      <c r="K420" t="inlineStr">
        <is>
          <t>West</t>
        </is>
      </c>
      <c r="L420" t="inlineStr">
        <is>
          <t>Washington</t>
        </is>
      </c>
      <c r="M420" t="inlineStr">
        <is>
          <t>Seattle</t>
        </is>
      </c>
      <c r="N420" t="inlineStr">
        <is>
          <t>Sophia Singh</t>
        </is>
      </c>
      <c r="O420" t="n">
        <v>1</v>
      </c>
      <c r="P420" s="3" t="n">
        <v>133.99</v>
      </c>
      <c r="Q420" s="4" t="n">
        <v>0.012</v>
      </c>
      <c r="R420" s="3" t="n">
        <v>132.38</v>
      </c>
      <c r="S420" s="3" t="n">
        <v>76.15000000000001</v>
      </c>
      <c r="T420" s="3" t="n">
        <v>48.43</v>
      </c>
      <c r="U420" s="4" t="n">
        <v>0.3658</v>
      </c>
      <c r="V420" s="3" t="n">
        <v>7.8</v>
      </c>
      <c r="W420" t="inlineStr">
        <is>
          <t>Debit Card</t>
        </is>
      </c>
      <c r="X420" t="inlineStr">
        <is>
          <t>Medium</t>
        </is>
      </c>
    </row>
    <row r="421">
      <c r="A421" t="inlineStr">
        <is>
          <t>ORD-00420</t>
        </is>
      </c>
      <c r="B421" s="2" t="n">
        <v>45809</v>
      </c>
      <c r="C421" s="2" t="n">
        <v>45812</v>
      </c>
      <c r="D421" t="inlineStr">
        <is>
          <t>CUST-00420</t>
        </is>
      </c>
      <c r="E421" t="inlineStr">
        <is>
          <t>Customer 420</t>
        </is>
      </c>
      <c r="F421" t="inlineStr">
        <is>
          <t>Corporate</t>
        </is>
      </c>
      <c r="G421" t="inlineStr">
        <is>
          <t>P1012</t>
        </is>
      </c>
      <c r="H421" t="inlineStr">
        <is>
          <t>Cove Wall Clock</t>
        </is>
      </c>
      <c r="I421" t="inlineStr">
        <is>
          <t>Furniture</t>
        </is>
      </c>
      <c r="J421" t="inlineStr">
        <is>
          <t>Bags</t>
        </is>
      </c>
      <c r="K421" t="inlineStr">
        <is>
          <t>Central</t>
        </is>
      </c>
      <c r="L421" t="inlineStr">
        <is>
          <t>Missouri</t>
        </is>
      </c>
      <c r="M421" t="inlineStr">
        <is>
          <t>Kansas City</t>
        </is>
      </c>
      <c r="N421" t="inlineStr">
        <is>
          <t>Ava Patel</t>
        </is>
      </c>
      <c r="O421" t="n">
        <v>3</v>
      </c>
      <c r="P421" s="3" t="n">
        <v>130.67</v>
      </c>
      <c r="Q421" s="4" t="n">
        <v>0.034</v>
      </c>
      <c r="R421" s="3" t="n">
        <v>378.68</v>
      </c>
      <c r="S421" s="3" t="n">
        <v>190.37</v>
      </c>
      <c r="T421" s="3" t="n">
        <v>179.91</v>
      </c>
      <c r="U421" s="4" t="n">
        <v>0.4751</v>
      </c>
      <c r="V421" s="3" t="n">
        <v>8.4</v>
      </c>
      <c r="W421" t="inlineStr">
        <is>
          <t>Cash on Delivery</t>
        </is>
      </c>
      <c r="X421" t="inlineStr">
        <is>
          <t>Medium</t>
        </is>
      </c>
    </row>
    <row r="422">
      <c r="A422" t="inlineStr">
        <is>
          <t>ORD-00421</t>
        </is>
      </c>
      <c r="B422" s="2" t="n">
        <v>45915</v>
      </c>
      <c r="C422" s="2" t="n">
        <v>45917</v>
      </c>
      <c r="D422" t="inlineStr">
        <is>
          <t>CUST-00421</t>
        </is>
      </c>
      <c r="E422" t="inlineStr">
        <is>
          <t>Customer 421</t>
        </is>
      </c>
      <c r="F422" t="inlineStr">
        <is>
          <t>Consumer</t>
        </is>
      </c>
      <c r="G422" t="inlineStr">
        <is>
          <t>P1002</t>
        </is>
      </c>
      <c r="H422" t="inlineStr">
        <is>
          <t>Orbit Wireless Mouse</t>
        </is>
      </c>
      <c r="I422" t="inlineStr">
        <is>
          <t>Office Supplies</t>
        </is>
      </c>
      <c r="J422" t="inlineStr">
        <is>
          <t>Plants</t>
        </is>
      </c>
      <c r="K422" t="inlineStr">
        <is>
          <t>West</t>
        </is>
      </c>
      <c r="L422" t="inlineStr">
        <is>
          <t>Washington</t>
        </is>
      </c>
      <c r="M422" t="inlineStr">
        <is>
          <t>Denver</t>
        </is>
      </c>
      <c r="N422" t="inlineStr">
        <is>
          <t>Noah Kim</t>
        </is>
      </c>
      <c r="O422" t="n">
        <v>2</v>
      </c>
      <c r="P422" s="3" t="n">
        <v>83.59999999999999</v>
      </c>
      <c r="Q422" s="4" t="n">
        <v>0.019</v>
      </c>
      <c r="R422" s="3" t="n">
        <v>164.02</v>
      </c>
      <c r="S422" s="3" t="n">
        <v>83.13</v>
      </c>
      <c r="T422" s="3" t="n">
        <v>72.29000000000001</v>
      </c>
      <c r="U422" s="4" t="n">
        <v>0.4407</v>
      </c>
      <c r="V422" s="3" t="n">
        <v>8.6</v>
      </c>
      <c r="W422" t="inlineStr">
        <is>
          <t>Debit Card</t>
        </is>
      </c>
      <c r="X422" t="inlineStr">
        <is>
          <t>Medium</t>
        </is>
      </c>
    </row>
    <row r="423">
      <c r="A423" t="inlineStr">
        <is>
          <t>ORD-00422</t>
        </is>
      </c>
      <c r="B423" s="2" t="n">
        <v>45945</v>
      </c>
      <c r="C423" s="2" t="n">
        <v>45949</v>
      </c>
      <c r="D423" t="inlineStr">
        <is>
          <t>CUST-00422</t>
        </is>
      </c>
      <c r="E423" t="inlineStr">
        <is>
          <t>Customer 422</t>
        </is>
      </c>
      <c r="F423" t="inlineStr">
        <is>
          <t>Corporate</t>
        </is>
      </c>
      <c r="G423" t="inlineStr">
        <is>
          <t>P1006</t>
        </is>
      </c>
      <c r="H423" t="inlineStr">
        <is>
          <t>Pulse Keyboard</t>
        </is>
      </c>
      <c r="I423" t="inlineStr">
        <is>
          <t>Furniture</t>
        </is>
      </c>
      <c r="J423" t="inlineStr">
        <is>
          <t>Textiles</t>
        </is>
      </c>
      <c r="K423" t="inlineStr">
        <is>
          <t>South</t>
        </is>
      </c>
      <c r="L423" t="inlineStr">
        <is>
          <t>Georgia</t>
        </is>
      </c>
      <c r="M423" t="inlineStr">
        <is>
          <t>Miami</t>
        </is>
      </c>
      <c r="N423" t="inlineStr">
        <is>
          <t>Ava Patel</t>
        </is>
      </c>
      <c r="O423" t="n">
        <v>2</v>
      </c>
      <c r="P423" s="3" t="n">
        <v>18.62</v>
      </c>
      <c r="Q423" s="4" t="n">
        <v>0.047</v>
      </c>
      <c r="R423" s="3" t="n">
        <v>35.49</v>
      </c>
      <c r="S423" s="3" t="n">
        <v>18.75</v>
      </c>
      <c r="T423" s="3" t="n">
        <v>9.140000000000001</v>
      </c>
      <c r="U423" s="4" t="n">
        <v>0.2575</v>
      </c>
      <c r="V423" s="3" t="n">
        <v>7.6</v>
      </c>
      <c r="W423" t="inlineStr">
        <is>
          <t>Debit Card</t>
        </is>
      </c>
      <c r="X423" t="inlineStr">
        <is>
          <t>High</t>
        </is>
      </c>
    </row>
    <row r="424">
      <c r="A424" t="inlineStr">
        <is>
          <t>ORD-00423</t>
        </is>
      </c>
      <c r="B424" s="2" t="n">
        <v>44999</v>
      </c>
      <c r="C424" s="2" t="n">
        <v>45006</v>
      </c>
      <c r="D424" t="inlineStr">
        <is>
          <t>CUST-00423</t>
        </is>
      </c>
      <c r="E424" t="inlineStr">
        <is>
          <t>Customer 423</t>
        </is>
      </c>
      <c r="F424" t="inlineStr">
        <is>
          <t>Consumer</t>
        </is>
      </c>
      <c r="G424" t="inlineStr">
        <is>
          <t>P1020</t>
        </is>
      </c>
      <c r="H424" t="inlineStr">
        <is>
          <t>FlexNote Notebook</t>
        </is>
      </c>
      <c r="I424" t="inlineStr">
        <is>
          <t>Furniture</t>
        </is>
      </c>
      <c r="J424" t="inlineStr">
        <is>
          <t>Lighting</t>
        </is>
      </c>
      <c r="K424" t="inlineStr">
        <is>
          <t>West</t>
        </is>
      </c>
      <c r="L424" t="inlineStr">
        <is>
          <t>Oregon</t>
        </is>
      </c>
      <c r="M424" t="inlineStr">
        <is>
          <t>Seattle</t>
        </is>
      </c>
      <c r="N424" t="inlineStr">
        <is>
          <t>Olivia Martin</t>
        </is>
      </c>
      <c r="O424" t="n">
        <v>4</v>
      </c>
      <c r="P424" s="3" t="n">
        <v>77.76000000000001</v>
      </c>
      <c r="Q424" s="4" t="n">
        <v>0.012</v>
      </c>
      <c r="R424" s="3" t="n">
        <v>307.31</v>
      </c>
      <c r="S424" s="3" t="n">
        <v>143.3</v>
      </c>
      <c r="T424" s="3" t="n">
        <v>153.81</v>
      </c>
      <c r="U424" s="4" t="n">
        <v>0.5004999999999999</v>
      </c>
      <c r="V424" s="3" t="n">
        <v>10.2</v>
      </c>
      <c r="W424" t="inlineStr">
        <is>
          <t>PayPal</t>
        </is>
      </c>
      <c r="X424" t="inlineStr">
        <is>
          <t>Low</t>
        </is>
      </c>
    </row>
    <row r="425">
      <c r="A425" t="inlineStr">
        <is>
          <t>ORD-00424</t>
        </is>
      </c>
      <c r="B425" s="2" t="n">
        <v>45329</v>
      </c>
      <c r="C425" s="2" t="n">
        <v>45335</v>
      </c>
      <c r="D425" t="inlineStr">
        <is>
          <t>CUST-00424</t>
        </is>
      </c>
      <c r="E425" t="inlineStr">
        <is>
          <t>Customer 424</t>
        </is>
      </c>
      <c r="F425" t="inlineStr">
        <is>
          <t>Home Office</t>
        </is>
      </c>
      <c r="G425" t="inlineStr">
        <is>
          <t>P1015</t>
        </is>
      </c>
      <c r="H425" t="inlineStr">
        <is>
          <t>Atlas Throw Pillow</t>
        </is>
      </c>
      <c r="I425" t="inlineStr">
        <is>
          <t>Outdoor</t>
        </is>
      </c>
      <c r="J425" t="inlineStr">
        <is>
          <t>Paper</t>
        </is>
      </c>
      <c r="K425" t="inlineStr">
        <is>
          <t>East</t>
        </is>
      </c>
      <c r="L425" t="inlineStr">
        <is>
          <t>Virginia</t>
        </is>
      </c>
      <c r="M425" t="inlineStr">
        <is>
          <t>Washington</t>
        </is>
      </c>
      <c r="N425" t="inlineStr">
        <is>
          <t>Mia Rodriguez</t>
        </is>
      </c>
      <c r="O425" t="n">
        <v>1</v>
      </c>
      <c r="P425" s="3" t="n">
        <v>68.79000000000001</v>
      </c>
      <c r="Q425" s="4" t="n">
        <v>0.011</v>
      </c>
      <c r="R425" s="3" t="n">
        <v>68.03</v>
      </c>
      <c r="S425" s="3" t="n">
        <v>35.11</v>
      </c>
      <c r="T425" s="3" t="n">
        <v>25.12</v>
      </c>
      <c r="U425" s="4" t="n">
        <v>0.3692</v>
      </c>
      <c r="V425" s="3" t="n">
        <v>7.8</v>
      </c>
      <c r="W425" t="inlineStr">
        <is>
          <t>PayPal</t>
        </is>
      </c>
      <c r="X425" t="inlineStr">
        <is>
          <t>Medium</t>
        </is>
      </c>
    </row>
    <row r="426">
      <c r="A426" t="inlineStr">
        <is>
          <t>ORD-00425</t>
        </is>
      </c>
      <c r="B426" s="2" t="n">
        <v>45265</v>
      </c>
      <c r="C426" s="2" t="n">
        <v>45267</v>
      </c>
      <c r="D426" t="inlineStr">
        <is>
          <t>CUST-00425</t>
        </is>
      </c>
      <c r="E426" t="inlineStr">
        <is>
          <t>Customer 425</t>
        </is>
      </c>
      <c r="F426" t="inlineStr">
        <is>
          <t>Consumer</t>
        </is>
      </c>
      <c r="G426" t="inlineStr">
        <is>
          <t>P1015</t>
        </is>
      </c>
      <c r="H426" t="inlineStr">
        <is>
          <t>Nova Laptop Stand</t>
        </is>
      </c>
      <c r="I426" t="inlineStr">
        <is>
          <t>Technology</t>
        </is>
      </c>
      <c r="J426" t="inlineStr">
        <is>
          <t>Lighting</t>
        </is>
      </c>
      <c r="K426" t="inlineStr">
        <is>
          <t>Central</t>
        </is>
      </c>
      <c r="L426" t="inlineStr">
        <is>
          <t>Illinois</t>
        </is>
      </c>
      <c r="M426" t="inlineStr">
        <is>
          <t>Chicago</t>
        </is>
      </c>
      <c r="N426" t="inlineStr">
        <is>
          <t>Mia Rodriguez</t>
        </is>
      </c>
      <c r="O426" t="n">
        <v>3</v>
      </c>
      <c r="P426" s="3" t="n">
        <v>74.48</v>
      </c>
      <c r="Q426" s="4" t="n">
        <v>0.005</v>
      </c>
      <c r="R426" s="3" t="n">
        <v>222.32</v>
      </c>
      <c r="S426" s="3" t="n">
        <v>98.31999999999999</v>
      </c>
      <c r="T426" s="3" t="n">
        <v>115.6</v>
      </c>
      <c r="U426" s="4" t="n">
        <v>0.52</v>
      </c>
      <c r="V426" s="3" t="n">
        <v>8.4</v>
      </c>
      <c r="W426" t="inlineStr">
        <is>
          <t>Credit Card</t>
        </is>
      </c>
      <c r="X426" t="inlineStr">
        <is>
          <t>Medium</t>
        </is>
      </c>
    </row>
    <row r="427">
      <c r="A427" t="inlineStr">
        <is>
          <t>ORD-00426</t>
        </is>
      </c>
      <c r="B427" s="2" t="n">
        <v>45402</v>
      </c>
      <c r="C427" s="2" t="n">
        <v>45403</v>
      </c>
      <c r="D427" t="inlineStr">
        <is>
          <t>CUST-00426</t>
        </is>
      </c>
      <c r="E427" t="inlineStr">
        <is>
          <t>Customer 426</t>
        </is>
      </c>
      <c r="F427" t="inlineStr">
        <is>
          <t>Home Office</t>
        </is>
      </c>
      <c r="G427" t="inlineStr">
        <is>
          <t>P1016</t>
        </is>
      </c>
      <c r="H427" t="inlineStr">
        <is>
          <t>Atlas Throw Pillow</t>
        </is>
      </c>
      <c r="I427" t="inlineStr">
        <is>
          <t>Furniture</t>
        </is>
      </c>
      <c r="J427" t="inlineStr">
        <is>
          <t>Binders</t>
        </is>
      </c>
      <c r="K427" t="inlineStr">
        <is>
          <t>South</t>
        </is>
      </c>
      <c r="L427" t="inlineStr">
        <is>
          <t>Georgia</t>
        </is>
      </c>
      <c r="M427" t="inlineStr">
        <is>
          <t>Houston</t>
        </is>
      </c>
      <c r="N427" t="inlineStr">
        <is>
          <t>Liam Chen</t>
        </is>
      </c>
      <c r="O427" t="n">
        <v>1</v>
      </c>
      <c r="P427" s="3" t="n">
        <v>38.4</v>
      </c>
      <c r="Q427" s="4" t="n">
        <v>0.005</v>
      </c>
      <c r="R427" s="3" t="n">
        <v>38.21</v>
      </c>
      <c r="S427" s="3" t="n">
        <v>22.22</v>
      </c>
      <c r="T427" s="3" t="n">
        <v>9.19</v>
      </c>
      <c r="U427" s="4" t="n">
        <v>0.2405</v>
      </c>
      <c r="V427" s="3" t="n">
        <v>6.8</v>
      </c>
      <c r="W427" t="inlineStr">
        <is>
          <t>Credit Card</t>
        </is>
      </c>
      <c r="X427" t="inlineStr">
        <is>
          <t>Medium</t>
        </is>
      </c>
    </row>
    <row r="428">
      <c r="A428" t="inlineStr">
        <is>
          <t>ORD-00427</t>
        </is>
      </c>
      <c r="B428" s="2" t="n">
        <v>45621</v>
      </c>
      <c r="C428" s="2" t="n">
        <v>45623</v>
      </c>
      <c r="D428" t="inlineStr">
        <is>
          <t>CUST-00427</t>
        </is>
      </c>
      <c r="E428" t="inlineStr">
        <is>
          <t>Customer 427</t>
        </is>
      </c>
      <c r="F428" t="inlineStr">
        <is>
          <t>Corporate</t>
        </is>
      </c>
      <c r="G428" t="inlineStr">
        <is>
          <t>P1003</t>
        </is>
      </c>
      <c r="H428" t="inlineStr">
        <is>
          <t>Nova Laptop Stand</t>
        </is>
      </c>
      <c r="I428" t="inlineStr">
        <is>
          <t>Furniture</t>
        </is>
      </c>
      <c r="J428" t="inlineStr">
        <is>
          <t>Storage</t>
        </is>
      </c>
      <c r="K428" t="inlineStr">
        <is>
          <t>West</t>
        </is>
      </c>
      <c r="L428" t="inlineStr">
        <is>
          <t>Washington</t>
        </is>
      </c>
      <c r="M428" t="inlineStr">
        <is>
          <t>Seattle</t>
        </is>
      </c>
      <c r="N428" t="inlineStr">
        <is>
          <t>Olivia Martin</t>
        </is>
      </c>
      <c r="O428" t="n">
        <v>3</v>
      </c>
      <c r="P428" s="3" t="n">
        <v>173.6</v>
      </c>
      <c r="Q428" s="4" t="n">
        <v>0.025</v>
      </c>
      <c r="R428" s="3" t="n">
        <v>507.78</v>
      </c>
      <c r="S428" s="3" t="n">
        <v>263.48</v>
      </c>
      <c r="T428" s="3" t="n">
        <v>234.9</v>
      </c>
      <c r="U428" s="4" t="n">
        <v>0.4626</v>
      </c>
      <c r="V428" s="3" t="n">
        <v>9.4</v>
      </c>
      <c r="W428" t="inlineStr">
        <is>
          <t>Credit Card</t>
        </is>
      </c>
      <c r="X428" t="inlineStr">
        <is>
          <t>Medium</t>
        </is>
      </c>
    </row>
    <row r="429">
      <c r="A429" t="inlineStr">
        <is>
          <t>ORD-00428</t>
        </is>
      </c>
      <c r="B429" s="2" t="n">
        <v>45987</v>
      </c>
      <c r="C429" s="2" t="n">
        <v>45993</v>
      </c>
      <c r="D429" t="inlineStr">
        <is>
          <t>CUST-00428</t>
        </is>
      </c>
      <c r="E429" t="inlineStr">
        <is>
          <t>Customer 428</t>
        </is>
      </c>
      <c r="F429" t="inlineStr">
        <is>
          <t>Home Office</t>
        </is>
      </c>
      <c r="G429" t="inlineStr">
        <is>
          <t>P1001</t>
        </is>
      </c>
      <c r="H429" t="inlineStr">
        <is>
          <t>Summit Patio Set</t>
        </is>
      </c>
      <c r="I429" t="inlineStr">
        <is>
          <t>Office Supplies</t>
        </is>
      </c>
      <c r="J429" t="inlineStr">
        <is>
          <t>Writing</t>
        </is>
      </c>
      <c r="K429" t="inlineStr">
        <is>
          <t>Central</t>
        </is>
      </c>
      <c r="L429" t="inlineStr">
        <is>
          <t>Kansas</t>
        </is>
      </c>
      <c r="M429" t="inlineStr">
        <is>
          <t>Chicago</t>
        </is>
      </c>
      <c r="N429" t="inlineStr">
        <is>
          <t>Liam Chen</t>
        </is>
      </c>
      <c r="O429" t="n">
        <v>3</v>
      </c>
      <c r="P429" s="3" t="n">
        <v>303.13</v>
      </c>
      <c r="Q429" s="4" t="n">
        <v>0.008999999999999999</v>
      </c>
      <c r="R429" s="3" t="n">
        <v>901.21</v>
      </c>
      <c r="S429" s="3" t="n">
        <v>530.73</v>
      </c>
      <c r="T429" s="3" t="n">
        <v>362.08</v>
      </c>
      <c r="U429" s="4" t="n">
        <v>0.4018</v>
      </c>
      <c r="V429" s="3" t="n">
        <v>8.4</v>
      </c>
      <c r="W429" t="inlineStr">
        <is>
          <t>Cash on Delivery</t>
        </is>
      </c>
      <c r="X429" t="inlineStr">
        <is>
          <t>Low</t>
        </is>
      </c>
    </row>
    <row r="430">
      <c r="A430" t="inlineStr">
        <is>
          <t>ORD-00429</t>
        </is>
      </c>
      <c r="B430" s="2" t="n">
        <v>45581</v>
      </c>
      <c r="C430" s="2" t="n">
        <v>45586</v>
      </c>
      <c r="D430" t="inlineStr">
        <is>
          <t>CUST-00429</t>
        </is>
      </c>
      <c r="E430" t="inlineStr">
        <is>
          <t>Customer 429</t>
        </is>
      </c>
      <c r="F430" t="inlineStr">
        <is>
          <t>Consumer</t>
        </is>
      </c>
      <c r="G430" t="inlineStr">
        <is>
          <t>P1012</t>
        </is>
      </c>
      <c r="H430" t="inlineStr">
        <is>
          <t>Echo Web Camera</t>
        </is>
      </c>
      <c r="I430" t="inlineStr">
        <is>
          <t>Outdoor</t>
        </is>
      </c>
      <c r="J430" t="inlineStr">
        <is>
          <t>Flooring</t>
        </is>
      </c>
      <c r="K430" t="inlineStr">
        <is>
          <t>West</t>
        </is>
      </c>
      <c r="L430" t="inlineStr">
        <is>
          <t>Oregon</t>
        </is>
      </c>
      <c r="M430" t="inlineStr">
        <is>
          <t>Seattle</t>
        </is>
      </c>
      <c r="N430" t="inlineStr">
        <is>
          <t>Sophia Singh</t>
        </is>
      </c>
      <c r="O430" t="n">
        <v>2</v>
      </c>
      <c r="P430" s="3" t="n">
        <v>143.64</v>
      </c>
      <c r="Q430" s="4" t="n">
        <v>0.054</v>
      </c>
      <c r="R430" s="3" t="n">
        <v>271.77</v>
      </c>
      <c r="S430" s="3" t="n">
        <v>137.51</v>
      </c>
      <c r="T430" s="3" t="n">
        <v>125.66</v>
      </c>
      <c r="U430" s="4" t="n">
        <v>0.4624</v>
      </c>
      <c r="V430" s="3" t="n">
        <v>8.6</v>
      </c>
      <c r="W430" t="inlineStr">
        <is>
          <t>Credit Card</t>
        </is>
      </c>
      <c r="X430" t="inlineStr">
        <is>
          <t>High</t>
        </is>
      </c>
    </row>
    <row r="431">
      <c r="A431" t="inlineStr">
        <is>
          <t>ORD-00430</t>
        </is>
      </c>
      <c r="B431" s="2" t="n">
        <v>45002</v>
      </c>
      <c r="C431" s="2" t="n">
        <v>45009</v>
      </c>
      <c r="D431" t="inlineStr">
        <is>
          <t>CUST-00430</t>
        </is>
      </c>
      <c r="E431" t="inlineStr">
        <is>
          <t>Customer 430</t>
        </is>
      </c>
      <c r="F431" t="inlineStr">
        <is>
          <t>Consumer</t>
        </is>
      </c>
      <c r="G431" t="inlineStr">
        <is>
          <t>P1015</t>
        </is>
      </c>
      <c r="H431" t="inlineStr">
        <is>
          <t>Halo Planter</t>
        </is>
      </c>
      <c r="I431" t="inlineStr">
        <is>
          <t>Office Supplies</t>
        </is>
      </c>
      <c r="J431" t="inlineStr">
        <is>
          <t>Binders</t>
        </is>
      </c>
      <c r="K431" t="inlineStr">
        <is>
          <t>South</t>
        </is>
      </c>
      <c r="L431" t="inlineStr">
        <is>
          <t>Texas</t>
        </is>
      </c>
      <c r="M431" t="inlineStr">
        <is>
          <t>Houston</t>
        </is>
      </c>
      <c r="N431" t="inlineStr">
        <is>
          <t>Ethan Brooks</t>
        </is>
      </c>
      <c r="O431" t="n">
        <v>1</v>
      </c>
      <c r="P431" s="3" t="n">
        <v>68.8</v>
      </c>
      <c r="Q431" s="4" t="n">
        <v>0.015</v>
      </c>
      <c r="R431" s="3" t="n">
        <v>67.77</v>
      </c>
      <c r="S431" s="3" t="n">
        <v>39.92</v>
      </c>
      <c r="T431" s="3" t="n">
        <v>21.05</v>
      </c>
      <c r="U431" s="4" t="n">
        <v>0.3106</v>
      </c>
      <c r="V431" s="3" t="n">
        <v>6.8</v>
      </c>
      <c r="W431" t="inlineStr">
        <is>
          <t>Debit Card</t>
        </is>
      </c>
      <c r="X431" t="inlineStr">
        <is>
          <t>Low</t>
        </is>
      </c>
    </row>
    <row r="432">
      <c r="A432" t="inlineStr">
        <is>
          <t>ORD-00431</t>
        </is>
      </c>
      <c r="B432" s="2" t="n">
        <v>45241</v>
      </c>
      <c r="C432" s="2" t="n">
        <v>45248</v>
      </c>
      <c r="D432" t="inlineStr">
        <is>
          <t>CUST-00431</t>
        </is>
      </c>
      <c r="E432" t="inlineStr">
        <is>
          <t>Customer 431</t>
        </is>
      </c>
      <c r="F432" t="inlineStr">
        <is>
          <t>Corporate</t>
        </is>
      </c>
      <c r="G432" t="inlineStr">
        <is>
          <t>P1019</t>
        </is>
      </c>
      <c r="H432" t="inlineStr">
        <is>
          <t>Orbit Wireless Mouse</t>
        </is>
      </c>
      <c r="I432" t="inlineStr">
        <is>
          <t>Home Decor</t>
        </is>
      </c>
      <c r="J432" t="inlineStr">
        <is>
          <t>Accessories</t>
        </is>
      </c>
      <c r="K432" t="inlineStr">
        <is>
          <t>Central</t>
        </is>
      </c>
      <c r="L432" t="inlineStr">
        <is>
          <t>Kansas</t>
        </is>
      </c>
      <c r="M432" t="inlineStr">
        <is>
          <t>Chicago</t>
        </is>
      </c>
      <c r="N432" t="inlineStr">
        <is>
          <t>Mia Rodriguez</t>
        </is>
      </c>
      <c r="O432" t="n">
        <v>1</v>
      </c>
      <c r="P432" s="3" t="n">
        <v>60.59</v>
      </c>
      <c r="Q432" s="4" t="n">
        <v>0.018</v>
      </c>
      <c r="R432" s="3" t="n">
        <v>59.5</v>
      </c>
      <c r="S432" s="3" t="n">
        <v>29.98</v>
      </c>
      <c r="T432" s="3" t="n">
        <v>22.72</v>
      </c>
      <c r="U432" s="4" t="n">
        <v>0.3818</v>
      </c>
      <c r="V432" s="3" t="n">
        <v>6.8</v>
      </c>
      <c r="W432" t="inlineStr">
        <is>
          <t>PayPal</t>
        </is>
      </c>
      <c r="X432" t="inlineStr">
        <is>
          <t>Low</t>
        </is>
      </c>
    </row>
    <row r="433">
      <c r="A433" t="inlineStr">
        <is>
          <t>ORD-00432</t>
        </is>
      </c>
      <c r="B433" s="2" t="n">
        <v>45945</v>
      </c>
      <c r="C433" s="2" t="n">
        <v>45947</v>
      </c>
      <c r="D433" t="inlineStr">
        <is>
          <t>CUST-00432</t>
        </is>
      </c>
      <c r="E433" t="inlineStr">
        <is>
          <t>Customer 432</t>
        </is>
      </c>
      <c r="F433" t="inlineStr">
        <is>
          <t>Corporate</t>
        </is>
      </c>
      <c r="G433" t="inlineStr">
        <is>
          <t>P1006</t>
        </is>
      </c>
      <c r="H433" t="inlineStr">
        <is>
          <t>Aero Standing Desk</t>
        </is>
      </c>
      <c r="I433" t="inlineStr">
        <is>
          <t>Home Decor</t>
        </is>
      </c>
      <c r="J433" t="inlineStr">
        <is>
          <t>Video</t>
        </is>
      </c>
      <c r="K433" t="inlineStr">
        <is>
          <t>West</t>
        </is>
      </c>
      <c r="L433" t="inlineStr">
        <is>
          <t>Oregon</t>
        </is>
      </c>
      <c r="M433" t="inlineStr">
        <is>
          <t>Seattle</t>
        </is>
      </c>
      <c r="N433" t="inlineStr">
        <is>
          <t>Ava Patel</t>
        </is>
      </c>
      <c r="O433" t="n">
        <v>3</v>
      </c>
      <c r="P433" s="3" t="n">
        <v>20.94</v>
      </c>
      <c r="Q433" s="4" t="n">
        <v>0.037</v>
      </c>
      <c r="R433" s="3" t="n">
        <v>60.5</v>
      </c>
      <c r="S433" s="3" t="n">
        <v>26.07</v>
      </c>
      <c r="T433" s="3" t="n">
        <v>25.03</v>
      </c>
      <c r="U433" s="4" t="n">
        <v>0.4137</v>
      </c>
      <c r="V433" s="3" t="n">
        <v>9.4</v>
      </c>
      <c r="W433" t="inlineStr">
        <is>
          <t>Bank Transfer</t>
        </is>
      </c>
      <c r="X433" t="inlineStr">
        <is>
          <t>Medium</t>
        </is>
      </c>
    </row>
    <row r="434">
      <c r="A434" t="inlineStr">
        <is>
          <t>ORD-00433</t>
        </is>
      </c>
      <c r="B434" s="2" t="n">
        <v>45524</v>
      </c>
      <c r="C434" s="2" t="n">
        <v>45525</v>
      </c>
      <c r="D434" t="inlineStr">
        <is>
          <t>CUST-00433</t>
        </is>
      </c>
      <c r="E434" t="inlineStr">
        <is>
          <t>Customer 433</t>
        </is>
      </c>
      <c r="F434" t="inlineStr">
        <is>
          <t>Consumer</t>
        </is>
      </c>
      <c r="G434" t="inlineStr">
        <is>
          <t>P1019</t>
        </is>
      </c>
      <c r="H434" t="inlineStr">
        <is>
          <t>Summit Patio Set</t>
        </is>
      </c>
      <c r="I434" t="inlineStr">
        <is>
          <t>Home Decor</t>
        </is>
      </c>
      <c r="J434" t="inlineStr">
        <is>
          <t>Peripherals</t>
        </is>
      </c>
      <c r="K434" t="inlineStr">
        <is>
          <t>Central</t>
        </is>
      </c>
      <c r="L434" t="inlineStr">
        <is>
          <t>Illinois</t>
        </is>
      </c>
      <c r="M434" t="inlineStr">
        <is>
          <t>Chicago</t>
        </is>
      </c>
      <c r="N434" t="inlineStr">
        <is>
          <t>Liam Chen</t>
        </is>
      </c>
      <c r="O434" t="n">
        <v>2</v>
      </c>
      <c r="P434" s="3" t="n">
        <v>60.38</v>
      </c>
      <c r="Q434" s="4" t="n">
        <v>0.038</v>
      </c>
      <c r="R434" s="3" t="n">
        <v>116.17</v>
      </c>
      <c r="S434" s="3" t="n">
        <v>57.83</v>
      </c>
      <c r="T434" s="3" t="n">
        <v>50.74</v>
      </c>
      <c r="U434" s="4" t="n">
        <v>0.4368</v>
      </c>
      <c r="V434" s="3" t="n">
        <v>7.6</v>
      </c>
      <c r="W434" t="inlineStr">
        <is>
          <t>PayPal</t>
        </is>
      </c>
      <c r="X434" t="inlineStr">
        <is>
          <t>High</t>
        </is>
      </c>
    </row>
    <row r="435">
      <c r="A435" t="inlineStr">
        <is>
          <t>ORD-00434</t>
        </is>
      </c>
      <c r="B435" s="2" t="n">
        <v>45062</v>
      </c>
      <c r="C435" s="2" t="n">
        <v>45064</v>
      </c>
      <c r="D435" t="inlineStr">
        <is>
          <t>CUST-00434</t>
        </is>
      </c>
      <c r="E435" t="inlineStr">
        <is>
          <t>Customer 434</t>
        </is>
      </c>
      <c r="F435" t="inlineStr">
        <is>
          <t>Consumer</t>
        </is>
      </c>
      <c r="G435" t="inlineStr">
        <is>
          <t>P1017</t>
        </is>
      </c>
      <c r="H435" t="inlineStr">
        <is>
          <t>Tide Cooler</t>
        </is>
      </c>
      <c r="I435" t="inlineStr">
        <is>
          <t>Outdoor</t>
        </is>
      </c>
      <c r="J435" t="inlineStr">
        <is>
          <t>Peripherals</t>
        </is>
      </c>
      <c r="K435" t="inlineStr">
        <is>
          <t>South</t>
        </is>
      </c>
      <c r="L435" t="inlineStr">
        <is>
          <t>Georgia</t>
        </is>
      </c>
      <c r="M435" t="inlineStr">
        <is>
          <t>Houston</t>
        </is>
      </c>
      <c r="N435" t="inlineStr">
        <is>
          <t>Ava Patel</t>
        </is>
      </c>
      <c r="O435" t="n">
        <v>2</v>
      </c>
      <c r="P435" s="3" t="n">
        <v>556.1799999999999</v>
      </c>
      <c r="Q435" s="4" t="n">
        <v>0.015</v>
      </c>
      <c r="R435" s="3" t="n">
        <v>1095.67</v>
      </c>
      <c r="S435" s="3" t="n">
        <v>733.59</v>
      </c>
      <c r="T435" s="3" t="n">
        <v>354.48</v>
      </c>
      <c r="U435" s="4" t="n">
        <v>0.3235</v>
      </c>
      <c r="V435" s="3" t="n">
        <v>7.6</v>
      </c>
      <c r="W435" t="inlineStr">
        <is>
          <t>Credit Card</t>
        </is>
      </c>
      <c r="X435" t="inlineStr">
        <is>
          <t>Medium</t>
        </is>
      </c>
    </row>
    <row r="436">
      <c r="A436" t="inlineStr">
        <is>
          <t>ORD-00435</t>
        </is>
      </c>
      <c r="B436" s="2" t="n">
        <v>45019</v>
      </c>
      <c r="C436" s="2" t="n">
        <v>45025</v>
      </c>
      <c r="D436" t="inlineStr">
        <is>
          <t>CUST-00435</t>
        </is>
      </c>
      <c r="E436" t="inlineStr">
        <is>
          <t>Customer 435</t>
        </is>
      </c>
      <c r="F436" t="inlineStr">
        <is>
          <t>Consumer</t>
        </is>
      </c>
      <c r="G436" t="inlineStr">
        <is>
          <t>P1009</t>
        </is>
      </c>
      <c r="H436" t="inlineStr">
        <is>
          <t>Tide Cooler</t>
        </is>
      </c>
      <c r="I436" t="inlineStr">
        <is>
          <t>Home Decor</t>
        </is>
      </c>
      <c r="J436" t="inlineStr">
        <is>
          <t>Chairs</t>
        </is>
      </c>
      <c r="K436" t="inlineStr">
        <is>
          <t>East</t>
        </is>
      </c>
      <c r="L436" t="inlineStr">
        <is>
          <t>New Jersey</t>
        </is>
      </c>
      <c r="M436" t="inlineStr">
        <is>
          <t>Washington</t>
        </is>
      </c>
      <c r="N436" t="inlineStr">
        <is>
          <t>Sophia Singh</t>
        </is>
      </c>
      <c r="O436" t="n">
        <v>3</v>
      </c>
      <c r="P436" s="3" t="n">
        <v>91.43000000000001</v>
      </c>
      <c r="Q436" s="4" t="n">
        <v>0.006</v>
      </c>
      <c r="R436" s="3" t="n">
        <v>272.64</v>
      </c>
      <c r="S436" s="3" t="n">
        <v>137.09</v>
      </c>
      <c r="T436" s="3" t="n">
        <v>126.15</v>
      </c>
      <c r="U436" s="4" t="n">
        <v>0.4627</v>
      </c>
      <c r="V436" s="3" t="n">
        <v>9.4</v>
      </c>
      <c r="W436" t="inlineStr">
        <is>
          <t>Credit Card</t>
        </is>
      </c>
      <c r="X436" t="inlineStr">
        <is>
          <t>Medium</t>
        </is>
      </c>
    </row>
    <row r="437">
      <c r="A437" t="inlineStr">
        <is>
          <t>ORD-00436</t>
        </is>
      </c>
      <c r="B437" s="2" t="n">
        <v>45722</v>
      </c>
      <c r="C437" s="2" t="n">
        <v>45729</v>
      </c>
      <c r="D437" t="inlineStr">
        <is>
          <t>CUST-00436</t>
        </is>
      </c>
      <c r="E437" t="inlineStr">
        <is>
          <t>Customer 436</t>
        </is>
      </c>
      <c r="F437" t="inlineStr">
        <is>
          <t>Corporate</t>
        </is>
      </c>
      <c r="G437" t="inlineStr">
        <is>
          <t>P1013</t>
        </is>
      </c>
      <c r="H437" t="inlineStr">
        <is>
          <t>Orbit Wireless Mouse</t>
        </is>
      </c>
      <c r="I437" t="inlineStr">
        <is>
          <t>Technology</t>
        </is>
      </c>
      <c r="J437" t="inlineStr">
        <is>
          <t>Peripherals</t>
        </is>
      </c>
      <c r="K437" t="inlineStr">
        <is>
          <t>East</t>
        </is>
      </c>
      <c r="L437" t="inlineStr">
        <is>
          <t>New Jersey</t>
        </is>
      </c>
      <c r="M437" t="inlineStr">
        <is>
          <t>Washington</t>
        </is>
      </c>
      <c r="N437" t="inlineStr">
        <is>
          <t>Ethan Brooks</t>
        </is>
      </c>
      <c r="O437" t="n">
        <v>3</v>
      </c>
      <c r="P437" s="3" t="n">
        <v>167.66</v>
      </c>
      <c r="Q437" s="4" t="n">
        <v>0.058</v>
      </c>
      <c r="R437" s="3" t="n">
        <v>473.81</v>
      </c>
      <c r="S437" s="3" t="n">
        <v>269.42</v>
      </c>
      <c r="T437" s="3" t="n">
        <v>194.99</v>
      </c>
      <c r="U437" s="4" t="n">
        <v>0.4115</v>
      </c>
      <c r="V437" s="3" t="n">
        <v>9.4</v>
      </c>
      <c r="W437" t="inlineStr">
        <is>
          <t>Cash on Delivery</t>
        </is>
      </c>
      <c r="X437" t="inlineStr">
        <is>
          <t>High</t>
        </is>
      </c>
    </row>
    <row r="438">
      <c r="A438" t="inlineStr">
        <is>
          <t>ORD-00437</t>
        </is>
      </c>
      <c r="B438" s="2" t="n">
        <v>45128</v>
      </c>
      <c r="C438" s="2" t="n">
        <v>45129</v>
      </c>
      <c r="D438" t="inlineStr">
        <is>
          <t>CUST-00437</t>
        </is>
      </c>
      <c r="E438" t="inlineStr">
        <is>
          <t>Customer 437</t>
        </is>
      </c>
      <c r="F438" t="inlineStr">
        <is>
          <t>Consumer</t>
        </is>
      </c>
      <c r="G438" t="inlineStr">
        <is>
          <t>P1015</t>
        </is>
      </c>
      <c r="H438" t="inlineStr">
        <is>
          <t>Pulse Keyboard</t>
        </is>
      </c>
      <c r="I438" t="inlineStr">
        <is>
          <t>Home Decor</t>
        </is>
      </c>
      <c r="J438" t="inlineStr">
        <is>
          <t>Textiles</t>
        </is>
      </c>
      <c r="K438" t="inlineStr">
        <is>
          <t>Central</t>
        </is>
      </c>
      <c r="L438" t="inlineStr">
        <is>
          <t>Missouri</t>
        </is>
      </c>
      <c r="M438" t="inlineStr">
        <is>
          <t>Minneapolis</t>
        </is>
      </c>
      <c r="N438" t="inlineStr">
        <is>
          <t>Ava Patel</t>
        </is>
      </c>
      <c r="O438" t="n">
        <v>3</v>
      </c>
      <c r="P438" s="3" t="n">
        <v>66.59999999999999</v>
      </c>
      <c r="Q438" s="4" t="n">
        <v>0.045</v>
      </c>
      <c r="R438" s="3" t="n">
        <v>190.81</v>
      </c>
      <c r="S438" s="3" t="n">
        <v>90.72</v>
      </c>
      <c r="T438" s="3" t="n">
        <v>91.69</v>
      </c>
      <c r="U438" s="4" t="n">
        <v>0.4805</v>
      </c>
      <c r="V438" s="3" t="n">
        <v>8.4</v>
      </c>
      <c r="W438" t="inlineStr">
        <is>
          <t>Credit Card</t>
        </is>
      </c>
      <c r="X438" t="inlineStr">
        <is>
          <t>High</t>
        </is>
      </c>
    </row>
    <row r="439">
      <c r="A439" t="inlineStr">
        <is>
          <t>ORD-00438</t>
        </is>
      </c>
      <c r="B439" s="2" t="n">
        <v>45892</v>
      </c>
      <c r="C439" s="2" t="n">
        <v>45896</v>
      </c>
      <c r="D439" t="inlineStr">
        <is>
          <t>CUST-00438</t>
        </is>
      </c>
      <c r="E439" t="inlineStr">
        <is>
          <t>Customer 438</t>
        </is>
      </c>
      <c r="F439" t="inlineStr">
        <is>
          <t>Consumer</t>
        </is>
      </c>
      <c r="G439" t="inlineStr">
        <is>
          <t>P1016</t>
        </is>
      </c>
      <c r="H439" t="inlineStr">
        <is>
          <t>ErgoMesh Chair</t>
        </is>
      </c>
      <c r="I439" t="inlineStr">
        <is>
          <t>Outdoor</t>
        </is>
      </c>
      <c r="J439" t="inlineStr">
        <is>
          <t>Lighting</t>
        </is>
      </c>
      <c r="K439" t="inlineStr">
        <is>
          <t>West</t>
        </is>
      </c>
      <c r="L439" t="inlineStr">
        <is>
          <t>California</t>
        </is>
      </c>
      <c r="M439" t="inlineStr">
        <is>
          <t>San Francisco</t>
        </is>
      </c>
      <c r="N439" t="inlineStr">
        <is>
          <t>Ava Patel</t>
        </is>
      </c>
      <c r="O439" t="n">
        <v>5</v>
      </c>
      <c r="P439" s="3" t="n">
        <v>42.62</v>
      </c>
      <c r="Q439" s="4" t="n">
        <v>0.026</v>
      </c>
      <c r="R439" s="3" t="n">
        <v>207.56</v>
      </c>
      <c r="S439" s="3" t="n">
        <v>79.42</v>
      </c>
      <c r="T439" s="3" t="n">
        <v>117.14</v>
      </c>
      <c r="U439" s="4" t="n">
        <v>0.5644</v>
      </c>
      <c r="V439" s="3" t="n">
        <v>11</v>
      </c>
      <c r="W439" t="inlineStr">
        <is>
          <t>Cash on Delivery</t>
        </is>
      </c>
      <c r="X439" t="inlineStr">
        <is>
          <t>High</t>
        </is>
      </c>
    </row>
    <row r="440">
      <c r="A440" t="inlineStr">
        <is>
          <t>ORD-00439</t>
        </is>
      </c>
      <c r="B440" s="2" t="n">
        <v>45821</v>
      </c>
      <c r="C440" s="2" t="n">
        <v>45827</v>
      </c>
      <c r="D440" t="inlineStr">
        <is>
          <t>CUST-00439</t>
        </is>
      </c>
      <c r="E440" t="inlineStr">
        <is>
          <t>Customer 439</t>
        </is>
      </c>
      <c r="F440" t="inlineStr">
        <is>
          <t>Consumer</t>
        </is>
      </c>
      <c r="G440" t="inlineStr">
        <is>
          <t>P1013</t>
        </is>
      </c>
      <c r="H440" t="inlineStr">
        <is>
          <t>Orbit Wireless Mouse</t>
        </is>
      </c>
      <c r="I440" t="inlineStr">
        <is>
          <t>Outdoor</t>
        </is>
      </c>
      <c r="J440" t="inlineStr">
        <is>
          <t>Peripherals</t>
        </is>
      </c>
      <c r="K440" t="inlineStr">
        <is>
          <t>Central</t>
        </is>
      </c>
      <c r="L440" t="inlineStr">
        <is>
          <t>Illinois</t>
        </is>
      </c>
      <c r="M440" t="inlineStr">
        <is>
          <t>Kansas City</t>
        </is>
      </c>
      <c r="N440" t="inlineStr">
        <is>
          <t>Olivia Martin</t>
        </is>
      </c>
      <c r="O440" t="n">
        <v>3</v>
      </c>
      <c r="P440" s="3" t="n">
        <v>167.54</v>
      </c>
      <c r="Q440" s="4" t="n">
        <v>0.025</v>
      </c>
      <c r="R440" s="3" t="n">
        <v>490.05</v>
      </c>
      <c r="S440" s="3" t="n">
        <v>281.25</v>
      </c>
      <c r="T440" s="3" t="n">
        <v>200.4</v>
      </c>
      <c r="U440" s="4" t="n">
        <v>0.4089</v>
      </c>
      <c r="V440" s="3" t="n">
        <v>8.4</v>
      </c>
      <c r="W440" t="inlineStr">
        <is>
          <t>Credit Card</t>
        </is>
      </c>
      <c r="X440" t="inlineStr">
        <is>
          <t>Medium</t>
        </is>
      </c>
    </row>
    <row r="441">
      <c r="A441" t="inlineStr">
        <is>
          <t>ORD-00440</t>
        </is>
      </c>
      <c r="B441" s="2" t="n">
        <v>45108</v>
      </c>
      <c r="C441" s="2" t="n">
        <v>45115</v>
      </c>
      <c r="D441" t="inlineStr">
        <is>
          <t>CUST-00440</t>
        </is>
      </c>
      <c r="E441" t="inlineStr">
        <is>
          <t>Customer 440</t>
        </is>
      </c>
      <c r="F441" t="inlineStr">
        <is>
          <t>Consumer</t>
        </is>
      </c>
      <c r="G441" t="inlineStr">
        <is>
          <t>P1002</t>
        </is>
      </c>
      <c r="H441" t="inlineStr">
        <is>
          <t>Nimbus Monitor Arm</t>
        </is>
      </c>
      <c r="I441" t="inlineStr">
        <is>
          <t>Office Supplies</t>
        </is>
      </c>
      <c r="J441" t="inlineStr">
        <is>
          <t>Plants</t>
        </is>
      </c>
      <c r="K441" t="inlineStr">
        <is>
          <t>East</t>
        </is>
      </c>
      <c r="L441" t="inlineStr">
        <is>
          <t>Massachusetts</t>
        </is>
      </c>
      <c r="M441" t="inlineStr">
        <is>
          <t>Boston</t>
        </is>
      </c>
      <c r="N441" t="inlineStr">
        <is>
          <t>James Carter</t>
        </is>
      </c>
      <c r="O441" t="n">
        <v>3</v>
      </c>
      <c r="P441" s="3" t="n">
        <v>83.81999999999999</v>
      </c>
      <c r="Q441" s="4" t="n">
        <v>0.049</v>
      </c>
      <c r="R441" s="3" t="n">
        <v>239.14</v>
      </c>
      <c r="S441" s="3" t="n">
        <v>111.04</v>
      </c>
      <c r="T441" s="3" t="n">
        <v>118.7</v>
      </c>
      <c r="U441" s="4" t="n">
        <v>0.4964</v>
      </c>
      <c r="V441" s="3" t="n">
        <v>9.4</v>
      </c>
      <c r="W441" t="inlineStr">
        <is>
          <t>Credit Card</t>
        </is>
      </c>
      <c r="X441" t="inlineStr">
        <is>
          <t>High</t>
        </is>
      </c>
    </row>
    <row r="442">
      <c r="A442" t="inlineStr">
        <is>
          <t>ORD-00441</t>
        </is>
      </c>
      <c r="B442" s="2" t="n">
        <v>45098</v>
      </c>
      <c r="C442" s="2" t="n">
        <v>45100</v>
      </c>
      <c r="D442" t="inlineStr">
        <is>
          <t>CUST-00441</t>
        </is>
      </c>
      <c r="E442" t="inlineStr">
        <is>
          <t>Customer 441</t>
        </is>
      </c>
      <c r="F442" t="inlineStr">
        <is>
          <t>Consumer</t>
        </is>
      </c>
      <c r="G442" t="inlineStr">
        <is>
          <t>P1002</t>
        </is>
      </c>
      <c r="H442" t="inlineStr">
        <is>
          <t>ProClip Binder</t>
        </is>
      </c>
      <c r="I442" t="inlineStr">
        <is>
          <t>Home Decor</t>
        </is>
      </c>
      <c r="J442" t="inlineStr">
        <is>
          <t>Decor</t>
        </is>
      </c>
      <c r="K442" t="inlineStr">
        <is>
          <t>South</t>
        </is>
      </c>
      <c r="L442" t="inlineStr">
        <is>
          <t>Texas</t>
        </is>
      </c>
      <c r="M442" t="inlineStr">
        <is>
          <t>Atlanta</t>
        </is>
      </c>
      <c r="N442" t="inlineStr">
        <is>
          <t>Noah Kim</t>
        </is>
      </c>
      <c r="O442" t="n">
        <v>3</v>
      </c>
      <c r="P442" s="3" t="n">
        <v>78.2</v>
      </c>
      <c r="Q442" s="4" t="n">
        <v>0.002</v>
      </c>
      <c r="R442" s="3" t="n">
        <v>234.13</v>
      </c>
      <c r="S442" s="3" t="n">
        <v>113.3</v>
      </c>
      <c r="T442" s="3" t="n">
        <v>112.43</v>
      </c>
      <c r="U442" s="4" t="n">
        <v>0.4802</v>
      </c>
      <c r="V442" s="3" t="n">
        <v>8.4</v>
      </c>
      <c r="W442" t="inlineStr">
        <is>
          <t>Credit Card</t>
        </is>
      </c>
      <c r="X442" t="inlineStr">
        <is>
          <t>Medium</t>
        </is>
      </c>
    </row>
    <row r="443">
      <c r="A443" t="inlineStr">
        <is>
          <t>ORD-00442</t>
        </is>
      </c>
      <c r="B443" s="2" t="n">
        <v>45914</v>
      </c>
      <c r="C443" s="2" t="n">
        <v>45921</v>
      </c>
      <c r="D443" t="inlineStr">
        <is>
          <t>CUST-00442</t>
        </is>
      </c>
      <c r="E443" t="inlineStr">
        <is>
          <t>Customer 442</t>
        </is>
      </c>
      <c r="F443" t="inlineStr">
        <is>
          <t>Home Office</t>
        </is>
      </c>
      <c r="G443" t="inlineStr">
        <is>
          <t>P1011</t>
        </is>
      </c>
      <c r="H443" t="inlineStr">
        <is>
          <t>Summit Patio Set</t>
        </is>
      </c>
      <c r="I443" t="inlineStr">
        <is>
          <t>Home Decor</t>
        </is>
      </c>
      <c r="J443" t="inlineStr">
        <is>
          <t>Accessories</t>
        </is>
      </c>
      <c r="K443" t="inlineStr">
        <is>
          <t>East</t>
        </is>
      </c>
      <c r="L443" t="inlineStr">
        <is>
          <t>Massachusetts</t>
        </is>
      </c>
      <c r="M443" t="inlineStr">
        <is>
          <t>Washington</t>
        </is>
      </c>
      <c r="N443" t="inlineStr">
        <is>
          <t>Sophia Singh</t>
        </is>
      </c>
      <c r="O443" t="n">
        <v>3</v>
      </c>
      <c r="P443" s="3" t="n">
        <v>85.28</v>
      </c>
      <c r="Q443" s="4" t="n">
        <v>0.013</v>
      </c>
      <c r="R443" s="3" t="n">
        <v>252.51</v>
      </c>
      <c r="S443" s="3" t="n">
        <v>120.4</v>
      </c>
      <c r="T443" s="3" t="n">
        <v>122.71</v>
      </c>
      <c r="U443" s="4" t="n">
        <v>0.486</v>
      </c>
      <c r="V443" s="3" t="n">
        <v>9.4</v>
      </c>
      <c r="W443" t="inlineStr">
        <is>
          <t>Debit Card</t>
        </is>
      </c>
      <c r="X443" t="inlineStr">
        <is>
          <t>Medium</t>
        </is>
      </c>
    </row>
    <row r="444">
      <c r="A444" t="inlineStr">
        <is>
          <t>ORD-00443</t>
        </is>
      </c>
      <c r="B444" s="2" t="n">
        <v>45628</v>
      </c>
      <c r="C444" s="2" t="n">
        <v>45629</v>
      </c>
      <c r="D444" t="inlineStr">
        <is>
          <t>CUST-00443</t>
        </is>
      </c>
      <c r="E444" t="inlineStr">
        <is>
          <t>Customer 443</t>
        </is>
      </c>
      <c r="F444" t="inlineStr">
        <is>
          <t>Consumer</t>
        </is>
      </c>
      <c r="G444" t="inlineStr">
        <is>
          <t>P1016</t>
        </is>
      </c>
      <c r="H444" t="inlineStr">
        <is>
          <t>Echo Web Camera</t>
        </is>
      </c>
      <c r="I444" t="inlineStr">
        <is>
          <t>Furniture</t>
        </is>
      </c>
      <c r="J444" t="inlineStr">
        <is>
          <t>Desks</t>
        </is>
      </c>
      <c r="K444" t="inlineStr">
        <is>
          <t>Central</t>
        </is>
      </c>
      <c r="L444" t="inlineStr">
        <is>
          <t>Kansas</t>
        </is>
      </c>
      <c r="M444" t="inlineStr">
        <is>
          <t>St. Louis</t>
        </is>
      </c>
      <c r="N444" t="inlineStr">
        <is>
          <t>Ethan Brooks</t>
        </is>
      </c>
      <c r="O444" t="n">
        <v>3</v>
      </c>
      <c r="P444" s="3" t="n">
        <v>42.18</v>
      </c>
      <c r="Q444" s="4" t="n">
        <v>0.044</v>
      </c>
      <c r="R444" s="3" t="n">
        <v>120.97</v>
      </c>
      <c r="S444" s="3" t="n">
        <v>51.76</v>
      </c>
      <c r="T444" s="3" t="n">
        <v>60.81</v>
      </c>
      <c r="U444" s="4" t="n">
        <v>0.5027</v>
      </c>
      <c r="V444" s="3" t="n">
        <v>8.4</v>
      </c>
      <c r="W444" t="inlineStr">
        <is>
          <t>Credit Card</t>
        </is>
      </c>
      <c r="X444" t="inlineStr">
        <is>
          <t>High</t>
        </is>
      </c>
    </row>
    <row r="445">
      <c r="A445" t="inlineStr">
        <is>
          <t>ORD-00444</t>
        </is>
      </c>
      <c r="B445" s="2" t="n">
        <v>45353</v>
      </c>
      <c r="C445" s="2" t="n">
        <v>45359</v>
      </c>
      <c r="D445" t="inlineStr">
        <is>
          <t>CUST-00444</t>
        </is>
      </c>
      <c r="E445" t="inlineStr">
        <is>
          <t>Customer 444</t>
        </is>
      </c>
      <c r="F445" t="inlineStr">
        <is>
          <t>Home Office</t>
        </is>
      </c>
      <c r="G445" t="inlineStr">
        <is>
          <t>P1017</t>
        </is>
      </c>
      <c r="H445" t="inlineStr">
        <is>
          <t>Pulse Keyboard</t>
        </is>
      </c>
      <c r="I445" t="inlineStr">
        <is>
          <t>Outdoor</t>
        </is>
      </c>
      <c r="J445" t="inlineStr">
        <is>
          <t>Storage</t>
        </is>
      </c>
      <c r="K445" t="inlineStr">
        <is>
          <t>Central</t>
        </is>
      </c>
      <c r="L445" t="inlineStr">
        <is>
          <t>Minnesota</t>
        </is>
      </c>
      <c r="M445" t="inlineStr">
        <is>
          <t>Kansas City</t>
        </is>
      </c>
      <c r="N445" t="inlineStr">
        <is>
          <t>James Carter</t>
        </is>
      </c>
      <c r="O445" t="n">
        <v>4</v>
      </c>
      <c r="P445" s="3" t="n">
        <v>575.76</v>
      </c>
      <c r="Q445" s="4" t="n">
        <v>0.023</v>
      </c>
      <c r="R445" s="3" t="n">
        <v>2250.07</v>
      </c>
      <c r="S445" s="3" t="n">
        <v>1495.75</v>
      </c>
      <c r="T445" s="3" t="n">
        <v>745.12</v>
      </c>
      <c r="U445" s="4" t="n">
        <v>0.3312</v>
      </c>
      <c r="V445" s="3" t="n">
        <v>9.199999999999999</v>
      </c>
      <c r="W445" t="inlineStr">
        <is>
          <t>Debit Card</t>
        </is>
      </c>
      <c r="X445" t="inlineStr">
        <is>
          <t>High</t>
        </is>
      </c>
    </row>
    <row r="446">
      <c r="A446" t="inlineStr">
        <is>
          <t>ORD-00445</t>
        </is>
      </c>
      <c r="B446" s="2" t="n">
        <v>45835</v>
      </c>
      <c r="C446" s="2" t="n">
        <v>45839</v>
      </c>
      <c r="D446" t="inlineStr">
        <is>
          <t>CUST-00445</t>
        </is>
      </c>
      <c r="E446" t="inlineStr">
        <is>
          <t>Customer 445</t>
        </is>
      </c>
      <c r="F446" t="inlineStr">
        <is>
          <t>Consumer</t>
        </is>
      </c>
      <c r="G446" t="inlineStr">
        <is>
          <t>P1003</t>
        </is>
      </c>
      <c r="H446" t="inlineStr">
        <is>
          <t>Summit Patio Set</t>
        </is>
      </c>
      <c r="I446" t="inlineStr">
        <is>
          <t>Office Supplies</t>
        </is>
      </c>
      <c r="J446" t="inlineStr">
        <is>
          <t>Chairs</t>
        </is>
      </c>
      <c r="K446" t="inlineStr">
        <is>
          <t>North</t>
        </is>
      </c>
      <c r="L446" t="inlineStr">
        <is>
          <t>Ontario</t>
        </is>
      </c>
      <c r="M446" t="inlineStr">
        <is>
          <t>Toronto</t>
        </is>
      </c>
      <c r="N446" t="inlineStr">
        <is>
          <t>Liam Chen</t>
        </is>
      </c>
      <c r="O446" t="n">
        <v>4</v>
      </c>
      <c r="P446" s="3" t="n">
        <v>151.67</v>
      </c>
      <c r="Q446" s="4" t="n">
        <v>0.044</v>
      </c>
      <c r="R446" s="3" t="n">
        <v>579.99</v>
      </c>
      <c r="S446" s="3" t="n">
        <v>300.13</v>
      </c>
      <c r="T446" s="3" t="n">
        <v>270.66</v>
      </c>
      <c r="U446" s="4" t="n">
        <v>0.4667</v>
      </c>
      <c r="V446" s="3" t="n">
        <v>9.199999999999999</v>
      </c>
      <c r="W446" t="inlineStr">
        <is>
          <t>Debit Card</t>
        </is>
      </c>
      <c r="X446" t="inlineStr">
        <is>
          <t>High</t>
        </is>
      </c>
    </row>
    <row r="447">
      <c r="A447" t="inlineStr">
        <is>
          <t>ORD-00446</t>
        </is>
      </c>
      <c r="B447" s="2" t="n">
        <v>45731</v>
      </c>
      <c r="C447" s="2" t="n">
        <v>45736</v>
      </c>
      <c r="D447" t="inlineStr">
        <is>
          <t>CUST-00446</t>
        </is>
      </c>
      <c r="E447" t="inlineStr">
        <is>
          <t>Customer 446</t>
        </is>
      </c>
      <c r="F447" t="inlineStr">
        <is>
          <t>Consumer</t>
        </is>
      </c>
      <c r="G447" t="inlineStr">
        <is>
          <t>P1001</t>
        </is>
      </c>
      <c r="H447" t="inlineStr">
        <is>
          <t>Nimbus Monitor Arm</t>
        </is>
      </c>
      <c r="I447" t="inlineStr">
        <is>
          <t>Office Supplies</t>
        </is>
      </c>
      <c r="J447" t="inlineStr">
        <is>
          <t>Bags</t>
        </is>
      </c>
      <c r="K447" t="inlineStr">
        <is>
          <t>South</t>
        </is>
      </c>
      <c r="L447" t="inlineStr">
        <is>
          <t>Texas</t>
        </is>
      </c>
      <c r="M447" t="inlineStr">
        <is>
          <t>Dallas</t>
        </is>
      </c>
      <c r="N447" t="inlineStr">
        <is>
          <t>Noah Kim</t>
        </is>
      </c>
      <c r="O447" t="n">
        <v>1</v>
      </c>
      <c r="P447" s="3" t="n">
        <v>286.49</v>
      </c>
      <c r="Q447" s="4" t="n">
        <v>0.044</v>
      </c>
      <c r="R447" s="3" t="n">
        <v>273.88</v>
      </c>
      <c r="S447" s="3" t="n">
        <v>168.52</v>
      </c>
      <c r="T447" s="3" t="n">
        <v>98.56</v>
      </c>
      <c r="U447" s="4" t="n">
        <v>0.3599</v>
      </c>
      <c r="V447" s="3" t="n">
        <v>6.8</v>
      </c>
      <c r="W447" t="inlineStr">
        <is>
          <t>Bank Transfer</t>
        </is>
      </c>
      <c r="X447" t="inlineStr">
        <is>
          <t>High</t>
        </is>
      </c>
    </row>
    <row r="448">
      <c r="A448" t="inlineStr">
        <is>
          <t>ORD-00447</t>
        </is>
      </c>
      <c r="B448" s="2" t="n">
        <v>45927</v>
      </c>
      <c r="C448" s="2" t="n">
        <v>45930</v>
      </c>
      <c r="D448" t="inlineStr">
        <is>
          <t>CUST-00447</t>
        </is>
      </c>
      <c r="E448" t="inlineStr">
        <is>
          <t>Customer 447</t>
        </is>
      </c>
      <c r="F448" t="inlineStr">
        <is>
          <t>Consumer</t>
        </is>
      </c>
      <c r="G448" t="inlineStr">
        <is>
          <t>P1018</t>
        </is>
      </c>
      <c r="H448" t="inlineStr">
        <is>
          <t>Nova Laptop Stand</t>
        </is>
      </c>
      <c r="I448" t="inlineStr">
        <is>
          <t>Outdoor</t>
        </is>
      </c>
      <c r="J448" t="inlineStr">
        <is>
          <t>Plants</t>
        </is>
      </c>
      <c r="K448" t="inlineStr">
        <is>
          <t>East</t>
        </is>
      </c>
      <c r="L448" t="inlineStr">
        <is>
          <t>Massachusetts</t>
        </is>
      </c>
      <c r="M448" t="inlineStr">
        <is>
          <t>New York</t>
        </is>
      </c>
      <c r="N448" t="inlineStr">
        <is>
          <t>Mia Rodriguez</t>
        </is>
      </c>
      <c r="O448" t="n">
        <v>5</v>
      </c>
      <c r="P448" s="3" t="n">
        <v>88.12</v>
      </c>
      <c r="Q448" s="4" t="n">
        <v>0.003</v>
      </c>
      <c r="R448" s="3" t="n">
        <v>439.28</v>
      </c>
      <c r="S448" s="3" t="n">
        <v>196.07</v>
      </c>
      <c r="T448" s="3" t="n">
        <v>232.21</v>
      </c>
      <c r="U448" s="4" t="n">
        <v>0.5286</v>
      </c>
      <c r="V448" s="3" t="n">
        <v>11</v>
      </c>
      <c r="W448" t="inlineStr">
        <is>
          <t>PayPal</t>
        </is>
      </c>
      <c r="X448" t="inlineStr">
        <is>
          <t>Medium</t>
        </is>
      </c>
    </row>
    <row r="449">
      <c r="A449" t="inlineStr">
        <is>
          <t>ORD-00448</t>
        </is>
      </c>
      <c r="B449" s="2" t="n">
        <v>45948</v>
      </c>
      <c r="C449" s="2" t="n">
        <v>45949</v>
      </c>
      <c r="D449" t="inlineStr">
        <is>
          <t>CUST-00448</t>
        </is>
      </c>
      <c r="E449" t="inlineStr">
        <is>
          <t>Customer 448</t>
        </is>
      </c>
      <c r="F449" t="inlineStr">
        <is>
          <t>Corporate</t>
        </is>
      </c>
      <c r="G449" t="inlineStr">
        <is>
          <t>P1014</t>
        </is>
      </c>
      <c r="H449" t="inlineStr">
        <is>
          <t>Tide Cooler</t>
        </is>
      </c>
      <c r="I449" t="inlineStr">
        <is>
          <t>Technology</t>
        </is>
      </c>
      <c r="J449" t="inlineStr">
        <is>
          <t>Writing</t>
        </is>
      </c>
      <c r="K449" t="inlineStr">
        <is>
          <t>Central</t>
        </is>
      </c>
      <c r="L449" t="inlineStr">
        <is>
          <t>Minnesota</t>
        </is>
      </c>
      <c r="M449" t="inlineStr">
        <is>
          <t>Chicago</t>
        </is>
      </c>
      <c r="N449" t="inlineStr">
        <is>
          <t>Mia Rodriguez</t>
        </is>
      </c>
      <c r="O449" t="n">
        <v>4</v>
      </c>
      <c r="P449" s="3" t="n">
        <v>47.44</v>
      </c>
      <c r="Q449" s="4" t="n">
        <v>0.042</v>
      </c>
      <c r="R449" s="3" t="n">
        <v>181.79</v>
      </c>
      <c r="S449" s="3" t="n">
        <v>80.5</v>
      </c>
      <c r="T449" s="3" t="n">
        <v>92.09</v>
      </c>
      <c r="U449" s="4" t="n">
        <v>0.5066000000000001</v>
      </c>
      <c r="V449" s="3" t="n">
        <v>9.199999999999999</v>
      </c>
      <c r="W449" t="inlineStr">
        <is>
          <t>PayPal</t>
        </is>
      </c>
      <c r="X449" t="inlineStr">
        <is>
          <t>Critical</t>
        </is>
      </c>
    </row>
    <row r="450">
      <c r="A450" t="inlineStr">
        <is>
          <t>ORD-00449</t>
        </is>
      </c>
      <c r="B450" s="2" t="n">
        <v>45635</v>
      </c>
      <c r="C450" s="2" t="n">
        <v>45640</v>
      </c>
      <c r="D450" t="inlineStr">
        <is>
          <t>CUST-00449</t>
        </is>
      </c>
      <c r="E450" t="inlineStr">
        <is>
          <t>Customer 449</t>
        </is>
      </c>
      <c r="F450" t="inlineStr">
        <is>
          <t>Corporate</t>
        </is>
      </c>
      <c r="G450" t="inlineStr">
        <is>
          <t>P1009</t>
        </is>
      </c>
      <c r="H450" t="inlineStr">
        <is>
          <t>ProClip Binder</t>
        </is>
      </c>
      <c r="I450" t="inlineStr">
        <is>
          <t>Technology</t>
        </is>
      </c>
      <c r="J450" t="inlineStr">
        <is>
          <t>Video</t>
        </is>
      </c>
      <c r="K450" t="inlineStr">
        <is>
          <t>West</t>
        </is>
      </c>
      <c r="L450" t="inlineStr">
        <is>
          <t>Oregon</t>
        </is>
      </c>
      <c r="M450" t="inlineStr">
        <is>
          <t>Seattle</t>
        </is>
      </c>
      <c r="N450" t="inlineStr">
        <is>
          <t>Liam Chen</t>
        </is>
      </c>
      <c r="O450" t="n">
        <v>6</v>
      </c>
      <c r="P450" s="3" t="n">
        <v>102.64</v>
      </c>
      <c r="Q450" s="4" t="n">
        <v>0.039</v>
      </c>
      <c r="R450" s="3" t="n">
        <v>591.8200000000001</v>
      </c>
      <c r="S450" s="3" t="n">
        <v>289.56</v>
      </c>
      <c r="T450" s="3" t="n">
        <v>290.46</v>
      </c>
      <c r="U450" s="4" t="n">
        <v>0.4908</v>
      </c>
      <c r="V450" s="3" t="n">
        <v>11.8</v>
      </c>
      <c r="W450" t="inlineStr">
        <is>
          <t>PayPal</t>
        </is>
      </c>
      <c r="X450" t="inlineStr">
        <is>
          <t>Critical</t>
        </is>
      </c>
    </row>
    <row r="451">
      <c r="A451" t="inlineStr">
        <is>
          <t>ORD-00450</t>
        </is>
      </c>
      <c r="B451" s="2" t="n">
        <v>45072</v>
      </c>
      <c r="C451" s="2" t="n">
        <v>45076</v>
      </c>
      <c r="D451" t="inlineStr">
        <is>
          <t>CUST-00450</t>
        </is>
      </c>
      <c r="E451" t="inlineStr">
        <is>
          <t>Customer 450</t>
        </is>
      </c>
      <c r="F451" t="inlineStr">
        <is>
          <t>Consumer</t>
        </is>
      </c>
      <c r="G451" t="inlineStr">
        <is>
          <t>P1009</t>
        </is>
      </c>
      <c r="H451" t="inlineStr">
        <is>
          <t>Nimbus Monitor Arm</t>
        </is>
      </c>
      <c r="I451" t="inlineStr">
        <is>
          <t>Furniture</t>
        </is>
      </c>
      <c r="J451" t="inlineStr">
        <is>
          <t>Accessories</t>
        </is>
      </c>
      <c r="K451" t="inlineStr">
        <is>
          <t>Central</t>
        </is>
      </c>
      <c r="L451" t="inlineStr">
        <is>
          <t>Missouri</t>
        </is>
      </c>
      <c r="M451" t="inlineStr">
        <is>
          <t>St. Louis</t>
        </is>
      </c>
      <c r="N451" t="inlineStr">
        <is>
          <t>Ethan Brooks</t>
        </is>
      </c>
      <c r="O451" t="n">
        <v>2</v>
      </c>
      <c r="P451" s="3" t="n">
        <v>86.33</v>
      </c>
      <c r="Q451" s="4" t="n">
        <v>0.022</v>
      </c>
      <c r="R451" s="3" t="n">
        <v>168.86</v>
      </c>
      <c r="S451" s="3" t="n">
        <v>87.31</v>
      </c>
      <c r="T451" s="3" t="n">
        <v>73.95</v>
      </c>
      <c r="U451" s="4" t="n">
        <v>0.4379</v>
      </c>
      <c r="V451" s="3" t="n">
        <v>7.6</v>
      </c>
      <c r="W451" t="inlineStr">
        <is>
          <t>Credit Card</t>
        </is>
      </c>
      <c r="X451" t="inlineStr">
        <is>
          <t>Medium</t>
        </is>
      </c>
    </row>
    <row r="452">
      <c r="A452" t="inlineStr">
        <is>
          <t>ORD-00451</t>
        </is>
      </c>
      <c r="B452" s="2" t="n">
        <v>45994</v>
      </c>
      <c r="C452" s="2" t="n">
        <v>45999</v>
      </c>
      <c r="D452" t="inlineStr">
        <is>
          <t>CUST-00451</t>
        </is>
      </c>
      <c r="E452" t="inlineStr">
        <is>
          <t>None</t>
        </is>
      </c>
      <c r="F452" t="inlineStr">
        <is>
          <t>Consumer</t>
        </is>
      </c>
      <c r="G452" t="inlineStr">
        <is>
          <t>P1012</t>
        </is>
      </c>
      <c r="H452" t="inlineStr">
        <is>
          <t>ProClip Binder</t>
        </is>
      </c>
      <c r="I452" t="inlineStr">
        <is>
          <t>Technology</t>
        </is>
      </c>
      <c r="J452" t="inlineStr">
        <is>
          <t>Paper</t>
        </is>
      </c>
      <c r="K452" t="inlineStr">
        <is>
          <t>North</t>
        </is>
      </c>
      <c r="L452" t="inlineStr">
        <is>
          <t>British Columbia</t>
        </is>
      </c>
      <c r="M452" t="inlineStr">
        <is>
          <t>Montreal</t>
        </is>
      </c>
      <c r="N452" t="inlineStr">
        <is>
          <t>Olivia Martin</t>
        </is>
      </c>
      <c r="O452" t="n">
        <v>3</v>
      </c>
      <c r="P452" s="3" t="n">
        <v>135.99</v>
      </c>
      <c r="Q452" s="4" t="n">
        <v>0.026</v>
      </c>
      <c r="R452" s="3" t="n">
        <v>397.36</v>
      </c>
      <c r="S452" s="3" t="n">
        <v>201.14</v>
      </c>
      <c r="T452" s="3" t="n">
        <v>187.82</v>
      </c>
      <c r="U452" s="4" t="n">
        <v>0.4727</v>
      </c>
      <c r="V452" s="3" t="n">
        <v>8.4</v>
      </c>
      <c r="W452" t="inlineStr">
        <is>
          <t>Bank Transfer</t>
        </is>
      </c>
      <c r="X452" t="inlineStr">
        <is>
          <t>Medium</t>
        </is>
      </c>
    </row>
    <row r="453">
      <c r="A453" t="inlineStr">
        <is>
          <t>ORD-00452</t>
        </is>
      </c>
      <c r="B453" s="2" t="n">
        <v>45326</v>
      </c>
      <c r="C453" s="2" t="n">
        <v>45328</v>
      </c>
      <c r="D453" t="inlineStr">
        <is>
          <t>CUST-00452</t>
        </is>
      </c>
      <c r="E453" t="inlineStr">
        <is>
          <t>Customer 452</t>
        </is>
      </c>
      <c r="F453" t="inlineStr">
        <is>
          <t>Home Office</t>
        </is>
      </c>
      <c r="G453" t="inlineStr">
        <is>
          <t>P1003</t>
        </is>
      </c>
      <c r="H453" t="inlineStr">
        <is>
          <t>Pulse Keyboard</t>
        </is>
      </c>
      <c r="I453" t="inlineStr">
        <is>
          <t>Home Decor</t>
        </is>
      </c>
      <c r="J453" t="inlineStr">
        <is>
          <t>Storage</t>
        </is>
      </c>
      <c r="K453" t="inlineStr">
        <is>
          <t>East</t>
        </is>
      </c>
      <c r="L453" t="inlineStr">
        <is>
          <t>Virginia</t>
        </is>
      </c>
      <c r="M453" t="inlineStr">
        <is>
          <t>Boston</t>
        </is>
      </c>
      <c r="N453" t="inlineStr">
        <is>
          <t>Ethan Brooks</t>
        </is>
      </c>
      <c r="O453" t="n">
        <v>3</v>
      </c>
      <c r="P453" s="3" t="n">
        <v>146.11</v>
      </c>
      <c r="Q453" s="4" t="n">
        <v>0.011</v>
      </c>
      <c r="R453" s="3" t="n">
        <v>433.51</v>
      </c>
      <c r="S453" s="3" t="n">
        <v>227.97</v>
      </c>
      <c r="T453" s="3" t="n">
        <v>196.14</v>
      </c>
      <c r="U453" s="4" t="n">
        <v>0.4524</v>
      </c>
      <c r="V453" s="3" t="n">
        <v>9.4</v>
      </c>
      <c r="W453" t="inlineStr">
        <is>
          <t>Debit Card</t>
        </is>
      </c>
      <c r="X453" t="inlineStr">
        <is>
          <t>Medium</t>
        </is>
      </c>
    </row>
    <row r="454">
      <c r="A454" t="inlineStr">
        <is>
          <t>ORD-00453</t>
        </is>
      </c>
      <c r="B454" s="2" t="n">
        <v>45519</v>
      </c>
      <c r="C454" s="2" t="n">
        <v>45522</v>
      </c>
      <c r="D454" t="inlineStr">
        <is>
          <t>CUST-00453</t>
        </is>
      </c>
      <c r="E454" t="inlineStr">
        <is>
          <t>Customer 453</t>
        </is>
      </c>
      <c r="F454" t="inlineStr">
        <is>
          <t>Home Office</t>
        </is>
      </c>
      <c r="G454" t="inlineStr">
        <is>
          <t>P1002</t>
        </is>
      </c>
      <c r="H454" t="inlineStr">
        <is>
          <t>Pulse Keyboard</t>
        </is>
      </c>
      <c r="I454" t="inlineStr">
        <is>
          <t>Technology</t>
        </is>
      </c>
      <c r="J454" t="inlineStr">
        <is>
          <t>Peripherals</t>
        </is>
      </c>
      <c r="K454" t="inlineStr">
        <is>
          <t>East</t>
        </is>
      </c>
      <c r="L454" t="inlineStr">
        <is>
          <t>Massachusetts</t>
        </is>
      </c>
      <c r="M454" t="inlineStr">
        <is>
          <t>Boston</t>
        </is>
      </c>
      <c r="N454" t="inlineStr">
        <is>
          <t>Sophia Singh</t>
        </is>
      </c>
      <c r="O454" t="n">
        <v>2</v>
      </c>
      <c r="P454" s="3" t="n">
        <v>86.58</v>
      </c>
      <c r="Q454" s="4" t="n">
        <v>0.013</v>
      </c>
      <c r="R454" s="3" t="n">
        <v>170.91</v>
      </c>
      <c r="S454" s="3" t="n">
        <v>81.48999999999999</v>
      </c>
      <c r="T454" s="3" t="n">
        <v>80.81999999999999</v>
      </c>
      <c r="U454" s="4" t="n">
        <v>0.4729</v>
      </c>
      <c r="V454" s="3" t="n">
        <v>8.6</v>
      </c>
      <c r="W454" t="inlineStr">
        <is>
          <t>Bank Transfer</t>
        </is>
      </c>
      <c r="X454" t="inlineStr">
        <is>
          <t>High</t>
        </is>
      </c>
    </row>
    <row r="455">
      <c r="A455" t="inlineStr">
        <is>
          <t>ORD-00454</t>
        </is>
      </c>
      <c r="B455" s="2" t="n">
        <v>45693</v>
      </c>
      <c r="C455" s="2" t="n">
        <v>45694</v>
      </c>
      <c r="D455" t="inlineStr">
        <is>
          <t>CUST-00454</t>
        </is>
      </c>
      <c r="E455" t="inlineStr">
        <is>
          <t>Customer 454</t>
        </is>
      </c>
      <c r="F455" t="inlineStr">
        <is>
          <t>Consumer</t>
        </is>
      </c>
      <c r="G455" t="inlineStr">
        <is>
          <t>P1001</t>
        </is>
      </c>
      <c r="H455" t="inlineStr">
        <is>
          <t>SmartInk Pen Set</t>
        </is>
      </c>
      <c r="I455" t="inlineStr">
        <is>
          <t>Furniture</t>
        </is>
      </c>
      <c r="J455" t="inlineStr">
        <is>
          <t>Lighting</t>
        </is>
      </c>
      <c r="K455" t="inlineStr">
        <is>
          <t>Central</t>
        </is>
      </c>
      <c r="L455" t="inlineStr">
        <is>
          <t>Minnesota</t>
        </is>
      </c>
      <c r="M455" t="inlineStr">
        <is>
          <t>Kansas City</t>
        </is>
      </c>
      <c r="N455" t="inlineStr">
        <is>
          <t>Mia Rodriguez</t>
        </is>
      </c>
      <c r="O455" t="n">
        <v>3</v>
      </c>
      <c r="P455" s="3" t="n">
        <v>283.77</v>
      </c>
      <c r="Q455" s="4" t="n">
        <v>0</v>
      </c>
      <c r="R455" s="3" t="n">
        <v>851.3099999999999</v>
      </c>
      <c r="S455" s="3" t="n">
        <v>504.02</v>
      </c>
      <c r="T455" s="3" t="n">
        <v>338.89</v>
      </c>
      <c r="U455" s="4" t="n">
        <v>0.3981</v>
      </c>
      <c r="V455" s="3" t="n">
        <v>8.4</v>
      </c>
      <c r="W455" t="inlineStr">
        <is>
          <t>Credit Card</t>
        </is>
      </c>
      <c r="X455" t="inlineStr">
        <is>
          <t>Medium</t>
        </is>
      </c>
    </row>
    <row r="456">
      <c r="A456" t="inlineStr">
        <is>
          <t>ORD-00455</t>
        </is>
      </c>
      <c r="B456" s="2" t="n">
        <v>45280</v>
      </c>
      <c r="C456" s="2" t="n">
        <v>45286</v>
      </c>
      <c r="D456" t="inlineStr">
        <is>
          <t>CUST-00455</t>
        </is>
      </c>
      <c r="E456" t="inlineStr">
        <is>
          <t>Customer 455</t>
        </is>
      </c>
      <c r="F456" t="inlineStr">
        <is>
          <t>Corporate</t>
        </is>
      </c>
      <c r="G456" t="inlineStr">
        <is>
          <t>P1009</t>
        </is>
      </c>
      <c r="H456" t="inlineStr">
        <is>
          <t>Harbor Rug</t>
        </is>
      </c>
      <c r="I456" t="inlineStr">
        <is>
          <t>Office Supplies</t>
        </is>
      </c>
      <c r="J456" t="inlineStr">
        <is>
          <t>Video</t>
        </is>
      </c>
      <c r="K456" t="inlineStr">
        <is>
          <t>Central</t>
        </is>
      </c>
      <c r="L456" t="inlineStr">
        <is>
          <t>Minnesota</t>
        </is>
      </c>
      <c r="M456" t="inlineStr">
        <is>
          <t>Chicago</t>
        </is>
      </c>
      <c r="N456" t="inlineStr">
        <is>
          <t>Mia Rodriguez</t>
        </is>
      </c>
      <c r="O456" t="n">
        <v>5</v>
      </c>
      <c r="P456" s="3" t="n">
        <v>93.26000000000001</v>
      </c>
      <c r="Q456" s="4" t="n">
        <v>0.053</v>
      </c>
      <c r="R456" s="3" t="n">
        <v>441.59</v>
      </c>
      <c r="S456" s="3" t="n">
        <v>216.59</v>
      </c>
      <c r="T456" s="3" t="n">
        <v>215</v>
      </c>
      <c r="U456" s="4" t="n">
        <v>0.4869</v>
      </c>
      <c r="V456" s="3" t="n">
        <v>10</v>
      </c>
      <c r="W456" t="inlineStr">
        <is>
          <t>PayPal</t>
        </is>
      </c>
      <c r="X456" t="inlineStr">
        <is>
          <t>High</t>
        </is>
      </c>
    </row>
    <row r="457">
      <c r="A457" t="inlineStr">
        <is>
          <t>ORD-00456</t>
        </is>
      </c>
      <c r="B457" s="2" t="n">
        <v>45524</v>
      </c>
      <c r="C457" s="2" t="n">
        <v>45531</v>
      </c>
      <c r="D457" t="inlineStr">
        <is>
          <t>CUST-00456</t>
        </is>
      </c>
      <c r="E457" t="inlineStr">
        <is>
          <t>Customer 456</t>
        </is>
      </c>
      <c r="F457" t="inlineStr">
        <is>
          <t>Consumer</t>
        </is>
      </c>
      <c r="G457" t="inlineStr">
        <is>
          <t>P1013</t>
        </is>
      </c>
      <c r="H457" t="inlineStr">
        <is>
          <t>Harbor Rug</t>
        </is>
      </c>
      <c r="I457" t="inlineStr">
        <is>
          <t>Office Supplies</t>
        </is>
      </c>
      <c r="J457" t="inlineStr">
        <is>
          <t>Bags</t>
        </is>
      </c>
      <c r="K457" t="inlineStr">
        <is>
          <t>South</t>
        </is>
      </c>
      <c r="L457" t="inlineStr">
        <is>
          <t>Georgia</t>
        </is>
      </c>
      <c r="M457" t="inlineStr">
        <is>
          <t>Dallas</t>
        </is>
      </c>
      <c r="N457" t="inlineStr">
        <is>
          <t>Olivia Martin</t>
        </is>
      </c>
      <c r="O457" t="n">
        <v>3</v>
      </c>
      <c r="P457" s="3" t="n">
        <v>156.17</v>
      </c>
      <c r="Q457" s="4" t="n">
        <v>0.004</v>
      </c>
      <c r="R457" s="3" t="n">
        <v>466.64</v>
      </c>
      <c r="S457" s="3" t="n">
        <v>272.33</v>
      </c>
      <c r="T457" s="3" t="n">
        <v>185.91</v>
      </c>
      <c r="U457" s="4" t="n">
        <v>0.3984</v>
      </c>
      <c r="V457" s="3" t="n">
        <v>8.4</v>
      </c>
      <c r="W457" t="inlineStr">
        <is>
          <t>PayPal</t>
        </is>
      </c>
      <c r="X457" t="inlineStr">
        <is>
          <t>Low</t>
        </is>
      </c>
    </row>
    <row r="458">
      <c r="A458" t="inlineStr">
        <is>
          <t>ORD-00457</t>
        </is>
      </c>
      <c r="B458" s="2" t="n">
        <v>45174</v>
      </c>
      <c r="C458" s="2" t="n">
        <v>45178</v>
      </c>
      <c r="D458" t="inlineStr">
        <is>
          <t>CUST-00457</t>
        </is>
      </c>
      <c r="E458" t="inlineStr">
        <is>
          <t>Customer 457</t>
        </is>
      </c>
      <c r="F458" t="inlineStr">
        <is>
          <t>Consumer</t>
        </is>
      </c>
      <c r="G458" t="inlineStr">
        <is>
          <t>P1016</t>
        </is>
      </c>
      <c r="H458" t="inlineStr">
        <is>
          <t>SmartInk Pen Set</t>
        </is>
      </c>
      <c r="I458" t="inlineStr">
        <is>
          <t>Furniture</t>
        </is>
      </c>
      <c r="J458" t="inlineStr">
        <is>
          <t>Writing</t>
        </is>
      </c>
      <c r="K458" t="inlineStr">
        <is>
          <t>Central</t>
        </is>
      </c>
      <c r="L458" t="inlineStr">
        <is>
          <t>Minnesota</t>
        </is>
      </c>
      <c r="M458" t="inlineStr">
        <is>
          <t>Minneapolis</t>
        </is>
      </c>
      <c r="N458" t="inlineStr">
        <is>
          <t>Mia Rodriguez</t>
        </is>
      </c>
      <c r="O458" t="n">
        <v>2</v>
      </c>
      <c r="P458" s="3" t="n">
        <v>36.4</v>
      </c>
      <c r="Q458" s="4" t="n">
        <v>0.026</v>
      </c>
      <c r="R458" s="3" t="n">
        <v>70.91</v>
      </c>
      <c r="S458" s="3" t="n">
        <v>33.79</v>
      </c>
      <c r="T458" s="3" t="n">
        <v>29.52</v>
      </c>
      <c r="U458" s="4" t="n">
        <v>0.4163</v>
      </c>
      <c r="V458" s="3" t="n">
        <v>7.6</v>
      </c>
      <c r="W458" t="inlineStr">
        <is>
          <t>Credit Card</t>
        </is>
      </c>
      <c r="X458" t="inlineStr">
        <is>
          <t>Critical</t>
        </is>
      </c>
    </row>
    <row r="459">
      <c r="A459" t="inlineStr">
        <is>
          <t>ORD-00458</t>
        </is>
      </c>
      <c r="B459" s="2" t="n">
        <v>45606</v>
      </c>
      <c r="C459" s="2" t="n">
        <v>45609</v>
      </c>
      <c r="D459" t="inlineStr">
        <is>
          <t>CUST-00458</t>
        </is>
      </c>
      <c r="E459" t="inlineStr">
        <is>
          <t>Customer 458</t>
        </is>
      </c>
      <c r="F459" t="inlineStr">
        <is>
          <t>Consumer</t>
        </is>
      </c>
      <c r="G459" t="inlineStr">
        <is>
          <t>P1019</t>
        </is>
      </c>
      <c r="H459" t="inlineStr">
        <is>
          <t>Cove Wall Clock</t>
        </is>
      </c>
      <c r="I459" t="inlineStr">
        <is>
          <t>Office Supplies</t>
        </is>
      </c>
      <c r="J459" t="inlineStr">
        <is>
          <t>Decor</t>
        </is>
      </c>
      <c r="K459" t="inlineStr">
        <is>
          <t>North</t>
        </is>
      </c>
      <c r="L459" t="inlineStr">
        <is>
          <t>British Columbia</t>
        </is>
      </c>
      <c r="M459" t="inlineStr">
        <is>
          <t>Vancouver</t>
        </is>
      </c>
      <c r="N459" t="inlineStr">
        <is>
          <t>Sophia Singh</t>
        </is>
      </c>
      <c r="O459" t="n">
        <v>2</v>
      </c>
      <c r="P459" s="3" t="n">
        <v>61.96</v>
      </c>
      <c r="Q459" s="4" t="n">
        <v>0.044</v>
      </c>
      <c r="R459" s="3" t="n">
        <v>118.47</v>
      </c>
      <c r="S459" s="3" t="n">
        <v>55.96</v>
      </c>
      <c r="T459" s="3" t="n">
        <v>54.91</v>
      </c>
      <c r="U459" s="4" t="n">
        <v>0.4635</v>
      </c>
      <c r="V459" s="3" t="n">
        <v>7.6</v>
      </c>
      <c r="W459" t="inlineStr">
        <is>
          <t>Credit Card</t>
        </is>
      </c>
      <c r="X459" t="inlineStr">
        <is>
          <t>High</t>
        </is>
      </c>
    </row>
    <row r="460">
      <c r="A460" t="inlineStr">
        <is>
          <t>ORD-00459</t>
        </is>
      </c>
      <c r="B460" s="2" t="n">
        <v>45001</v>
      </c>
      <c r="C460" s="2" t="n">
        <v>45005</v>
      </c>
      <c r="D460" t="inlineStr">
        <is>
          <t>CUST-00459</t>
        </is>
      </c>
      <c r="E460" t="inlineStr">
        <is>
          <t>Customer 459</t>
        </is>
      </c>
      <c r="F460" t="inlineStr">
        <is>
          <t>Consumer</t>
        </is>
      </c>
      <c r="G460" t="inlineStr">
        <is>
          <t>P1010</t>
        </is>
      </c>
      <c r="H460" t="inlineStr">
        <is>
          <t>Lumen Desk Lamp</t>
        </is>
      </c>
      <c r="I460" t="inlineStr">
        <is>
          <t>Home Decor</t>
        </is>
      </c>
      <c r="J460" t="inlineStr">
        <is>
          <t>Lighting</t>
        </is>
      </c>
      <c r="K460" t="inlineStr">
        <is>
          <t>South</t>
        </is>
      </c>
      <c r="L460" t="inlineStr">
        <is>
          <t>Georgia</t>
        </is>
      </c>
      <c r="M460" t="inlineStr">
        <is>
          <t>Atlanta</t>
        </is>
      </c>
      <c r="N460" t="inlineStr">
        <is>
          <t>Mia Rodriguez</t>
        </is>
      </c>
      <c r="O460" t="n">
        <v>3</v>
      </c>
      <c r="P460" s="3" t="n">
        <v>55.02</v>
      </c>
      <c r="Q460" s="4" t="n">
        <v>0.04</v>
      </c>
      <c r="R460" s="3" t="n">
        <v>158.46</v>
      </c>
      <c r="S460" s="3" t="n">
        <v>74.81999999999999</v>
      </c>
      <c r="T460" s="3" t="n">
        <v>75.23999999999999</v>
      </c>
      <c r="U460" s="4" t="n">
        <v>0.4748</v>
      </c>
      <c r="V460" s="3" t="n">
        <v>8.4</v>
      </c>
      <c r="W460" t="inlineStr">
        <is>
          <t>Cash on Delivery</t>
        </is>
      </c>
      <c r="X460" t="inlineStr">
        <is>
          <t>High</t>
        </is>
      </c>
    </row>
    <row r="461">
      <c r="A461" t="inlineStr">
        <is>
          <t>ORD-00460</t>
        </is>
      </c>
      <c r="B461" s="2" t="n">
        <v>44951</v>
      </c>
      <c r="C461" s="2" t="n">
        <v>44958</v>
      </c>
      <c r="D461" t="inlineStr">
        <is>
          <t>CUST-00460</t>
        </is>
      </c>
      <c r="E461" t="inlineStr">
        <is>
          <t>Customer 460</t>
        </is>
      </c>
      <c r="F461" t="inlineStr">
        <is>
          <t>Home Office</t>
        </is>
      </c>
      <c r="G461" t="inlineStr">
        <is>
          <t>P1005</t>
        </is>
      </c>
      <c r="H461" t="inlineStr">
        <is>
          <t>Nimbus Monitor Arm</t>
        </is>
      </c>
      <c r="I461" t="inlineStr">
        <is>
          <t>Office Supplies</t>
        </is>
      </c>
      <c r="J461" t="inlineStr">
        <is>
          <t>Video</t>
        </is>
      </c>
      <c r="K461" t="inlineStr">
        <is>
          <t>South</t>
        </is>
      </c>
      <c r="L461" t="inlineStr">
        <is>
          <t>Georgia</t>
        </is>
      </c>
      <c r="M461" t="inlineStr">
        <is>
          <t>Miami</t>
        </is>
      </c>
      <c r="N461" t="inlineStr">
        <is>
          <t>Olivia Martin</t>
        </is>
      </c>
      <c r="O461" t="n">
        <v>2</v>
      </c>
      <c r="P461" s="3" t="n">
        <v>11.97</v>
      </c>
      <c r="Q461" s="4" t="n">
        <v>0.042</v>
      </c>
      <c r="R461" s="3" t="n">
        <v>22.93</v>
      </c>
      <c r="S461" s="3" t="n">
        <v>18.32</v>
      </c>
      <c r="T461" s="3" t="n">
        <v>-2.99</v>
      </c>
      <c r="U461" s="4" t="n">
        <v>-0.1304</v>
      </c>
      <c r="V461" s="3" t="n">
        <v>7.6</v>
      </c>
      <c r="W461" t="inlineStr">
        <is>
          <t>Credit Card</t>
        </is>
      </c>
      <c r="X461" t="inlineStr">
        <is>
          <t>High</t>
        </is>
      </c>
    </row>
    <row r="462">
      <c r="A462" t="inlineStr">
        <is>
          <t>ORD-00461</t>
        </is>
      </c>
      <c r="B462" s="2" t="n">
        <v>45242</v>
      </c>
      <c r="C462" s="2" t="n">
        <v>45247</v>
      </c>
      <c r="D462" t="inlineStr">
        <is>
          <t>CUST-00461</t>
        </is>
      </c>
      <c r="E462" t="inlineStr">
        <is>
          <t>Customer 461</t>
        </is>
      </c>
      <c r="F462" t="inlineStr">
        <is>
          <t>Consumer</t>
        </is>
      </c>
      <c r="G462" t="inlineStr">
        <is>
          <t>P1014</t>
        </is>
      </c>
      <c r="H462" t="inlineStr">
        <is>
          <t>Aero Standing Desk</t>
        </is>
      </c>
      <c r="I462" t="inlineStr">
        <is>
          <t>Furniture</t>
        </is>
      </c>
      <c r="J462" t="inlineStr">
        <is>
          <t>Accessories</t>
        </is>
      </c>
      <c r="K462" t="inlineStr">
        <is>
          <t>South</t>
        </is>
      </c>
      <c r="L462" t="inlineStr">
        <is>
          <t>Texas</t>
        </is>
      </c>
      <c r="M462" t="inlineStr">
        <is>
          <t>Dallas</t>
        </is>
      </c>
      <c r="N462" t="inlineStr">
        <is>
          <t>Liam Chen</t>
        </is>
      </c>
      <c r="O462" t="n">
        <v>2</v>
      </c>
      <c r="P462" s="3" t="n">
        <v>45.01</v>
      </c>
      <c r="Q462" s="4" t="n">
        <v>0.012</v>
      </c>
      <c r="R462" s="3" t="n">
        <v>88.94</v>
      </c>
      <c r="S462" s="3" t="n">
        <v>46.04</v>
      </c>
      <c r="T462" s="3" t="n">
        <v>35.3</v>
      </c>
      <c r="U462" s="4" t="n">
        <v>0.3969</v>
      </c>
      <c r="V462" s="3" t="n">
        <v>7.6</v>
      </c>
      <c r="W462" t="inlineStr">
        <is>
          <t>Debit Card</t>
        </is>
      </c>
      <c r="X462" t="inlineStr">
        <is>
          <t>Low</t>
        </is>
      </c>
    </row>
    <row r="463">
      <c r="A463" t="inlineStr">
        <is>
          <t>ORD-00462</t>
        </is>
      </c>
      <c r="B463" s="2" t="n">
        <v>45437</v>
      </c>
      <c r="C463" s="2" t="n">
        <v>45441</v>
      </c>
      <c r="D463" t="inlineStr">
        <is>
          <t>CUST-00462</t>
        </is>
      </c>
      <c r="E463" t="inlineStr">
        <is>
          <t>Customer 462</t>
        </is>
      </c>
      <c r="F463" t="inlineStr">
        <is>
          <t>Corporate</t>
        </is>
      </c>
      <c r="G463" t="inlineStr">
        <is>
          <t>P1015</t>
        </is>
      </c>
      <c r="H463" t="inlineStr">
        <is>
          <t>CloudDrive File Box</t>
        </is>
      </c>
      <c r="I463" t="inlineStr">
        <is>
          <t>Home Decor</t>
        </is>
      </c>
      <c r="J463" t="inlineStr">
        <is>
          <t>Video</t>
        </is>
      </c>
      <c r="K463" t="inlineStr">
        <is>
          <t>East</t>
        </is>
      </c>
      <c r="L463" t="inlineStr">
        <is>
          <t>New York</t>
        </is>
      </c>
      <c r="M463" t="inlineStr">
        <is>
          <t>Boston</t>
        </is>
      </c>
      <c r="N463" t="inlineStr">
        <is>
          <t>Olivia Martin</t>
        </is>
      </c>
      <c r="O463" t="n">
        <v>3</v>
      </c>
      <c r="P463" s="3" t="n">
        <v>70.47</v>
      </c>
      <c r="Q463" s="4" t="n">
        <v>0.021</v>
      </c>
      <c r="R463" s="3" t="n">
        <v>206.97</v>
      </c>
      <c r="S463" s="3" t="n">
        <v>96.75</v>
      </c>
      <c r="T463" s="3" t="n">
        <v>100.82</v>
      </c>
      <c r="U463" s="4" t="n">
        <v>0.4871</v>
      </c>
      <c r="V463" s="3" t="n">
        <v>9.4</v>
      </c>
      <c r="W463" t="inlineStr">
        <is>
          <t>Bank Transfer</t>
        </is>
      </c>
      <c r="X463" t="inlineStr">
        <is>
          <t>Low</t>
        </is>
      </c>
    </row>
    <row r="464">
      <c r="A464" t="inlineStr">
        <is>
          <t>ORD-00463</t>
        </is>
      </c>
      <c r="B464" s="2" t="n">
        <v>45730</v>
      </c>
      <c r="C464" s="2" t="n">
        <v>45734</v>
      </c>
      <c r="D464" t="inlineStr">
        <is>
          <t>CUST-00463</t>
        </is>
      </c>
      <c r="E464" t="inlineStr">
        <is>
          <t>Customer 463</t>
        </is>
      </c>
      <c r="F464" t="inlineStr">
        <is>
          <t>Home Office</t>
        </is>
      </c>
      <c r="G464" t="inlineStr">
        <is>
          <t>P1003</t>
        </is>
      </c>
      <c r="H464" t="inlineStr">
        <is>
          <t>ErgoMesh Chair</t>
        </is>
      </c>
      <c r="I464" t="inlineStr">
        <is>
          <t>Office Supplies</t>
        </is>
      </c>
      <c r="J464" t="inlineStr">
        <is>
          <t>Binders</t>
        </is>
      </c>
      <c r="K464" t="inlineStr">
        <is>
          <t>West</t>
        </is>
      </c>
      <c r="L464" t="inlineStr">
        <is>
          <t>Oregon</t>
        </is>
      </c>
      <c r="M464" t="inlineStr">
        <is>
          <t>Los Angeles</t>
        </is>
      </c>
      <c r="N464" t="inlineStr">
        <is>
          <t>James Carter</t>
        </is>
      </c>
      <c r="O464" t="n">
        <v>1</v>
      </c>
      <c r="P464" s="3" t="n">
        <v>157.7</v>
      </c>
      <c r="Q464" s="4" t="n">
        <v>0.025</v>
      </c>
      <c r="R464" s="3" t="n">
        <v>153.76</v>
      </c>
      <c r="S464" s="3" t="n">
        <v>89.09</v>
      </c>
      <c r="T464" s="3" t="n">
        <v>56.87</v>
      </c>
      <c r="U464" s="4" t="n">
        <v>0.3699</v>
      </c>
      <c r="V464" s="3" t="n">
        <v>7.8</v>
      </c>
      <c r="W464" t="inlineStr">
        <is>
          <t>PayPal</t>
        </is>
      </c>
      <c r="X464" t="inlineStr">
        <is>
          <t>Medium</t>
        </is>
      </c>
    </row>
    <row r="465">
      <c r="A465" t="inlineStr">
        <is>
          <t>ORD-00464</t>
        </is>
      </c>
      <c r="B465" s="2" t="n">
        <v>45495</v>
      </c>
      <c r="C465" s="2" t="n">
        <v>45500</v>
      </c>
      <c r="D465" t="inlineStr">
        <is>
          <t>CUST-00464</t>
        </is>
      </c>
      <c r="E465" t="inlineStr">
        <is>
          <t>Customer 464</t>
        </is>
      </c>
      <c r="F465" t="inlineStr">
        <is>
          <t>Consumer</t>
        </is>
      </c>
      <c r="G465" t="inlineStr">
        <is>
          <t>P1009</t>
        </is>
      </c>
      <c r="H465" t="inlineStr">
        <is>
          <t>Nova Laptop Stand</t>
        </is>
      </c>
      <c r="I465" t="inlineStr">
        <is>
          <t>Home Decor</t>
        </is>
      </c>
      <c r="J465" t="inlineStr">
        <is>
          <t>Binders</t>
        </is>
      </c>
      <c r="K465" t="inlineStr">
        <is>
          <t>South</t>
        </is>
      </c>
      <c r="L465" t="inlineStr">
        <is>
          <t>Florida</t>
        </is>
      </c>
      <c r="M465" t="inlineStr">
        <is>
          <t>Dallas</t>
        </is>
      </c>
      <c r="N465" t="inlineStr">
        <is>
          <t>Liam Chen</t>
        </is>
      </c>
      <c r="O465" t="n">
        <v>4</v>
      </c>
      <c r="P465" s="3" t="n">
        <v>89.14</v>
      </c>
      <c r="Q465" s="4" t="n">
        <v>0.05</v>
      </c>
      <c r="R465" s="3" t="n">
        <v>338.73</v>
      </c>
      <c r="S465" s="3" t="n">
        <v>166.68</v>
      </c>
      <c r="T465" s="3" t="n">
        <v>162.85</v>
      </c>
      <c r="U465" s="4" t="n">
        <v>0.4808</v>
      </c>
      <c r="V465" s="3" t="n">
        <v>9.199999999999999</v>
      </c>
      <c r="W465" t="inlineStr">
        <is>
          <t>PayPal</t>
        </is>
      </c>
      <c r="X465" t="inlineStr">
        <is>
          <t>High</t>
        </is>
      </c>
    </row>
    <row r="466">
      <c r="A466" t="inlineStr">
        <is>
          <t>ORD-00465</t>
        </is>
      </c>
      <c r="B466" s="2" t="n">
        <v>45880</v>
      </c>
      <c r="C466" s="2" t="n">
        <v>45885</v>
      </c>
      <c r="D466" t="inlineStr">
        <is>
          <t>CUST-00465</t>
        </is>
      </c>
      <c r="E466" t="inlineStr">
        <is>
          <t>Customer 465</t>
        </is>
      </c>
      <c r="F466" t="inlineStr">
        <is>
          <t>Consumer</t>
        </is>
      </c>
      <c r="G466" t="inlineStr">
        <is>
          <t>P1001</t>
        </is>
      </c>
      <c r="H466" t="inlineStr">
        <is>
          <t>Summit Patio Set</t>
        </is>
      </c>
      <c r="I466" t="inlineStr">
        <is>
          <t>Office Supplies</t>
        </is>
      </c>
      <c r="J466" t="inlineStr">
        <is>
          <t>Lighting</t>
        </is>
      </c>
      <c r="K466" t="inlineStr">
        <is>
          <t>South</t>
        </is>
      </c>
      <c r="L466" t="inlineStr">
        <is>
          <t>Georgia</t>
        </is>
      </c>
      <c r="M466" t="inlineStr">
        <is>
          <t>Miami</t>
        </is>
      </c>
      <c r="N466" t="inlineStr">
        <is>
          <t>Liam Chen</t>
        </is>
      </c>
      <c r="O466" t="n">
        <v>4</v>
      </c>
      <c r="P466" s="3" t="n">
        <v>298.06</v>
      </c>
      <c r="Q466" s="4" t="n">
        <v>0.046</v>
      </c>
      <c r="R466" s="3" t="n">
        <v>1137.4</v>
      </c>
      <c r="S466" s="3" t="n">
        <v>666</v>
      </c>
      <c r="T466" s="3" t="n">
        <v>462.2</v>
      </c>
      <c r="U466" s="4" t="n">
        <v>0.4064</v>
      </c>
      <c r="V466" s="3" t="n">
        <v>9.199999999999999</v>
      </c>
      <c r="W466" t="inlineStr">
        <is>
          <t>PayPal</t>
        </is>
      </c>
      <c r="X466" t="inlineStr">
        <is>
          <t>High</t>
        </is>
      </c>
    </row>
    <row r="467">
      <c r="A467" t="inlineStr">
        <is>
          <t>ORD-00466</t>
        </is>
      </c>
      <c r="B467" s="2" t="n">
        <v>45319</v>
      </c>
      <c r="C467" s="2" t="n">
        <v>45326</v>
      </c>
      <c r="D467" t="inlineStr">
        <is>
          <t>CUST-00466</t>
        </is>
      </c>
      <c r="E467" t="inlineStr">
        <is>
          <t>Customer 466</t>
        </is>
      </c>
      <c r="F467" t="inlineStr">
        <is>
          <t>Corporate</t>
        </is>
      </c>
      <c r="G467" t="inlineStr">
        <is>
          <t>P1001</t>
        </is>
      </c>
      <c r="H467" t="inlineStr">
        <is>
          <t>Tide Cooler</t>
        </is>
      </c>
      <c r="I467" t="inlineStr">
        <is>
          <t>Office Supplies</t>
        </is>
      </c>
      <c r="J467" t="inlineStr">
        <is>
          <t>Bags</t>
        </is>
      </c>
      <c r="K467" t="inlineStr">
        <is>
          <t>East</t>
        </is>
      </c>
      <c r="L467" t="inlineStr">
        <is>
          <t>Massachusetts</t>
        </is>
      </c>
      <c r="M467" t="inlineStr">
        <is>
          <t>Washington</t>
        </is>
      </c>
      <c r="N467" t="inlineStr">
        <is>
          <t>Noah Kim</t>
        </is>
      </c>
      <c r="O467" t="n">
        <v>4</v>
      </c>
      <c r="P467" s="3" t="n">
        <v>290.78</v>
      </c>
      <c r="Q467" s="4" t="n">
        <v>0.018</v>
      </c>
      <c r="R467" s="3" t="n">
        <v>1142.18</v>
      </c>
      <c r="S467" s="3" t="n">
        <v>672.0599999999999</v>
      </c>
      <c r="T467" s="3" t="n">
        <v>459.92</v>
      </c>
      <c r="U467" s="4" t="n">
        <v>0.4027</v>
      </c>
      <c r="V467" s="3" t="n">
        <v>10.2</v>
      </c>
      <c r="W467" t="inlineStr">
        <is>
          <t>Credit Card</t>
        </is>
      </c>
      <c r="X467" t="inlineStr">
        <is>
          <t>Medium</t>
        </is>
      </c>
    </row>
    <row r="468">
      <c r="A468" t="inlineStr">
        <is>
          <t>ORD-00467</t>
        </is>
      </c>
      <c r="B468" s="2" t="n">
        <v>45065</v>
      </c>
      <c r="C468" s="2" t="n">
        <v>45068</v>
      </c>
      <c r="D468" t="inlineStr">
        <is>
          <t>CUST-00467</t>
        </is>
      </c>
      <c r="E468" t="inlineStr">
        <is>
          <t>Customer 467</t>
        </is>
      </c>
      <c r="F468" t="inlineStr">
        <is>
          <t>Consumer</t>
        </is>
      </c>
      <c r="G468" t="inlineStr">
        <is>
          <t>P1019</t>
        </is>
      </c>
      <c r="H468" t="inlineStr">
        <is>
          <t>SmartInk Pen Set</t>
        </is>
      </c>
      <c r="I468" t="inlineStr">
        <is>
          <t>Technology</t>
        </is>
      </c>
      <c r="J468" t="inlineStr">
        <is>
          <t>Binders</t>
        </is>
      </c>
      <c r="K468" t="inlineStr">
        <is>
          <t>North</t>
        </is>
      </c>
      <c r="L468" t="inlineStr">
        <is>
          <t>Ontario</t>
        </is>
      </c>
      <c r="M468" t="inlineStr">
        <is>
          <t>Vancouver</t>
        </is>
      </c>
      <c r="N468" t="inlineStr">
        <is>
          <t>Liam Chen</t>
        </is>
      </c>
      <c r="O468" t="n">
        <v>3</v>
      </c>
      <c r="P468" s="3" t="n">
        <v>56.6</v>
      </c>
      <c r="Q468" s="4" t="n">
        <v>0.01</v>
      </c>
      <c r="R468" s="3" t="n">
        <v>168.1</v>
      </c>
      <c r="S468" s="3" t="n">
        <v>78.06999999999999</v>
      </c>
      <c r="T468" s="3" t="n">
        <v>81.63</v>
      </c>
      <c r="U468" s="4" t="n">
        <v>0.4856</v>
      </c>
      <c r="V468" s="3" t="n">
        <v>8.4</v>
      </c>
      <c r="W468" t="inlineStr">
        <is>
          <t>Bank Transfer</t>
        </is>
      </c>
      <c r="X468" t="inlineStr">
        <is>
          <t>Medium</t>
        </is>
      </c>
    </row>
    <row r="469">
      <c r="A469" t="inlineStr">
        <is>
          <t>ORD-00468</t>
        </is>
      </c>
      <c r="B469" s="2" t="n">
        <v>45663</v>
      </c>
      <c r="C469" s="2" t="n">
        <v>45664</v>
      </c>
      <c r="D469" t="inlineStr">
        <is>
          <t>CUST-00468</t>
        </is>
      </c>
      <c r="E469" t="inlineStr">
        <is>
          <t>Customer 468</t>
        </is>
      </c>
      <c r="F469" t="inlineStr">
        <is>
          <t>Consumer</t>
        </is>
      </c>
      <c r="G469" t="inlineStr">
        <is>
          <t>P1006</t>
        </is>
      </c>
      <c r="H469" t="inlineStr">
        <is>
          <t>Nimbus Monitor Arm</t>
        </is>
      </c>
      <c r="I469" t="inlineStr">
        <is>
          <t>Home Decor</t>
        </is>
      </c>
      <c r="J469" t="inlineStr">
        <is>
          <t>Furniture</t>
        </is>
      </c>
      <c r="K469" t="inlineStr">
        <is>
          <t>Central</t>
        </is>
      </c>
      <c r="L469" t="inlineStr">
        <is>
          <t>Kansas</t>
        </is>
      </c>
      <c r="M469" t="inlineStr">
        <is>
          <t>Minneapolis</t>
        </is>
      </c>
      <c r="N469" t="inlineStr">
        <is>
          <t>Ava Patel</t>
        </is>
      </c>
      <c r="O469" t="n">
        <v>3</v>
      </c>
      <c r="P469" s="3" t="n">
        <v>17.22</v>
      </c>
      <c r="Q469" s="4" t="n">
        <v>0.001</v>
      </c>
      <c r="R469" s="3" t="n">
        <v>51.61</v>
      </c>
      <c r="S469" s="3" t="n">
        <v>21.89</v>
      </c>
      <c r="T469" s="3" t="n">
        <v>21.32</v>
      </c>
      <c r="U469" s="4" t="n">
        <v>0.4131</v>
      </c>
      <c r="V469" s="3" t="n">
        <v>8.4</v>
      </c>
      <c r="W469" t="inlineStr">
        <is>
          <t>Credit Card</t>
        </is>
      </c>
      <c r="X469" t="inlineStr">
        <is>
          <t>Low</t>
        </is>
      </c>
    </row>
    <row r="470">
      <c r="A470" t="inlineStr">
        <is>
          <t>ORD-00469</t>
        </is>
      </c>
      <c r="B470" s="2" t="n">
        <v>45087</v>
      </c>
      <c r="C470" s="2" t="n">
        <v>45092</v>
      </c>
      <c r="D470" t="inlineStr">
        <is>
          <t>CUST-00469</t>
        </is>
      </c>
      <c r="E470" t="inlineStr">
        <is>
          <t>Customer 469</t>
        </is>
      </c>
      <c r="F470" t="inlineStr">
        <is>
          <t>Consumer</t>
        </is>
      </c>
      <c r="G470" t="inlineStr">
        <is>
          <t>P1011</t>
        </is>
      </c>
      <c r="H470" t="inlineStr">
        <is>
          <t>Atlas Throw Pillow</t>
        </is>
      </c>
      <c r="I470" t="inlineStr">
        <is>
          <t>Technology</t>
        </is>
      </c>
      <c r="J470" t="inlineStr">
        <is>
          <t>Furniture</t>
        </is>
      </c>
      <c r="K470" t="inlineStr">
        <is>
          <t>East</t>
        </is>
      </c>
      <c r="L470" t="inlineStr">
        <is>
          <t>Massachusetts</t>
        </is>
      </c>
      <c r="M470" t="inlineStr">
        <is>
          <t>Boston</t>
        </is>
      </c>
      <c r="N470" t="inlineStr">
        <is>
          <t>Mia Rodriguez</t>
        </is>
      </c>
      <c r="O470" t="n">
        <v>4</v>
      </c>
      <c r="P470" s="3" t="n">
        <v>88.02</v>
      </c>
      <c r="Q470" s="4" t="n">
        <v>0.07099999999999999</v>
      </c>
      <c r="R470" s="3" t="n">
        <v>327.08</v>
      </c>
      <c r="S470" s="3" t="n">
        <v>158.51</v>
      </c>
      <c r="T470" s="3" t="n">
        <v>158.37</v>
      </c>
      <c r="U470" s="4" t="n">
        <v>0.4842</v>
      </c>
      <c r="V470" s="3" t="n">
        <v>10.2</v>
      </c>
      <c r="W470" t="inlineStr">
        <is>
          <t>Debit Card</t>
        </is>
      </c>
      <c r="X470" t="inlineStr">
        <is>
          <t>Critical</t>
        </is>
      </c>
    </row>
    <row r="471">
      <c r="A471" t="inlineStr">
        <is>
          <t>ORD-00470</t>
        </is>
      </c>
      <c r="B471" s="2" t="n">
        <v>46011</v>
      </c>
      <c r="C471" s="2" t="n">
        <v>46014</v>
      </c>
      <c r="D471" t="inlineStr">
        <is>
          <t>CUST-00470</t>
        </is>
      </c>
      <c r="E471" t="inlineStr">
        <is>
          <t>Customer 470</t>
        </is>
      </c>
      <c r="F471" t="inlineStr">
        <is>
          <t>Consumer</t>
        </is>
      </c>
      <c r="G471" t="inlineStr">
        <is>
          <t>P1018</t>
        </is>
      </c>
      <c r="H471" t="inlineStr">
        <is>
          <t>CloudDrive File Box</t>
        </is>
      </c>
      <c r="I471" t="inlineStr">
        <is>
          <t>Furniture</t>
        </is>
      </c>
      <c r="J471" t="inlineStr">
        <is>
          <t>Furniture</t>
        </is>
      </c>
      <c r="K471" t="inlineStr">
        <is>
          <t>West</t>
        </is>
      </c>
      <c r="L471" t="inlineStr">
        <is>
          <t>California</t>
        </is>
      </c>
      <c r="M471" t="inlineStr">
        <is>
          <t>Los Angeles</t>
        </is>
      </c>
      <c r="N471" t="inlineStr">
        <is>
          <t>Olivia Martin</t>
        </is>
      </c>
      <c r="O471" t="n">
        <v>2</v>
      </c>
      <c r="P471" s="3" t="n">
        <v>101.31</v>
      </c>
      <c r="Q471" s="4" t="n">
        <v>0.012</v>
      </c>
      <c r="R471" s="3" t="n">
        <v>200.19</v>
      </c>
      <c r="S471" s="3" t="n">
        <v>94.27</v>
      </c>
      <c r="T471" s="3" t="n">
        <v>97.31999999999999</v>
      </c>
      <c r="U471" s="4" t="n">
        <v>0.4861</v>
      </c>
      <c r="V471" s="3" t="n">
        <v>8.6</v>
      </c>
      <c r="W471" t="inlineStr">
        <is>
          <t>Cash on Delivery</t>
        </is>
      </c>
      <c r="X471" t="inlineStr">
        <is>
          <t>Medium</t>
        </is>
      </c>
    </row>
    <row r="472">
      <c r="A472" t="inlineStr">
        <is>
          <t>ORD-00471</t>
        </is>
      </c>
      <c r="B472" s="2" t="n">
        <v>45263</v>
      </c>
      <c r="C472" s="2" t="n">
        <v>45270</v>
      </c>
      <c r="D472" t="inlineStr">
        <is>
          <t>CUST-00471</t>
        </is>
      </c>
      <c r="E472" t="inlineStr">
        <is>
          <t>Customer 471</t>
        </is>
      </c>
      <c r="F472" t="inlineStr">
        <is>
          <t>Home Office</t>
        </is>
      </c>
      <c r="G472" t="inlineStr">
        <is>
          <t>P1014</t>
        </is>
      </c>
      <c r="H472" t="inlineStr">
        <is>
          <t>FlexNote Notebook</t>
        </is>
      </c>
      <c r="I472" t="inlineStr">
        <is>
          <t>Outdoor</t>
        </is>
      </c>
      <c r="J472" t="inlineStr">
        <is>
          <t>Peripherals</t>
        </is>
      </c>
      <c r="K472" t="inlineStr">
        <is>
          <t>North</t>
        </is>
      </c>
      <c r="L472" t="inlineStr">
        <is>
          <t>Alberta</t>
        </is>
      </c>
      <c r="M472" t="inlineStr">
        <is>
          <t>Toronto</t>
        </is>
      </c>
      <c r="N472" t="inlineStr">
        <is>
          <t>Liam Chen</t>
        </is>
      </c>
      <c r="O472" t="n">
        <v>3</v>
      </c>
      <c r="P472" s="3" t="n">
        <v>45.43</v>
      </c>
      <c r="Q472" s="4" t="n">
        <v>0.019</v>
      </c>
      <c r="R472" s="3" t="n">
        <v>133.7</v>
      </c>
      <c r="S472" s="3" t="n">
        <v>58.03</v>
      </c>
      <c r="T472" s="3" t="n">
        <v>67.27</v>
      </c>
      <c r="U472" s="4" t="n">
        <v>0.5031</v>
      </c>
      <c r="V472" s="3" t="n">
        <v>8.4</v>
      </c>
      <c r="W472" t="inlineStr">
        <is>
          <t>Debit Card</t>
        </is>
      </c>
      <c r="X472" t="inlineStr">
        <is>
          <t>Medium</t>
        </is>
      </c>
    </row>
    <row r="473">
      <c r="A473" t="inlineStr">
        <is>
          <t>ORD-00472</t>
        </is>
      </c>
      <c r="B473" s="2" t="n">
        <v>45922</v>
      </c>
      <c r="C473" s="2" t="n">
        <v>45926</v>
      </c>
      <c r="D473" t="inlineStr">
        <is>
          <t>CUST-00472</t>
        </is>
      </c>
      <c r="E473" t="inlineStr">
        <is>
          <t>Customer 472</t>
        </is>
      </c>
      <c r="F473" t="inlineStr">
        <is>
          <t>Corporate</t>
        </is>
      </c>
      <c r="G473" t="inlineStr">
        <is>
          <t>P1016</t>
        </is>
      </c>
      <c r="H473" t="inlineStr">
        <is>
          <t>Summit Patio Set</t>
        </is>
      </c>
      <c r="I473" t="inlineStr">
        <is>
          <t>Technology</t>
        </is>
      </c>
      <c r="J473" t="inlineStr">
        <is>
          <t>Peripherals</t>
        </is>
      </c>
      <c r="K473" t="inlineStr">
        <is>
          <t>West</t>
        </is>
      </c>
      <c r="L473" t="inlineStr">
        <is>
          <t>California</t>
        </is>
      </c>
      <c r="M473" t="inlineStr">
        <is>
          <t>Seattle</t>
        </is>
      </c>
      <c r="N473" t="inlineStr">
        <is>
          <t>Olivia Martin</t>
        </is>
      </c>
      <c r="O473" t="n">
        <v>3</v>
      </c>
      <c r="P473" s="3" t="n">
        <v>39.08</v>
      </c>
      <c r="Q473" s="4" t="n">
        <v>0.024</v>
      </c>
      <c r="R473" s="3" t="n">
        <v>114.43</v>
      </c>
      <c r="S473" s="3" t="n">
        <v>52.56</v>
      </c>
      <c r="T473" s="3" t="n">
        <v>52.47</v>
      </c>
      <c r="U473" s="4" t="n">
        <v>0.4585</v>
      </c>
      <c r="V473" s="3" t="n">
        <v>9.4</v>
      </c>
      <c r="W473" t="inlineStr">
        <is>
          <t>Credit Card</t>
        </is>
      </c>
      <c r="X473" t="inlineStr">
        <is>
          <t>Medium</t>
        </is>
      </c>
    </row>
    <row r="474">
      <c r="A474" t="inlineStr">
        <is>
          <t>ORD-00473</t>
        </is>
      </c>
      <c r="B474" s="2" t="n">
        <v>45000</v>
      </c>
      <c r="C474" s="2" t="n">
        <v>45004</v>
      </c>
      <c r="D474" t="inlineStr">
        <is>
          <t>CUST-00473</t>
        </is>
      </c>
      <c r="E474" t="inlineStr">
        <is>
          <t>Customer 473</t>
        </is>
      </c>
      <c r="F474" t="inlineStr">
        <is>
          <t>Consumer</t>
        </is>
      </c>
      <c r="G474" t="inlineStr">
        <is>
          <t>P1001</t>
        </is>
      </c>
      <c r="H474" t="inlineStr">
        <is>
          <t>Northstar Lantern</t>
        </is>
      </c>
      <c r="I474" t="inlineStr">
        <is>
          <t>Furniture</t>
        </is>
      </c>
      <c r="J474" t="inlineStr">
        <is>
          <t>Storage</t>
        </is>
      </c>
      <c r="K474" t="inlineStr">
        <is>
          <t>South</t>
        </is>
      </c>
      <c r="L474" t="inlineStr">
        <is>
          <t>Texas</t>
        </is>
      </c>
      <c r="M474" t="inlineStr">
        <is>
          <t>Houston</t>
        </is>
      </c>
      <c r="N474" t="inlineStr">
        <is>
          <t>Ethan Brooks</t>
        </is>
      </c>
      <c r="O474" t="n">
        <v>2</v>
      </c>
      <c r="P474" s="3" t="n">
        <v>272.93</v>
      </c>
      <c r="Q474" s="4" t="n">
        <v>0.008999999999999999</v>
      </c>
      <c r="R474" s="3" t="n">
        <v>540.95</v>
      </c>
      <c r="S474" s="3" t="n">
        <v>320.46</v>
      </c>
      <c r="T474" s="3" t="n">
        <v>212.89</v>
      </c>
      <c r="U474" s="4" t="n">
        <v>0.3935</v>
      </c>
      <c r="V474" s="3" t="n">
        <v>7.6</v>
      </c>
      <c r="W474" t="inlineStr">
        <is>
          <t>Credit Card</t>
        </is>
      </c>
      <c r="X474" t="inlineStr">
        <is>
          <t>Low</t>
        </is>
      </c>
    </row>
    <row r="475">
      <c r="A475" t="inlineStr">
        <is>
          <t>ORD-00474</t>
        </is>
      </c>
      <c r="B475" s="2" t="n">
        <v>46002</v>
      </c>
      <c r="C475" s="2" t="n">
        <v>46008</v>
      </c>
      <c r="D475" t="inlineStr">
        <is>
          <t>CUST-00474</t>
        </is>
      </c>
      <c r="E475" t="inlineStr">
        <is>
          <t>Customer 474</t>
        </is>
      </c>
      <c r="F475" t="inlineStr">
        <is>
          <t>Corporate</t>
        </is>
      </c>
      <c r="G475" t="inlineStr">
        <is>
          <t>P1010</t>
        </is>
      </c>
      <c r="H475" t="inlineStr">
        <is>
          <t>Tide Cooler</t>
        </is>
      </c>
      <c r="I475" t="inlineStr">
        <is>
          <t>Furniture</t>
        </is>
      </c>
      <c r="J475" t="inlineStr">
        <is>
          <t>Decor</t>
        </is>
      </c>
      <c r="K475" t="inlineStr">
        <is>
          <t>East</t>
        </is>
      </c>
      <c r="L475" t="inlineStr">
        <is>
          <t>Virginia</t>
        </is>
      </c>
      <c r="M475" t="inlineStr">
        <is>
          <t>Washington</t>
        </is>
      </c>
      <c r="N475" t="inlineStr">
        <is>
          <t>Olivia Martin</t>
        </is>
      </c>
      <c r="O475" t="n">
        <v>4</v>
      </c>
      <c r="P475" s="3" t="n">
        <v>60.16</v>
      </c>
      <c r="Q475" s="4" t="n">
        <v>0.05</v>
      </c>
      <c r="R475" s="3" t="n">
        <v>228.61</v>
      </c>
      <c r="S475" s="3" t="n">
        <v>103.42</v>
      </c>
      <c r="T475" s="3" t="n">
        <v>114.99</v>
      </c>
      <c r="U475" s="4" t="n">
        <v>0.503</v>
      </c>
      <c r="V475" s="3" t="n">
        <v>10.2</v>
      </c>
      <c r="W475" t="inlineStr">
        <is>
          <t>Cash on Delivery</t>
        </is>
      </c>
      <c r="X475" t="inlineStr">
        <is>
          <t>Critical</t>
        </is>
      </c>
    </row>
    <row r="476">
      <c r="A476" t="inlineStr">
        <is>
          <t>ORD-00475</t>
        </is>
      </c>
      <c r="B476" s="2" t="n">
        <v>45495</v>
      </c>
      <c r="C476" s="2" t="n">
        <v>45497</v>
      </c>
      <c r="D476" t="inlineStr">
        <is>
          <t>CUST-00475</t>
        </is>
      </c>
      <c r="E476" t="inlineStr">
        <is>
          <t>Customer 475</t>
        </is>
      </c>
      <c r="F476" t="inlineStr">
        <is>
          <t>Home Office</t>
        </is>
      </c>
      <c r="G476" t="inlineStr">
        <is>
          <t>P1010</t>
        </is>
      </c>
      <c r="H476" t="inlineStr">
        <is>
          <t>FlexNote Notebook</t>
        </is>
      </c>
      <c r="I476" t="inlineStr">
        <is>
          <t>Office Supplies</t>
        </is>
      </c>
      <c r="J476" t="inlineStr">
        <is>
          <t>Lighting</t>
        </is>
      </c>
      <c r="K476" t="inlineStr">
        <is>
          <t>West</t>
        </is>
      </c>
      <c r="L476" t="inlineStr">
        <is>
          <t>California</t>
        </is>
      </c>
      <c r="M476" t="inlineStr">
        <is>
          <t>Los Angeles</t>
        </is>
      </c>
      <c r="N476" t="inlineStr">
        <is>
          <t>Ethan Brooks</t>
        </is>
      </c>
      <c r="O476" t="n">
        <v>3</v>
      </c>
      <c r="P476" s="3" t="n">
        <v>60.96</v>
      </c>
      <c r="Q476" s="4" t="n">
        <v>0.034</v>
      </c>
      <c r="R476" s="3" t="n">
        <v>176.66</v>
      </c>
      <c r="S476" s="3" t="n">
        <v>76.54000000000001</v>
      </c>
      <c r="T476" s="3" t="n">
        <v>90.72</v>
      </c>
      <c r="U476" s="4" t="n">
        <v>0.5135</v>
      </c>
      <c r="V476" s="3" t="n">
        <v>9.4</v>
      </c>
      <c r="W476" t="inlineStr">
        <is>
          <t>Bank Transfer</t>
        </is>
      </c>
      <c r="X476" t="inlineStr">
        <is>
          <t>Medium</t>
        </is>
      </c>
    </row>
    <row r="477">
      <c r="A477" t="inlineStr">
        <is>
          <t>ORD-00476</t>
        </is>
      </c>
      <c r="B477" s="2" t="n">
        <v>45718</v>
      </c>
      <c r="C477" s="2" t="n">
        <v>45723</v>
      </c>
      <c r="D477" t="inlineStr">
        <is>
          <t>CUST-00476</t>
        </is>
      </c>
      <c r="E477" t="inlineStr">
        <is>
          <t>Customer 476</t>
        </is>
      </c>
      <c r="F477" t="inlineStr">
        <is>
          <t>Consumer</t>
        </is>
      </c>
      <c r="G477" t="inlineStr">
        <is>
          <t>P1013</t>
        </is>
      </c>
      <c r="H477" t="inlineStr">
        <is>
          <t>SmartInk Pen Set</t>
        </is>
      </c>
      <c r="I477" t="inlineStr">
        <is>
          <t>Home Decor</t>
        </is>
      </c>
      <c r="J477" t="inlineStr">
        <is>
          <t>Coolers</t>
        </is>
      </c>
      <c r="K477" t="inlineStr">
        <is>
          <t>Central</t>
        </is>
      </c>
      <c r="L477" t="inlineStr">
        <is>
          <t>Illinois</t>
        </is>
      </c>
      <c r="M477" t="inlineStr">
        <is>
          <t>Chicago</t>
        </is>
      </c>
      <c r="N477" t="inlineStr">
        <is>
          <t>Ethan Brooks</t>
        </is>
      </c>
      <c r="O477" t="n">
        <v>3</v>
      </c>
      <c r="P477" s="3" t="n">
        <v>159.16</v>
      </c>
      <c r="Q477" s="4" t="n">
        <v>0.019</v>
      </c>
      <c r="R477" s="3" t="n">
        <v>468.41</v>
      </c>
      <c r="S477" s="3" t="n">
        <v>273.59</v>
      </c>
      <c r="T477" s="3" t="n">
        <v>186.42</v>
      </c>
      <c r="U477" s="4" t="n">
        <v>0.398</v>
      </c>
      <c r="V477" s="3" t="n">
        <v>8.4</v>
      </c>
      <c r="W477" t="inlineStr">
        <is>
          <t>Credit Card</t>
        </is>
      </c>
      <c r="X477" t="inlineStr">
        <is>
          <t>Medium</t>
        </is>
      </c>
    </row>
    <row r="478">
      <c r="A478" t="inlineStr">
        <is>
          <t>ORD-00477</t>
        </is>
      </c>
      <c r="B478" s="2" t="n">
        <v>45285</v>
      </c>
      <c r="C478" s="2" t="n">
        <v>45292</v>
      </c>
      <c r="D478" t="inlineStr">
        <is>
          <t>CUST-00477</t>
        </is>
      </c>
      <c r="E478" t="inlineStr">
        <is>
          <t>Customer 477</t>
        </is>
      </c>
      <c r="F478" t="inlineStr">
        <is>
          <t>Consumer</t>
        </is>
      </c>
      <c r="G478" t="inlineStr">
        <is>
          <t>P1001</t>
        </is>
      </c>
      <c r="H478" t="inlineStr">
        <is>
          <t>Tide Cooler</t>
        </is>
      </c>
      <c r="I478" t="inlineStr">
        <is>
          <t>Office Supplies</t>
        </is>
      </c>
      <c r="J478" t="inlineStr">
        <is>
          <t>Plants</t>
        </is>
      </c>
      <c r="K478" t="inlineStr">
        <is>
          <t>South</t>
        </is>
      </c>
      <c r="L478" t="inlineStr">
        <is>
          <t>Texas</t>
        </is>
      </c>
      <c r="M478" t="inlineStr">
        <is>
          <t>Miami</t>
        </is>
      </c>
      <c r="N478" t="inlineStr">
        <is>
          <t>Ethan Brooks</t>
        </is>
      </c>
      <c r="O478" t="n">
        <v>2</v>
      </c>
      <c r="P478" s="3" t="n">
        <v>317.02</v>
      </c>
      <c r="Q478" s="4" t="n">
        <v>0.01</v>
      </c>
      <c r="R478" s="3" t="n">
        <v>627.7</v>
      </c>
      <c r="S478" s="3" t="n">
        <v>373.58</v>
      </c>
      <c r="T478" s="3" t="n">
        <v>246.52</v>
      </c>
      <c r="U478" s="4" t="n">
        <v>0.3927</v>
      </c>
      <c r="V478" s="3" t="n">
        <v>7.6</v>
      </c>
      <c r="W478" t="inlineStr">
        <is>
          <t>Cash on Delivery</t>
        </is>
      </c>
      <c r="X478" t="inlineStr">
        <is>
          <t>Low</t>
        </is>
      </c>
    </row>
    <row r="479">
      <c r="A479" t="inlineStr">
        <is>
          <t>ORD-00478</t>
        </is>
      </c>
      <c r="B479" s="2" t="n">
        <v>45589</v>
      </c>
      <c r="C479" s="2" t="n">
        <v>45592</v>
      </c>
      <c r="D479" t="inlineStr">
        <is>
          <t>CUST-00478</t>
        </is>
      </c>
      <c r="E479" t="inlineStr">
        <is>
          <t>Customer 478</t>
        </is>
      </c>
      <c r="F479" t="inlineStr">
        <is>
          <t>Home Office</t>
        </is>
      </c>
      <c r="G479" t="inlineStr">
        <is>
          <t>P1003</t>
        </is>
      </c>
      <c r="H479" t="inlineStr">
        <is>
          <t>Harbor Rug</t>
        </is>
      </c>
      <c r="I479" t="inlineStr">
        <is>
          <t>Furniture</t>
        </is>
      </c>
      <c r="J479" t="inlineStr">
        <is>
          <t>Coolers</t>
        </is>
      </c>
      <c r="K479" t="inlineStr">
        <is>
          <t>Central</t>
        </is>
      </c>
      <c r="L479" t="inlineStr">
        <is>
          <t>Missouri</t>
        </is>
      </c>
      <c r="M479" t="inlineStr">
        <is>
          <t>Chicago</t>
        </is>
      </c>
      <c r="N479" t="inlineStr">
        <is>
          <t>Sophia Singh</t>
        </is>
      </c>
      <c r="O479" t="n">
        <v>2</v>
      </c>
      <c r="P479" s="3" t="n">
        <v>163.78</v>
      </c>
      <c r="Q479" s="4" t="n">
        <v>0.014</v>
      </c>
      <c r="R479" s="3" t="n">
        <v>322.97</v>
      </c>
      <c r="S479" s="3" t="n">
        <v>173.46</v>
      </c>
      <c r="T479" s="3" t="n">
        <v>141.91</v>
      </c>
      <c r="U479" s="4" t="n">
        <v>0.4394</v>
      </c>
      <c r="V479" s="3" t="n">
        <v>7.6</v>
      </c>
      <c r="W479" t="inlineStr">
        <is>
          <t>Credit Card</t>
        </is>
      </c>
      <c r="X479" t="inlineStr">
        <is>
          <t>Medium</t>
        </is>
      </c>
    </row>
    <row r="480">
      <c r="A480" t="inlineStr">
        <is>
          <t>ORD-00479</t>
        </is>
      </c>
      <c r="B480" s="2" t="n">
        <v>45936</v>
      </c>
      <c r="C480" s="2" t="n">
        <v>45942</v>
      </c>
      <c r="D480" t="inlineStr">
        <is>
          <t>CUST-00479</t>
        </is>
      </c>
      <c r="E480" t="inlineStr">
        <is>
          <t>Customer 479</t>
        </is>
      </c>
      <c r="F480" t="inlineStr">
        <is>
          <t>Home Office</t>
        </is>
      </c>
      <c r="G480" t="inlineStr">
        <is>
          <t>P1014</t>
        </is>
      </c>
      <c r="H480" t="inlineStr">
        <is>
          <t>Pulse Keyboard</t>
        </is>
      </c>
      <c r="I480" t="inlineStr">
        <is>
          <t>Outdoor</t>
        </is>
      </c>
      <c r="J480" t="inlineStr">
        <is>
          <t>Bags</t>
        </is>
      </c>
      <c r="K480" t="inlineStr">
        <is>
          <t>East</t>
        </is>
      </c>
      <c r="L480" t="inlineStr">
        <is>
          <t>Virginia</t>
        </is>
      </c>
      <c r="M480" t="inlineStr">
        <is>
          <t>Washington</t>
        </is>
      </c>
      <c r="N480" t="inlineStr">
        <is>
          <t>Ethan Brooks</t>
        </is>
      </c>
      <c r="O480" t="n">
        <v>4</v>
      </c>
      <c r="P480" s="3" t="n">
        <v>44.65</v>
      </c>
      <c r="Q480" s="4" t="n">
        <v>0.023</v>
      </c>
      <c r="R480" s="3" t="n">
        <v>174.49</v>
      </c>
      <c r="S480" s="3" t="n">
        <v>75.37</v>
      </c>
      <c r="T480" s="3" t="n">
        <v>88.92</v>
      </c>
      <c r="U480" s="4" t="n">
        <v>0.5096000000000001</v>
      </c>
      <c r="V480" s="3" t="n">
        <v>10.2</v>
      </c>
      <c r="W480" t="inlineStr">
        <is>
          <t>Cash on Delivery</t>
        </is>
      </c>
      <c r="X480" t="inlineStr">
        <is>
          <t>Medium</t>
        </is>
      </c>
    </row>
    <row r="481">
      <c r="A481" t="inlineStr">
        <is>
          <t>ORD-00480</t>
        </is>
      </c>
      <c r="B481" s="2" t="n">
        <v>45582</v>
      </c>
      <c r="C481" s="2" t="n">
        <v>45585</v>
      </c>
      <c r="D481" t="inlineStr">
        <is>
          <t>CUST-00480</t>
        </is>
      </c>
      <c r="E481" t="inlineStr">
        <is>
          <t>Customer 480</t>
        </is>
      </c>
      <c r="F481" t="inlineStr">
        <is>
          <t>Consumer</t>
        </is>
      </c>
      <c r="G481" t="inlineStr">
        <is>
          <t>P1016</t>
        </is>
      </c>
      <c r="H481" t="inlineStr">
        <is>
          <t>FlexNote Notebook</t>
        </is>
      </c>
      <c r="I481" t="inlineStr">
        <is>
          <t>Furniture</t>
        </is>
      </c>
      <c r="J481" t="inlineStr">
        <is>
          <t>Furniture</t>
        </is>
      </c>
      <c r="K481" t="inlineStr">
        <is>
          <t>South</t>
        </is>
      </c>
      <c r="L481" t="inlineStr">
        <is>
          <t>Florida</t>
        </is>
      </c>
      <c r="M481" t="inlineStr">
        <is>
          <t>Miami</t>
        </is>
      </c>
      <c r="N481" t="inlineStr">
        <is>
          <t>Sophia Singh</t>
        </is>
      </c>
      <c r="O481" t="n">
        <v>2</v>
      </c>
      <c r="P481" s="3" t="n">
        <v>41.04</v>
      </c>
      <c r="Q481" s="4" t="n">
        <v>0.023</v>
      </c>
      <c r="R481" s="3" t="n">
        <v>80.19</v>
      </c>
      <c r="S481" s="3" t="n">
        <v>33.71</v>
      </c>
      <c r="T481" s="3" t="n">
        <v>38.88</v>
      </c>
      <c r="U481" s="4" t="n">
        <v>0.4848</v>
      </c>
      <c r="V481" s="3" t="n">
        <v>7.6</v>
      </c>
      <c r="W481" t="inlineStr">
        <is>
          <t>Bank Transfer</t>
        </is>
      </c>
      <c r="X481" t="inlineStr">
        <is>
          <t>Medium</t>
        </is>
      </c>
    </row>
    <row r="482">
      <c r="A482" t="inlineStr">
        <is>
          <t>ORD-00481</t>
        </is>
      </c>
      <c r="B482" s="2" t="n">
        <v>45410</v>
      </c>
      <c r="C482" s="2" t="n">
        <v>45411</v>
      </c>
      <c r="D482" t="inlineStr">
        <is>
          <t>CUST-00481</t>
        </is>
      </c>
      <c r="E482" t="inlineStr">
        <is>
          <t>Customer 481</t>
        </is>
      </c>
      <c r="F482" t="inlineStr">
        <is>
          <t>Consumer</t>
        </is>
      </c>
      <c r="G482" t="inlineStr">
        <is>
          <t>P1020</t>
        </is>
      </c>
      <c r="H482" t="inlineStr">
        <is>
          <t>Halo Planter</t>
        </is>
      </c>
      <c r="I482" t="inlineStr">
        <is>
          <t>Outdoor</t>
        </is>
      </c>
      <c r="J482" t="inlineStr">
        <is>
          <t>Paper</t>
        </is>
      </c>
      <c r="K482" t="inlineStr">
        <is>
          <t>West</t>
        </is>
      </c>
      <c r="L482" t="inlineStr">
        <is>
          <t>Colorado</t>
        </is>
      </c>
      <c r="M482" t="inlineStr">
        <is>
          <t>Los Angeles</t>
        </is>
      </c>
      <c r="N482" t="inlineStr">
        <is>
          <t>Sophia Singh</t>
        </is>
      </c>
      <c r="O482" t="n">
        <v>6</v>
      </c>
      <c r="P482" s="3" t="n">
        <v>75.45999999999999</v>
      </c>
      <c r="Q482" s="4" t="n">
        <v>0.01</v>
      </c>
      <c r="R482" s="3" t="n">
        <v>448.23</v>
      </c>
      <c r="S482" s="3" t="n">
        <v>212.1</v>
      </c>
      <c r="T482" s="3" t="n">
        <v>224.33</v>
      </c>
      <c r="U482" s="4" t="n">
        <v>0.5004999999999999</v>
      </c>
      <c r="V482" s="3" t="n">
        <v>11.8</v>
      </c>
      <c r="W482" t="inlineStr">
        <is>
          <t>Cash on Delivery</t>
        </is>
      </c>
      <c r="X482" t="inlineStr">
        <is>
          <t>Low</t>
        </is>
      </c>
    </row>
    <row r="483">
      <c r="A483" t="inlineStr">
        <is>
          <t>ORD-00482</t>
        </is>
      </c>
      <c r="B483" s="2" t="n">
        <v>45765</v>
      </c>
      <c r="C483" s="2" t="n">
        <v>45771</v>
      </c>
      <c r="D483" t="inlineStr">
        <is>
          <t>CUST-00482</t>
        </is>
      </c>
      <c r="E483" t="inlineStr">
        <is>
          <t>Customer 482</t>
        </is>
      </c>
      <c r="F483" t="inlineStr">
        <is>
          <t>Consumer</t>
        </is>
      </c>
      <c r="G483" t="inlineStr">
        <is>
          <t>P1006</t>
        </is>
      </c>
      <c r="H483" t="inlineStr">
        <is>
          <t>SmartInk Pen Set</t>
        </is>
      </c>
      <c r="I483" t="inlineStr">
        <is>
          <t>Office Supplies</t>
        </is>
      </c>
      <c r="J483" t="inlineStr">
        <is>
          <t>Desks</t>
        </is>
      </c>
      <c r="K483" t="inlineStr">
        <is>
          <t>Central</t>
        </is>
      </c>
      <c r="L483" t="inlineStr">
        <is>
          <t>Minnesota</t>
        </is>
      </c>
      <c r="M483" t="inlineStr">
        <is>
          <t>Kansas City</t>
        </is>
      </c>
      <c r="N483" t="inlineStr">
        <is>
          <t>Noah Kim</t>
        </is>
      </c>
      <c r="O483" t="n">
        <v>4</v>
      </c>
      <c r="P483" s="3" t="n">
        <v>18.13</v>
      </c>
      <c r="Q483" s="4" t="n">
        <v>0.011</v>
      </c>
      <c r="R483" s="3" t="n">
        <v>71.72</v>
      </c>
      <c r="S483" s="3" t="n">
        <v>26.76</v>
      </c>
      <c r="T483" s="3" t="n">
        <v>35.76</v>
      </c>
      <c r="U483" s="4" t="n">
        <v>0.4986</v>
      </c>
      <c r="V483" s="3" t="n">
        <v>9.199999999999999</v>
      </c>
      <c r="W483" t="inlineStr">
        <is>
          <t>Credit Card</t>
        </is>
      </c>
      <c r="X483" t="inlineStr">
        <is>
          <t>Medium</t>
        </is>
      </c>
    </row>
    <row r="484">
      <c r="A484" t="inlineStr">
        <is>
          <t>ORD-00483</t>
        </is>
      </c>
      <c r="B484" s="2" t="n">
        <v>45569</v>
      </c>
      <c r="C484" s="2" t="n">
        <v>45576</v>
      </c>
      <c r="D484" t="inlineStr">
        <is>
          <t>CUST-00483</t>
        </is>
      </c>
      <c r="E484" t="inlineStr">
        <is>
          <t>Customer 483</t>
        </is>
      </c>
      <c r="F484" t="inlineStr">
        <is>
          <t>Consumer</t>
        </is>
      </c>
      <c r="G484" t="inlineStr">
        <is>
          <t>P1001</t>
        </is>
      </c>
      <c r="H484" t="inlineStr">
        <is>
          <t>FlexNote Notebook</t>
        </is>
      </c>
      <c r="I484" t="inlineStr">
        <is>
          <t>Outdoor</t>
        </is>
      </c>
      <c r="J484" t="inlineStr">
        <is>
          <t>Peripherals</t>
        </is>
      </c>
      <c r="K484" t="inlineStr">
        <is>
          <t>North</t>
        </is>
      </c>
      <c r="L484" t="inlineStr">
        <is>
          <t>Quebec</t>
        </is>
      </c>
      <c r="M484" t="inlineStr">
        <is>
          <t>Montreal</t>
        </is>
      </c>
      <c r="N484" t="inlineStr">
        <is>
          <t>Ethan Brooks</t>
        </is>
      </c>
      <c r="O484" t="n">
        <v>2</v>
      </c>
      <c r="P484" s="3" t="n">
        <v>316.28</v>
      </c>
      <c r="Q484" s="4" t="n">
        <v>0.022</v>
      </c>
      <c r="R484" s="3" t="n">
        <v>618.64</v>
      </c>
      <c r="S484" s="3" t="n">
        <v>366.22</v>
      </c>
      <c r="T484" s="3" t="n">
        <v>244.82</v>
      </c>
      <c r="U484" s="4" t="n">
        <v>0.3957</v>
      </c>
      <c r="V484" s="3" t="n">
        <v>7.6</v>
      </c>
      <c r="W484" t="inlineStr">
        <is>
          <t>Credit Card</t>
        </is>
      </c>
      <c r="X484" t="inlineStr">
        <is>
          <t>High</t>
        </is>
      </c>
    </row>
    <row r="485">
      <c r="A485" t="inlineStr">
        <is>
          <t>ORD-00484</t>
        </is>
      </c>
      <c r="B485" s="2" t="n">
        <v>45405</v>
      </c>
      <c r="C485" s="2" t="n">
        <v>45408</v>
      </c>
      <c r="D485" t="inlineStr">
        <is>
          <t>CUST-00484</t>
        </is>
      </c>
      <c r="E485" t="inlineStr">
        <is>
          <t>Customer 484</t>
        </is>
      </c>
      <c r="F485" t="inlineStr">
        <is>
          <t>Corporate</t>
        </is>
      </c>
      <c r="G485" t="inlineStr">
        <is>
          <t>P1020</t>
        </is>
      </c>
      <c r="H485" t="inlineStr">
        <is>
          <t>SmartInk Pen Set</t>
        </is>
      </c>
      <c r="I485" t="inlineStr">
        <is>
          <t>Home Decor</t>
        </is>
      </c>
      <c r="J485" t="inlineStr">
        <is>
          <t>Textiles</t>
        </is>
      </c>
      <c r="K485" t="inlineStr">
        <is>
          <t>South</t>
        </is>
      </c>
      <c r="L485" t="inlineStr">
        <is>
          <t>Texas</t>
        </is>
      </c>
      <c r="M485" t="inlineStr">
        <is>
          <t>Atlanta</t>
        </is>
      </c>
      <c r="N485" t="inlineStr">
        <is>
          <t>Sophia Singh</t>
        </is>
      </c>
      <c r="O485" t="n">
        <v>1</v>
      </c>
      <c r="P485" s="3" t="n">
        <v>70.95</v>
      </c>
      <c r="Q485" s="4" t="n">
        <v>0.048</v>
      </c>
      <c r="R485" s="3" t="n">
        <v>67.54000000000001</v>
      </c>
      <c r="S485" s="3" t="n">
        <v>35.75</v>
      </c>
      <c r="T485" s="3" t="n">
        <v>24.99</v>
      </c>
      <c r="U485" s="4" t="n">
        <v>0.37</v>
      </c>
      <c r="V485" s="3" t="n">
        <v>6.8</v>
      </c>
      <c r="W485" t="inlineStr">
        <is>
          <t>Bank Transfer</t>
        </is>
      </c>
      <c r="X485" t="inlineStr">
        <is>
          <t>High</t>
        </is>
      </c>
    </row>
    <row r="486">
      <c r="A486" t="inlineStr">
        <is>
          <t>ORD-00485</t>
        </is>
      </c>
      <c r="B486" s="2" t="n">
        <v>45452</v>
      </c>
      <c r="C486" s="2" t="n">
        <v>45457</v>
      </c>
      <c r="D486" t="inlineStr">
        <is>
          <t>CUST-00485</t>
        </is>
      </c>
      <c r="E486" t="inlineStr">
        <is>
          <t>Customer 485</t>
        </is>
      </c>
      <c r="F486" t="inlineStr">
        <is>
          <t>Consumer</t>
        </is>
      </c>
      <c r="G486" t="inlineStr">
        <is>
          <t>P1005</t>
        </is>
      </c>
      <c r="H486" t="inlineStr">
        <is>
          <t>Summit Patio Set</t>
        </is>
      </c>
      <c r="I486" t="inlineStr">
        <is>
          <t>Office Supplies</t>
        </is>
      </c>
      <c r="J486" t="inlineStr">
        <is>
          <t>Writing</t>
        </is>
      </c>
      <c r="K486" t="inlineStr">
        <is>
          <t>East</t>
        </is>
      </c>
      <c r="L486" t="inlineStr">
        <is>
          <t>New York</t>
        </is>
      </c>
      <c r="M486" t="inlineStr">
        <is>
          <t>Philadelphia</t>
        </is>
      </c>
      <c r="N486" t="inlineStr">
        <is>
          <t>Noah Kim</t>
        </is>
      </c>
      <c r="O486" t="n">
        <v>2</v>
      </c>
      <c r="P486" s="3" t="n">
        <v>13.06</v>
      </c>
      <c r="Q486" s="4" t="n">
        <v>0.017</v>
      </c>
      <c r="R486" s="3" t="n">
        <v>25.68</v>
      </c>
      <c r="S486" s="3" t="n">
        <v>18.06</v>
      </c>
      <c r="T486" s="3" t="n">
        <v>-0.98</v>
      </c>
      <c r="U486" s="4" t="n">
        <v>-0.0382</v>
      </c>
      <c r="V486" s="3" t="n">
        <v>8.6</v>
      </c>
      <c r="W486" t="inlineStr">
        <is>
          <t>Debit Card</t>
        </is>
      </c>
      <c r="X486" t="inlineStr">
        <is>
          <t>Medium</t>
        </is>
      </c>
    </row>
    <row r="487">
      <c r="A487" t="inlineStr">
        <is>
          <t>ORD-00486</t>
        </is>
      </c>
      <c r="B487" s="2" t="n">
        <v>45971</v>
      </c>
      <c r="C487" s="2" t="n">
        <v>45974</v>
      </c>
      <c r="D487" t="inlineStr">
        <is>
          <t>CUST-00486</t>
        </is>
      </c>
      <c r="E487" t="inlineStr">
        <is>
          <t>Customer 486</t>
        </is>
      </c>
      <c r="F487" t="inlineStr">
        <is>
          <t>Consumer</t>
        </is>
      </c>
      <c r="G487" t="inlineStr">
        <is>
          <t>P1008</t>
        </is>
      </c>
      <c r="H487" t="inlineStr">
        <is>
          <t>Nova Laptop Stand</t>
        </is>
      </c>
      <c r="I487" t="inlineStr">
        <is>
          <t>Furniture</t>
        </is>
      </c>
      <c r="J487" t="inlineStr">
        <is>
          <t>Textiles</t>
        </is>
      </c>
      <c r="K487" t="inlineStr">
        <is>
          <t>West</t>
        </is>
      </c>
      <c r="L487" t="inlineStr">
        <is>
          <t>Colorado</t>
        </is>
      </c>
      <c r="M487" t="inlineStr">
        <is>
          <t>Denver</t>
        </is>
      </c>
      <c r="N487" t="inlineStr">
        <is>
          <t>Mia Rodriguez</t>
        </is>
      </c>
      <c r="O487" t="n">
        <v>2</v>
      </c>
      <c r="P487" s="3" t="n">
        <v>38.18</v>
      </c>
      <c r="Q487" s="4" t="n">
        <v>0.045</v>
      </c>
      <c r="R487" s="3" t="n">
        <v>72.92</v>
      </c>
      <c r="S487" s="3" t="n">
        <v>37.25</v>
      </c>
      <c r="T487" s="3" t="n">
        <v>27.07</v>
      </c>
      <c r="U487" s="4" t="n">
        <v>0.3712</v>
      </c>
      <c r="V487" s="3" t="n">
        <v>8.6</v>
      </c>
      <c r="W487" t="inlineStr">
        <is>
          <t>Credit Card</t>
        </is>
      </c>
      <c r="X487" t="inlineStr">
        <is>
          <t>High</t>
        </is>
      </c>
    </row>
    <row r="488">
      <c r="A488" t="inlineStr">
        <is>
          <t>ORD-00487</t>
        </is>
      </c>
      <c r="B488" s="2" t="n">
        <v>45251</v>
      </c>
      <c r="C488" s="2" t="n">
        <v>45253</v>
      </c>
      <c r="D488" t="inlineStr">
        <is>
          <t>CUST-00487</t>
        </is>
      </c>
      <c r="E488" t="inlineStr">
        <is>
          <t>Customer 487</t>
        </is>
      </c>
      <c r="F488" t="inlineStr">
        <is>
          <t>Consumer</t>
        </is>
      </c>
      <c r="G488" t="inlineStr">
        <is>
          <t>P1012</t>
        </is>
      </c>
      <c r="H488" t="inlineStr">
        <is>
          <t>ProClip Binder</t>
        </is>
      </c>
      <c r="I488" t="inlineStr">
        <is>
          <t>Technology</t>
        </is>
      </c>
      <c r="J488" t="inlineStr">
        <is>
          <t>Binders</t>
        </is>
      </c>
      <c r="K488" t="inlineStr">
        <is>
          <t>West</t>
        </is>
      </c>
      <c r="L488" t="inlineStr">
        <is>
          <t>Oregon</t>
        </is>
      </c>
      <c r="M488" t="inlineStr">
        <is>
          <t>Denver</t>
        </is>
      </c>
      <c r="N488" t="inlineStr">
        <is>
          <t>Ava Patel</t>
        </is>
      </c>
      <c r="O488" t="n">
        <v>2</v>
      </c>
      <c r="P488" s="3" t="n">
        <v>142.57</v>
      </c>
      <c r="Q488" s="4" t="n">
        <v>0.021</v>
      </c>
      <c r="R488" s="3" t="n">
        <v>279.15</v>
      </c>
      <c r="S488" s="3" t="n">
        <v>148.57</v>
      </c>
      <c r="T488" s="3" t="n">
        <v>121.98</v>
      </c>
      <c r="U488" s="4" t="n">
        <v>0.437</v>
      </c>
      <c r="V488" s="3" t="n">
        <v>8.6</v>
      </c>
      <c r="W488" t="inlineStr">
        <is>
          <t>PayPal</t>
        </is>
      </c>
      <c r="X488" t="inlineStr">
        <is>
          <t>High</t>
        </is>
      </c>
    </row>
    <row r="489">
      <c r="A489" t="inlineStr">
        <is>
          <t>ORD-00488</t>
        </is>
      </c>
      <c r="B489" s="2" t="n">
        <v>45133</v>
      </c>
      <c r="C489" s="2" t="n">
        <v>45137</v>
      </c>
      <c r="D489" t="inlineStr">
        <is>
          <t>CUST-00488</t>
        </is>
      </c>
      <c r="E489" t="inlineStr">
        <is>
          <t>Customer 488</t>
        </is>
      </c>
      <c r="F489" t="inlineStr">
        <is>
          <t>Home Office</t>
        </is>
      </c>
      <c r="G489" t="inlineStr">
        <is>
          <t>P1001</t>
        </is>
      </c>
      <c r="H489" t="inlineStr">
        <is>
          <t>Nova Laptop Stand</t>
        </is>
      </c>
      <c r="I489" t="inlineStr">
        <is>
          <t>Home Decor</t>
        </is>
      </c>
      <c r="J489" t="inlineStr">
        <is>
          <t>Bags</t>
        </is>
      </c>
      <c r="K489" t="inlineStr">
        <is>
          <t>Central</t>
        </is>
      </c>
      <c r="L489" t="inlineStr">
        <is>
          <t>Minnesota</t>
        </is>
      </c>
      <c r="M489" t="inlineStr">
        <is>
          <t>Minneapolis</t>
        </is>
      </c>
      <c r="N489" t="inlineStr">
        <is>
          <t>Sophia Singh</t>
        </is>
      </c>
      <c r="O489" t="n">
        <v>1</v>
      </c>
      <c r="P489" s="3" t="n">
        <v>298.04</v>
      </c>
      <c r="Q489" s="4" t="n">
        <v>0.01</v>
      </c>
      <c r="R489" s="3" t="n">
        <v>295.06</v>
      </c>
      <c r="S489" s="3" t="n">
        <v>180.82</v>
      </c>
      <c r="T489" s="3" t="n">
        <v>107.44</v>
      </c>
      <c r="U489" s="4" t="n">
        <v>0.3641</v>
      </c>
      <c r="V489" s="3" t="n">
        <v>6.8</v>
      </c>
      <c r="W489" t="inlineStr">
        <is>
          <t>Bank Transfer</t>
        </is>
      </c>
      <c r="X489" t="inlineStr">
        <is>
          <t>Low</t>
        </is>
      </c>
    </row>
    <row r="490">
      <c r="A490" t="inlineStr">
        <is>
          <t>ORD-00489</t>
        </is>
      </c>
      <c r="B490" s="2" t="n">
        <v>45963</v>
      </c>
      <c r="C490" s="2" t="n">
        <v>45967</v>
      </c>
      <c r="D490" t="inlineStr">
        <is>
          <t>CUST-00489</t>
        </is>
      </c>
      <c r="E490" t="inlineStr">
        <is>
          <t>Customer 489</t>
        </is>
      </c>
      <c r="F490" t="inlineStr">
        <is>
          <t>Consumer</t>
        </is>
      </c>
      <c r="G490" t="inlineStr">
        <is>
          <t>P1013</t>
        </is>
      </c>
      <c r="H490" t="inlineStr">
        <is>
          <t>Summit Patio Set</t>
        </is>
      </c>
      <c r="I490" t="inlineStr">
        <is>
          <t>Furniture</t>
        </is>
      </c>
      <c r="J490" t="inlineStr">
        <is>
          <t>Peripherals</t>
        </is>
      </c>
      <c r="K490" t="inlineStr">
        <is>
          <t>West</t>
        </is>
      </c>
      <c r="L490" t="inlineStr">
        <is>
          <t>Washington</t>
        </is>
      </c>
      <c r="M490" t="inlineStr">
        <is>
          <t>Seattle</t>
        </is>
      </c>
      <c r="N490" t="inlineStr">
        <is>
          <t>Sophia Singh</t>
        </is>
      </c>
      <c r="O490" t="n">
        <v>4</v>
      </c>
      <c r="P490" s="3" t="n">
        <v>181.34</v>
      </c>
      <c r="Q490" s="4" t="n">
        <v>0.027</v>
      </c>
      <c r="R490" s="3" t="n">
        <v>705.78</v>
      </c>
      <c r="S490" s="3" t="n">
        <v>407.22</v>
      </c>
      <c r="T490" s="3" t="n">
        <v>288.36</v>
      </c>
      <c r="U490" s="4" t="n">
        <v>0.4086</v>
      </c>
      <c r="V490" s="3" t="n">
        <v>10.2</v>
      </c>
      <c r="W490" t="inlineStr">
        <is>
          <t>Credit Card</t>
        </is>
      </c>
      <c r="X490" t="inlineStr">
        <is>
          <t>Critical</t>
        </is>
      </c>
    </row>
    <row r="491">
      <c r="A491" t="inlineStr">
        <is>
          <t>ORD-00490</t>
        </is>
      </c>
      <c r="B491" s="2" t="n">
        <v>45972</v>
      </c>
      <c r="C491" s="2" t="n">
        <v>45978</v>
      </c>
      <c r="D491" t="inlineStr">
        <is>
          <t>CUST-00490</t>
        </is>
      </c>
      <c r="E491" t="inlineStr">
        <is>
          <t>Customer 490</t>
        </is>
      </c>
      <c r="F491" t="inlineStr">
        <is>
          <t>Consumer</t>
        </is>
      </c>
      <c r="G491" t="inlineStr">
        <is>
          <t>P1009</t>
        </is>
      </c>
      <c r="H491" t="inlineStr">
        <is>
          <t>Lumen Desk Lamp</t>
        </is>
      </c>
      <c r="I491" t="inlineStr">
        <is>
          <t>Outdoor</t>
        </is>
      </c>
      <c r="J491" t="inlineStr">
        <is>
          <t>Peripherals</t>
        </is>
      </c>
      <c r="K491" t="inlineStr">
        <is>
          <t>West</t>
        </is>
      </c>
      <c r="L491" t="inlineStr">
        <is>
          <t>Colorado</t>
        </is>
      </c>
      <c r="M491" t="inlineStr">
        <is>
          <t>Los Angeles</t>
        </is>
      </c>
      <c r="N491" t="inlineStr">
        <is>
          <t>Noah Kim</t>
        </is>
      </c>
      <c r="O491" t="n">
        <v>6</v>
      </c>
      <c r="P491" s="3" t="n">
        <v>104.27</v>
      </c>
      <c r="Q491" s="4" t="n">
        <v>0.017</v>
      </c>
      <c r="R491" s="3" t="n">
        <v>614.98</v>
      </c>
      <c r="S491" s="3" t="n">
        <v>293.46</v>
      </c>
      <c r="T491" s="3" t="n">
        <v>309.72</v>
      </c>
      <c r="U491" s="4" t="n">
        <v>0.5036</v>
      </c>
      <c r="V491" s="3" t="n">
        <v>11.8</v>
      </c>
      <c r="W491" t="inlineStr">
        <is>
          <t>Credit Card</t>
        </is>
      </c>
      <c r="X491" t="inlineStr">
        <is>
          <t>Medium</t>
        </is>
      </c>
    </row>
    <row r="492">
      <c r="A492" t="inlineStr">
        <is>
          <t>ORD-00491</t>
        </is>
      </c>
      <c r="B492" s="2" t="n">
        <v>45546</v>
      </c>
      <c r="C492" s="2" t="n">
        <v>45549</v>
      </c>
      <c r="D492" t="inlineStr">
        <is>
          <t>CUST-00491</t>
        </is>
      </c>
      <c r="E492" t="inlineStr">
        <is>
          <t>Customer 491</t>
        </is>
      </c>
      <c r="F492" t="inlineStr">
        <is>
          <t>Home Office</t>
        </is>
      </c>
      <c r="G492" t="inlineStr">
        <is>
          <t>P1020</t>
        </is>
      </c>
      <c r="H492" t="inlineStr">
        <is>
          <t>Trail Tote</t>
        </is>
      </c>
      <c r="I492" t="inlineStr">
        <is>
          <t>Technology</t>
        </is>
      </c>
      <c r="J492" t="inlineStr">
        <is>
          <t>Plants</t>
        </is>
      </c>
      <c r="K492" t="inlineStr">
        <is>
          <t>South</t>
        </is>
      </c>
      <c r="L492" t="inlineStr">
        <is>
          <t>Florida</t>
        </is>
      </c>
      <c r="M492" t="inlineStr">
        <is>
          <t>Houston</t>
        </is>
      </c>
      <c r="N492" t="inlineStr">
        <is>
          <t>Noah Kim</t>
        </is>
      </c>
      <c r="O492" t="n">
        <v>2</v>
      </c>
      <c r="P492" s="3" t="n">
        <v>72.47</v>
      </c>
      <c r="Q492" s="4" t="n">
        <v>0.021</v>
      </c>
      <c r="R492" s="3" t="n">
        <v>141.9</v>
      </c>
      <c r="S492" s="3" t="n">
        <v>74.70999999999999</v>
      </c>
      <c r="T492" s="3" t="n">
        <v>59.59</v>
      </c>
      <c r="U492" s="4" t="n">
        <v>0.4199</v>
      </c>
      <c r="V492" s="3" t="n">
        <v>7.6</v>
      </c>
      <c r="W492" t="inlineStr">
        <is>
          <t>PayPal</t>
        </is>
      </c>
      <c r="X492" t="inlineStr">
        <is>
          <t>High</t>
        </is>
      </c>
    </row>
    <row r="493">
      <c r="A493" t="inlineStr">
        <is>
          <t>ORD-00492</t>
        </is>
      </c>
      <c r="B493" s="2" t="n">
        <v>45393</v>
      </c>
      <c r="C493" s="2" t="n">
        <v>45396</v>
      </c>
      <c r="D493" t="inlineStr">
        <is>
          <t>CUST-00492</t>
        </is>
      </c>
      <c r="E493" t="inlineStr">
        <is>
          <t>Customer 492</t>
        </is>
      </c>
      <c r="F493" t="inlineStr">
        <is>
          <t>Corporate</t>
        </is>
      </c>
      <c r="G493" t="inlineStr">
        <is>
          <t>P1008</t>
        </is>
      </c>
      <c r="H493" t="inlineStr">
        <is>
          <t>Harbor Rug</t>
        </is>
      </c>
      <c r="I493" t="inlineStr">
        <is>
          <t>Home Decor</t>
        </is>
      </c>
      <c r="J493" t="inlineStr">
        <is>
          <t>Video</t>
        </is>
      </c>
      <c r="K493" t="inlineStr">
        <is>
          <t>South</t>
        </is>
      </c>
      <c r="L493" t="inlineStr">
        <is>
          <t>Florida</t>
        </is>
      </c>
      <c r="M493" t="inlineStr">
        <is>
          <t>Houston</t>
        </is>
      </c>
      <c r="N493" t="inlineStr">
        <is>
          <t>Ava Patel</t>
        </is>
      </c>
      <c r="O493" t="n">
        <v>1</v>
      </c>
      <c r="P493" s="3" t="n">
        <v>33.47</v>
      </c>
      <c r="Q493" s="4" t="n">
        <v>0.025</v>
      </c>
      <c r="R493" s="3" t="n">
        <v>32.63</v>
      </c>
      <c r="S493" s="3" t="n">
        <v>17.52</v>
      </c>
      <c r="T493" s="3" t="n">
        <v>8.31</v>
      </c>
      <c r="U493" s="4" t="n">
        <v>0.2547</v>
      </c>
      <c r="V493" s="3" t="n">
        <v>6.8</v>
      </c>
      <c r="W493" t="inlineStr">
        <is>
          <t>Debit Card</t>
        </is>
      </c>
      <c r="X493" t="inlineStr">
        <is>
          <t>High</t>
        </is>
      </c>
    </row>
    <row r="494">
      <c r="A494" t="inlineStr">
        <is>
          <t>ORD-00493</t>
        </is>
      </c>
      <c r="B494" s="2" t="n">
        <v>45047</v>
      </c>
      <c r="C494" s="2" t="n">
        <v>45050</v>
      </c>
      <c r="D494" t="inlineStr">
        <is>
          <t>CUST-00493</t>
        </is>
      </c>
      <c r="E494" t="inlineStr">
        <is>
          <t>Customer 493</t>
        </is>
      </c>
      <c r="F494" t="inlineStr">
        <is>
          <t>Consumer</t>
        </is>
      </c>
      <c r="G494" t="inlineStr">
        <is>
          <t>P1013</t>
        </is>
      </c>
      <c r="H494" t="inlineStr">
        <is>
          <t>Summit Patio Set</t>
        </is>
      </c>
      <c r="I494" t="inlineStr">
        <is>
          <t>Technology</t>
        </is>
      </c>
      <c r="J494" t="inlineStr">
        <is>
          <t>Textiles</t>
        </is>
      </c>
      <c r="K494" t="inlineStr">
        <is>
          <t>Central</t>
        </is>
      </c>
      <c r="L494" t="inlineStr">
        <is>
          <t>Illinois</t>
        </is>
      </c>
      <c r="M494" t="inlineStr">
        <is>
          <t>Minneapolis</t>
        </is>
      </c>
      <c r="N494" t="inlineStr">
        <is>
          <t>Liam Chen</t>
        </is>
      </c>
      <c r="O494" t="n">
        <v>5</v>
      </c>
      <c r="P494" s="3" t="n">
        <v>151.72</v>
      </c>
      <c r="Q494" s="4" t="n">
        <v>0.022</v>
      </c>
      <c r="R494" s="3" t="n">
        <v>741.91</v>
      </c>
      <c r="S494" s="3" t="n">
        <v>419.65</v>
      </c>
      <c r="T494" s="3" t="n">
        <v>312.26</v>
      </c>
      <c r="U494" s="4" t="n">
        <v>0.4209</v>
      </c>
      <c r="V494" s="3" t="n">
        <v>10</v>
      </c>
      <c r="W494" t="inlineStr">
        <is>
          <t>Bank Transfer</t>
        </is>
      </c>
      <c r="X494" t="inlineStr">
        <is>
          <t>High</t>
        </is>
      </c>
    </row>
    <row r="495">
      <c r="A495" t="inlineStr">
        <is>
          <t>ORD-00494</t>
        </is>
      </c>
      <c r="B495" s="2" t="n">
        <v>45072</v>
      </c>
      <c r="C495" s="2" t="n">
        <v>45075</v>
      </c>
      <c r="D495" t="inlineStr">
        <is>
          <t>CUST-00494</t>
        </is>
      </c>
      <c r="E495" t="inlineStr">
        <is>
          <t>Customer 494</t>
        </is>
      </c>
      <c r="F495" t="inlineStr">
        <is>
          <t>Consumer</t>
        </is>
      </c>
      <c r="G495" t="inlineStr">
        <is>
          <t>P1002</t>
        </is>
      </c>
      <c r="H495" t="inlineStr">
        <is>
          <t>Trail Tote</t>
        </is>
      </c>
      <c r="I495" t="inlineStr">
        <is>
          <t>Outdoor</t>
        </is>
      </c>
      <c r="J495" t="inlineStr">
        <is>
          <t>Coolers</t>
        </is>
      </c>
      <c r="K495" t="inlineStr">
        <is>
          <t>North</t>
        </is>
      </c>
      <c r="L495" t="inlineStr">
        <is>
          <t>Ontario</t>
        </is>
      </c>
      <c r="M495" t="inlineStr">
        <is>
          <t>Montreal</t>
        </is>
      </c>
      <c r="N495" t="inlineStr">
        <is>
          <t>Noah Kim</t>
        </is>
      </c>
      <c r="O495" t="n">
        <v>2</v>
      </c>
      <c r="P495" s="3" t="n">
        <v>80.72</v>
      </c>
      <c r="Q495" s="4" t="n">
        <v>0.03</v>
      </c>
      <c r="R495" s="3" t="n">
        <v>156.6</v>
      </c>
      <c r="S495" s="3" t="n">
        <v>79.8</v>
      </c>
      <c r="T495" s="3" t="n">
        <v>69.2</v>
      </c>
      <c r="U495" s="4" t="n">
        <v>0.4419</v>
      </c>
      <c r="V495" s="3" t="n">
        <v>7.6</v>
      </c>
      <c r="W495" t="inlineStr">
        <is>
          <t>Credit Card</t>
        </is>
      </c>
      <c r="X495" t="inlineStr">
        <is>
          <t>Critical</t>
        </is>
      </c>
    </row>
    <row r="496">
      <c r="A496" t="inlineStr">
        <is>
          <t>ORD-00495</t>
        </is>
      </c>
      <c r="B496" s="2" t="n">
        <v>45365</v>
      </c>
      <c r="C496" s="2" t="n">
        <v>45367</v>
      </c>
      <c r="D496" t="inlineStr">
        <is>
          <t>CUST-00495</t>
        </is>
      </c>
      <c r="E496" t="inlineStr">
        <is>
          <t>Customer 495</t>
        </is>
      </c>
      <c r="F496" t="inlineStr">
        <is>
          <t>Consumer</t>
        </is>
      </c>
      <c r="G496" t="inlineStr">
        <is>
          <t>P1015</t>
        </is>
      </c>
      <c r="H496" t="inlineStr">
        <is>
          <t>ProClip Binder</t>
        </is>
      </c>
      <c r="I496" t="inlineStr">
        <is>
          <t>Furniture</t>
        </is>
      </c>
      <c r="J496" t="inlineStr">
        <is>
          <t>Writing</t>
        </is>
      </c>
      <c r="K496" t="inlineStr">
        <is>
          <t>Central</t>
        </is>
      </c>
      <c r="L496" t="inlineStr">
        <is>
          <t>Kansas</t>
        </is>
      </c>
      <c r="M496" t="inlineStr">
        <is>
          <t>Chicago</t>
        </is>
      </c>
      <c r="N496" t="inlineStr">
        <is>
          <t>James Carter</t>
        </is>
      </c>
      <c r="O496" t="n">
        <v>1</v>
      </c>
      <c r="P496" s="3" t="n">
        <v>67.23999999999999</v>
      </c>
      <c r="Q496" s="4" t="n">
        <v>0.051</v>
      </c>
      <c r="R496" s="3" t="n">
        <v>63.81</v>
      </c>
      <c r="S496" s="3" t="n">
        <v>33.75</v>
      </c>
      <c r="T496" s="3" t="n">
        <v>23.26</v>
      </c>
      <c r="U496" s="4" t="n">
        <v>0.3645</v>
      </c>
      <c r="V496" s="3" t="n">
        <v>6.8</v>
      </c>
      <c r="W496" t="inlineStr">
        <is>
          <t>PayPal</t>
        </is>
      </c>
      <c r="X496" t="inlineStr">
        <is>
          <t>High</t>
        </is>
      </c>
    </row>
    <row r="497">
      <c r="A497" t="inlineStr">
        <is>
          <t>ORD-00496</t>
        </is>
      </c>
      <c r="B497" s="2" t="n">
        <v>45413</v>
      </c>
      <c r="C497" s="2" t="n">
        <v>45418</v>
      </c>
      <c r="D497" t="inlineStr">
        <is>
          <t>CUST-00496</t>
        </is>
      </c>
      <c r="E497" t="inlineStr">
        <is>
          <t>Customer 496</t>
        </is>
      </c>
      <c r="F497" t="inlineStr">
        <is>
          <t>Corporate</t>
        </is>
      </c>
      <c r="G497" t="inlineStr">
        <is>
          <t>P1014</t>
        </is>
      </c>
      <c r="H497" t="inlineStr">
        <is>
          <t>Northstar Lantern</t>
        </is>
      </c>
      <c r="I497" t="inlineStr">
        <is>
          <t>Office Supplies</t>
        </is>
      </c>
      <c r="J497" t="inlineStr">
        <is>
          <t>Decor</t>
        </is>
      </c>
      <c r="K497" t="inlineStr">
        <is>
          <t>South</t>
        </is>
      </c>
      <c r="L497" t="inlineStr">
        <is>
          <t>Georgia</t>
        </is>
      </c>
      <c r="M497" t="inlineStr">
        <is>
          <t>Miami</t>
        </is>
      </c>
      <c r="N497" t="inlineStr">
        <is>
          <t>Olivia Martin</t>
        </is>
      </c>
      <c r="O497" t="n">
        <v>2</v>
      </c>
      <c r="P497" s="3" t="n">
        <v>42.64</v>
      </c>
      <c r="Q497" s="4" t="n">
        <v>0.024</v>
      </c>
      <c r="R497" s="3" t="n">
        <v>83.23</v>
      </c>
      <c r="S497" s="3" t="n">
        <v>41.66</v>
      </c>
      <c r="T497" s="3" t="n">
        <v>33.97</v>
      </c>
      <c r="U497" s="4" t="n">
        <v>0.4081</v>
      </c>
      <c r="V497" s="3" t="n">
        <v>7.6</v>
      </c>
      <c r="W497" t="inlineStr">
        <is>
          <t>Credit Card</t>
        </is>
      </c>
      <c r="X497" t="inlineStr">
        <is>
          <t>High</t>
        </is>
      </c>
    </row>
    <row r="498">
      <c r="A498" t="inlineStr">
        <is>
          <t>ORD-00497</t>
        </is>
      </c>
      <c r="B498" s="2" t="n">
        <v>45403</v>
      </c>
      <c r="C498" s="2" t="n">
        <v>45405</v>
      </c>
      <c r="D498" t="inlineStr">
        <is>
          <t>CUST-00497</t>
        </is>
      </c>
      <c r="E498" t="inlineStr">
        <is>
          <t>Customer 497</t>
        </is>
      </c>
      <c r="F498" t="inlineStr">
        <is>
          <t>Consumer</t>
        </is>
      </c>
      <c r="G498" t="inlineStr">
        <is>
          <t>P1019</t>
        </is>
      </c>
      <c r="H498" t="inlineStr">
        <is>
          <t>ProClip Binder</t>
        </is>
      </c>
      <c r="I498" t="inlineStr">
        <is>
          <t>Furniture</t>
        </is>
      </c>
      <c r="J498" t="inlineStr">
        <is>
          <t>Accessories</t>
        </is>
      </c>
      <c r="K498" t="inlineStr">
        <is>
          <t>South</t>
        </is>
      </c>
      <c r="L498" t="inlineStr">
        <is>
          <t>Texas</t>
        </is>
      </c>
      <c r="M498" t="inlineStr">
        <is>
          <t>Dallas</t>
        </is>
      </c>
      <c r="N498" t="inlineStr">
        <is>
          <t>Olivia Martin</t>
        </is>
      </c>
      <c r="O498" t="n">
        <v>1</v>
      </c>
      <c r="P498" s="3" t="n">
        <v>56.03</v>
      </c>
      <c r="Q498" s="4" t="n">
        <v>0.011</v>
      </c>
      <c r="R498" s="3" t="n">
        <v>55.41</v>
      </c>
      <c r="S498" s="3" t="n">
        <v>33.77</v>
      </c>
      <c r="T498" s="3" t="n">
        <v>14.84</v>
      </c>
      <c r="U498" s="4" t="n">
        <v>0.2678</v>
      </c>
      <c r="V498" s="3" t="n">
        <v>6.8</v>
      </c>
      <c r="W498" t="inlineStr">
        <is>
          <t>Credit Card</t>
        </is>
      </c>
      <c r="X498" t="inlineStr">
        <is>
          <t>Medium</t>
        </is>
      </c>
    </row>
    <row r="499">
      <c r="A499" t="inlineStr">
        <is>
          <t>ORD-00498</t>
        </is>
      </c>
      <c r="B499" s="2" t="n">
        <v>45130</v>
      </c>
      <c r="C499" s="2" t="n">
        <v>45137</v>
      </c>
      <c r="D499" t="inlineStr">
        <is>
          <t>CUST-00498</t>
        </is>
      </c>
      <c r="E499" t="inlineStr">
        <is>
          <t>Customer 498</t>
        </is>
      </c>
      <c r="F499" t="inlineStr">
        <is>
          <t>Consumer</t>
        </is>
      </c>
      <c r="G499" t="inlineStr">
        <is>
          <t>P1009</t>
        </is>
      </c>
      <c r="H499" t="inlineStr">
        <is>
          <t>Lumen Desk Lamp</t>
        </is>
      </c>
      <c r="I499" t="inlineStr">
        <is>
          <t>Office Supplies</t>
        </is>
      </c>
      <c r="J499" t="inlineStr">
        <is>
          <t>Binders</t>
        </is>
      </c>
      <c r="K499" t="inlineStr">
        <is>
          <t>Central</t>
        </is>
      </c>
      <c r="L499" t="inlineStr">
        <is>
          <t>Minnesota</t>
        </is>
      </c>
      <c r="M499" t="inlineStr">
        <is>
          <t>Minneapolis</t>
        </is>
      </c>
      <c r="N499" t="inlineStr">
        <is>
          <t>Ava Patel</t>
        </is>
      </c>
      <c r="O499" t="n">
        <v>4</v>
      </c>
      <c r="P499" s="3" t="n">
        <v>94.52</v>
      </c>
      <c r="Q499" s="4" t="n">
        <v>0.022</v>
      </c>
      <c r="R499" s="3" t="n">
        <v>369.76</v>
      </c>
      <c r="S499" s="3" t="n">
        <v>182.69</v>
      </c>
      <c r="T499" s="3" t="n">
        <v>177.87</v>
      </c>
      <c r="U499" s="4" t="n">
        <v>0.481</v>
      </c>
      <c r="V499" s="3" t="n">
        <v>9.199999999999999</v>
      </c>
      <c r="W499" t="inlineStr">
        <is>
          <t>Debit Card</t>
        </is>
      </c>
      <c r="X499" t="inlineStr">
        <is>
          <t>Medium</t>
        </is>
      </c>
    </row>
    <row r="500">
      <c r="A500" t="inlineStr">
        <is>
          <t>ORD-00499</t>
        </is>
      </c>
      <c r="B500" s="2" t="n">
        <v>46016</v>
      </c>
      <c r="C500" s="2" t="n">
        <v>46023</v>
      </c>
      <c r="D500" t="inlineStr">
        <is>
          <t>CUST-00499</t>
        </is>
      </c>
      <c r="E500" t="inlineStr">
        <is>
          <t>Customer 499</t>
        </is>
      </c>
      <c r="F500" t="inlineStr">
        <is>
          <t>Consumer</t>
        </is>
      </c>
      <c r="G500" t="inlineStr">
        <is>
          <t>P1019</t>
        </is>
      </c>
      <c r="H500" t="inlineStr">
        <is>
          <t>Harbor Rug</t>
        </is>
      </c>
      <c r="I500" t="inlineStr">
        <is>
          <t>Home Decor</t>
        </is>
      </c>
      <c r="J500" t="inlineStr">
        <is>
          <t>Peripherals</t>
        </is>
      </c>
      <c r="K500" t="inlineStr">
        <is>
          <t>West</t>
        </is>
      </c>
      <c r="L500" t="inlineStr">
        <is>
          <t>Colorado</t>
        </is>
      </c>
      <c r="M500" t="inlineStr">
        <is>
          <t>Los Angeles</t>
        </is>
      </c>
      <c r="N500" t="inlineStr">
        <is>
          <t>Mia Rodriguez</t>
        </is>
      </c>
      <c r="O500" t="n">
        <v>1</v>
      </c>
      <c r="P500" s="3" t="n">
        <v>66.38</v>
      </c>
      <c r="Q500" s="4" t="n">
        <v>0.038</v>
      </c>
      <c r="R500" s="3" t="n">
        <v>63.86</v>
      </c>
      <c r="S500" s="3" t="n">
        <v>32.21</v>
      </c>
      <c r="T500" s="3" t="n">
        <v>23.85</v>
      </c>
      <c r="U500" s="4" t="n">
        <v>0.3735</v>
      </c>
      <c r="V500" s="3" t="n">
        <v>7.8</v>
      </c>
      <c r="W500" t="inlineStr">
        <is>
          <t>Credit Card</t>
        </is>
      </c>
      <c r="X500" t="inlineStr">
        <is>
          <t>High</t>
        </is>
      </c>
    </row>
    <row r="501">
      <c r="A501" t="inlineStr">
        <is>
          <t>ORD-00500</t>
        </is>
      </c>
      <c r="B501" s="2" t="n">
        <v>45697</v>
      </c>
      <c r="C501" s="2" t="n">
        <v>45699</v>
      </c>
      <c r="D501" t="inlineStr">
        <is>
          <t>CUST-00500</t>
        </is>
      </c>
      <c r="E501" t="inlineStr">
        <is>
          <t>Customer 500</t>
        </is>
      </c>
      <c r="F501" t="inlineStr">
        <is>
          <t>Consumer</t>
        </is>
      </c>
      <c r="G501" t="inlineStr">
        <is>
          <t>P1014</t>
        </is>
      </c>
      <c r="H501" t="inlineStr">
        <is>
          <t>Trail Tote</t>
        </is>
      </c>
      <c r="I501" t="inlineStr">
        <is>
          <t>Technology</t>
        </is>
      </c>
      <c r="J501" t="inlineStr">
        <is>
          <t>Flooring</t>
        </is>
      </c>
      <c r="K501" t="inlineStr">
        <is>
          <t>Central</t>
        </is>
      </c>
      <c r="L501" t="inlineStr">
        <is>
          <t>Illinois</t>
        </is>
      </c>
      <c r="M501" t="inlineStr">
        <is>
          <t>Kansas City</t>
        </is>
      </c>
      <c r="N501" t="inlineStr">
        <is>
          <t>Ethan Brooks</t>
        </is>
      </c>
      <c r="O501" t="n">
        <v>3</v>
      </c>
      <c r="P501" s="3" t="n">
        <v>43.26</v>
      </c>
      <c r="Q501" s="4" t="n">
        <v>0.005</v>
      </c>
      <c r="R501" s="3" t="n">
        <v>129.13</v>
      </c>
      <c r="S501" s="3" t="n">
        <v>57.32</v>
      </c>
      <c r="T501" s="3" t="n">
        <v>63.41</v>
      </c>
      <c r="U501" s="4" t="n">
        <v>0.4911</v>
      </c>
      <c r="V501" s="3" t="n">
        <v>8.4</v>
      </c>
      <c r="W501" t="inlineStr">
        <is>
          <t>Credit Card</t>
        </is>
      </c>
      <c r="X501" t="inlineStr">
        <is>
          <t>Medium</t>
        </is>
      </c>
    </row>
    <row r="502">
      <c r="A502" t="inlineStr">
        <is>
          <t>ORD-00501</t>
        </is>
      </c>
      <c r="B502" s="2" t="n">
        <v>45954</v>
      </c>
      <c r="C502" s="2" t="n">
        <v>45956</v>
      </c>
      <c r="D502" t="inlineStr">
        <is>
          <t>CUST-00501</t>
        </is>
      </c>
      <c r="E502" t="inlineStr">
        <is>
          <t>Customer 501</t>
        </is>
      </c>
      <c r="F502" t="inlineStr">
        <is>
          <t>Corporate</t>
        </is>
      </c>
      <c r="G502" t="inlineStr">
        <is>
          <t>P1008</t>
        </is>
      </c>
      <c r="H502" t="inlineStr">
        <is>
          <t>Orbit Wireless Mouse</t>
        </is>
      </c>
      <c r="I502" t="inlineStr">
        <is>
          <t>Outdoor</t>
        </is>
      </c>
      <c r="J502" t="inlineStr">
        <is>
          <t>Coolers</t>
        </is>
      </c>
      <c r="K502" t="inlineStr">
        <is>
          <t>South</t>
        </is>
      </c>
      <c r="L502" t="inlineStr">
        <is>
          <t>Texas</t>
        </is>
      </c>
      <c r="M502" t="inlineStr">
        <is>
          <t>Miami</t>
        </is>
      </c>
      <c r="N502" t="inlineStr">
        <is>
          <t>Sophia Singh</t>
        </is>
      </c>
      <c r="O502" t="n">
        <v>3</v>
      </c>
      <c r="P502" s="3" t="n">
        <v>38.31</v>
      </c>
      <c r="Q502" s="4" t="n">
        <v>0.022</v>
      </c>
      <c r="R502" s="3" t="n">
        <v>112.4</v>
      </c>
      <c r="S502" s="3" t="n">
        <v>51.12</v>
      </c>
      <c r="T502" s="3" t="n">
        <v>52.88</v>
      </c>
      <c r="U502" s="4" t="n">
        <v>0.4705</v>
      </c>
      <c r="V502" s="3" t="n">
        <v>8.4</v>
      </c>
      <c r="W502" t="inlineStr">
        <is>
          <t>Bank Transfer</t>
        </is>
      </c>
      <c r="X502" t="inlineStr">
        <is>
          <t>Medium</t>
        </is>
      </c>
    </row>
    <row r="503">
      <c r="A503" t="inlineStr">
        <is>
          <t>ORD-00502</t>
        </is>
      </c>
      <c r="B503" s="2" t="n">
        <v>45566</v>
      </c>
      <c r="C503" s="2" t="n">
        <v>45570</v>
      </c>
      <c r="D503" t="inlineStr">
        <is>
          <t>CUST-00502</t>
        </is>
      </c>
      <c r="E503" t="inlineStr">
        <is>
          <t>Customer 502</t>
        </is>
      </c>
      <c r="F503" t="inlineStr">
        <is>
          <t>Consumer</t>
        </is>
      </c>
      <c r="G503" t="inlineStr">
        <is>
          <t>P1005</t>
        </is>
      </c>
      <c r="H503" t="inlineStr">
        <is>
          <t>Nova Laptop Stand</t>
        </is>
      </c>
      <c r="I503" t="inlineStr">
        <is>
          <t>Technology</t>
        </is>
      </c>
      <c r="J503" t="inlineStr">
        <is>
          <t>Video</t>
        </is>
      </c>
      <c r="K503" t="inlineStr">
        <is>
          <t>East</t>
        </is>
      </c>
      <c r="L503" t="inlineStr">
        <is>
          <t>New York</t>
        </is>
      </c>
      <c r="M503" t="inlineStr">
        <is>
          <t>Boston</t>
        </is>
      </c>
      <c r="N503" t="inlineStr">
        <is>
          <t>Sophia Singh</t>
        </is>
      </c>
      <c r="O503" t="n">
        <v>4</v>
      </c>
      <c r="P503" s="3" t="n">
        <v>13.21</v>
      </c>
      <c r="Q503" s="4" t="n">
        <v>0.004</v>
      </c>
      <c r="R503" s="3" t="n">
        <v>52.63</v>
      </c>
      <c r="S503" s="3" t="n">
        <v>27.38</v>
      </c>
      <c r="T503" s="3" t="n">
        <v>15.05</v>
      </c>
      <c r="U503" s="4" t="n">
        <v>0.286</v>
      </c>
      <c r="V503" s="3" t="n">
        <v>10.2</v>
      </c>
      <c r="W503" t="inlineStr">
        <is>
          <t>Credit Card</t>
        </is>
      </c>
      <c r="X503" t="inlineStr">
        <is>
          <t>Low</t>
        </is>
      </c>
    </row>
    <row r="504">
      <c r="A504" t="inlineStr">
        <is>
          <t>ORD-00503</t>
        </is>
      </c>
      <c r="B504" s="2" t="n">
        <v>45343</v>
      </c>
      <c r="C504" s="2" t="n">
        <v>45350</v>
      </c>
      <c r="D504" t="inlineStr">
        <is>
          <t>CUST-00503</t>
        </is>
      </c>
      <c r="E504" t="inlineStr">
        <is>
          <t>Customer 503</t>
        </is>
      </c>
      <c r="F504" t="inlineStr">
        <is>
          <t>Consumer</t>
        </is>
      </c>
      <c r="G504" t="inlineStr">
        <is>
          <t>P1007</t>
        </is>
      </c>
      <c r="H504" t="inlineStr">
        <is>
          <t>Harbor Rug</t>
        </is>
      </c>
      <c r="I504" t="inlineStr">
        <is>
          <t>Outdoor</t>
        </is>
      </c>
      <c r="J504" t="inlineStr">
        <is>
          <t>Binders</t>
        </is>
      </c>
      <c r="K504" t="inlineStr">
        <is>
          <t>Central</t>
        </is>
      </c>
      <c r="L504" t="inlineStr">
        <is>
          <t>Illinois</t>
        </is>
      </c>
      <c r="M504" t="inlineStr">
        <is>
          <t>Chicago</t>
        </is>
      </c>
      <c r="N504" t="inlineStr">
        <is>
          <t>James Carter</t>
        </is>
      </c>
      <c r="O504" t="n">
        <v>3</v>
      </c>
      <c r="P504" s="3" t="n">
        <v>24.91</v>
      </c>
      <c r="Q504" s="4" t="n">
        <v>0.055</v>
      </c>
      <c r="R504" s="3" t="n">
        <v>70.62</v>
      </c>
      <c r="S504" s="3" t="n">
        <v>28.02</v>
      </c>
      <c r="T504" s="3" t="n">
        <v>34.2</v>
      </c>
      <c r="U504" s="4" t="n">
        <v>0.4843</v>
      </c>
      <c r="V504" s="3" t="n">
        <v>8.4</v>
      </c>
      <c r="W504" t="inlineStr">
        <is>
          <t>Debit Card</t>
        </is>
      </c>
      <c r="X504" t="inlineStr">
        <is>
          <t>High</t>
        </is>
      </c>
    </row>
    <row r="505">
      <c r="A505" t="inlineStr">
        <is>
          <t>ORD-00504</t>
        </is>
      </c>
      <c r="B505" s="2" t="n">
        <v>46013</v>
      </c>
      <c r="C505" s="2" t="n">
        <v>46015</v>
      </c>
      <c r="D505" t="inlineStr">
        <is>
          <t>CUST-00504</t>
        </is>
      </c>
      <c r="E505" t="inlineStr">
        <is>
          <t>Customer 504</t>
        </is>
      </c>
      <c r="F505" t="inlineStr">
        <is>
          <t>Home Office</t>
        </is>
      </c>
      <c r="G505" t="inlineStr">
        <is>
          <t>P1004</t>
        </is>
      </c>
      <c r="H505" t="inlineStr">
        <is>
          <t>SmartInk Pen Set</t>
        </is>
      </c>
      <c r="I505" t="inlineStr">
        <is>
          <t>Office Supplies</t>
        </is>
      </c>
      <c r="J505" t="inlineStr">
        <is>
          <t>Accessories</t>
        </is>
      </c>
      <c r="K505" t="inlineStr">
        <is>
          <t>South</t>
        </is>
      </c>
      <c r="L505" t="inlineStr">
        <is>
          <t>Texas</t>
        </is>
      </c>
      <c r="M505" t="inlineStr">
        <is>
          <t>Houston</t>
        </is>
      </c>
      <c r="N505" t="inlineStr">
        <is>
          <t>Ava Patel</t>
        </is>
      </c>
      <c r="O505" t="n">
        <v>1</v>
      </c>
      <c r="P505" s="3" t="n">
        <v>628.36</v>
      </c>
      <c r="Q505" s="4" t="n">
        <v>0.05</v>
      </c>
      <c r="R505" s="3" t="n">
        <v>596.9400000000001</v>
      </c>
      <c r="S505" s="3" t="n">
        <v>380.93</v>
      </c>
      <c r="T505" s="3" t="n">
        <v>209.21</v>
      </c>
      <c r="U505" s="4" t="n">
        <v>0.3505</v>
      </c>
      <c r="V505" s="3" t="n">
        <v>6.8</v>
      </c>
      <c r="W505" t="inlineStr">
        <is>
          <t>Cash on Delivery</t>
        </is>
      </c>
      <c r="X505" t="inlineStr">
        <is>
          <t>High</t>
        </is>
      </c>
    </row>
    <row r="506">
      <c r="A506" t="inlineStr">
        <is>
          <t>ORD-00505</t>
        </is>
      </c>
      <c r="B506" s="2" t="n">
        <v>45891</v>
      </c>
      <c r="C506" s="2" t="n">
        <v>45894</v>
      </c>
      <c r="D506" t="inlineStr">
        <is>
          <t>CUST-00505</t>
        </is>
      </c>
      <c r="E506" t="inlineStr">
        <is>
          <t>Customer 505</t>
        </is>
      </c>
      <c r="F506" t="inlineStr">
        <is>
          <t>Corporate</t>
        </is>
      </c>
      <c r="G506" t="inlineStr">
        <is>
          <t>P1008</t>
        </is>
      </c>
      <c r="H506" t="inlineStr">
        <is>
          <t>Tide Cooler</t>
        </is>
      </c>
      <c r="I506" t="inlineStr">
        <is>
          <t>Home Decor</t>
        </is>
      </c>
      <c r="J506" t="inlineStr">
        <is>
          <t>Coolers</t>
        </is>
      </c>
      <c r="K506" t="inlineStr">
        <is>
          <t>East</t>
        </is>
      </c>
      <c r="L506" t="inlineStr">
        <is>
          <t>Massachusetts</t>
        </is>
      </c>
      <c r="M506" t="inlineStr">
        <is>
          <t>Philadelphia</t>
        </is>
      </c>
      <c r="N506" t="inlineStr">
        <is>
          <t>Olivia Martin</t>
        </is>
      </c>
      <c r="O506" t="n">
        <v>3</v>
      </c>
      <c r="P506" s="3" t="n">
        <v>36.18</v>
      </c>
      <c r="Q506" s="4" t="n">
        <v>0.055</v>
      </c>
      <c r="R506" s="3" t="n">
        <v>102.57</v>
      </c>
      <c r="S506" s="3" t="n">
        <v>45.97</v>
      </c>
      <c r="T506" s="3" t="n">
        <v>47.2</v>
      </c>
      <c r="U506" s="4" t="n">
        <v>0.4602</v>
      </c>
      <c r="V506" s="3" t="n">
        <v>9.4</v>
      </c>
      <c r="W506" t="inlineStr">
        <is>
          <t>Bank Transfer</t>
        </is>
      </c>
      <c r="X506" t="inlineStr">
        <is>
          <t>High</t>
        </is>
      </c>
    </row>
    <row r="507">
      <c r="A507" t="inlineStr">
        <is>
          <t>ORD-00506</t>
        </is>
      </c>
      <c r="B507" s="2" t="n">
        <v>45081</v>
      </c>
      <c r="C507" s="2" t="n">
        <v>45083</v>
      </c>
      <c r="D507" t="inlineStr">
        <is>
          <t>CUST-00506</t>
        </is>
      </c>
      <c r="E507" t="inlineStr">
        <is>
          <t>Customer 506</t>
        </is>
      </c>
      <c r="F507" t="inlineStr">
        <is>
          <t>Consumer</t>
        </is>
      </c>
      <c r="G507" t="inlineStr">
        <is>
          <t>P1004</t>
        </is>
      </c>
      <c r="H507" t="inlineStr">
        <is>
          <t>Cove Wall Clock</t>
        </is>
      </c>
      <c r="I507" t="inlineStr">
        <is>
          <t>Outdoor</t>
        </is>
      </c>
      <c r="J507" t="inlineStr">
        <is>
          <t>Plants</t>
        </is>
      </c>
      <c r="K507" t="inlineStr">
        <is>
          <t>West</t>
        </is>
      </c>
      <c r="L507" t="inlineStr">
        <is>
          <t>California</t>
        </is>
      </c>
      <c r="M507" t="inlineStr">
        <is>
          <t>Denver</t>
        </is>
      </c>
      <c r="N507" t="inlineStr">
        <is>
          <t>Ava Patel</t>
        </is>
      </c>
      <c r="O507" t="n">
        <v>5</v>
      </c>
      <c r="P507" s="3" t="n">
        <v>647.88</v>
      </c>
      <c r="Q507" s="4" t="n">
        <v>0.007</v>
      </c>
      <c r="R507" s="3" t="n">
        <v>3216.72</v>
      </c>
      <c r="S507" s="3" t="n">
        <v>2038.52</v>
      </c>
      <c r="T507" s="3" t="n">
        <v>1167.2</v>
      </c>
      <c r="U507" s="4" t="n">
        <v>0.3629</v>
      </c>
      <c r="V507" s="3" t="n">
        <v>11</v>
      </c>
      <c r="W507" t="inlineStr">
        <is>
          <t>Debit Card</t>
        </is>
      </c>
      <c r="X507" t="inlineStr">
        <is>
          <t>Medium</t>
        </is>
      </c>
    </row>
    <row r="508">
      <c r="A508" t="inlineStr">
        <is>
          <t>ORD-00507</t>
        </is>
      </c>
      <c r="B508" s="2" t="n">
        <v>45931</v>
      </c>
      <c r="C508" s="2" t="n">
        <v>45934</v>
      </c>
      <c r="D508" t="inlineStr">
        <is>
          <t>CUST-00507</t>
        </is>
      </c>
      <c r="E508" t="inlineStr">
        <is>
          <t>Customer 507</t>
        </is>
      </c>
      <c r="F508" t="inlineStr">
        <is>
          <t>Corporate</t>
        </is>
      </c>
      <c r="G508" t="inlineStr">
        <is>
          <t>P1001</t>
        </is>
      </c>
      <c r="H508" t="inlineStr">
        <is>
          <t>Aero Standing Desk</t>
        </is>
      </c>
      <c r="I508" t="inlineStr">
        <is>
          <t>Office Supplies</t>
        </is>
      </c>
      <c r="J508" t="inlineStr">
        <is>
          <t>Accessories</t>
        </is>
      </c>
      <c r="K508" t="inlineStr">
        <is>
          <t>West</t>
        </is>
      </c>
      <c r="L508" t="inlineStr">
        <is>
          <t>Oregon</t>
        </is>
      </c>
      <c r="M508" t="inlineStr">
        <is>
          <t>Seattle</t>
        </is>
      </c>
      <c r="N508" t="inlineStr">
        <is>
          <t>Sophia Singh</t>
        </is>
      </c>
      <c r="O508" t="n">
        <v>2</v>
      </c>
      <c r="P508" s="3" t="n">
        <v>332.03</v>
      </c>
      <c r="Q508" s="4" t="n">
        <v>0.05</v>
      </c>
      <c r="R508" s="3" t="n">
        <v>630.86</v>
      </c>
      <c r="S508" s="3" t="n">
        <v>370.56</v>
      </c>
      <c r="T508" s="3" t="n">
        <v>251.7</v>
      </c>
      <c r="U508" s="4" t="n">
        <v>0.399</v>
      </c>
      <c r="V508" s="3" t="n">
        <v>8.6</v>
      </c>
      <c r="W508" t="inlineStr">
        <is>
          <t>Credit Card</t>
        </is>
      </c>
      <c r="X508" t="inlineStr">
        <is>
          <t>High</t>
        </is>
      </c>
    </row>
    <row r="509">
      <c r="A509" t="inlineStr">
        <is>
          <t>ORD-00508</t>
        </is>
      </c>
      <c r="B509" s="2" t="n">
        <v>45766</v>
      </c>
      <c r="C509" s="2" t="n">
        <v>45772</v>
      </c>
      <c r="D509" t="inlineStr">
        <is>
          <t>CUST-00508</t>
        </is>
      </c>
      <c r="E509" t="inlineStr">
        <is>
          <t>Customer 508</t>
        </is>
      </c>
      <c r="F509" t="inlineStr">
        <is>
          <t>Consumer</t>
        </is>
      </c>
      <c r="G509" t="inlineStr">
        <is>
          <t>P1008</t>
        </is>
      </c>
      <c r="H509" t="inlineStr">
        <is>
          <t>CloudDrive File Box</t>
        </is>
      </c>
      <c r="I509" t="inlineStr">
        <is>
          <t>Outdoor</t>
        </is>
      </c>
      <c r="J509" t="inlineStr">
        <is>
          <t>Peripherals</t>
        </is>
      </c>
      <c r="K509" t="inlineStr">
        <is>
          <t>South</t>
        </is>
      </c>
      <c r="L509" t="inlineStr">
        <is>
          <t>North Carolina</t>
        </is>
      </c>
      <c r="M509" t="inlineStr">
        <is>
          <t>Houston</t>
        </is>
      </c>
      <c r="N509" t="inlineStr">
        <is>
          <t>Olivia Martin</t>
        </is>
      </c>
      <c r="O509" t="n">
        <v>2</v>
      </c>
      <c r="P509" s="3" t="n">
        <v>34.18</v>
      </c>
      <c r="Q509" s="4" t="n">
        <v>0.001</v>
      </c>
      <c r="R509" s="3" t="n">
        <v>68.29000000000001</v>
      </c>
      <c r="S509" s="3" t="n">
        <v>32.7</v>
      </c>
      <c r="T509" s="3" t="n">
        <v>27.99</v>
      </c>
      <c r="U509" s="4" t="n">
        <v>0.4099</v>
      </c>
      <c r="V509" s="3" t="n">
        <v>7.6</v>
      </c>
      <c r="W509" t="inlineStr">
        <is>
          <t>Cash on Delivery</t>
        </is>
      </c>
      <c r="X509" t="inlineStr">
        <is>
          <t>Medium</t>
        </is>
      </c>
    </row>
    <row r="510">
      <c r="A510" t="inlineStr">
        <is>
          <t>ORD-00509</t>
        </is>
      </c>
      <c r="B510" s="2" t="n">
        <v>45940</v>
      </c>
      <c r="C510" s="2" t="n">
        <v>45947</v>
      </c>
      <c r="D510" t="inlineStr">
        <is>
          <t>CUST-00509</t>
        </is>
      </c>
      <c r="E510" t="inlineStr">
        <is>
          <t>Customer 509</t>
        </is>
      </c>
      <c r="F510" t="inlineStr">
        <is>
          <t>Corporate</t>
        </is>
      </c>
      <c r="G510" t="inlineStr">
        <is>
          <t>P1007</t>
        </is>
      </c>
      <c r="H510" t="inlineStr">
        <is>
          <t>Echo Web Camera</t>
        </is>
      </c>
      <c r="I510" t="inlineStr">
        <is>
          <t>Furniture</t>
        </is>
      </c>
      <c r="J510" t="inlineStr">
        <is>
          <t>Lighting</t>
        </is>
      </c>
      <c r="K510" t="inlineStr">
        <is>
          <t>South</t>
        </is>
      </c>
      <c r="L510" t="inlineStr">
        <is>
          <t>Texas</t>
        </is>
      </c>
      <c r="M510" t="inlineStr">
        <is>
          <t>Dallas</t>
        </is>
      </c>
      <c r="N510" t="inlineStr">
        <is>
          <t>Noah Kim</t>
        </is>
      </c>
      <c r="O510" t="n">
        <v>4</v>
      </c>
      <c r="P510" s="3" t="n">
        <v>25.42</v>
      </c>
      <c r="Q510" s="4" t="n">
        <v>0.033</v>
      </c>
      <c r="R510" s="3" t="n">
        <v>98.31999999999999</v>
      </c>
      <c r="S510" s="3" t="n">
        <v>42.14</v>
      </c>
      <c r="T510" s="3" t="n">
        <v>46.98</v>
      </c>
      <c r="U510" s="4" t="n">
        <v>0.4778</v>
      </c>
      <c r="V510" s="3" t="n">
        <v>9.199999999999999</v>
      </c>
      <c r="W510" t="inlineStr">
        <is>
          <t>Bank Transfer</t>
        </is>
      </c>
      <c r="X510" t="inlineStr">
        <is>
          <t>Medium</t>
        </is>
      </c>
    </row>
    <row r="511">
      <c r="A511" t="inlineStr">
        <is>
          <t>ORD-00510</t>
        </is>
      </c>
      <c r="B511" s="2" t="n">
        <v>45672</v>
      </c>
      <c r="C511" s="2" t="n">
        <v>45677</v>
      </c>
      <c r="D511" t="inlineStr">
        <is>
          <t>CUST-00510</t>
        </is>
      </c>
      <c r="E511" t="inlineStr">
        <is>
          <t>Customer 510</t>
        </is>
      </c>
      <c r="F511" t="inlineStr">
        <is>
          <t>Corporate</t>
        </is>
      </c>
      <c r="G511" t="inlineStr">
        <is>
          <t>P1011</t>
        </is>
      </c>
      <c r="H511" t="inlineStr">
        <is>
          <t>CloudDrive File Box</t>
        </is>
      </c>
      <c r="I511" t="inlineStr">
        <is>
          <t>Technology</t>
        </is>
      </c>
      <c r="J511" t="inlineStr">
        <is>
          <t>Decor</t>
        </is>
      </c>
      <c r="K511" t="inlineStr">
        <is>
          <t>East</t>
        </is>
      </c>
      <c r="L511" t="inlineStr">
        <is>
          <t>New York</t>
        </is>
      </c>
      <c r="M511" t="inlineStr">
        <is>
          <t>Washington</t>
        </is>
      </c>
      <c r="N511" t="inlineStr">
        <is>
          <t>Liam Chen</t>
        </is>
      </c>
      <c r="O511" t="n">
        <v>4</v>
      </c>
      <c r="P511" s="3" t="n">
        <v>86.70999999999999</v>
      </c>
      <c r="Q511" s="4" t="n">
        <v>0.017</v>
      </c>
      <c r="R511" s="3" t="n">
        <v>340.94</v>
      </c>
      <c r="S511" s="3" t="n">
        <v>164.99</v>
      </c>
      <c r="T511" s="3" t="n">
        <v>165.75</v>
      </c>
      <c r="U511" s="4" t="n">
        <v>0.4862</v>
      </c>
      <c r="V511" s="3" t="n">
        <v>10.2</v>
      </c>
      <c r="W511" t="inlineStr">
        <is>
          <t>Credit Card</t>
        </is>
      </c>
      <c r="X511" t="inlineStr">
        <is>
          <t>Low</t>
        </is>
      </c>
    </row>
    <row r="512">
      <c r="A512" t="inlineStr">
        <is>
          <t>ORD-00511</t>
        </is>
      </c>
      <c r="B512" s="2" t="n">
        <v>45616</v>
      </c>
      <c r="C512" s="2" t="n">
        <v>45620</v>
      </c>
      <c r="D512" t="inlineStr">
        <is>
          <t>CUST-00511</t>
        </is>
      </c>
      <c r="E512" t="inlineStr">
        <is>
          <t>Customer 511</t>
        </is>
      </c>
      <c r="F512" t="inlineStr">
        <is>
          <t>Corporate</t>
        </is>
      </c>
      <c r="G512" t="inlineStr">
        <is>
          <t>P1016</t>
        </is>
      </c>
      <c r="H512" t="inlineStr">
        <is>
          <t>Atlas Throw Pillow</t>
        </is>
      </c>
      <c r="I512" t="inlineStr">
        <is>
          <t>Home Decor</t>
        </is>
      </c>
      <c r="J512" t="inlineStr">
        <is>
          <t>Peripherals</t>
        </is>
      </c>
      <c r="K512" t="inlineStr">
        <is>
          <t>East</t>
        </is>
      </c>
      <c r="L512" t="inlineStr">
        <is>
          <t>Massachusetts</t>
        </is>
      </c>
      <c r="M512" t="inlineStr">
        <is>
          <t>Philadelphia</t>
        </is>
      </c>
      <c r="N512" t="inlineStr">
        <is>
          <t>Mia Rodriguez</t>
        </is>
      </c>
      <c r="O512" t="n">
        <v>2</v>
      </c>
      <c r="P512" s="3" t="n">
        <v>42.85</v>
      </c>
      <c r="Q512" s="4" t="n">
        <v>0.027</v>
      </c>
      <c r="R512" s="3" t="n">
        <v>83.39</v>
      </c>
      <c r="S512" s="3" t="n">
        <v>35.82</v>
      </c>
      <c r="T512" s="3" t="n">
        <v>38.97</v>
      </c>
      <c r="U512" s="4" t="n">
        <v>0.4673</v>
      </c>
      <c r="V512" s="3" t="n">
        <v>8.6</v>
      </c>
      <c r="W512" t="inlineStr">
        <is>
          <t>Cash on Delivery</t>
        </is>
      </c>
      <c r="X512" t="inlineStr">
        <is>
          <t>Low</t>
        </is>
      </c>
    </row>
    <row r="513">
      <c r="A513" t="inlineStr">
        <is>
          <t>ORD-00512</t>
        </is>
      </c>
      <c r="B513" s="2" t="n">
        <v>45477</v>
      </c>
      <c r="C513" s="2" t="n">
        <v>45482</v>
      </c>
      <c r="D513" t="inlineStr">
        <is>
          <t>CUST-00512</t>
        </is>
      </c>
      <c r="E513" t="inlineStr">
        <is>
          <t>Customer 512</t>
        </is>
      </c>
      <c r="F513" t="inlineStr">
        <is>
          <t>Corporate</t>
        </is>
      </c>
      <c r="G513" t="inlineStr">
        <is>
          <t>P1017</t>
        </is>
      </c>
      <c r="H513" t="inlineStr">
        <is>
          <t>ErgoMesh Chair</t>
        </is>
      </c>
      <c r="I513" t="inlineStr">
        <is>
          <t>Outdoor</t>
        </is>
      </c>
      <c r="J513" t="inlineStr">
        <is>
          <t>Flooring</t>
        </is>
      </c>
      <c r="K513" t="inlineStr">
        <is>
          <t>Central</t>
        </is>
      </c>
      <c r="L513" t="inlineStr">
        <is>
          <t>Kansas</t>
        </is>
      </c>
      <c r="M513" t="inlineStr">
        <is>
          <t>Kansas City</t>
        </is>
      </c>
      <c r="N513" t="inlineStr">
        <is>
          <t>Liam Chen</t>
        </is>
      </c>
      <c r="O513" t="n">
        <v>4</v>
      </c>
      <c r="P513" s="3" t="n">
        <v>552.55</v>
      </c>
      <c r="Q513" s="4" t="n">
        <v>0.067</v>
      </c>
      <c r="R513" s="3" t="n">
        <v>2062.12</v>
      </c>
      <c r="S513" s="3" t="n">
        <v>1366.06</v>
      </c>
      <c r="T513" s="3" t="n">
        <v>686.86</v>
      </c>
      <c r="U513" s="4" t="n">
        <v>0.3331</v>
      </c>
      <c r="V513" s="3" t="n">
        <v>9.199999999999999</v>
      </c>
      <c r="W513" t="inlineStr">
        <is>
          <t>Credit Card</t>
        </is>
      </c>
      <c r="X513" t="inlineStr">
        <is>
          <t>High</t>
        </is>
      </c>
    </row>
    <row r="514">
      <c r="A514" t="inlineStr">
        <is>
          <t>ORD-00513</t>
        </is>
      </c>
      <c r="B514" s="2" t="n">
        <v>45920</v>
      </c>
      <c r="C514" s="2" t="n">
        <v>45926</v>
      </c>
      <c r="D514" t="inlineStr">
        <is>
          <t>CUST-00513</t>
        </is>
      </c>
      <c r="E514" t="inlineStr">
        <is>
          <t>Customer 513</t>
        </is>
      </c>
      <c r="F514" t="inlineStr">
        <is>
          <t>Consumer</t>
        </is>
      </c>
      <c r="G514" t="inlineStr">
        <is>
          <t>P1005</t>
        </is>
      </c>
      <c r="H514" t="inlineStr">
        <is>
          <t>Orbit Wireless Mouse</t>
        </is>
      </c>
      <c r="I514" t="inlineStr">
        <is>
          <t>Technology</t>
        </is>
      </c>
      <c r="J514" t="inlineStr">
        <is>
          <t>Lighting</t>
        </is>
      </c>
      <c r="K514" t="inlineStr">
        <is>
          <t>North</t>
        </is>
      </c>
      <c r="L514" t="inlineStr">
        <is>
          <t>Quebec</t>
        </is>
      </c>
      <c r="M514" t="inlineStr">
        <is>
          <t>Vancouver</t>
        </is>
      </c>
      <c r="N514" t="inlineStr">
        <is>
          <t>Liam Chen</t>
        </is>
      </c>
      <c r="O514" t="n">
        <v>1</v>
      </c>
      <c r="P514" s="3" t="n">
        <v>12.24</v>
      </c>
      <c r="Q514" s="4" t="n">
        <v>0.016</v>
      </c>
      <c r="R514" s="3" t="n">
        <v>12.04</v>
      </c>
      <c r="S514" s="3" t="n">
        <v>12.31</v>
      </c>
      <c r="T514" s="3" t="n">
        <v>-7.07</v>
      </c>
      <c r="U514" s="4" t="n">
        <v>-0.5872000000000001</v>
      </c>
      <c r="V514" s="3" t="n">
        <v>6.8</v>
      </c>
      <c r="W514" t="inlineStr">
        <is>
          <t>PayPal</t>
        </is>
      </c>
      <c r="X514" t="inlineStr">
        <is>
          <t>High</t>
        </is>
      </c>
    </row>
    <row r="515">
      <c r="A515" t="inlineStr">
        <is>
          <t>ORD-00514</t>
        </is>
      </c>
      <c r="B515" s="2" t="n">
        <v>45761</v>
      </c>
      <c r="C515" s="2" t="n">
        <v>45766</v>
      </c>
      <c r="D515" t="inlineStr">
        <is>
          <t>CUST-00514</t>
        </is>
      </c>
      <c r="E515" t="inlineStr">
        <is>
          <t>Customer 514</t>
        </is>
      </c>
      <c r="F515" t="inlineStr">
        <is>
          <t>Corporate</t>
        </is>
      </c>
      <c r="G515" t="inlineStr">
        <is>
          <t>P1007</t>
        </is>
      </c>
      <c r="H515" t="inlineStr">
        <is>
          <t>SmartInk Pen Set</t>
        </is>
      </c>
      <c r="I515" t="inlineStr">
        <is>
          <t>Furniture</t>
        </is>
      </c>
      <c r="J515" t="inlineStr">
        <is>
          <t>Writing</t>
        </is>
      </c>
      <c r="K515" t="inlineStr">
        <is>
          <t>North</t>
        </is>
      </c>
      <c r="L515" t="inlineStr">
        <is>
          <t>Quebec</t>
        </is>
      </c>
      <c r="M515" t="inlineStr">
        <is>
          <t>Montreal</t>
        </is>
      </c>
      <c r="N515" t="inlineStr">
        <is>
          <t>Liam Chen</t>
        </is>
      </c>
      <c r="O515" t="n">
        <v>3</v>
      </c>
      <c r="P515" s="3" t="n">
        <v>24.79</v>
      </c>
      <c r="Q515" s="4" t="n">
        <v>0.022</v>
      </c>
      <c r="R515" s="3" t="n">
        <v>72.73</v>
      </c>
      <c r="S515" s="3" t="n">
        <v>30.99</v>
      </c>
      <c r="T515" s="3" t="n">
        <v>33.34</v>
      </c>
      <c r="U515" s="4" t="n">
        <v>0.4584</v>
      </c>
      <c r="V515" s="3" t="n">
        <v>8.4</v>
      </c>
      <c r="W515" t="inlineStr">
        <is>
          <t>Debit Card</t>
        </is>
      </c>
      <c r="X515" t="inlineStr">
        <is>
          <t>Medium</t>
        </is>
      </c>
    </row>
    <row r="516">
      <c r="A516" t="inlineStr">
        <is>
          <t>ORD-00515</t>
        </is>
      </c>
      <c r="B516" s="2" t="n">
        <v>45174</v>
      </c>
      <c r="C516" s="2" t="n">
        <v>45178</v>
      </c>
      <c r="D516" t="inlineStr">
        <is>
          <t>CUST-00515</t>
        </is>
      </c>
      <c r="E516" t="inlineStr">
        <is>
          <t>Customer 515</t>
        </is>
      </c>
      <c r="F516" t="inlineStr">
        <is>
          <t>Consumer</t>
        </is>
      </c>
      <c r="G516" t="inlineStr">
        <is>
          <t>P1010</t>
        </is>
      </c>
      <c r="H516" t="inlineStr">
        <is>
          <t>Cove Wall Clock</t>
        </is>
      </c>
      <c r="I516" t="inlineStr">
        <is>
          <t>Outdoor</t>
        </is>
      </c>
      <c r="J516" t="inlineStr">
        <is>
          <t>Plants</t>
        </is>
      </c>
      <c r="K516" t="inlineStr">
        <is>
          <t>South</t>
        </is>
      </c>
      <c r="L516" t="inlineStr">
        <is>
          <t>Georgia</t>
        </is>
      </c>
      <c r="M516" t="inlineStr">
        <is>
          <t>Houston</t>
        </is>
      </c>
      <c r="N516" t="inlineStr">
        <is>
          <t>Sophia Singh</t>
        </is>
      </c>
      <c r="O516" t="n">
        <v>4</v>
      </c>
      <c r="P516" s="3" t="n">
        <v>53.07</v>
      </c>
      <c r="Q516" s="4" t="n">
        <v>0.032</v>
      </c>
      <c r="R516" s="3" t="n">
        <v>205.49</v>
      </c>
      <c r="S516" s="3" t="n">
        <v>89.31</v>
      </c>
      <c r="T516" s="3" t="n">
        <v>106.98</v>
      </c>
      <c r="U516" s="4" t="n">
        <v>0.5206</v>
      </c>
      <c r="V516" s="3" t="n">
        <v>9.199999999999999</v>
      </c>
      <c r="W516" t="inlineStr">
        <is>
          <t>Cash on Delivery</t>
        </is>
      </c>
      <c r="X516" t="inlineStr">
        <is>
          <t>High</t>
        </is>
      </c>
    </row>
    <row r="517">
      <c r="A517" t="inlineStr">
        <is>
          <t>ORD-00516</t>
        </is>
      </c>
      <c r="B517" s="2" t="n">
        <v>45214</v>
      </c>
      <c r="C517" s="2" t="n">
        <v>45217</v>
      </c>
      <c r="D517" t="inlineStr">
        <is>
          <t>CUST-00516</t>
        </is>
      </c>
      <c r="E517" t="inlineStr">
        <is>
          <t>Customer 516</t>
        </is>
      </c>
      <c r="F517" t="inlineStr">
        <is>
          <t>Consumer</t>
        </is>
      </c>
      <c r="G517" t="inlineStr">
        <is>
          <t>P1013</t>
        </is>
      </c>
      <c r="H517" t="inlineStr">
        <is>
          <t>Summit Patio Set</t>
        </is>
      </c>
      <c r="I517" t="inlineStr">
        <is>
          <t>Home Decor</t>
        </is>
      </c>
      <c r="J517" t="inlineStr">
        <is>
          <t>Writing</t>
        </is>
      </c>
      <c r="K517" t="inlineStr">
        <is>
          <t>South</t>
        </is>
      </c>
      <c r="L517" t="inlineStr">
        <is>
          <t>Texas</t>
        </is>
      </c>
      <c r="M517" t="inlineStr">
        <is>
          <t>Dallas</t>
        </is>
      </c>
      <c r="N517" t="inlineStr">
        <is>
          <t>Liam Chen</t>
        </is>
      </c>
      <c r="O517" t="n">
        <v>4</v>
      </c>
      <c r="P517" s="3" t="n">
        <v>161.54</v>
      </c>
      <c r="Q517" s="4" t="n">
        <v>0.003</v>
      </c>
      <c r="R517" s="3" t="n">
        <v>644.22</v>
      </c>
      <c r="S517" s="3" t="n">
        <v>368.37</v>
      </c>
      <c r="T517" s="3" t="n">
        <v>266.65</v>
      </c>
      <c r="U517" s="4" t="n">
        <v>0.4139</v>
      </c>
      <c r="V517" s="3" t="n">
        <v>9.199999999999999</v>
      </c>
      <c r="W517" t="inlineStr">
        <is>
          <t>Cash on Delivery</t>
        </is>
      </c>
      <c r="X517" t="inlineStr">
        <is>
          <t>Medium</t>
        </is>
      </c>
    </row>
    <row r="518">
      <c r="A518" t="inlineStr">
        <is>
          <t>ORD-00517</t>
        </is>
      </c>
      <c r="B518" s="2" t="n">
        <v>45488</v>
      </c>
      <c r="C518" s="2" t="n">
        <v>45494</v>
      </c>
      <c r="D518" t="inlineStr">
        <is>
          <t>CUST-00517</t>
        </is>
      </c>
      <c r="E518" t="inlineStr">
        <is>
          <t>Customer 517</t>
        </is>
      </c>
      <c r="F518" t="inlineStr">
        <is>
          <t>Home Office</t>
        </is>
      </c>
      <c r="G518" t="inlineStr">
        <is>
          <t>P1020</t>
        </is>
      </c>
      <c r="H518" t="inlineStr">
        <is>
          <t>Northstar Lantern</t>
        </is>
      </c>
      <c r="I518" t="inlineStr">
        <is>
          <t>Technology</t>
        </is>
      </c>
      <c r="J518" t="inlineStr">
        <is>
          <t>Video</t>
        </is>
      </c>
      <c r="K518" t="inlineStr">
        <is>
          <t>North</t>
        </is>
      </c>
      <c r="L518" t="inlineStr">
        <is>
          <t>Quebec</t>
        </is>
      </c>
      <c r="M518" t="inlineStr">
        <is>
          <t>Vancouver</t>
        </is>
      </c>
      <c r="N518" t="inlineStr">
        <is>
          <t>Noah Kim</t>
        </is>
      </c>
      <c r="O518" t="n">
        <v>2</v>
      </c>
      <c r="P518" s="3" t="n">
        <v>77.48999999999999</v>
      </c>
      <c r="Q518" s="4" t="n">
        <v>0.033</v>
      </c>
      <c r="R518" s="3" t="n">
        <v>149.87</v>
      </c>
      <c r="S518" s="3" t="n">
        <v>76.41</v>
      </c>
      <c r="T518" s="3" t="n">
        <v>65.86</v>
      </c>
      <c r="U518" s="4" t="n">
        <v>0.4394</v>
      </c>
      <c r="V518" s="3" t="n">
        <v>7.6</v>
      </c>
      <c r="W518" t="inlineStr">
        <is>
          <t>PayPal</t>
        </is>
      </c>
      <c r="X518" t="inlineStr">
        <is>
          <t>High</t>
        </is>
      </c>
    </row>
    <row r="519">
      <c r="A519" t="inlineStr">
        <is>
          <t>ORD-00518</t>
        </is>
      </c>
      <c r="B519" s="2" t="n">
        <v>45927</v>
      </c>
      <c r="C519" s="2" t="n">
        <v>45933</v>
      </c>
      <c r="D519" t="inlineStr">
        <is>
          <t>CUST-00518</t>
        </is>
      </c>
      <c r="E519" t="inlineStr">
        <is>
          <t>Customer 518</t>
        </is>
      </c>
      <c r="F519" t="inlineStr">
        <is>
          <t>Corporate</t>
        </is>
      </c>
      <c r="G519" t="inlineStr">
        <is>
          <t>P1015</t>
        </is>
      </c>
      <c r="H519" t="inlineStr">
        <is>
          <t>FlexNote Notebook</t>
        </is>
      </c>
      <c r="I519" t="inlineStr">
        <is>
          <t>Furniture</t>
        </is>
      </c>
      <c r="J519" t="inlineStr">
        <is>
          <t>Writing</t>
        </is>
      </c>
      <c r="K519" t="inlineStr">
        <is>
          <t>South</t>
        </is>
      </c>
      <c r="L519" t="inlineStr">
        <is>
          <t>Texas</t>
        </is>
      </c>
      <c r="M519" t="inlineStr">
        <is>
          <t>Atlanta</t>
        </is>
      </c>
      <c r="N519" t="inlineStr">
        <is>
          <t>Noah Kim</t>
        </is>
      </c>
      <c r="O519" t="n">
        <v>3</v>
      </c>
      <c r="P519" s="3" t="n">
        <v>68.55</v>
      </c>
      <c r="Q519" s="4" t="n">
        <v>0.018</v>
      </c>
      <c r="R519" s="3" t="n">
        <v>201.95</v>
      </c>
      <c r="S519" s="3" t="n">
        <v>92.47</v>
      </c>
      <c r="T519" s="3" t="n">
        <v>101.08</v>
      </c>
      <c r="U519" s="4" t="n">
        <v>0.5004999999999999</v>
      </c>
      <c r="V519" s="3" t="n">
        <v>8.4</v>
      </c>
      <c r="W519" t="inlineStr">
        <is>
          <t>Bank Transfer</t>
        </is>
      </c>
      <c r="X519" t="inlineStr">
        <is>
          <t>Medium</t>
        </is>
      </c>
    </row>
    <row r="520">
      <c r="A520" t="inlineStr">
        <is>
          <t>ORD-00519</t>
        </is>
      </c>
      <c r="B520" s="2" t="n">
        <v>45863</v>
      </c>
      <c r="C520" s="2" t="n">
        <v>45866</v>
      </c>
      <c r="D520" t="inlineStr">
        <is>
          <t>CUST-00519</t>
        </is>
      </c>
      <c r="E520" t="inlineStr">
        <is>
          <t>Customer 519</t>
        </is>
      </c>
      <c r="F520" t="inlineStr">
        <is>
          <t>Home Office</t>
        </is>
      </c>
      <c r="G520" t="inlineStr">
        <is>
          <t>P1006</t>
        </is>
      </c>
      <c r="H520" t="inlineStr">
        <is>
          <t>Northstar Lantern</t>
        </is>
      </c>
      <c r="I520" t="inlineStr">
        <is>
          <t>Home Decor</t>
        </is>
      </c>
      <c r="J520" t="inlineStr">
        <is>
          <t>Paper</t>
        </is>
      </c>
      <c r="K520" t="inlineStr">
        <is>
          <t>West</t>
        </is>
      </c>
      <c r="L520" t="inlineStr">
        <is>
          <t>Colorado</t>
        </is>
      </c>
      <c r="M520" t="inlineStr">
        <is>
          <t>Seattle</t>
        </is>
      </c>
      <c r="N520" t="inlineStr">
        <is>
          <t>Noah Kim</t>
        </is>
      </c>
      <c r="O520" t="n">
        <v>2</v>
      </c>
      <c r="P520" s="3" t="n">
        <v>19.55</v>
      </c>
      <c r="Q520" s="4" t="n">
        <v>0.024</v>
      </c>
      <c r="R520" s="3" t="n">
        <v>38.16</v>
      </c>
      <c r="S520" s="3" t="n">
        <v>17.39</v>
      </c>
      <c r="T520" s="3" t="n">
        <v>12.17</v>
      </c>
      <c r="U520" s="4" t="n">
        <v>0.3189</v>
      </c>
      <c r="V520" s="3" t="n">
        <v>8.6</v>
      </c>
      <c r="W520" t="inlineStr">
        <is>
          <t>Bank Transfer</t>
        </is>
      </c>
      <c r="X520" t="inlineStr">
        <is>
          <t>Low</t>
        </is>
      </c>
    </row>
    <row r="521">
      <c r="A521" t="inlineStr">
        <is>
          <t>ORD-00520</t>
        </is>
      </c>
      <c r="B521" s="2" t="n">
        <v>45276</v>
      </c>
      <c r="C521" s="2" t="n">
        <v>45279</v>
      </c>
      <c r="D521" t="inlineStr">
        <is>
          <t>CUST-00520</t>
        </is>
      </c>
      <c r="E521" t="inlineStr">
        <is>
          <t>Customer 520</t>
        </is>
      </c>
      <c r="F521" t="inlineStr">
        <is>
          <t>Consumer</t>
        </is>
      </c>
      <c r="G521" t="inlineStr">
        <is>
          <t>P1002</t>
        </is>
      </c>
      <c r="H521" t="inlineStr">
        <is>
          <t>Nimbus Monitor Arm</t>
        </is>
      </c>
      <c r="I521" t="inlineStr">
        <is>
          <t>Home Decor</t>
        </is>
      </c>
      <c r="J521" t="inlineStr">
        <is>
          <t>Plants</t>
        </is>
      </c>
      <c r="K521" t="inlineStr">
        <is>
          <t>South</t>
        </is>
      </c>
      <c r="L521" t="inlineStr">
        <is>
          <t>North Carolina</t>
        </is>
      </c>
      <c r="M521" t="inlineStr">
        <is>
          <t>Atlanta</t>
        </is>
      </c>
      <c r="N521" t="inlineStr">
        <is>
          <t>Ava Patel</t>
        </is>
      </c>
      <c r="O521" t="n">
        <v>3</v>
      </c>
      <c r="P521" s="3" t="n">
        <v>80.48</v>
      </c>
      <c r="Q521" s="4" t="n">
        <v>0.019</v>
      </c>
      <c r="R521" s="3" t="n">
        <v>236.85</v>
      </c>
      <c r="S521" s="3" t="n">
        <v>110.84</v>
      </c>
      <c r="T521" s="3" t="n">
        <v>117.61</v>
      </c>
      <c r="U521" s="4" t="n">
        <v>0.4966</v>
      </c>
      <c r="V521" s="3" t="n">
        <v>8.4</v>
      </c>
      <c r="W521" t="inlineStr">
        <is>
          <t>Bank Transfer</t>
        </is>
      </c>
      <c r="X521" t="inlineStr">
        <is>
          <t>Medium</t>
        </is>
      </c>
    </row>
    <row r="522">
      <c r="A522" t="inlineStr">
        <is>
          <t>ORD-00521</t>
        </is>
      </c>
      <c r="B522" s="2" t="n">
        <v>45489</v>
      </c>
      <c r="C522" s="2" t="n">
        <v>45493</v>
      </c>
      <c r="D522" t="inlineStr">
        <is>
          <t>CUST-00521</t>
        </is>
      </c>
      <c r="E522" t="inlineStr">
        <is>
          <t>Customer 521</t>
        </is>
      </c>
      <c r="F522" t="inlineStr">
        <is>
          <t>Consumer</t>
        </is>
      </c>
      <c r="G522" t="inlineStr">
        <is>
          <t>P1004</t>
        </is>
      </c>
      <c r="H522" t="inlineStr">
        <is>
          <t>ErgoMesh Chair</t>
        </is>
      </c>
      <c r="I522" t="inlineStr">
        <is>
          <t>Furniture</t>
        </is>
      </c>
      <c r="J522" t="inlineStr">
        <is>
          <t>Writing</t>
        </is>
      </c>
      <c r="K522" t="inlineStr">
        <is>
          <t>West</t>
        </is>
      </c>
      <c r="L522" t="inlineStr">
        <is>
          <t>Washington</t>
        </is>
      </c>
      <c r="M522" t="inlineStr">
        <is>
          <t>San Francisco</t>
        </is>
      </c>
      <c r="N522" t="inlineStr">
        <is>
          <t>Mia Rodriguez</t>
        </is>
      </c>
      <c r="O522" t="n">
        <v>1</v>
      </c>
      <c r="P522" s="3" t="n">
        <v>629.9299999999999</v>
      </c>
      <c r="Q522" s="4" t="n">
        <v>0.059</v>
      </c>
      <c r="R522" s="3" t="n">
        <v>592.76</v>
      </c>
      <c r="S522" s="3" t="n">
        <v>380.88</v>
      </c>
      <c r="T522" s="3" t="n">
        <v>204.08</v>
      </c>
      <c r="U522" s="4" t="n">
        <v>0.3443</v>
      </c>
      <c r="V522" s="3" t="n">
        <v>7.8</v>
      </c>
      <c r="W522" t="inlineStr">
        <is>
          <t>PayPal</t>
        </is>
      </c>
      <c r="X522" t="inlineStr">
        <is>
          <t>High</t>
        </is>
      </c>
    </row>
    <row r="523">
      <c r="A523" t="inlineStr">
        <is>
          <t>ORD-00522</t>
        </is>
      </c>
      <c r="B523" s="2" t="n">
        <v>45600</v>
      </c>
      <c r="C523" s="2" t="n">
        <v>45607</v>
      </c>
      <c r="D523" t="inlineStr">
        <is>
          <t>CUST-00522</t>
        </is>
      </c>
      <c r="E523" t="inlineStr">
        <is>
          <t>Customer 522</t>
        </is>
      </c>
      <c r="F523" t="inlineStr">
        <is>
          <t>Consumer</t>
        </is>
      </c>
      <c r="G523" t="inlineStr">
        <is>
          <t>P1014</t>
        </is>
      </c>
      <c r="H523" t="inlineStr">
        <is>
          <t>CloudDrive File Box</t>
        </is>
      </c>
      <c r="I523" t="inlineStr">
        <is>
          <t>Technology</t>
        </is>
      </c>
      <c r="J523" t="inlineStr">
        <is>
          <t>Lighting</t>
        </is>
      </c>
      <c r="K523" t="inlineStr">
        <is>
          <t>Central</t>
        </is>
      </c>
      <c r="L523" t="inlineStr">
        <is>
          <t>Minnesota</t>
        </is>
      </c>
      <c r="M523" t="inlineStr">
        <is>
          <t>Chicago</t>
        </is>
      </c>
      <c r="N523" t="inlineStr">
        <is>
          <t>Noah Kim</t>
        </is>
      </c>
      <c r="O523" t="n">
        <v>6</v>
      </c>
      <c r="P523" s="3" t="n">
        <v>46.55</v>
      </c>
      <c r="Q523" s="4" t="n">
        <v>0.008999999999999999</v>
      </c>
      <c r="R523" s="3" t="n">
        <v>276.79</v>
      </c>
      <c r="S523" s="3" t="n">
        <v>118.81</v>
      </c>
      <c r="T523" s="3" t="n">
        <v>147.18</v>
      </c>
      <c r="U523" s="4" t="n">
        <v>0.5317</v>
      </c>
      <c r="V523" s="3" t="n">
        <v>10.8</v>
      </c>
      <c r="W523" t="inlineStr">
        <is>
          <t>Credit Card</t>
        </is>
      </c>
      <c r="X523" t="inlineStr">
        <is>
          <t>Medium</t>
        </is>
      </c>
    </row>
    <row r="524">
      <c r="A524" t="inlineStr">
        <is>
          <t>ORD-00523</t>
        </is>
      </c>
      <c r="B524" s="2" t="n">
        <v>45986</v>
      </c>
      <c r="C524" s="2" t="n">
        <v>45988</v>
      </c>
      <c r="D524" t="inlineStr">
        <is>
          <t>CUST-00523</t>
        </is>
      </c>
      <c r="E524" t="inlineStr">
        <is>
          <t>Customer 523</t>
        </is>
      </c>
      <c r="F524" t="inlineStr">
        <is>
          <t>Corporate</t>
        </is>
      </c>
      <c r="G524" t="inlineStr">
        <is>
          <t>P1015</t>
        </is>
      </c>
      <c r="H524" t="inlineStr">
        <is>
          <t>Nova Laptop Stand</t>
        </is>
      </c>
      <c r="I524" t="inlineStr">
        <is>
          <t>Furniture</t>
        </is>
      </c>
      <c r="J524" t="inlineStr">
        <is>
          <t>Lighting</t>
        </is>
      </c>
      <c r="K524" t="inlineStr">
        <is>
          <t>Central</t>
        </is>
      </c>
      <c r="L524" t="inlineStr">
        <is>
          <t>Missouri</t>
        </is>
      </c>
      <c r="M524" t="inlineStr">
        <is>
          <t>Kansas City</t>
        </is>
      </c>
      <c r="N524" t="inlineStr">
        <is>
          <t>Liam Chen</t>
        </is>
      </c>
      <c r="O524" t="n">
        <v>3</v>
      </c>
      <c r="P524" s="3" t="n">
        <v>74.04000000000001</v>
      </c>
      <c r="Q524" s="4" t="n">
        <v>0.012</v>
      </c>
      <c r="R524" s="3" t="n">
        <v>219.45</v>
      </c>
      <c r="S524" s="3" t="n">
        <v>101.78</v>
      </c>
      <c r="T524" s="3" t="n">
        <v>109.27</v>
      </c>
      <c r="U524" s="4" t="n">
        <v>0.4979</v>
      </c>
      <c r="V524" s="3" t="n">
        <v>8.4</v>
      </c>
      <c r="W524" t="inlineStr">
        <is>
          <t>Credit Card</t>
        </is>
      </c>
      <c r="X524" t="inlineStr">
        <is>
          <t>Medium</t>
        </is>
      </c>
    </row>
    <row r="525">
      <c r="A525" t="inlineStr">
        <is>
          <t>ORD-00524</t>
        </is>
      </c>
      <c r="B525" s="2" t="n">
        <v>45817</v>
      </c>
      <c r="C525" s="2" t="n">
        <v>45824</v>
      </c>
      <c r="D525" t="inlineStr">
        <is>
          <t>CUST-00524</t>
        </is>
      </c>
      <c r="E525" t="inlineStr">
        <is>
          <t>Customer 524</t>
        </is>
      </c>
      <c r="F525" t="inlineStr">
        <is>
          <t>Consumer</t>
        </is>
      </c>
      <c r="G525" t="inlineStr">
        <is>
          <t>P1014</t>
        </is>
      </c>
      <c r="H525" t="inlineStr">
        <is>
          <t>FlexNote Notebook</t>
        </is>
      </c>
      <c r="I525" t="inlineStr">
        <is>
          <t>Outdoor</t>
        </is>
      </c>
      <c r="J525" t="inlineStr">
        <is>
          <t>Lighting</t>
        </is>
      </c>
      <c r="K525" t="inlineStr">
        <is>
          <t>North</t>
        </is>
      </c>
      <c r="L525" t="inlineStr">
        <is>
          <t>Ontario</t>
        </is>
      </c>
      <c r="M525" t="inlineStr">
        <is>
          <t>Calgary</t>
        </is>
      </c>
      <c r="N525" t="inlineStr">
        <is>
          <t>Ava Patel</t>
        </is>
      </c>
      <c r="O525" t="n">
        <v>1</v>
      </c>
      <c r="P525" s="3" t="n">
        <v>45.12</v>
      </c>
      <c r="Q525" s="4" t="n">
        <v>0.051</v>
      </c>
      <c r="R525" s="3" t="n">
        <v>42.82</v>
      </c>
      <c r="S525" s="3" t="n">
        <v>22.06</v>
      </c>
      <c r="T525" s="3" t="n">
        <v>13.96</v>
      </c>
      <c r="U525" s="4" t="n">
        <v>0.326</v>
      </c>
      <c r="V525" s="3" t="n">
        <v>6.8</v>
      </c>
      <c r="W525" t="inlineStr">
        <is>
          <t>PayPal</t>
        </is>
      </c>
      <c r="X525" t="inlineStr">
        <is>
          <t>High</t>
        </is>
      </c>
    </row>
    <row r="526">
      <c r="A526" t="inlineStr">
        <is>
          <t>ORD-00525</t>
        </is>
      </c>
      <c r="B526" s="2" t="n">
        <v>45748</v>
      </c>
      <c r="C526" s="2" t="n">
        <v>45749</v>
      </c>
      <c r="D526" t="inlineStr">
        <is>
          <t>CUST-00525</t>
        </is>
      </c>
      <c r="E526" t="inlineStr">
        <is>
          <t>Customer 525</t>
        </is>
      </c>
      <c r="F526" t="inlineStr">
        <is>
          <t>Consumer</t>
        </is>
      </c>
      <c r="G526" t="inlineStr">
        <is>
          <t>P1004</t>
        </is>
      </c>
      <c r="H526" t="inlineStr">
        <is>
          <t>ErgoMesh Chair</t>
        </is>
      </c>
      <c r="I526" t="inlineStr">
        <is>
          <t>Outdoor</t>
        </is>
      </c>
      <c r="J526" t="inlineStr">
        <is>
          <t>Accessories</t>
        </is>
      </c>
      <c r="K526" t="inlineStr">
        <is>
          <t>East</t>
        </is>
      </c>
      <c r="L526" t="inlineStr">
        <is>
          <t>Massachusetts</t>
        </is>
      </c>
      <c r="M526" t="inlineStr">
        <is>
          <t>Boston</t>
        </is>
      </c>
      <c r="N526" t="inlineStr">
        <is>
          <t>Sophia Singh</t>
        </is>
      </c>
      <c r="O526" t="n">
        <v>3</v>
      </c>
      <c r="P526" s="3" t="n">
        <v>625.95</v>
      </c>
      <c r="Q526" s="4" t="n">
        <v>0.005</v>
      </c>
      <c r="R526" s="3" t="n">
        <v>1868.46</v>
      </c>
      <c r="S526" s="3" t="n">
        <v>1181.29</v>
      </c>
      <c r="T526" s="3" t="n">
        <v>677.77</v>
      </c>
      <c r="U526" s="4" t="n">
        <v>0.3627</v>
      </c>
      <c r="V526" s="3" t="n">
        <v>9.4</v>
      </c>
      <c r="W526" t="inlineStr">
        <is>
          <t>PayPal</t>
        </is>
      </c>
      <c r="X526" t="inlineStr">
        <is>
          <t>Medium</t>
        </is>
      </c>
    </row>
    <row r="527">
      <c r="A527" t="inlineStr">
        <is>
          <t>ORD-00526</t>
        </is>
      </c>
      <c r="B527" s="2" t="n">
        <v>45448</v>
      </c>
      <c r="C527" s="2" t="n">
        <v>45450</v>
      </c>
      <c r="D527" t="inlineStr">
        <is>
          <t>CUST-00526</t>
        </is>
      </c>
      <c r="E527" t="inlineStr">
        <is>
          <t>Customer 526</t>
        </is>
      </c>
      <c r="F527" t="inlineStr">
        <is>
          <t>Consumer</t>
        </is>
      </c>
      <c r="G527" t="inlineStr">
        <is>
          <t>P1006</t>
        </is>
      </c>
      <c r="H527" t="inlineStr">
        <is>
          <t>Summit Patio Set</t>
        </is>
      </c>
      <c r="I527" t="inlineStr">
        <is>
          <t>Technology</t>
        </is>
      </c>
      <c r="J527" t="inlineStr">
        <is>
          <t>Lighting</t>
        </is>
      </c>
      <c r="K527" t="inlineStr">
        <is>
          <t>South</t>
        </is>
      </c>
      <c r="L527" t="inlineStr">
        <is>
          <t>Florida</t>
        </is>
      </c>
      <c r="M527" t="inlineStr">
        <is>
          <t>Miami</t>
        </is>
      </c>
      <c r="N527" t="inlineStr">
        <is>
          <t>Noah Kim</t>
        </is>
      </c>
      <c r="O527" t="n">
        <v>1</v>
      </c>
      <c r="P527" s="3" t="n">
        <v>17.48</v>
      </c>
      <c r="Q527" s="4" t="n">
        <v>0.055</v>
      </c>
      <c r="R527" s="3" t="n">
        <v>16.52</v>
      </c>
      <c r="S527" s="3" t="n">
        <v>15.71</v>
      </c>
      <c r="T527" s="3" t="n">
        <v>-5.99</v>
      </c>
      <c r="U527" s="4" t="n">
        <v>-0.3626</v>
      </c>
      <c r="V527" s="3" t="n">
        <v>6.8</v>
      </c>
      <c r="W527" t="inlineStr">
        <is>
          <t>Debit Card</t>
        </is>
      </c>
      <c r="X527" t="inlineStr">
        <is>
          <t>High</t>
        </is>
      </c>
    </row>
    <row r="528">
      <c r="A528" t="inlineStr">
        <is>
          <t>ORD-00527</t>
        </is>
      </c>
      <c r="B528" s="2" t="n">
        <v>45605</v>
      </c>
      <c r="C528" s="2" t="n">
        <v>45612</v>
      </c>
      <c r="D528" t="inlineStr">
        <is>
          <t>CUST-00527</t>
        </is>
      </c>
      <c r="E528" t="inlineStr">
        <is>
          <t>Customer 527</t>
        </is>
      </c>
      <c r="F528" t="inlineStr">
        <is>
          <t>Corporate</t>
        </is>
      </c>
      <c r="G528" t="inlineStr">
        <is>
          <t>P1007</t>
        </is>
      </c>
      <c r="H528" t="inlineStr">
        <is>
          <t>Cove Wall Clock</t>
        </is>
      </c>
      <c r="I528" t="inlineStr">
        <is>
          <t>Office Supplies</t>
        </is>
      </c>
      <c r="J528" t="inlineStr">
        <is>
          <t>Decor</t>
        </is>
      </c>
      <c r="K528" t="inlineStr">
        <is>
          <t>Central</t>
        </is>
      </c>
      <c r="L528" t="inlineStr">
        <is>
          <t>Minnesota</t>
        </is>
      </c>
      <c r="M528" t="inlineStr">
        <is>
          <t>Chicago</t>
        </is>
      </c>
      <c r="N528" t="inlineStr">
        <is>
          <t>Liam Chen</t>
        </is>
      </c>
      <c r="O528" t="n">
        <v>1</v>
      </c>
      <c r="P528" s="3" t="n">
        <v>25.95</v>
      </c>
      <c r="Q528" s="4" t="n">
        <v>0.032</v>
      </c>
      <c r="R528" s="3" t="n">
        <v>25.12</v>
      </c>
      <c r="S528" s="3" t="n">
        <v>15.78</v>
      </c>
      <c r="T528" s="3" t="n">
        <v>2.54</v>
      </c>
      <c r="U528" s="4" t="n">
        <v>0.1011</v>
      </c>
      <c r="V528" s="3" t="n">
        <v>6.8</v>
      </c>
      <c r="W528" t="inlineStr">
        <is>
          <t>Bank Transfer</t>
        </is>
      </c>
      <c r="X528" t="inlineStr">
        <is>
          <t>High</t>
        </is>
      </c>
    </row>
    <row r="529">
      <c r="A529" t="inlineStr">
        <is>
          <t>ORD-00528</t>
        </is>
      </c>
      <c r="B529" s="2" t="n">
        <v>45036</v>
      </c>
      <c r="C529" s="2" t="n">
        <v>45038</v>
      </c>
      <c r="D529" t="inlineStr">
        <is>
          <t>CUST-00528</t>
        </is>
      </c>
      <c r="E529" t="inlineStr">
        <is>
          <t>Customer 528</t>
        </is>
      </c>
      <c r="F529" t="inlineStr">
        <is>
          <t>Consumer</t>
        </is>
      </c>
      <c r="G529" t="inlineStr">
        <is>
          <t>P1013</t>
        </is>
      </c>
      <c r="H529" t="inlineStr">
        <is>
          <t>Summit Patio Set</t>
        </is>
      </c>
      <c r="I529" t="inlineStr">
        <is>
          <t>Furniture</t>
        </is>
      </c>
      <c r="J529" t="inlineStr">
        <is>
          <t>Plants</t>
        </is>
      </c>
      <c r="K529" t="inlineStr">
        <is>
          <t>West</t>
        </is>
      </c>
      <c r="L529" t="inlineStr">
        <is>
          <t>Oregon</t>
        </is>
      </c>
      <c r="M529" t="inlineStr">
        <is>
          <t>San Francisco</t>
        </is>
      </c>
      <c r="N529" t="inlineStr">
        <is>
          <t>Liam Chen</t>
        </is>
      </c>
      <c r="O529" t="n">
        <v>2</v>
      </c>
      <c r="P529" s="3" t="n">
        <v>168.12</v>
      </c>
      <c r="Q529" s="4" t="n">
        <v>0.028</v>
      </c>
      <c r="R529" s="3" t="n">
        <v>326.83</v>
      </c>
      <c r="S529" s="3" t="n">
        <v>187.32</v>
      </c>
      <c r="T529" s="3" t="n">
        <v>130.91</v>
      </c>
      <c r="U529" s="4" t="n">
        <v>0.4005</v>
      </c>
      <c r="V529" s="3" t="n">
        <v>8.6</v>
      </c>
      <c r="W529" t="inlineStr">
        <is>
          <t>Debit Card</t>
        </is>
      </c>
      <c r="X529" t="inlineStr">
        <is>
          <t>Critical</t>
        </is>
      </c>
    </row>
    <row r="530">
      <c r="A530" t="inlineStr">
        <is>
          <t>ORD-00529</t>
        </is>
      </c>
      <c r="B530" s="2" t="n">
        <v>45112</v>
      </c>
      <c r="C530" s="2" t="n">
        <v>45117</v>
      </c>
      <c r="D530" t="inlineStr">
        <is>
          <t>CUST-00529</t>
        </is>
      </c>
      <c r="E530" t="inlineStr">
        <is>
          <t>Customer 529</t>
        </is>
      </c>
      <c r="F530" t="inlineStr">
        <is>
          <t>Home Office</t>
        </is>
      </c>
      <c r="G530" t="inlineStr">
        <is>
          <t>P1017</t>
        </is>
      </c>
      <c r="H530" t="inlineStr">
        <is>
          <t>Nova Laptop Stand</t>
        </is>
      </c>
      <c r="I530" t="inlineStr">
        <is>
          <t>Technology</t>
        </is>
      </c>
      <c r="J530" t="inlineStr">
        <is>
          <t>Video</t>
        </is>
      </c>
      <c r="K530" t="inlineStr">
        <is>
          <t>South</t>
        </is>
      </c>
      <c r="L530" t="inlineStr">
        <is>
          <t>Florida</t>
        </is>
      </c>
      <c r="M530" t="inlineStr">
        <is>
          <t>Atlanta</t>
        </is>
      </c>
      <c r="N530" t="inlineStr">
        <is>
          <t>James Carter</t>
        </is>
      </c>
      <c r="O530" t="n">
        <v>2</v>
      </c>
      <c r="P530" s="3" t="n">
        <v>543.7</v>
      </c>
      <c r="Q530" s="4" t="n">
        <v>0.01</v>
      </c>
      <c r="R530" s="3" t="n">
        <v>1076.53</v>
      </c>
      <c r="S530" s="3" t="n">
        <v>720.46</v>
      </c>
      <c r="T530" s="3" t="n">
        <v>348.47</v>
      </c>
      <c r="U530" s="4" t="n">
        <v>0.3237</v>
      </c>
      <c r="V530" s="3" t="n">
        <v>7.6</v>
      </c>
      <c r="W530" t="inlineStr">
        <is>
          <t>PayPal</t>
        </is>
      </c>
      <c r="X530" t="inlineStr">
        <is>
          <t>High</t>
        </is>
      </c>
    </row>
    <row r="531">
      <c r="A531" t="inlineStr">
        <is>
          <t>ORD-00530</t>
        </is>
      </c>
      <c r="B531" s="2" t="n">
        <v>45965</v>
      </c>
      <c r="C531" s="2" t="n">
        <v>45966</v>
      </c>
      <c r="D531" t="inlineStr">
        <is>
          <t>CUST-00530</t>
        </is>
      </c>
      <c r="E531" t="inlineStr">
        <is>
          <t>Customer 530</t>
        </is>
      </c>
      <c r="F531" t="inlineStr">
        <is>
          <t>Consumer</t>
        </is>
      </c>
      <c r="G531" t="inlineStr">
        <is>
          <t>P1017</t>
        </is>
      </c>
      <c r="H531" t="inlineStr">
        <is>
          <t>Nimbus Monitor Arm</t>
        </is>
      </c>
      <c r="I531" t="inlineStr">
        <is>
          <t>Home Decor</t>
        </is>
      </c>
      <c r="J531" t="inlineStr">
        <is>
          <t>Lighting</t>
        </is>
      </c>
      <c r="K531" t="inlineStr">
        <is>
          <t>Central</t>
        </is>
      </c>
      <c r="L531" t="inlineStr">
        <is>
          <t>Minnesota</t>
        </is>
      </c>
      <c r="M531" t="inlineStr">
        <is>
          <t>Kansas City</t>
        </is>
      </c>
      <c r="N531" t="inlineStr">
        <is>
          <t>Ethan Brooks</t>
        </is>
      </c>
      <c r="O531" t="n">
        <v>2</v>
      </c>
      <c r="P531" s="3" t="n">
        <v>580.25</v>
      </c>
      <c r="Q531" s="4" t="n">
        <v>0.025</v>
      </c>
      <c r="R531" s="3" t="n">
        <v>1131.49</v>
      </c>
      <c r="S531" s="3" t="n">
        <v>757.22</v>
      </c>
      <c r="T531" s="3" t="n">
        <v>366.67</v>
      </c>
      <c r="U531" s="4" t="n">
        <v>0.3241</v>
      </c>
      <c r="V531" s="3" t="n">
        <v>7.6</v>
      </c>
      <c r="W531" t="inlineStr">
        <is>
          <t>Credit Card</t>
        </is>
      </c>
      <c r="X531" t="inlineStr">
        <is>
          <t>Medium</t>
        </is>
      </c>
    </row>
    <row r="532">
      <c r="A532" t="inlineStr">
        <is>
          <t>ORD-00531</t>
        </is>
      </c>
      <c r="B532" s="2" t="n">
        <v>45824</v>
      </c>
      <c r="C532" s="2" t="n">
        <v>45827</v>
      </c>
      <c r="D532" t="inlineStr">
        <is>
          <t>CUST-00531</t>
        </is>
      </c>
      <c r="E532" t="inlineStr">
        <is>
          <t>Customer 531</t>
        </is>
      </c>
      <c r="F532" t="inlineStr">
        <is>
          <t>Consumer</t>
        </is>
      </c>
      <c r="G532" t="inlineStr">
        <is>
          <t>P1004</t>
        </is>
      </c>
      <c r="H532" t="inlineStr">
        <is>
          <t>Nimbus Monitor Arm</t>
        </is>
      </c>
      <c r="I532" t="inlineStr">
        <is>
          <t>Outdoor</t>
        </is>
      </c>
      <c r="J532" t="inlineStr">
        <is>
          <t>Plants</t>
        </is>
      </c>
      <c r="K532" t="inlineStr">
        <is>
          <t>West</t>
        </is>
      </c>
      <c r="L532" t="inlineStr">
        <is>
          <t>Washington</t>
        </is>
      </c>
      <c r="M532" t="inlineStr">
        <is>
          <t>Seattle</t>
        </is>
      </c>
      <c r="N532" t="inlineStr">
        <is>
          <t>Sophia Singh</t>
        </is>
      </c>
      <c r="O532" t="n">
        <v>3</v>
      </c>
      <c r="P532" s="3" t="n">
        <v>682.79</v>
      </c>
      <c r="Q532" s="4" t="n">
        <v>0.03</v>
      </c>
      <c r="R532" s="3" t="n">
        <v>1986.92</v>
      </c>
      <c r="S532" s="3" t="n">
        <v>1256</v>
      </c>
      <c r="T532" s="3" t="n">
        <v>721.52</v>
      </c>
      <c r="U532" s="4" t="n">
        <v>0.3631</v>
      </c>
      <c r="V532" s="3" t="n">
        <v>9.4</v>
      </c>
      <c r="W532" t="inlineStr">
        <is>
          <t>Debit Card</t>
        </is>
      </c>
      <c r="X532" t="inlineStr">
        <is>
          <t>Medium</t>
        </is>
      </c>
    </row>
    <row r="533">
      <c r="A533" t="inlineStr">
        <is>
          <t>ORD-00532</t>
        </is>
      </c>
      <c r="B533" s="2" t="n">
        <v>45902</v>
      </c>
      <c r="C533" s="2" t="n">
        <v>45904</v>
      </c>
      <c r="D533" t="inlineStr">
        <is>
          <t>CUST-00532</t>
        </is>
      </c>
      <c r="E533" t="inlineStr">
        <is>
          <t>Customer 532</t>
        </is>
      </c>
      <c r="F533" t="inlineStr">
        <is>
          <t>Consumer</t>
        </is>
      </c>
      <c r="G533" t="inlineStr">
        <is>
          <t>P1019</t>
        </is>
      </c>
      <c r="H533" t="inlineStr">
        <is>
          <t>Harbor Rug</t>
        </is>
      </c>
      <c r="I533" t="inlineStr">
        <is>
          <t>Office Supplies</t>
        </is>
      </c>
      <c r="J533" t="inlineStr">
        <is>
          <t>Binders</t>
        </is>
      </c>
      <c r="K533" t="inlineStr">
        <is>
          <t>West</t>
        </is>
      </c>
      <c r="L533" t="inlineStr">
        <is>
          <t>Oregon</t>
        </is>
      </c>
      <c r="M533" t="inlineStr">
        <is>
          <t>Los Angeles</t>
        </is>
      </c>
      <c r="N533" t="inlineStr">
        <is>
          <t>Ava Patel</t>
        </is>
      </c>
      <c r="O533" t="n">
        <v>3</v>
      </c>
      <c r="P533" s="3" t="n">
        <v>59.04</v>
      </c>
      <c r="Q533" s="4" t="n">
        <v>0.038</v>
      </c>
      <c r="R533" s="3" t="n">
        <v>170.39</v>
      </c>
      <c r="S533" s="3" t="n">
        <v>79.81</v>
      </c>
      <c r="T533" s="3" t="n">
        <v>81.18000000000001</v>
      </c>
      <c r="U533" s="4" t="n">
        <v>0.4764</v>
      </c>
      <c r="V533" s="3" t="n">
        <v>9.4</v>
      </c>
      <c r="W533" t="inlineStr">
        <is>
          <t>Debit Card</t>
        </is>
      </c>
      <c r="X533" t="inlineStr">
        <is>
          <t>High</t>
        </is>
      </c>
    </row>
    <row r="534">
      <c r="A534" t="inlineStr">
        <is>
          <t>ORD-00533</t>
        </is>
      </c>
      <c r="B534" s="2" t="n">
        <v>45773</v>
      </c>
      <c r="C534" s="2" t="n">
        <v>45780</v>
      </c>
      <c r="D534" t="inlineStr">
        <is>
          <t>CUST-00533</t>
        </is>
      </c>
      <c r="E534" t="inlineStr">
        <is>
          <t>Customer 533</t>
        </is>
      </c>
      <c r="F534" t="inlineStr">
        <is>
          <t>Home Office</t>
        </is>
      </c>
      <c r="G534" t="inlineStr">
        <is>
          <t>P1020</t>
        </is>
      </c>
      <c r="H534" t="inlineStr">
        <is>
          <t>Trail Tote</t>
        </is>
      </c>
      <c r="I534" t="inlineStr">
        <is>
          <t>Furniture</t>
        </is>
      </c>
      <c r="J534" t="inlineStr">
        <is>
          <t>Peripherals</t>
        </is>
      </c>
      <c r="K534" t="inlineStr">
        <is>
          <t>East</t>
        </is>
      </c>
      <c r="L534" t="inlineStr">
        <is>
          <t>Massachusetts</t>
        </is>
      </c>
      <c r="M534" t="inlineStr">
        <is>
          <t>Boston</t>
        </is>
      </c>
      <c r="N534" t="inlineStr">
        <is>
          <t>James Carter</t>
        </is>
      </c>
      <c r="O534" t="n">
        <v>3</v>
      </c>
      <c r="P534" s="3" t="n">
        <v>72.98999999999999</v>
      </c>
      <c r="Q534" s="4" t="n">
        <v>0.004</v>
      </c>
      <c r="R534" s="3" t="n">
        <v>218.09</v>
      </c>
      <c r="S534" s="3" t="n">
        <v>109.12</v>
      </c>
      <c r="T534" s="3" t="n">
        <v>99.56999999999999</v>
      </c>
      <c r="U534" s="4" t="n">
        <v>0.4566</v>
      </c>
      <c r="V534" s="3" t="n">
        <v>9.4</v>
      </c>
      <c r="W534" t="inlineStr">
        <is>
          <t>Credit Card</t>
        </is>
      </c>
      <c r="X534" t="inlineStr">
        <is>
          <t>Low</t>
        </is>
      </c>
    </row>
    <row r="535">
      <c r="A535" t="inlineStr">
        <is>
          <t>ORD-00534</t>
        </is>
      </c>
      <c r="B535" s="2" t="n">
        <v>45338</v>
      </c>
      <c r="C535" s="2" t="n">
        <v>45342</v>
      </c>
      <c r="D535" t="inlineStr">
        <is>
          <t>CUST-00534</t>
        </is>
      </c>
      <c r="E535" t="inlineStr">
        <is>
          <t>Customer 534</t>
        </is>
      </c>
      <c r="F535" t="inlineStr">
        <is>
          <t>Consumer</t>
        </is>
      </c>
      <c r="G535" t="inlineStr">
        <is>
          <t>P1013</t>
        </is>
      </c>
      <c r="H535" t="inlineStr">
        <is>
          <t>FlexNote Notebook</t>
        </is>
      </c>
      <c r="I535" t="inlineStr">
        <is>
          <t>Home Decor</t>
        </is>
      </c>
      <c r="J535" t="inlineStr">
        <is>
          <t>Peripherals</t>
        </is>
      </c>
      <c r="K535" t="inlineStr">
        <is>
          <t>Central</t>
        </is>
      </c>
      <c r="L535" t="inlineStr">
        <is>
          <t>Kansas</t>
        </is>
      </c>
      <c r="M535" t="inlineStr">
        <is>
          <t>Kansas City</t>
        </is>
      </c>
      <c r="N535" t="inlineStr">
        <is>
          <t>Liam Chen</t>
        </is>
      </c>
      <c r="O535" t="n">
        <v>2</v>
      </c>
      <c r="P535" s="3" t="n">
        <v>151.3</v>
      </c>
      <c r="Q535" s="4" t="n">
        <v>0.005</v>
      </c>
      <c r="R535" s="3" t="n">
        <v>301.09</v>
      </c>
      <c r="S535" s="3" t="n">
        <v>177.68</v>
      </c>
      <c r="T535" s="3" t="n">
        <v>115.81</v>
      </c>
      <c r="U535" s="4" t="n">
        <v>0.3846</v>
      </c>
      <c r="V535" s="3" t="n">
        <v>7.6</v>
      </c>
      <c r="W535" t="inlineStr">
        <is>
          <t>Credit Card</t>
        </is>
      </c>
      <c r="X535" t="inlineStr">
        <is>
          <t>Medium</t>
        </is>
      </c>
    </row>
    <row r="536">
      <c r="A536" t="inlineStr">
        <is>
          <t>ORD-00535</t>
        </is>
      </c>
      <c r="B536" s="2" t="n">
        <v>45979</v>
      </c>
      <c r="C536" s="2" t="n">
        <v>45981</v>
      </c>
      <c r="D536" t="inlineStr">
        <is>
          <t>CUST-00535</t>
        </is>
      </c>
      <c r="E536" t="inlineStr">
        <is>
          <t>Customer 535</t>
        </is>
      </c>
      <c r="F536" t="inlineStr">
        <is>
          <t>Consumer</t>
        </is>
      </c>
      <c r="G536" t="inlineStr">
        <is>
          <t>P1009</t>
        </is>
      </c>
      <c r="H536" t="inlineStr">
        <is>
          <t>ProClip Binder</t>
        </is>
      </c>
      <c r="I536" t="inlineStr">
        <is>
          <t>Furniture</t>
        </is>
      </c>
      <c r="J536" t="inlineStr">
        <is>
          <t>Accessories</t>
        </is>
      </c>
      <c r="K536" t="inlineStr">
        <is>
          <t>Central</t>
        </is>
      </c>
      <c r="L536" t="inlineStr">
        <is>
          <t>Illinois</t>
        </is>
      </c>
      <c r="M536" t="inlineStr">
        <is>
          <t>Kansas City</t>
        </is>
      </c>
      <c r="N536" t="inlineStr">
        <is>
          <t>Mia Rodriguez</t>
        </is>
      </c>
      <c r="O536" t="n">
        <v>3</v>
      </c>
      <c r="P536" s="3" t="n">
        <v>100.16</v>
      </c>
      <c r="Q536" s="4" t="n">
        <v>0.014</v>
      </c>
      <c r="R536" s="3" t="n">
        <v>296.27</v>
      </c>
      <c r="S536" s="3" t="n">
        <v>148.71</v>
      </c>
      <c r="T536" s="3" t="n">
        <v>139.16</v>
      </c>
      <c r="U536" s="4" t="n">
        <v>0.4697</v>
      </c>
      <c r="V536" s="3" t="n">
        <v>8.4</v>
      </c>
      <c r="W536" t="inlineStr">
        <is>
          <t>Credit Card</t>
        </is>
      </c>
      <c r="X536" t="inlineStr">
        <is>
          <t>Low</t>
        </is>
      </c>
    </row>
    <row r="537">
      <c r="A537" t="inlineStr">
        <is>
          <t>ORD-00536</t>
        </is>
      </c>
      <c r="B537" s="2" t="n">
        <v>45690</v>
      </c>
      <c r="C537" s="2" t="n">
        <v>45693</v>
      </c>
      <c r="D537" t="inlineStr">
        <is>
          <t>CUST-00536</t>
        </is>
      </c>
      <c r="E537" t="inlineStr">
        <is>
          <t>Customer 536</t>
        </is>
      </c>
      <c r="F537" t="inlineStr">
        <is>
          <t>Corporate</t>
        </is>
      </c>
      <c r="G537" t="inlineStr">
        <is>
          <t>P1002</t>
        </is>
      </c>
      <c r="H537" t="inlineStr">
        <is>
          <t>Cove Wall Clock</t>
        </is>
      </c>
      <c r="I537" t="inlineStr">
        <is>
          <t>Technology</t>
        </is>
      </c>
      <c r="J537" t="inlineStr">
        <is>
          <t>Accessories</t>
        </is>
      </c>
      <c r="K537" t="inlineStr">
        <is>
          <t>Central</t>
        </is>
      </c>
      <c r="L537" t="inlineStr">
        <is>
          <t>Missouri</t>
        </is>
      </c>
      <c r="M537" t="inlineStr">
        <is>
          <t>Kansas City</t>
        </is>
      </c>
      <c r="N537" t="inlineStr">
        <is>
          <t>Noah Kim</t>
        </is>
      </c>
      <c r="O537" t="n">
        <v>2</v>
      </c>
      <c r="P537" s="3" t="n">
        <v>75.5</v>
      </c>
      <c r="Q537" s="4" t="n">
        <v>0.03</v>
      </c>
      <c r="R537" s="3" t="n">
        <v>146.47</v>
      </c>
      <c r="S537" s="3" t="n">
        <v>75.64</v>
      </c>
      <c r="T537" s="3" t="n">
        <v>63.23</v>
      </c>
      <c r="U537" s="4" t="n">
        <v>0.4317</v>
      </c>
      <c r="V537" s="3" t="n">
        <v>7.6</v>
      </c>
      <c r="W537" t="inlineStr">
        <is>
          <t>Bank Transfer</t>
        </is>
      </c>
      <c r="X537" t="inlineStr">
        <is>
          <t>Medium</t>
        </is>
      </c>
    </row>
    <row r="538">
      <c r="A538" t="inlineStr">
        <is>
          <t>ORD-00537</t>
        </is>
      </c>
      <c r="B538" s="2" t="n">
        <v>45793</v>
      </c>
      <c r="C538" s="2" t="n">
        <v>45800</v>
      </c>
      <c r="D538" t="inlineStr">
        <is>
          <t>CUST-00537</t>
        </is>
      </c>
      <c r="E538" t="inlineStr">
        <is>
          <t>Customer 537</t>
        </is>
      </c>
      <c r="F538" t="inlineStr">
        <is>
          <t>Consumer</t>
        </is>
      </c>
      <c r="G538" t="inlineStr">
        <is>
          <t>P1020</t>
        </is>
      </c>
      <c r="H538" t="inlineStr">
        <is>
          <t>ProClip Binder</t>
        </is>
      </c>
      <c r="I538" t="inlineStr">
        <is>
          <t>Home Decor</t>
        </is>
      </c>
      <c r="J538" t="inlineStr">
        <is>
          <t>Paper</t>
        </is>
      </c>
      <c r="K538" t="inlineStr">
        <is>
          <t>West</t>
        </is>
      </c>
      <c r="L538" t="inlineStr">
        <is>
          <t>Washington</t>
        </is>
      </c>
      <c r="M538" t="inlineStr">
        <is>
          <t>Denver</t>
        </is>
      </c>
      <c r="N538" t="inlineStr">
        <is>
          <t>Ava Patel</t>
        </is>
      </c>
      <c r="O538" t="n">
        <v>3</v>
      </c>
      <c r="P538" s="3" t="n">
        <v>75.3</v>
      </c>
      <c r="Q538" s="4" t="n">
        <v>0.016</v>
      </c>
      <c r="R538" s="3" t="n">
        <v>222.29</v>
      </c>
      <c r="S538" s="3" t="n">
        <v>105.4</v>
      </c>
      <c r="T538" s="3" t="n">
        <v>107.49</v>
      </c>
      <c r="U538" s="4" t="n">
        <v>0.4836</v>
      </c>
      <c r="V538" s="3" t="n">
        <v>9.4</v>
      </c>
      <c r="W538" t="inlineStr">
        <is>
          <t>Credit Card</t>
        </is>
      </c>
      <c r="X538" t="inlineStr">
        <is>
          <t>High</t>
        </is>
      </c>
    </row>
    <row r="539">
      <c r="A539" t="inlineStr">
        <is>
          <t>ORD-00538</t>
        </is>
      </c>
      <c r="B539" s="2" t="n">
        <v>45231</v>
      </c>
      <c r="C539" s="2" t="n">
        <v>45233</v>
      </c>
      <c r="D539" t="inlineStr">
        <is>
          <t>CUST-00538</t>
        </is>
      </c>
      <c r="E539" t="inlineStr">
        <is>
          <t>Customer 538</t>
        </is>
      </c>
      <c r="F539" t="inlineStr">
        <is>
          <t>Corporate</t>
        </is>
      </c>
      <c r="G539" t="inlineStr">
        <is>
          <t>P1018</t>
        </is>
      </c>
      <c r="H539" t="inlineStr">
        <is>
          <t>Summit Patio Set</t>
        </is>
      </c>
      <c r="I539" t="inlineStr">
        <is>
          <t>Technology</t>
        </is>
      </c>
      <c r="J539" t="inlineStr">
        <is>
          <t>Writing</t>
        </is>
      </c>
      <c r="K539" t="inlineStr">
        <is>
          <t>South</t>
        </is>
      </c>
      <c r="L539" t="inlineStr">
        <is>
          <t>Texas</t>
        </is>
      </c>
      <c r="M539" t="inlineStr">
        <is>
          <t>Atlanta</t>
        </is>
      </c>
      <c r="N539" t="inlineStr">
        <is>
          <t>Noah Kim</t>
        </is>
      </c>
      <c r="O539" t="n">
        <v>5</v>
      </c>
      <c r="P539" s="3" t="n">
        <v>97.59999999999999</v>
      </c>
      <c r="Q539" s="4" t="n">
        <v>0.025</v>
      </c>
      <c r="R539" s="3" t="n">
        <v>475.8</v>
      </c>
      <c r="S539" s="3" t="n">
        <v>215.78</v>
      </c>
      <c r="T539" s="3" t="n">
        <v>250.02</v>
      </c>
      <c r="U539" s="4" t="n">
        <v>0.5255</v>
      </c>
      <c r="V539" s="3" t="n">
        <v>10</v>
      </c>
      <c r="W539" t="inlineStr">
        <is>
          <t>Bank Transfer</t>
        </is>
      </c>
      <c r="X539" t="inlineStr">
        <is>
          <t>Medium</t>
        </is>
      </c>
    </row>
    <row r="540">
      <c r="A540" t="inlineStr">
        <is>
          <t>ORD-00539</t>
        </is>
      </c>
      <c r="B540" s="2" t="n">
        <v>45428</v>
      </c>
      <c r="C540" s="2" t="n">
        <v>45434</v>
      </c>
      <c r="D540" t="inlineStr">
        <is>
          <t>CUST-00539</t>
        </is>
      </c>
      <c r="E540" t="inlineStr">
        <is>
          <t>Customer 539</t>
        </is>
      </c>
      <c r="F540" t="inlineStr">
        <is>
          <t>Consumer</t>
        </is>
      </c>
      <c r="G540" t="inlineStr">
        <is>
          <t>P1020</t>
        </is>
      </c>
      <c r="H540" t="inlineStr">
        <is>
          <t>Nova Laptop Stand</t>
        </is>
      </c>
      <c r="I540" t="inlineStr">
        <is>
          <t>Home Decor</t>
        </is>
      </c>
      <c r="J540" t="inlineStr">
        <is>
          <t>Lighting</t>
        </is>
      </c>
      <c r="K540" t="inlineStr">
        <is>
          <t>East</t>
        </is>
      </c>
      <c r="L540" t="inlineStr">
        <is>
          <t>New Jersey</t>
        </is>
      </c>
      <c r="M540" t="inlineStr">
        <is>
          <t>Washington</t>
        </is>
      </c>
      <c r="N540" t="inlineStr">
        <is>
          <t>Noah Kim</t>
        </is>
      </c>
      <c r="O540" t="n">
        <v>3</v>
      </c>
      <c r="P540" s="3" t="n">
        <v>70.94</v>
      </c>
      <c r="Q540" s="4" t="n">
        <v>0.003</v>
      </c>
      <c r="R540" s="3" t="n">
        <v>212.18</v>
      </c>
      <c r="S540" s="3" t="n">
        <v>106.14</v>
      </c>
      <c r="T540" s="3" t="n">
        <v>96.64</v>
      </c>
      <c r="U540" s="4" t="n">
        <v>0.4555</v>
      </c>
      <c r="V540" s="3" t="n">
        <v>9.4</v>
      </c>
      <c r="W540" t="inlineStr">
        <is>
          <t>Bank Transfer</t>
        </is>
      </c>
      <c r="X540" t="inlineStr">
        <is>
          <t>Medium</t>
        </is>
      </c>
    </row>
    <row r="541">
      <c r="A541" t="inlineStr">
        <is>
          <t>ORD-00540</t>
        </is>
      </c>
      <c r="B541" s="2" t="n">
        <v>45263</v>
      </c>
      <c r="C541" s="2" t="n">
        <v>45268</v>
      </c>
      <c r="D541" t="inlineStr">
        <is>
          <t>CUST-00540</t>
        </is>
      </c>
      <c r="E541" t="inlineStr">
        <is>
          <t>Customer 540</t>
        </is>
      </c>
      <c r="F541" t="inlineStr">
        <is>
          <t>Consumer</t>
        </is>
      </c>
      <c r="G541" t="inlineStr">
        <is>
          <t>P1017</t>
        </is>
      </c>
      <c r="H541" t="inlineStr">
        <is>
          <t>Aero Standing Desk</t>
        </is>
      </c>
      <c r="I541" t="inlineStr">
        <is>
          <t>Outdoor</t>
        </is>
      </c>
      <c r="J541" t="inlineStr">
        <is>
          <t>Peripherals</t>
        </is>
      </c>
      <c r="K541" t="inlineStr">
        <is>
          <t>West</t>
        </is>
      </c>
      <c r="L541" t="inlineStr">
        <is>
          <t>California</t>
        </is>
      </c>
      <c r="M541" t="inlineStr">
        <is>
          <t>Denver</t>
        </is>
      </c>
      <c r="N541" t="inlineStr">
        <is>
          <t>Sophia Singh</t>
        </is>
      </c>
      <c r="O541" t="n">
        <v>3</v>
      </c>
      <c r="P541" s="3" t="n">
        <v>616.95</v>
      </c>
      <c r="Q541" s="4" t="n">
        <v>0.021</v>
      </c>
      <c r="R541" s="3" t="n">
        <v>1811.98</v>
      </c>
      <c r="S541" s="3" t="n">
        <v>1206.68</v>
      </c>
      <c r="T541" s="3" t="n">
        <v>595.9</v>
      </c>
      <c r="U541" s="4" t="n">
        <v>0.3289</v>
      </c>
      <c r="V541" s="3" t="n">
        <v>9.4</v>
      </c>
      <c r="W541" t="inlineStr">
        <is>
          <t>PayPal</t>
        </is>
      </c>
      <c r="X541" t="inlineStr">
        <is>
          <t>High</t>
        </is>
      </c>
    </row>
    <row r="542">
      <c r="A542" t="inlineStr">
        <is>
          <t>ORD-00541</t>
        </is>
      </c>
      <c r="B542" s="2" t="n">
        <v>46006</v>
      </c>
      <c r="C542" s="2" t="n">
        <v>46011</v>
      </c>
      <c r="D542" t="inlineStr">
        <is>
          <t>CUST-00541</t>
        </is>
      </c>
      <c r="E542" t="inlineStr">
        <is>
          <t>Customer 541</t>
        </is>
      </c>
      <c r="F542" t="inlineStr">
        <is>
          <t>Consumer</t>
        </is>
      </c>
      <c r="G542" t="inlineStr">
        <is>
          <t>P1007</t>
        </is>
      </c>
      <c r="H542" t="inlineStr">
        <is>
          <t>Halo Planter</t>
        </is>
      </c>
      <c r="I542" t="inlineStr">
        <is>
          <t>Home Decor</t>
        </is>
      </c>
      <c r="J542" t="inlineStr">
        <is>
          <t>Peripherals</t>
        </is>
      </c>
      <c r="K542" t="inlineStr">
        <is>
          <t>West</t>
        </is>
      </c>
      <c r="L542" t="inlineStr">
        <is>
          <t>Washington</t>
        </is>
      </c>
      <c r="M542" t="inlineStr">
        <is>
          <t>Seattle</t>
        </is>
      </c>
      <c r="N542" t="inlineStr">
        <is>
          <t>Mia Rodriguez</t>
        </is>
      </c>
      <c r="O542" t="n">
        <v>4</v>
      </c>
      <c r="P542" s="3" t="n">
        <v>27.18</v>
      </c>
      <c r="Q542" s="4" t="n">
        <v>0.035</v>
      </c>
      <c r="R542" s="3" t="n">
        <v>104.91</v>
      </c>
      <c r="S542" s="3" t="n">
        <v>41.95</v>
      </c>
      <c r="T542" s="3" t="n">
        <v>52.76</v>
      </c>
      <c r="U542" s="4" t="n">
        <v>0.5029</v>
      </c>
      <c r="V542" s="3" t="n">
        <v>10.2</v>
      </c>
      <c r="W542" t="inlineStr">
        <is>
          <t>PayPal</t>
        </is>
      </c>
      <c r="X542" t="inlineStr">
        <is>
          <t>Medium</t>
        </is>
      </c>
    </row>
    <row r="543">
      <c r="A543" t="inlineStr">
        <is>
          <t>ORD-00542</t>
        </is>
      </c>
      <c r="B543" s="2" t="n">
        <v>45423</v>
      </c>
      <c r="C543" s="2" t="n">
        <v>45425</v>
      </c>
      <c r="D543" t="inlineStr">
        <is>
          <t>CUST-00542</t>
        </is>
      </c>
      <c r="E543" t="inlineStr">
        <is>
          <t>Customer 542</t>
        </is>
      </c>
      <c r="F543" t="inlineStr">
        <is>
          <t>Consumer</t>
        </is>
      </c>
      <c r="G543" t="inlineStr">
        <is>
          <t>P1017</t>
        </is>
      </c>
      <c r="H543" t="inlineStr">
        <is>
          <t>Tide Cooler</t>
        </is>
      </c>
      <c r="I543" t="inlineStr">
        <is>
          <t>Furniture</t>
        </is>
      </c>
      <c r="J543" t="inlineStr">
        <is>
          <t>Binders</t>
        </is>
      </c>
      <c r="K543" t="inlineStr">
        <is>
          <t>East</t>
        </is>
      </c>
      <c r="L543" t="inlineStr">
        <is>
          <t>New Jersey</t>
        </is>
      </c>
      <c r="M543" t="inlineStr">
        <is>
          <t>Washington</t>
        </is>
      </c>
      <c r="N543" t="inlineStr">
        <is>
          <t>James Carter</t>
        </is>
      </c>
      <c r="O543" t="n">
        <v>3</v>
      </c>
      <c r="P543" s="3" t="n">
        <v>547.73</v>
      </c>
      <c r="Q543" s="4" t="n">
        <v>0.023</v>
      </c>
      <c r="R543" s="3" t="n">
        <v>1605.4</v>
      </c>
      <c r="S543" s="3" t="n">
        <v>1065.91</v>
      </c>
      <c r="T543" s="3" t="n">
        <v>530.09</v>
      </c>
      <c r="U543" s="4" t="n">
        <v>0.3302</v>
      </c>
      <c r="V543" s="3" t="n">
        <v>9.4</v>
      </c>
      <c r="W543" t="inlineStr">
        <is>
          <t>Cash on Delivery</t>
        </is>
      </c>
      <c r="X543" t="inlineStr">
        <is>
          <t>High</t>
        </is>
      </c>
    </row>
    <row r="544">
      <c r="A544" t="inlineStr">
        <is>
          <t>ORD-00543</t>
        </is>
      </c>
      <c r="B544" s="2" t="n">
        <v>44936</v>
      </c>
      <c r="C544" s="2" t="n">
        <v>44941</v>
      </c>
      <c r="D544" t="inlineStr">
        <is>
          <t>CUST-00543</t>
        </is>
      </c>
      <c r="E544" t="inlineStr">
        <is>
          <t>Customer 543</t>
        </is>
      </c>
      <c r="F544" t="inlineStr">
        <is>
          <t>Corporate</t>
        </is>
      </c>
      <c r="G544" t="inlineStr">
        <is>
          <t>P1010</t>
        </is>
      </c>
      <c r="H544" t="inlineStr">
        <is>
          <t>Halo Planter</t>
        </is>
      </c>
      <c r="I544" t="inlineStr">
        <is>
          <t>Office Supplies</t>
        </is>
      </c>
      <c r="J544" t="inlineStr">
        <is>
          <t>Lighting</t>
        </is>
      </c>
      <c r="K544" t="inlineStr">
        <is>
          <t>East</t>
        </is>
      </c>
      <c r="L544" t="inlineStr">
        <is>
          <t>New York</t>
        </is>
      </c>
      <c r="M544" t="inlineStr">
        <is>
          <t>New York</t>
        </is>
      </c>
      <c r="N544" t="inlineStr">
        <is>
          <t>Mia Rodriguez</t>
        </is>
      </c>
      <c r="O544" t="n">
        <v>1</v>
      </c>
      <c r="P544" s="3" t="n">
        <v>57.49</v>
      </c>
      <c r="Q544" s="4" t="n">
        <v>0.07099999999999999</v>
      </c>
      <c r="R544" s="3" t="n">
        <v>53.41</v>
      </c>
      <c r="S544" s="3" t="n">
        <v>28.2</v>
      </c>
      <c r="T544" s="3" t="n">
        <v>17.41</v>
      </c>
      <c r="U544" s="4" t="n">
        <v>0.326</v>
      </c>
      <c r="V544" s="3" t="n">
        <v>7.8</v>
      </c>
      <c r="W544" t="inlineStr">
        <is>
          <t>PayPal</t>
        </is>
      </c>
      <c r="X544" t="inlineStr">
        <is>
          <t>Critical</t>
        </is>
      </c>
    </row>
    <row r="545">
      <c r="A545" t="inlineStr">
        <is>
          <t>ORD-00544</t>
        </is>
      </c>
      <c r="B545" s="2" t="n">
        <v>45947</v>
      </c>
      <c r="C545" s="2" t="n">
        <v>45951</v>
      </c>
      <c r="D545" t="inlineStr">
        <is>
          <t>CUST-00544</t>
        </is>
      </c>
      <c r="E545" t="inlineStr">
        <is>
          <t>Customer 544</t>
        </is>
      </c>
      <c r="F545" t="inlineStr">
        <is>
          <t>Corporate</t>
        </is>
      </c>
      <c r="G545" t="inlineStr">
        <is>
          <t>P1014</t>
        </is>
      </c>
      <c r="H545" t="inlineStr">
        <is>
          <t>Tide Cooler</t>
        </is>
      </c>
      <c r="I545" t="inlineStr">
        <is>
          <t>Technology</t>
        </is>
      </c>
      <c r="J545" t="inlineStr">
        <is>
          <t>Writing</t>
        </is>
      </c>
      <c r="K545" t="inlineStr">
        <is>
          <t>Central</t>
        </is>
      </c>
      <c r="L545" t="inlineStr">
        <is>
          <t>Missouri</t>
        </is>
      </c>
      <c r="M545" t="inlineStr">
        <is>
          <t>Minneapolis</t>
        </is>
      </c>
      <c r="N545" t="inlineStr">
        <is>
          <t>Olivia Martin</t>
        </is>
      </c>
      <c r="O545" t="n">
        <v>3</v>
      </c>
      <c r="P545" s="3" t="n">
        <v>43.72</v>
      </c>
      <c r="Q545" s="4" t="n">
        <v>0.041</v>
      </c>
      <c r="R545" s="3" t="n">
        <v>125.78</v>
      </c>
      <c r="S545" s="3" t="n">
        <v>60.16</v>
      </c>
      <c r="T545" s="3" t="n">
        <v>57.22</v>
      </c>
      <c r="U545" s="4" t="n">
        <v>0.4549</v>
      </c>
      <c r="V545" s="3" t="n">
        <v>8.4</v>
      </c>
      <c r="W545" t="inlineStr">
        <is>
          <t>PayPal</t>
        </is>
      </c>
      <c r="X545" t="inlineStr">
        <is>
          <t>High</t>
        </is>
      </c>
    </row>
    <row r="546">
      <c r="A546" t="inlineStr">
        <is>
          <t>ORD-00545</t>
        </is>
      </c>
      <c r="B546" s="2" t="n">
        <v>45477</v>
      </c>
      <c r="C546" s="2" t="n">
        <v>45478</v>
      </c>
      <c r="D546" t="inlineStr">
        <is>
          <t>CUST-00545</t>
        </is>
      </c>
      <c r="E546" t="inlineStr">
        <is>
          <t>Customer 545</t>
        </is>
      </c>
      <c r="F546" t="inlineStr">
        <is>
          <t>Corporate</t>
        </is>
      </c>
      <c r="G546" t="inlineStr">
        <is>
          <t>P1012</t>
        </is>
      </c>
      <c r="H546" t="inlineStr">
        <is>
          <t>SmartInk Pen Set</t>
        </is>
      </c>
      <c r="I546" t="inlineStr">
        <is>
          <t>Furniture</t>
        </is>
      </c>
      <c r="J546" t="inlineStr">
        <is>
          <t>Textiles</t>
        </is>
      </c>
      <c r="K546" t="inlineStr">
        <is>
          <t>North</t>
        </is>
      </c>
      <c r="L546" t="inlineStr">
        <is>
          <t>Quebec</t>
        </is>
      </c>
      <c r="M546" t="inlineStr">
        <is>
          <t>Calgary</t>
        </is>
      </c>
      <c r="N546" t="inlineStr">
        <is>
          <t>Sophia Singh</t>
        </is>
      </c>
      <c r="O546" t="n">
        <v>3</v>
      </c>
      <c r="P546" s="3" t="n">
        <v>136.29</v>
      </c>
      <c r="Q546" s="4" t="n">
        <v>0.024</v>
      </c>
      <c r="R546" s="3" t="n">
        <v>399.06</v>
      </c>
      <c r="S546" s="3" t="n">
        <v>200.24</v>
      </c>
      <c r="T546" s="3" t="n">
        <v>190.42</v>
      </c>
      <c r="U546" s="4" t="n">
        <v>0.4772</v>
      </c>
      <c r="V546" s="3" t="n">
        <v>8.4</v>
      </c>
      <c r="W546" t="inlineStr">
        <is>
          <t>Debit Card</t>
        </is>
      </c>
      <c r="X546" t="inlineStr">
        <is>
          <t>High</t>
        </is>
      </c>
    </row>
    <row r="547">
      <c r="A547" t="inlineStr">
        <is>
          <t>ORD-00546</t>
        </is>
      </c>
      <c r="B547" s="2" t="n">
        <v>45339</v>
      </c>
      <c r="C547" s="2" t="n">
        <v>45341</v>
      </c>
      <c r="D547" t="inlineStr">
        <is>
          <t>CUST-00546</t>
        </is>
      </c>
      <c r="E547" t="inlineStr">
        <is>
          <t>Customer 546</t>
        </is>
      </c>
      <c r="F547" t="inlineStr">
        <is>
          <t>Home Office</t>
        </is>
      </c>
      <c r="G547" t="inlineStr">
        <is>
          <t>P1012</t>
        </is>
      </c>
      <c r="H547" t="inlineStr">
        <is>
          <t>Halo Planter</t>
        </is>
      </c>
      <c r="I547" t="inlineStr">
        <is>
          <t>Office Supplies</t>
        </is>
      </c>
      <c r="J547" t="inlineStr">
        <is>
          <t>Video</t>
        </is>
      </c>
      <c r="K547" t="inlineStr">
        <is>
          <t>West</t>
        </is>
      </c>
      <c r="L547" t="inlineStr">
        <is>
          <t>Colorado</t>
        </is>
      </c>
      <c r="M547" t="inlineStr">
        <is>
          <t>Seattle</t>
        </is>
      </c>
      <c r="N547" t="inlineStr">
        <is>
          <t>James Carter</t>
        </is>
      </c>
      <c r="O547" t="n">
        <v>5</v>
      </c>
      <c r="P547" s="3" t="n">
        <v>131.52</v>
      </c>
      <c r="Q547" s="4" t="n">
        <v>0.014</v>
      </c>
      <c r="R547" s="3" t="n">
        <v>648.39</v>
      </c>
      <c r="S547" s="3" t="n">
        <v>329.03</v>
      </c>
      <c r="T547" s="3" t="n">
        <v>308.36</v>
      </c>
      <c r="U547" s="4" t="n">
        <v>0.4756</v>
      </c>
      <c r="V547" s="3" t="n">
        <v>11</v>
      </c>
      <c r="W547" t="inlineStr">
        <is>
          <t>Bank Transfer</t>
        </is>
      </c>
      <c r="X547" t="inlineStr">
        <is>
          <t>Low</t>
        </is>
      </c>
    </row>
    <row r="548">
      <c r="A548" t="inlineStr">
        <is>
          <t>ORD-00547</t>
        </is>
      </c>
      <c r="B548" s="2" t="n">
        <v>45203</v>
      </c>
      <c r="C548" s="2" t="n">
        <v>45207</v>
      </c>
      <c r="D548" t="inlineStr">
        <is>
          <t>CUST-00547</t>
        </is>
      </c>
      <c r="E548" t="inlineStr">
        <is>
          <t>Customer 547</t>
        </is>
      </c>
      <c r="F548" t="inlineStr">
        <is>
          <t>Consumer</t>
        </is>
      </c>
      <c r="G548" t="inlineStr">
        <is>
          <t>P1017</t>
        </is>
      </c>
      <c r="H548" t="inlineStr">
        <is>
          <t>FlexNote Notebook</t>
        </is>
      </c>
      <c r="I548" t="inlineStr">
        <is>
          <t>Technology</t>
        </is>
      </c>
      <c r="J548" t="inlineStr">
        <is>
          <t>Coolers</t>
        </is>
      </c>
      <c r="K548" t="inlineStr">
        <is>
          <t>East</t>
        </is>
      </c>
      <c r="L548" t="inlineStr">
        <is>
          <t>New York</t>
        </is>
      </c>
      <c r="M548" t="inlineStr">
        <is>
          <t>New York</t>
        </is>
      </c>
      <c r="N548" t="inlineStr">
        <is>
          <t>Noah Kim</t>
        </is>
      </c>
      <c r="O548" t="n">
        <v>1</v>
      </c>
      <c r="P548" s="3" t="n">
        <v>612.74</v>
      </c>
      <c r="Q548" s="4" t="n">
        <v>0.017</v>
      </c>
      <c r="R548" s="3" t="n">
        <v>602.3200000000001</v>
      </c>
      <c r="S548" s="3" t="n">
        <v>402.69</v>
      </c>
      <c r="T548" s="3" t="n">
        <v>191.83</v>
      </c>
      <c r="U548" s="4" t="n">
        <v>0.3185</v>
      </c>
      <c r="V548" s="3" t="n">
        <v>7.8</v>
      </c>
      <c r="W548" t="inlineStr">
        <is>
          <t>Credit Card</t>
        </is>
      </c>
      <c r="X548" t="inlineStr">
        <is>
          <t>Medium</t>
        </is>
      </c>
    </row>
    <row r="549">
      <c r="A549" t="inlineStr">
        <is>
          <t>ORD-00548</t>
        </is>
      </c>
      <c r="B549" s="2" t="n">
        <v>45676</v>
      </c>
      <c r="C549" s="2" t="n">
        <v>45682</v>
      </c>
      <c r="D549" t="inlineStr">
        <is>
          <t>CUST-00548</t>
        </is>
      </c>
      <c r="E549" t="inlineStr">
        <is>
          <t>Customer 548</t>
        </is>
      </c>
      <c r="F549" t="inlineStr">
        <is>
          <t>Consumer</t>
        </is>
      </c>
      <c r="G549" t="inlineStr">
        <is>
          <t>P1019</t>
        </is>
      </c>
      <c r="H549" t="inlineStr">
        <is>
          <t>Pulse Keyboard</t>
        </is>
      </c>
      <c r="I549" t="inlineStr">
        <is>
          <t>Furniture</t>
        </is>
      </c>
      <c r="J549" t="inlineStr">
        <is>
          <t>Decor</t>
        </is>
      </c>
      <c r="K549" t="inlineStr">
        <is>
          <t>North</t>
        </is>
      </c>
      <c r="L549" t="inlineStr">
        <is>
          <t>Quebec</t>
        </is>
      </c>
      <c r="M549" t="inlineStr">
        <is>
          <t>Montreal</t>
        </is>
      </c>
      <c r="N549" t="inlineStr">
        <is>
          <t>Mia Rodriguez</t>
        </is>
      </c>
      <c r="O549" t="n">
        <v>3</v>
      </c>
      <c r="P549" s="3" t="n">
        <v>54.52</v>
      </c>
      <c r="Q549" s="4" t="n">
        <v>0.039</v>
      </c>
      <c r="R549" s="3" t="n">
        <v>157.18</v>
      </c>
      <c r="S549" s="3" t="n">
        <v>67.68000000000001</v>
      </c>
      <c r="T549" s="3" t="n">
        <v>81.09999999999999</v>
      </c>
      <c r="U549" s="4" t="n">
        <v>0.516</v>
      </c>
      <c r="V549" s="3" t="n">
        <v>8.4</v>
      </c>
      <c r="W549" t="inlineStr">
        <is>
          <t>Credit Card</t>
        </is>
      </c>
      <c r="X549" t="inlineStr">
        <is>
          <t>Critical</t>
        </is>
      </c>
    </row>
    <row r="550">
      <c r="A550" t="inlineStr">
        <is>
          <t>ORD-00549</t>
        </is>
      </c>
      <c r="B550" s="2" t="n">
        <v>45621</v>
      </c>
      <c r="C550" s="2" t="n">
        <v>45625</v>
      </c>
      <c r="D550" t="inlineStr">
        <is>
          <t>CUST-00549</t>
        </is>
      </c>
      <c r="E550" t="inlineStr">
        <is>
          <t>Customer 549</t>
        </is>
      </c>
      <c r="F550" t="inlineStr">
        <is>
          <t>Corporate</t>
        </is>
      </c>
      <c r="G550" t="inlineStr">
        <is>
          <t>P1014</t>
        </is>
      </c>
      <c r="H550" t="inlineStr">
        <is>
          <t>Cove Wall Clock</t>
        </is>
      </c>
      <c r="I550" t="inlineStr">
        <is>
          <t>Outdoor</t>
        </is>
      </c>
      <c r="J550" t="inlineStr">
        <is>
          <t>Textiles</t>
        </is>
      </c>
      <c r="K550" t="inlineStr">
        <is>
          <t>North</t>
        </is>
      </c>
      <c r="L550" t="inlineStr">
        <is>
          <t>Alberta</t>
        </is>
      </c>
      <c r="M550" t="inlineStr">
        <is>
          <t>Toronto</t>
        </is>
      </c>
      <c r="N550" t="inlineStr">
        <is>
          <t>Noah Kim</t>
        </is>
      </c>
      <c r="O550" t="n">
        <v>3</v>
      </c>
      <c r="P550" s="3" t="n">
        <v>45.23</v>
      </c>
      <c r="Q550" s="4" t="n">
        <v>0.029</v>
      </c>
      <c r="R550" s="3" t="n">
        <v>131.75</v>
      </c>
      <c r="S550" s="3" t="n">
        <v>56.48</v>
      </c>
      <c r="T550" s="3" t="n">
        <v>66.87</v>
      </c>
      <c r="U550" s="4" t="n">
        <v>0.5076000000000001</v>
      </c>
      <c r="V550" s="3" t="n">
        <v>8.4</v>
      </c>
      <c r="W550" t="inlineStr">
        <is>
          <t>Credit Card</t>
        </is>
      </c>
      <c r="X550" t="inlineStr">
        <is>
          <t>Medium</t>
        </is>
      </c>
    </row>
    <row r="551">
      <c r="A551" t="inlineStr">
        <is>
          <t>ORD-00550</t>
        </is>
      </c>
      <c r="B551" s="2" t="n">
        <v>45717</v>
      </c>
      <c r="C551" s="2" t="n">
        <v>45721</v>
      </c>
      <c r="D551" t="inlineStr">
        <is>
          <t>CUST-00550</t>
        </is>
      </c>
      <c r="E551" t="inlineStr">
        <is>
          <t>Customer 550</t>
        </is>
      </c>
      <c r="F551" t="inlineStr">
        <is>
          <t>Corporate</t>
        </is>
      </c>
      <c r="G551" t="inlineStr">
        <is>
          <t>P1017</t>
        </is>
      </c>
      <c r="H551" t="inlineStr">
        <is>
          <t>CloudDrive File Box</t>
        </is>
      </c>
      <c r="I551" t="inlineStr">
        <is>
          <t>Furniture</t>
        </is>
      </c>
      <c r="J551" t="inlineStr">
        <is>
          <t>Binders</t>
        </is>
      </c>
      <c r="K551" t="inlineStr">
        <is>
          <t>South</t>
        </is>
      </c>
      <c r="L551" t="inlineStr">
        <is>
          <t>North Carolina</t>
        </is>
      </c>
      <c r="M551" t="inlineStr">
        <is>
          <t>Dallas</t>
        </is>
      </c>
      <c r="N551" t="inlineStr">
        <is>
          <t>Olivia Martin</t>
        </is>
      </c>
      <c r="O551" t="n">
        <v>3</v>
      </c>
      <c r="P551" s="3" t="n">
        <v>524.17</v>
      </c>
      <c r="Q551" s="4" t="n">
        <v>0.011</v>
      </c>
      <c r="R551" s="3" t="n">
        <v>1555.21</v>
      </c>
      <c r="S551" s="3" t="n">
        <v>1037.78</v>
      </c>
      <c r="T551" s="3" t="n">
        <v>509.03</v>
      </c>
      <c r="U551" s="4" t="n">
        <v>0.3273</v>
      </c>
      <c r="V551" s="3" t="n">
        <v>8.4</v>
      </c>
      <c r="W551" t="inlineStr">
        <is>
          <t>Debit Card</t>
        </is>
      </c>
      <c r="X551" t="inlineStr">
        <is>
          <t>Low</t>
        </is>
      </c>
    </row>
    <row r="552">
      <c r="A552" t="inlineStr">
        <is>
          <t>ORD-00551</t>
        </is>
      </c>
      <c r="B552" s="2" t="n">
        <v>45365</v>
      </c>
      <c r="C552" s="2" t="n">
        <v>45371</v>
      </c>
      <c r="D552" t="inlineStr">
        <is>
          <t>CUST-00551</t>
        </is>
      </c>
      <c r="E552" t="inlineStr">
        <is>
          <t>Customer 551</t>
        </is>
      </c>
      <c r="F552" t="inlineStr">
        <is>
          <t>Consumer</t>
        </is>
      </c>
      <c r="G552" t="inlineStr">
        <is>
          <t>P1015</t>
        </is>
      </c>
      <c r="H552" t="inlineStr">
        <is>
          <t>Aero Standing Desk</t>
        </is>
      </c>
      <c r="I552" t="inlineStr">
        <is>
          <t>Office Supplies</t>
        </is>
      </c>
      <c r="J552" t="inlineStr">
        <is>
          <t>Chairs</t>
        </is>
      </c>
      <c r="K552" t="inlineStr">
        <is>
          <t>West</t>
        </is>
      </c>
      <c r="L552" t="inlineStr">
        <is>
          <t>Washington</t>
        </is>
      </c>
      <c r="M552" t="inlineStr">
        <is>
          <t>San Francisco</t>
        </is>
      </c>
      <c r="N552" t="inlineStr">
        <is>
          <t>Ava Patel</t>
        </is>
      </c>
      <c r="O552" t="n">
        <v>1</v>
      </c>
      <c r="P552" s="3" t="n">
        <v>72.76000000000001</v>
      </c>
      <c r="Q552" s="4" t="n">
        <v>0.019</v>
      </c>
      <c r="R552" s="3" t="n">
        <v>71.38</v>
      </c>
      <c r="S552" s="3" t="n">
        <v>36.31</v>
      </c>
      <c r="T552" s="3" t="n">
        <v>27.27</v>
      </c>
      <c r="U552" s="4" t="n">
        <v>0.382</v>
      </c>
      <c r="V552" s="3" t="n">
        <v>7.8</v>
      </c>
      <c r="W552" t="inlineStr">
        <is>
          <t>Debit Card</t>
        </is>
      </c>
      <c r="X552" t="inlineStr">
        <is>
          <t>Low</t>
        </is>
      </c>
    </row>
    <row r="553">
      <c r="A553" t="inlineStr">
        <is>
          <t>ORD-00552</t>
        </is>
      </c>
      <c r="B553" s="2" t="n">
        <v>45740</v>
      </c>
      <c r="C553" s="2" t="n">
        <v>45743</v>
      </c>
      <c r="D553" t="inlineStr">
        <is>
          <t>CUST-00552</t>
        </is>
      </c>
      <c r="E553" t="inlineStr">
        <is>
          <t>Customer 552</t>
        </is>
      </c>
      <c r="F553" t="inlineStr">
        <is>
          <t>Corporate</t>
        </is>
      </c>
      <c r="G553" t="inlineStr">
        <is>
          <t>P1006</t>
        </is>
      </c>
      <c r="H553" t="inlineStr">
        <is>
          <t>Orbit Wireless Mouse</t>
        </is>
      </c>
      <c r="I553" t="inlineStr">
        <is>
          <t>Furniture</t>
        </is>
      </c>
      <c r="J553" t="inlineStr">
        <is>
          <t>Flooring</t>
        </is>
      </c>
      <c r="K553" t="inlineStr">
        <is>
          <t>East</t>
        </is>
      </c>
      <c r="L553" t="inlineStr">
        <is>
          <t>Virginia</t>
        </is>
      </c>
      <c r="M553" t="inlineStr">
        <is>
          <t>New York</t>
        </is>
      </c>
      <c r="N553" t="inlineStr">
        <is>
          <t>Sophia Singh</t>
        </is>
      </c>
      <c r="O553" t="n">
        <v>2</v>
      </c>
      <c r="P553" s="3" t="n">
        <v>17.92</v>
      </c>
      <c r="Q553" s="4" t="n">
        <v>0.078</v>
      </c>
      <c r="R553" s="3" t="n">
        <v>33.04</v>
      </c>
      <c r="S553" s="3" t="n">
        <v>14.39</v>
      </c>
      <c r="T553" s="3" t="n">
        <v>10.05</v>
      </c>
      <c r="U553" s="4" t="n">
        <v>0.3042</v>
      </c>
      <c r="V553" s="3" t="n">
        <v>8.6</v>
      </c>
      <c r="W553" t="inlineStr">
        <is>
          <t>Cash on Delivery</t>
        </is>
      </c>
      <c r="X553" t="inlineStr">
        <is>
          <t>Critical</t>
        </is>
      </c>
    </row>
    <row r="554">
      <c r="A554" t="inlineStr">
        <is>
          <t>ORD-00553</t>
        </is>
      </c>
      <c r="B554" s="2" t="n">
        <v>45637</v>
      </c>
      <c r="C554" s="2" t="n">
        <v>45639</v>
      </c>
      <c r="D554" t="inlineStr">
        <is>
          <t>CUST-00553</t>
        </is>
      </c>
      <c r="E554" t="inlineStr">
        <is>
          <t>Customer 553</t>
        </is>
      </c>
      <c r="F554" t="inlineStr">
        <is>
          <t>Consumer</t>
        </is>
      </c>
      <c r="G554" t="inlineStr">
        <is>
          <t>P1019</t>
        </is>
      </c>
      <c r="H554" t="inlineStr">
        <is>
          <t>SmartInk Pen Set</t>
        </is>
      </c>
      <c r="I554" t="inlineStr">
        <is>
          <t>Office Supplies</t>
        </is>
      </c>
      <c r="J554" t="inlineStr">
        <is>
          <t>Binders</t>
        </is>
      </c>
      <c r="K554" t="inlineStr">
        <is>
          <t>North</t>
        </is>
      </c>
      <c r="L554" t="inlineStr">
        <is>
          <t>Ontario</t>
        </is>
      </c>
      <c r="M554" t="inlineStr">
        <is>
          <t>Toronto</t>
        </is>
      </c>
      <c r="N554" t="inlineStr">
        <is>
          <t>Sophia Singh</t>
        </is>
      </c>
      <c r="O554" t="n">
        <v>2</v>
      </c>
      <c r="P554" s="3" t="n">
        <v>58.88</v>
      </c>
      <c r="Q554" s="4" t="n">
        <v>0.022</v>
      </c>
      <c r="R554" s="3" t="n">
        <v>115.17</v>
      </c>
      <c r="S554" s="3" t="n">
        <v>57.81</v>
      </c>
      <c r="T554" s="3" t="n">
        <v>49.76</v>
      </c>
      <c r="U554" s="4" t="n">
        <v>0.4321</v>
      </c>
      <c r="V554" s="3" t="n">
        <v>7.6</v>
      </c>
      <c r="W554" t="inlineStr">
        <is>
          <t>Cash on Delivery</t>
        </is>
      </c>
      <c r="X554" t="inlineStr">
        <is>
          <t>Medium</t>
        </is>
      </c>
    </row>
    <row r="555">
      <c r="A555" t="inlineStr">
        <is>
          <t>ORD-00554</t>
        </is>
      </c>
      <c r="B555" s="2" t="n">
        <v>45590</v>
      </c>
      <c r="C555" s="2" t="n">
        <v>45592</v>
      </c>
      <c r="D555" t="inlineStr">
        <is>
          <t>CUST-00554</t>
        </is>
      </c>
      <c r="E555" t="inlineStr">
        <is>
          <t>Customer 554</t>
        </is>
      </c>
      <c r="F555" t="inlineStr">
        <is>
          <t>Corporate</t>
        </is>
      </c>
      <c r="G555" t="inlineStr">
        <is>
          <t>P1020</t>
        </is>
      </c>
      <c r="H555" t="inlineStr">
        <is>
          <t>ErgoMesh Chair</t>
        </is>
      </c>
      <c r="I555" t="inlineStr">
        <is>
          <t>Outdoor</t>
        </is>
      </c>
      <c r="J555" t="inlineStr">
        <is>
          <t>Binders</t>
        </is>
      </c>
      <c r="K555" t="inlineStr">
        <is>
          <t>North</t>
        </is>
      </c>
      <c r="L555" t="inlineStr">
        <is>
          <t>Ontario</t>
        </is>
      </c>
      <c r="M555" t="inlineStr">
        <is>
          <t>Calgary</t>
        </is>
      </c>
      <c r="N555" t="inlineStr">
        <is>
          <t>Mia Rodriguez</t>
        </is>
      </c>
      <c r="O555" t="n">
        <v>3</v>
      </c>
      <c r="P555" s="3" t="n">
        <v>81.5</v>
      </c>
      <c r="Q555" s="4" t="n">
        <v>0.011</v>
      </c>
      <c r="R555" s="3" t="n">
        <v>241.81</v>
      </c>
      <c r="S555" s="3" t="n">
        <v>116.1</v>
      </c>
      <c r="T555" s="3" t="n">
        <v>117.31</v>
      </c>
      <c r="U555" s="4" t="n">
        <v>0.4851</v>
      </c>
      <c r="V555" s="3" t="n">
        <v>8.4</v>
      </c>
      <c r="W555" t="inlineStr">
        <is>
          <t>PayPal</t>
        </is>
      </c>
      <c r="X555" t="inlineStr">
        <is>
          <t>Medium</t>
        </is>
      </c>
    </row>
    <row r="556">
      <c r="A556" t="inlineStr">
        <is>
          <t>ORD-00555</t>
        </is>
      </c>
      <c r="B556" s="2" t="n">
        <v>45989</v>
      </c>
      <c r="C556" s="2" t="n">
        <v>45991</v>
      </c>
      <c r="D556" t="inlineStr">
        <is>
          <t>CUST-00555</t>
        </is>
      </c>
      <c r="E556" t="inlineStr">
        <is>
          <t>Customer 555</t>
        </is>
      </c>
      <c r="F556" t="inlineStr">
        <is>
          <t>Home Office</t>
        </is>
      </c>
      <c r="G556" t="inlineStr">
        <is>
          <t>P1006</t>
        </is>
      </c>
      <c r="H556" t="inlineStr">
        <is>
          <t>Trail Tote</t>
        </is>
      </c>
      <c r="I556" t="inlineStr">
        <is>
          <t>Office Supplies</t>
        </is>
      </c>
      <c r="J556" t="inlineStr">
        <is>
          <t>Binders</t>
        </is>
      </c>
      <c r="K556" t="inlineStr">
        <is>
          <t>Central</t>
        </is>
      </c>
      <c r="L556" t="inlineStr">
        <is>
          <t>Missouri</t>
        </is>
      </c>
      <c r="M556" t="inlineStr">
        <is>
          <t>Kansas City</t>
        </is>
      </c>
      <c r="N556" t="inlineStr">
        <is>
          <t>James Carter</t>
        </is>
      </c>
      <c r="O556" t="n">
        <v>4</v>
      </c>
      <c r="P556" s="3" t="n">
        <v>19.26</v>
      </c>
      <c r="Q556" s="4" t="n">
        <v>0.021</v>
      </c>
      <c r="R556" s="3" t="n">
        <v>75.42</v>
      </c>
      <c r="S556" s="3" t="n">
        <v>27.64</v>
      </c>
      <c r="T556" s="3" t="n">
        <v>38.58</v>
      </c>
      <c r="U556" s="4" t="n">
        <v>0.5115</v>
      </c>
      <c r="V556" s="3" t="n">
        <v>9.199999999999999</v>
      </c>
      <c r="W556" t="inlineStr">
        <is>
          <t>Credit Card</t>
        </is>
      </c>
      <c r="X556" t="inlineStr">
        <is>
          <t>Medium</t>
        </is>
      </c>
    </row>
    <row r="557">
      <c r="A557" t="inlineStr">
        <is>
          <t>ORD-00556</t>
        </is>
      </c>
      <c r="B557" s="2" t="n">
        <v>45450</v>
      </c>
      <c r="C557" s="2" t="n">
        <v>45451</v>
      </c>
      <c r="D557" t="inlineStr">
        <is>
          <t>CUST-00556</t>
        </is>
      </c>
      <c r="E557" t="inlineStr">
        <is>
          <t>Customer 556</t>
        </is>
      </c>
      <c r="F557" t="inlineStr">
        <is>
          <t>Corporate</t>
        </is>
      </c>
      <c r="G557" t="inlineStr">
        <is>
          <t>P1006</t>
        </is>
      </c>
      <c r="H557" t="inlineStr">
        <is>
          <t>Echo Web Camera</t>
        </is>
      </c>
      <c r="I557" t="inlineStr">
        <is>
          <t>Furniture</t>
        </is>
      </c>
      <c r="J557" t="inlineStr">
        <is>
          <t>Video</t>
        </is>
      </c>
      <c r="K557" t="inlineStr">
        <is>
          <t>North</t>
        </is>
      </c>
      <c r="L557" t="inlineStr">
        <is>
          <t>Alberta</t>
        </is>
      </c>
      <c r="M557" t="inlineStr">
        <is>
          <t>Vancouver</t>
        </is>
      </c>
      <c r="N557" t="inlineStr">
        <is>
          <t>James Carter</t>
        </is>
      </c>
      <c r="O557" t="n">
        <v>2</v>
      </c>
      <c r="P557" s="3" t="n">
        <v>18.92</v>
      </c>
      <c r="Q557" s="4" t="n">
        <v>0.053</v>
      </c>
      <c r="R557" s="3" t="n">
        <v>35.83</v>
      </c>
      <c r="S557" s="3" t="n">
        <v>15.43</v>
      </c>
      <c r="T557" s="3" t="n">
        <v>12.8</v>
      </c>
      <c r="U557" s="4" t="n">
        <v>0.3572</v>
      </c>
      <c r="V557" s="3" t="n">
        <v>7.6</v>
      </c>
      <c r="W557" t="inlineStr">
        <is>
          <t>PayPal</t>
        </is>
      </c>
      <c r="X557" t="inlineStr">
        <is>
          <t>High</t>
        </is>
      </c>
    </row>
    <row r="558">
      <c r="A558" t="inlineStr">
        <is>
          <t>ORD-00557</t>
        </is>
      </c>
      <c r="B558" s="2" t="n">
        <v>45063</v>
      </c>
      <c r="C558" s="2" t="n">
        <v>45067</v>
      </c>
      <c r="D558" t="inlineStr">
        <is>
          <t>CUST-00557</t>
        </is>
      </c>
      <c r="E558" t="inlineStr">
        <is>
          <t>Customer 557</t>
        </is>
      </c>
      <c r="F558" t="inlineStr">
        <is>
          <t>Consumer</t>
        </is>
      </c>
      <c r="G558" t="inlineStr">
        <is>
          <t>P1004</t>
        </is>
      </c>
      <c r="H558" t="inlineStr">
        <is>
          <t>Harbor Rug</t>
        </is>
      </c>
      <c r="I558" t="inlineStr">
        <is>
          <t>Outdoor</t>
        </is>
      </c>
      <c r="J558" t="inlineStr">
        <is>
          <t>Accessories</t>
        </is>
      </c>
      <c r="K558" t="inlineStr">
        <is>
          <t>East</t>
        </is>
      </c>
      <c r="L558" t="inlineStr">
        <is>
          <t>New Jersey</t>
        </is>
      </c>
      <c r="M558" t="inlineStr">
        <is>
          <t>Boston</t>
        </is>
      </c>
      <c r="N558" t="inlineStr">
        <is>
          <t>Ethan Brooks</t>
        </is>
      </c>
      <c r="O558" t="n">
        <v>4</v>
      </c>
      <c r="P558" s="3" t="n">
        <v>597.59</v>
      </c>
      <c r="Q558" s="4" t="n">
        <v>0.034</v>
      </c>
      <c r="R558" s="3" t="n">
        <v>2309.09</v>
      </c>
      <c r="S558" s="3" t="n">
        <v>1466.44</v>
      </c>
      <c r="T558" s="3" t="n">
        <v>832.45</v>
      </c>
      <c r="U558" s="4" t="n">
        <v>0.3605</v>
      </c>
      <c r="V558" s="3" t="n">
        <v>10.2</v>
      </c>
      <c r="W558" t="inlineStr">
        <is>
          <t>Credit Card</t>
        </is>
      </c>
      <c r="X558" t="inlineStr">
        <is>
          <t>High</t>
        </is>
      </c>
    </row>
    <row r="559">
      <c r="A559" t="inlineStr">
        <is>
          <t>ORD-00558</t>
        </is>
      </c>
      <c r="B559" s="2" t="n">
        <v>45020</v>
      </c>
      <c r="C559" s="2" t="n">
        <v>45022</v>
      </c>
      <c r="D559" t="inlineStr">
        <is>
          <t>CUST-00558</t>
        </is>
      </c>
      <c r="E559" t="inlineStr">
        <is>
          <t>Customer 558</t>
        </is>
      </c>
      <c r="F559" t="inlineStr">
        <is>
          <t>Corporate</t>
        </is>
      </c>
      <c r="G559" t="inlineStr">
        <is>
          <t>P1001</t>
        </is>
      </c>
      <c r="H559" t="inlineStr">
        <is>
          <t>Atlas Throw Pillow</t>
        </is>
      </c>
      <c r="I559" t="inlineStr">
        <is>
          <t>Technology</t>
        </is>
      </c>
      <c r="J559" t="inlineStr">
        <is>
          <t>Bags</t>
        </is>
      </c>
      <c r="K559" t="inlineStr">
        <is>
          <t>East</t>
        </is>
      </c>
      <c r="L559" t="inlineStr">
        <is>
          <t>Massachusetts</t>
        </is>
      </c>
      <c r="M559" t="inlineStr">
        <is>
          <t>Washington</t>
        </is>
      </c>
      <c r="N559" t="inlineStr">
        <is>
          <t>Ethan Brooks</t>
        </is>
      </c>
      <c r="O559" t="n">
        <v>3</v>
      </c>
      <c r="P559" s="3" t="n">
        <v>305.36</v>
      </c>
      <c r="Q559" s="4" t="n">
        <v>0.022</v>
      </c>
      <c r="R559" s="3" t="n">
        <v>895.9299999999999</v>
      </c>
      <c r="S559" s="3" t="n">
        <v>526.23</v>
      </c>
      <c r="T559" s="3" t="n">
        <v>360.3</v>
      </c>
      <c r="U559" s="4" t="n">
        <v>0.4022</v>
      </c>
      <c r="V559" s="3" t="n">
        <v>9.4</v>
      </c>
      <c r="W559" t="inlineStr">
        <is>
          <t>Debit Card</t>
        </is>
      </c>
      <c r="X559" t="inlineStr">
        <is>
          <t>Medium</t>
        </is>
      </c>
    </row>
    <row r="560">
      <c r="A560" t="inlineStr">
        <is>
          <t>ORD-00559</t>
        </is>
      </c>
      <c r="B560" s="2" t="n">
        <v>45848</v>
      </c>
      <c r="C560" s="2" t="n">
        <v>45853</v>
      </c>
      <c r="D560" t="inlineStr">
        <is>
          <t>CUST-00559</t>
        </is>
      </c>
      <c r="E560" t="inlineStr">
        <is>
          <t>Customer 559</t>
        </is>
      </c>
      <c r="F560" t="inlineStr">
        <is>
          <t>Corporate</t>
        </is>
      </c>
      <c r="G560" t="inlineStr">
        <is>
          <t>P1019</t>
        </is>
      </c>
      <c r="H560" t="inlineStr">
        <is>
          <t>Cove Wall Clock</t>
        </is>
      </c>
      <c r="I560" t="inlineStr">
        <is>
          <t>Furniture</t>
        </is>
      </c>
      <c r="J560" t="inlineStr">
        <is>
          <t>Writing</t>
        </is>
      </c>
      <c r="K560" t="inlineStr">
        <is>
          <t>East</t>
        </is>
      </c>
      <c r="L560" t="inlineStr">
        <is>
          <t>New Jersey</t>
        </is>
      </c>
      <c r="M560" t="inlineStr">
        <is>
          <t>New York</t>
        </is>
      </c>
      <c r="N560" t="inlineStr">
        <is>
          <t>Ava Patel</t>
        </is>
      </c>
      <c r="O560" t="n">
        <v>2</v>
      </c>
      <c r="P560" s="3" t="n">
        <v>60.65</v>
      </c>
      <c r="Q560" s="4" t="n">
        <v>0.034</v>
      </c>
      <c r="R560" s="3" t="n">
        <v>117.18</v>
      </c>
      <c r="S560" s="3" t="n">
        <v>56.48</v>
      </c>
      <c r="T560" s="3" t="n">
        <v>52.1</v>
      </c>
      <c r="U560" s="4" t="n">
        <v>0.4446</v>
      </c>
      <c r="V560" s="3" t="n">
        <v>8.6</v>
      </c>
      <c r="W560" t="inlineStr">
        <is>
          <t>Credit Card</t>
        </is>
      </c>
      <c r="X560" t="inlineStr">
        <is>
          <t>High</t>
        </is>
      </c>
    </row>
    <row r="561">
      <c r="A561" t="inlineStr">
        <is>
          <t>ORD-00560</t>
        </is>
      </c>
      <c r="B561" s="2" t="n">
        <v>45521</v>
      </c>
      <c r="C561" s="2" t="n">
        <v>45524</v>
      </c>
      <c r="D561" t="inlineStr">
        <is>
          <t>CUST-00560</t>
        </is>
      </c>
      <c r="E561" t="inlineStr">
        <is>
          <t>Customer 560</t>
        </is>
      </c>
      <c r="F561" t="inlineStr">
        <is>
          <t>Consumer</t>
        </is>
      </c>
      <c r="G561" t="inlineStr">
        <is>
          <t>P1011</t>
        </is>
      </c>
      <c r="H561" t="inlineStr">
        <is>
          <t>Harbor Rug</t>
        </is>
      </c>
      <c r="I561" t="inlineStr">
        <is>
          <t>Technology</t>
        </is>
      </c>
      <c r="J561" t="inlineStr">
        <is>
          <t>Accessories</t>
        </is>
      </c>
      <c r="K561" t="inlineStr">
        <is>
          <t>East</t>
        </is>
      </c>
      <c r="L561" t="inlineStr">
        <is>
          <t>New York</t>
        </is>
      </c>
      <c r="M561" t="inlineStr">
        <is>
          <t>New York</t>
        </is>
      </c>
      <c r="N561" t="inlineStr">
        <is>
          <t>Noah Kim</t>
        </is>
      </c>
      <c r="O561" t="n">
        <v>2</v>
      </c>
      <c r="P561" s="3" t="n">
        <v>87.81999999999999</v>
      </c>
      <c r="Q561" s="4" t="n">
        <v>0.005</v>
      </c>
      <c r="R561" s="3" t="n">
        <v>174.76</v>
      </c>
      <c r="S561" s="3" t="n">
        <v>90.61</v>
      </c>
      <c r="T561" s="3" t="n">
        <v>75.55</v>
      </c>
      <c r="U561" s="4" t="n">
        <v>0.4323</v>
      </c>
      <c r="V561" s="3" t="n">
        <v>8.6</v>
      </c>
      <c r="W561" t="inlineStr">
        <is>
          <t>PayPal</t>
        </is>
      </c>
      <c r="X561" t="inlineStr">
        <is>
          <t>Medium</t>
        </is>
      </c>
    </row>
    <row r="562">
      <c r="A562" t="inlineStr">
        <is>
          <t>ORD-00561</t>
        </is>
      </c>
      <c r="B562" s="2" t="n">
        <v>45904</v>
      </c>
      <c r="C562" s="2" t="n">
        <v>45910</v>
      </c>
      <c r="D562" t="inlineStr">
        <is>
          <t>CUST-00561</t>
        </is>
      </c>
      <c r="E562" t="inlineStr">
        <is>
          <t>Customer 561</t>
        </is>
      </c>
      <c r="F562" t="inlineStr">
        <is>
          <t>Consumer</t>
        </is>
      </c>
      <c r="G562" t="inlineStr">
        <is>
          <t>P1007</t>
        </is>
      </c>
      <c r="H562" t="inlineStr">
        <is>
          <t>FlexNote Notebook</t>
        </is>
      </c>
      <c r="I562" t="inlineStr">
        <is>
          <t>Home Decor</t>
        </is>
      </c>
      <c r="J562" t="inlineStr">
        <is>
          <t>Plants</t>
        </is>
      </c>
      <c r="K562" t="inlineStr">
        <is>
          <t>Central</t>
        </is>
      </c>
      <c r="L562" t="inlineStr">
        <is>
          <t>Kansas</t>
        </is>
      </c>
      <c r="M562" t="inlineStr">
        <is>
          <t>Minneapolis</t>
        </is>
      </c>
      <c r="N562" t="inlineStr">
        <is>
          <t>Mia Rodriguez</t>
        </is>
      </c>
      <c r="O562" t="n">
        <v>2</v>
      </c>
      <c r="P562" s="3" t="n">
        <v>23.35</v>
      </c>
      <c r="Q562" s="4" t="n">
        <v>0.01</v>
      </c>
      <c r="R562" s="3" t="n">
        <v>46.23</v>
      </c>
      <c r="S562" s="3" t="n">
        <v>19.81</v>
      </c>
      <c r="T562" s="3" t="n">
        <v>18.82</v>
      </c>
      <c r="U562" s="4" t="n">
        <v>0.4071</v>
      </c>
      <c r="V562" s="3" t="n">
        <v>7.6</v>
      </c>
      <c r="W562" t="inlineStr">
        <is>
          <t>Credit Card</t>
        </is>
      </c>
      <c r="X562" t="inlineStr">
        <is>
          <t>Medium</t>
        </is>
      </c>
    </row>
    <row r="563">
      <c r="A563" t="inlineStr">
        <is>
          <t>ORD-00562</t>
        </is>
      </c>
      <c r="B563" s="2" t="n">
        <v>45035</v>
      </c>
      <c r="C563" s="2" t="n">
        <v>45041</v>
      </c>
      <c r="D563" t="inlineStr">
        <is>
          <t>CUST-00562</t>
        </is>
      </c>
      <c r="E563" t="inlineStr">
        <is>
          <t>Customer 562</t>
        </is>
      </c>
      <c r="F563" t="inlineStr">
        <is>
          <t>Home Office</t>
        </is>
      </c>
      <c r="G563" t="inlineStr">
        <is>
          <t>P1002</t>
        </is>
      </c>
      <c r="H563" t="inlineStr">
        <is>
          <t>Cove Wall Clock</t>
        </is>
      </c>
      <c r="I563" t="inlineStr">
        <is>
          <t>Furniture</t>
        </is>
      </c>
      <c r="J563" t="inlineStr">
        <is>
          <t>Lighting</t>
        </is>
      </c>
      <c r="K563" t="inlineStr">
        <is>
          <t>North</t>
        </is>
      </c>
      <c r="L563" t="inlineStr">
        <is>
          <t>Quebec</t>
        </is>
      </c>
      <c r="M563" t="inlineStr">
        <is>
          <t>Montreal</t>
        </is>
      </c>
      <c r="N563" t="inlineStr">
        <is>
          <t>Olivia Martin</t>
        </is>
      </c>
      <c r="O563" t="n">
        <v>3</v>
      </c>
      <c r="P563" s="3" t="n">
        <v>79.90000000000001</v>
      </c>
      <c r="Q563" s="4" t="n">
        <v>0.042</v>
      </c>
      <c r="R563" s="3" t="n">
        <v>229.63</v>
      </c>
      <c r="S563" s="3" t="n">
        <v>112.77</v>
      </c>
      <c r="T563" s="3" t="n">
        <v>108.46</v>
      </c>
      <c r="U563" s="4" t="n">
        <v>0.4723</v>
      </c>
      <c r="V563" s="3" t="n">
        <v>8.4</v>
      </c>
      <c r="W563" t="inlineStr">
        <is>
          <t>Bank Transfer</t>
        </is>
      </c>
      <c r="X563" t="inlineStr">
        <is>
          <t>High</t>
        </is>
      </c>
    </row>
    <row r="564">
      <c r="A564" t="inlineStr">
        <is>
          <t>ORD-00563</t>
        </is>
      </c>
      <c r="B564" s="2" t="n">
        <v>45278</v>
      </c>
      <c r="C564" s="2" t="n">
        <v>45279</v>
      </c>
      <c r="D564" t="inlineStr">
        <is>
          <t>CUST-00563</t>
        </is>
      </c>
      <c r="E564" t="inlineStr">
        <is>
          <t>Customer 563</t>
        </is>
      </c>
      <c r="F564" t="inlineStr">
        <is>
          <t>Consumer</t>
        </is>
      </c>
      <c r="G564" t="inlineStr">
        <is>
          <t>P1004</t>
        </is>
      </c>
      <c r="H564" t="inlineStr">
        <is>
          <t>Harbor Rug</t>
        </is>
      </c>
      <c r="I564" t="inlineStr">
        <is>
          <t>Technology</t>
        </is>
      </c>
      <c r="J564" t="inlineStr">
        <is>
          <t>Coolers</t>
        </is>
      </c>
      <c r="K564" t="inlineStr">
        <is>
          <t>East</t>
        </is>
      </c>
      <c r="L564" t="inlineStr">
        <is>
          <t>Virginia</t>
        </is>
      </c>
      <c r="M564" t="inlineStr">
        <is>
          <t>Philadelphia</t>
        </is>
      </c>
      <c r="N564" t="inlineStr">
        <is>
          <t>Olivia Martin</t>
        </is>
      </c>
      <c r="O564" t="n">
        <v>3</v>
      </c>
      <c r="P564" s="3" t="n">
        <v>652.23</v>
      </c>
      <c r="Q564" s="4" t="n">
        <v>0.015</v>
      </c>
      <c r="R564" s="3" t="n">
        <v>1927.34</v>
      </c>
      <c r="S564" s="3" t="n">
        <v>1225.46</v>
      </c>
      <c r="T564" s="3" t="n">
        <v>692.48</v>
      </c>
      <c r="U564" s="4" t="n">
        <v>0.3593</v>
      </c>
      <c r="V564" s="3" t="n">
        <v>9.4</v>
      </c>
      <c r="W564" t="inlineStr">
        <is>
          <t>Bank Transfer</t>
        </is>
      </c>
      <c r="X564" t="inlineStr">
        <is>
          <t>Medium</t>
        </is>
      </c>
    </row>
    <row r="565">
      <c r="A565" t="inlineStr">
        <is>
          <t>ORD-00564</t>
        </is>
      </c>
      <c r="B565" s="2" t="n">
        <v>45002</v>
      </c>
      <c r="C565" s="2" t="n">
        <v>45009</v>
      </c>
      <c r="D565" t="inlineStr">
        <is>
          <t>CUST-00564</t>
        </is>
      </c>
      <c r="E565" t="inlineStr">
        <is>
          <t>Customer 564</t>
        </is>
      </c>
      <c r="F565" t="inlineStr">
        <is>
          <t>Consumer</t>
        </is>
      </c>
      <c r="G565" t="inlineStr">
        <is>
          <t>P1006</t>
        </is>
      </c>
      <c r="H565" t="inlineStr">
        <is>
          <t>Cove Wall Clock</t>
        </is>
      </c>
      <c r="I565" t="inlineStr">
        <is>
          <t>Outdoor</t>
        </is>
      </c>
      <c r="J565" t="inlineStr">
        <is>
          <t>Chairs</t>
        </is>
      </c>
      <c r="K565" t="inlineStr">
        <is>
          <t>West</t>
        </is>
      </c>
      <c r="L565" t="inlineStr">
        <is>
          <t>California</t>
        </is>
      </c>
      <c r="M565" t="inlineStr">
        <is>
          <t>Los Angeles</t>
        </is>
      </c>
      <c r="N565" t="inlineStr">
        <is>
          <t>Noah Kim</t>
        </is>
      </c>
      <c r="O565" t="n">
        <v>5</v>
      </c>
      <c r="P565" s="3" t="n">
        <v>18.75</v>
      </c>
      <c r="Q565" s="4" t="n">
        <v>0.007</v>
      </c>
      <c r="R565" s="3" t="n">
        <v>93.09</v>
      </c>
      <c r="S565" s="3" t="n">
        <v>37.06</v>
      </c>
      <c r="T565" s="3" t="n">
        <v>45.03</v>
      </c>
      <c r="U565" s="4" t="n">
        <v>0.4837</v>
      </c>
      <c r="V565" s="3" t="n">
        <v>11</v>
      </c>
      <c r="W565" t="inlineStr">
        <is>
          <t>Credit Card</t>
        </is>
      </c>
      <c r="X565" t="inlineStr">
        <is>
          <t>Medium</t>
        </is>
      </c>
    </row>
    <row r="566">
      <c r="A566" t="inlineStr">
        <is>
          <t>ORD-00565</t>
        </is>
      </c>
      <c r="B566" s="2" t="n">
        <v>45632</v>
      </c>
      <c r="C566" s="2" t="n">
        <v>45638</v>
      </c>
      <c r="D566" t="inlineStr">
        <is>
          <t>CUST-00565</t>
        </is>
      </c>
      <c r="E566" t="inlineStr">
        <is>
          <t>Customer 565</t>
        </is>
      </c>
      <c r="F566" t="inlineStr">
        <is>
          <t>Consumer</t>
        </is>
      </c>
      <c r="G566" t="inlineStr">
        <is>
          <t>P1005</t>
        </is>
      </c>
      <c r="H566" t="inlineStr">
        <is>
          <t>Echo Web Camera</t>
        </is>
      </c>
      <c r="I566" t="inlineStr">
        <is>
          <t>Furniture</t>
        </is>
      </c>
      <c r="J566" t="inlineStr">
        <is>
          <t>Chairs</t>
        </is>
      </c>
      <c r="K566" t="inlineStr">
        <is>
          <t>West</t>
        </is>
      </c>
      <c r="L566" t="inlineStr">
        <is>
          <t>Washington</t>
        </is>
      </c>
      <c r="M566" t="inlineStr">
        <is>
          <t>Seattle</t>
        </is>
      </c>
      <c r="N566" t="inlineStr">
        <is>
          <t>James Carter</t>
        </is>
      </c>
      <c r="O566" t="n">
        <v>2</v>
      </c>
      <c r="P566" s="3" t="n">
        <v>14.42</v>
      </c>
      <c r="Q566" s="4" t="n">
        <v>0.031</v>
      </c>
      <c r="R566" s="3" t="n">
        <v>27.95</v>
      </c>
      <c r="S566" s="3" t="n">
        <v>15.56</v>
      </c>
      <c r="T566" s="3" t="n">
        <v>3.79</v>
      </c>
      <c r="U566" s="4" t="n">
        <v>0.1356</v>
      </c>
      <c r="V566" s="3" t="n">
        <v>8.6</v>
      </c>
      <c r="W566" t="inlineStr">
        <is>
          <t>Credit Card</t>
        </is>
      </c>
      <c r="X566" t="inlineStr">
        <is>
          <t>High</t>
        </is>
      </c>
    </row>
    <row r="567">
      <c r="A567" t="inlineStr">
        <is>
          <t>ORD-00566</t>
        </is>
      </c>
      <c r="B567" s="2" t="n">
        <v>45319</v>
      </c>
      <c r="C567" s="2" t="n">
        <v>45322</v>
      </c>
      <c r="D567" t="inlineStr">
        <is>
          <t>CUST-00566</t>
        </is>
      </c>
      <c r="E567" t="inlineStr">
        <is>
          <t>Customer 566</t>
        </is>
      </c>
      <c r="F567" t="inlineStr">
        <is>
          <t>Corporate</t>
        </is>
      </c>
      <c r="G567" t="inlineStr">
        <is>
          <t>P1009</t>
        </is>
      </c>
      <c r="H567" t="inlineStr">
        <is>
          <t>Trail Tote</t>
        </is>
      </c>
      <c r="I567" t="inlineStr">
        <is>
          <t>Furniture</t>
        </is>
      </c>
      <c r="J567" t="inlineStr">
        <is>
          <t>Peripherals</t>
        </is>
      </c>
      <c r="K567" t="inlineStr">
        <is>
          <t>East</t>
        </is>
      </c>
      <c r="L567" t="inlineStr">
        <is>
          <t>Virginia</t>
        </is>
      </c>
      <c r="M567" t="inlineStr">
        <is>
          <t>New York</t>
        </is>
      </c>
      <c r="N567" t="inlineStr">
        <is>
          <t>Ava Patel</t>
        </is>
      </c>
      <c r="O567" t="n">
        <v>2</v>
      </c>
      <c r="P567" s="3" t="n">
        <v>90.09</v>
      </c>
      <c r="Q567" s="4" t="n">
        <v>0.038</v>
      </c>
      <c r="R567" s="3" t="n">
        <v>173.33</v>
      </c>
      <c r="S567" s="3" t="n">
        <v>87.16</v>
      </c>
      <c r="T567" s="3" t="n">
        <v>77.56999999999999</v>
      </c>
      <c r="U567" s="4" t="n">
        <v>0.4475</v>
      </c>
      <c r="V567" s="3" t="n">
        <v>8.6</v>
      </c>
      <c r="W567" t="inlineStr">
        <is>
          <t>Cash on Delivery</t>
        </is>
      </c>
      <c r="X567" t="inlineStr">
        <is>
          <t>High</t>
        </is>
      </c>
    </row>
    <row r="568">
      <c r="A568" t="inlineStr">
        <is>
          <t>ORD-00567</t>
        </is>
      </c>
      <c r="B568" s="2" t="n">
        <v>45480</v>
      </c>
      <c r="C568" s="2" t="n">
        <v>45487</v>
      </c>
      <c r="D568" t="inlineStr">
        <is>
          <t>CUST-00567</t>
        </is>
      </c>
      <c r="E568" t="inlineStr">
        <is>
          <t>Customer 567</t>
        </is>
      </c>
      <c r="F568" t="inlineStr">
        <is>
          <t>Home Office</t>
        </is>
      </c>
      <c r="G568" t="inlineStr">
        <is>
          <t>P1011</t>
        </is>
      </c>
      <c r="H568" t="inlineStr">
        <is>
          <t>Halo Planter</t>
        </is>
      </c>
      <c r="I568" t="inlineStr">
        <is>
          <t>Outdoor</t>
        </is>
      </c>
      <c r="J568" t="inlineStr">
        <is>
          <t>Accessories</t>
        </is>
      </c>
      <c r="K568" t="inlineStr">
        <is>
          <t>Central</t>
        </is>
      </c>
      <c r="L568" t="inlineStr">
        <is>
          <t>Missouri</t>
        </is>
      </c>
      <c r="M568" t="inlineStr">
        <is>
          <t>Chicago</t>
        </is>
      </c>
      <c r="N568" t="inlineStr">
        <is>
          <t>Liam Chen</t>
        </is>
      </c>
      <c r="O568" t="n">
        <v>1</v>
      </c>
      <c r="P568" s="3" t="n">
        <v>94.41</v>
      </c>
      <c r="Q568" s="4" t="n">
        <v>0.003</v>
      </c>
      <c r="R568" s="3" t="n">
        <v>94.13</v>
      </c>
      <c r="S568" s="3" t="n">
        <v>48.6</v>
      </c>
      <c r="T568" s="3" t="n">
        <v>38.73</v>
      </c>
      <c r="U568" s="4" t="n">
        <v>0.4115</v>
      </c>
      <c r="V568" s="3" t="n">
        <v>6.8</v>
      </c>
      <c r="W568" t="inlineStr">
        <is>
          <t>PayPal</t>
        </is>
      </c>
      <c r="X568" t="inlineStr">
        <is>
          <t>Medium</t>
        </is>
      </c>
    </row>
    <row r="569">
      <c r="A569" t="inlineStr">
        <is>
          <t>ORD-00568</t>
        </is>
      </c>
      <c r="B569" s="2" t="n">
        <v>45418</v>
      </c>
      <c r="C569" s="2" t="n">
        <v>45422</v>
      </c>
      <c r="D569" t="inlineStr">
        <is>
          <t>CUST-00568</t>
        </is>
      </c>
      <c r="E569" t="inlineStr">
        <is>
          <t>Customer 568</t>
        </is>
      </c>
      <c r="F569" t="inlineStr">
        <is>
          <t>Corporate</t>
        </is>
      </c>
      <c r="G569" t="inlineStr">
        <is>
          <t>P1018</t>
        </is>
      </c>
      <c r="H569" t="inlineStr">
        <is>
          <t>Northstar Lantern</t>
        </is>
      </c>
      <c r="I569" t="inlineStr">
        <is>
          <t>Home Decor</t>
        </is>
      </c>
      <c r="J569" t="inlineStr">
        <is>
          <t>Peripherals</t>
        </is>
      </c>
      <c r="K569" t="inlineStr">
        <is>
          <t>South</t>
        </is>
      </c>
      <c r="L569" t="inlineStr">
        <is>
          <t>Georgia</t>
        </is>
      </c>
      <c r="M569" t="inlineStr">
        <is>
          <t>Miami</t>
        </is>
      </c>
      <c r="N569" t="inlineStr">
        <is>
          <t>James Carter</t>
        </is>
      </c>
      <c r="O569" t="n">
        <v>2</v>
      </c>
      <c r="P569" s="3" t="n">
        <v>84</v>
      </c>
      <c r="Q569" s="4" t="n">
        <v>0.064</v>
      </c>
      <c r="R569" s="3" t="n">
        <v>157.25</v>
      </c>
      <c r="S569" s="3" t="n">
        <v>78.42</v>
      </c>
      <c r="T569" s="3" t="n">
        <v>71.23</v>
      </c>
      <c r="U569" s="4" t="n">
        <v>0.453</v>
      </c>
      <c r="V569" s="3" t="n">
        <v>7.6</v>
      </c>
      <c r="W569" t="inlineStr">
        <is>
          <t>Cash on Delivery</t>
        </is>
      </c>
      <c r="X569" t="inlineStr">
        <is>
          <t>High</t>
        </is>
      </c>
    </row>
    <row r="570">
      <c r="A570" t="inlineStr">
        <is>
          <t>ORD-00569</t>
        </is>
      </c>
      <c r="B570" s="2" t="n">
        <v>45863</v>
      </c>
      <c r="C570" s="2" t="n">
        <v>45869</v>
      </c>
      <c r="D570" t="inlineStr">
        <is>
          <t>CUST-00569</t>
        </is>
      </c>
      <c r="E570" t="inlineStr">
        <is>
          <t>Customer 569</t>
        </is>
      </c>
      <c r="F570" t="inlineStr">
        <is>
          <t>Consumer</t>
        </is>
      </c>
      <c r="G570" t="inlineStr">
        <is>
          <t>P1020</t>
        </is>
      </c>
      <c r="H570" t="inlineStr">
        <is>
          <t>Pulse Keyboard</t>
        </is>
      </c>
      <c r="I570" t="inlineStr">
        <is>
          <t>Outdoor</t>
        </is>
      </c>
      <c r="J570" t="inlineStr">
        <is>
          <t>Video</t>
        </is>
      </c>
      <c r="K570" t="inlineStr">
        <is>
          <t>South</t>
        </is>
      </c>
      <c r="L570" t="inlineStr">
        <is>
          <t>Texas</t>
        </is>
      </c>
      <c r="M570" t="inlineStr">
        <is>
          <t>Atlanta</t>
        </is>
      </c>
      <c r="N570" t="inlineStr">
        <is>
          <t>Mia Rodriguez</t>
        </is>
      </c>
      <c r="O570" t="n">
        <v>2</v>
      </c>
      <c r="P570" s="3" t="n">
        <v>74.70999999999999</v>
      </c>
      <c r="Q570" s="4" t="n">
        <v>0.023</v>
      </c>
      <c r="R570" s="3" t="n">
        <v>145.98</v>
      </c>
      <c r="S570" s="3" t="n">
        <v>72.34</v>
      </c>
      <c r="T570" s="3" t="n">
        <v>66.04000000000001</v>
      </c>
      <c r="U570" s="4" t="n">
        <v>0.4524</v>
      </c>
      <c r="V570" s="3" t="n">
        <v>7.6</v>
      </c>
      <c r="W570" t="inlineStr">
        <is>
          <t>Debit Card</t>
        </is>
      </c>
      <c r="X570" t="inlineStr">
        <is>
          <t>Medium</t>
        </is>
      </c>
    </row>
    <row r="571">
      <c r="A571" t="inlineStr">
        <is>
          <t>ORD-00570</t>
        </is>
      </c>
      <c r="B571" s="2" t="n">
        <v>45516</v>
      </c>
      <c r="C571" s="2" t="n">
        <v>45523</v>
      </c>
      <c r="D571" t="inlineStr">
        <is>
          <t>CUST-00570</t>
        </is>
      </c>
      <c r="E571" t="inlineStr">
        <is>
          <t>Customer 570</t>
        </is>
      </c>
      <c r="F571" t="inlineStr">
        <is>
          <t>Corporate</t>
        </is>
      </c>
      <c r="G571" t="inlineStr">
        <is>
          <t>P1017</t>
        </is>
      </c>
      <c r="H571" t="inlineStr">
        <is>
          <t>Halo Planter</t>
        </is>
      </c>
      <c r="I571" t="inlineStr">
        <is>
          <t>Outdoor</t>
        </is>
      </c>
      <c r="J571" t="inlineStr">
        <is>
          <t>Binders</t>
        </is>
      </c>
      <c r="K571" t="inlineStr">
        <is>
          <t>West</t>
        </is>
      </c>
      <c r="L571" t="inlineStr">
        <is>
          <t>Colorado</t>
        </is>
      </c>
      <c r="M571" t="inlineStr">
        <is>
          <t>San Francisco</t>
        </is>
      </c>
      <c r="N571" t="inlineStr">
        <is>
          <t>James Carter</t>
        </is>
      </c>
      <c r="O571" t="n">
        <v>3</v>
      </c>
      <c r="P571" s="3" t="n">
        <v>569.7</v>
      </c>
      <c r="Q571" s="4" t="n">
        <v>0.037</v>
      </c>
      <c r="R571" s="3" t="n">
        <v>1645.86</v>
      </c>
      <c r="S571" s="3" t="n">
        <v>1095.72</v>
      </c>
      <c r="T571" s="3" t="n">
        <v>540.74</v>
      </c>
      <c r="U571" s="4" t="n">
        <v>0.3285</v>
      </c>
      <c r="V571" s="3" t="n">
        <v>9.4</v>
      </c>
      <c r="W571" t="inlineStr">
        <is>
          <t>Credit Card</t>
        </is>
      </c>
      <c r="X571" t="inlineStr">
        <is>
          <t>High</t>
        </is>
      </c>
    </row>
    <row r="572">
      <c r="A572" t="inlineStr">
        <is>
          <t>ORD-00571</t>
        </is>
      </c>
      <c r="B572" s="2" t="n">
        <v>45452</v>
      </c>
      <c r="C572" s="2" t="n">
        <v>45459</v>
      </c>
      <c r="D572" t="inlineStr">
        <is>
          <t>CUST-00571</t>
        </is>
      </c>
      <c r="E572" t="inlineStr">
        <is>
          <t>Customer 571</t>
        </is>
      </c>
      <c r="F572" t="inlineStr">
        <is>
          <t>Corporate</t>
        </is>
      </c>
      <c r="G572" t="inlineStr">
        <is>
          <t>P1013</t>
        </is>
      </c>
      <c r="H572" t="inlineStr">
        <is>
          <t>Echo Web Camera</t>
        </is>
      </c>
      <c r="I572" t="inlineStr">
        <is>
          <t>Outdoor</t>
        </is>
      </c>
      <c r="J572" t="inlineStr">
        <is>
          <t>Writing</t>
        </is>
      </c>
      <c r="K572" t="inlineStr">
        <is>
          <t>South</t>
        </is>
      </c>
      <c r="L572" t="inlineStr">
        <is>
          <t>Florida</t>
        </is>
      </c>
      <c r="M572" t="inlineStr">
        <is>
          <t>Atlanta</t>
        </is>
      </c>
      <c r="N572" t="inlineStr">
        <is>
          <t>Ethan Brooks</t>
        </is>
      </c>
      <c r="O572" t="n">
        <v>3</v>
      </c>
      <c r="P572" s="3" t="n">
        <v>164.17</v>
      </c>
      <c r="Q572" s="4" t="n">
        <v>0.015</v>
      </c>
      <c r="R572" s="3" t="n">
        <v>485.12</v>
      </c>
      <c r="S572" s="3" t="n">
        <v>280.54</v>
      </c>
      <c r="T572" s="3" t="n">
        <v>196.18</v>
      </c>
      <c r="U572" s="4" t="n">
        <v>0.4044</v>
      </c>
      <c r="V572" s="3" t="n">
        <v>8.4</v>
      </c>
      <c r="W572" t="inlineStr">
        <is>
          <t>Debit Card</t>
        </is>
      </c>
      <c r="X572" t="inlineStr">
        <is>
          <t>Low</t>
        </is>
      </c>
    </row>
    <row r="573">
      <c r="A573" t="inlineStr">
        <is>
          <t>ORD-00572</t>
        </is>
      </c>
      <c r="B573" s="2" t="n">
        <v>45826</v>
      </c>
      <c r="C573" s="2" t="n">
        <v>45832</v>
      </c>
      <c r="D573" t="inlineStr">
        <is>
          <t>CUST-00572</t>
        </is>
      </c>
      <c r="E573" t="inlineStr">
        <is>
          <t>Customer 572</t>
        </is>
      </c>
      <c r="F573" t="inlineStr">
        <is>
          <t>Corporate</t>
        </is>
      </c>
      <c r="G573" t="inlineStr">
        <is>
          <t>P1017</t>
        </is>
      </c>
      <c r="H573" t="inlineStr">
        <is>
          <t>Northstar Lantern</t>
        </is>
      </c>
      <c r="I573" t="inlineStr">
        <is>
          <t>Office Supplies</t>
        </is>
      </c>
      <c r="J573" t="inlineStr">
        <is>
          <t>Furniture</t>
        </is>
      </c>
      <c r="K573" t="inlineStr">
        <is>
          <t>Central</t>
        </is>
      </c>
      <c r="L573" t="inlineStr">
        <is>
          <t>Kansas</t>
        </is>
      </c>
      <c r="M573" t="inlineStr">
        <is>
          <t>St. Louis</t>
        </is>
      </c>
      <c r="N573" t="inlineStr">
        <is>
          <t>Ethan Brooks</t>
        </is>
      </c>
      <c r="O573" t="n">
        <v>3</v>
      </c>
      <c r="P573" s="3" t="n">
        <v>582.73</v>
      </c>
      <c r="Q573" s="4" t="n">
        <v>0.015</v>
      </c>
      <c r="R573" s="3" t="n">
        <v>1721.97</v>
      </c>
      <c r="S573" s="3" t="n">
        <v>1142.82</v>
      </c>
      <c r="T573" s="3" t="n">
        <v>570.75</v>
      </c>
      <c r="U573" s="4" t="n">
        <v>0.3315</v>
      </c>
      <c r="V573" s="3" t="n">
        <v>8.4</v>
      </c>
      <c r="W573" t="inlineStr">
        <is>
          <t>Cash on Delivery</t>
        </is>
      </c>
      <c r="X573" t="inlineStr">
        <is>
          <t>Medium</t>
        </is>
      </c>
    </row>
    <row r="574">
      <c r="A574" t="inlineStr">
        <is>
          <t>ORD-00573</t>
        </is>
      </c>
      <c r="B574" s="2" t="n">
        <v>45567</v>
      </c>
      <c r="C574" s="2" t="n">
        <v>45572</v>
      </c>
      <c r="D574" t="inlineStr">
        <is>
          <t>CUST-00573</t>
        </is>
      </c>
      <c r="E574" t="inlineStr">
        <is>
          <t>Customer 573</t>
        </is>
      </c>
      <c r="F574" t="inlineStr">
        <is>
          <t>Consumer</t>
        </is>
      </c>
      <c r="G574" t="inlineStr">
        <is>
          <t>P1010</t>
        </is>
      </c>
      <c r="H574" t="inlineStr">
        <is>
          <t>Atlas Throw Pillow</t>
        </is>
      </c>
      <c r="I574" t="inlineStr">
        <is>
          <t>Office Supplies</t>
        </is>
      </c>
      <c r="J574" t="inlineStr">
        <is>
          <t>Furniture</t>
        </is>
      </c>
      <c r="K574" t="inlineStr">
        <is>
          <t>West</t>
        </is>
      </c>
      <c r="L574" t="inlineStr">
        <is>
          <t>Oregon</t>
        </is>
      </c>
      <c r="M574" t="inlineStr">
        <is>
          <t>Seattle</t>
        </is>
      </c>
      <c r="N574" t="inlineStr">
        <is>
          <t>Mia Rodriguez</t>
        </is>
      </c>
      <c r="O574" t="n">
        <v>2</v>
      </c>
      <c r="P574" s="3" t="n">
        <v>58.33</v>
      </c>
      <c r="Q574" s="4" t="n">
        <v>0.061</v>
      </c>
      <c r="R574" s="3" t="n">
        <v>109.54</v>
      </c>
      <c r="S574" s="3" t="n">
        <v>49.52</v>
      </c>
      <c r="T574" s="3" t="n">
        <v>51.42</v>
      </c>
      <c r="U574" s="4" t="n">
        <v>0.4694</v>
      </c>
      <c r="V574" s="3" t="n">
        <v>8.6</v>
      </c>
      <c r="W574" t="inlineStr">
        <is>
          <t>Credit Card</t>
        </is>
      </c>
      <c r="X574" t="inlineStr">
        <is>
          <t>High</t>
        </is>
      </c>
    </row>
    <row r="575">
      <c r="A575" t="inlineStr">
        <is>
          <t>ORD-00574</t>
        </is>
      </c>
      <c r="B575" s="2" t="n">
        <v>45590</v>
      </c>
      <c r="C575" s="2" t="n">
        <v>45594</v>
      </c>
      <c r="D575" t="inlineStr">
        <is>
          <t>CUST-00574</t>
        </is>
      </c>
      <c r="E575" t="inlineStr">
        <is>
          <t>Customer 574</t>
        </is>
      </c>
      <c r="F575" t="inlineStr">
        <is>
          <t>Corporate</t>
        </is>
      </c>
      <c r="G575" t="inlineStr">
        <is>
          <t>P1018</t>
        </is>
      </c>
      <c r="H575" t="inlineStr">
        <is>
          <t>Aero Standing Desk</t>
        </is>
      </c>
      <c r="I575" t="inlineStr">
        <is>
          <t>Furniture</t>
        </is>
      </c>
      <c r="J575" t="inlineStr">
        <is>
          <t>Desks</t>
        </is>
      </c>
      <c r="K575" t="inlineStr">
        <is>
          <t>East</t>
        </is>
      </c>
      <c r="L575" t="inlineStr">
        <is>
          <t>New York</t>
        </is>
      </c>
      <c r="M575" t="inlineStr">
        <is>
          <t>Philadelphia</t>
        </is>
      </c>
      <c r="N575" t="inlineStr">
        <is>
          <t>Sophia Singh</t>
        </is>
      </c>
      <c r="O575" t="n">
        <v>3</v>
      </c>
      <c r="P575" s="3" t="n">
        <v>95.53</v>
      </c>
      <c r="Q575" s="4" t="n">
        <v>0.029</v>
      </c>
      <c r="R575" s="3" t="n">
        <v>278.28</v>
      </c>
      <c r="S575" s="3" t="n">
        <v>127.22</v>
      </c>
      <c r="T575" s="3" t="n">
        <v>141.66</v>
      </c>
      <c r="U575" s="4" t="n">
        <v>0.5091</v>
      </c>
      <c r="V575" s="3" t="n">
        <v>9.4</v>
      </c>
      <c r="W575" t="inlineStr">
        <is>
          <t>Bank Transfer</t>
        </is>
      </c>
      <c r="X575" t="inlineStr">
        <is>
          <t>High</t>
        </is>
      </c>
    </row>
    <row r="576">
      <c r="A576" t="inlineStr">
        <is>
          <t>ORD-00575</t>
        </is>
      </c>
      <c r="B576" s="2" t="n">
        <v>45978</v>
      </c>
      <c r="C576" s="2" t="n">
        <v>45980</v>
      </c>
      <c r="D576" t="inlineStr">
        <is>
          <t>CUST-00575</t>
        </is>
      </c>
      <c r="E576" t="inlineStr">
        <is>
          <t>Customer 575</t>
        </is>
      </c>
      <c r="F576" t="inlineStr">
        <is>
          <t>Consumer</t>
        </is>
      </c>
      <c r="G576" t="inlineStr">
        <is>
          <t>P1017</t>
        </is>
      </c>
      <c r="H576" t="inlineStr">
        <is>
          <t>Tide Cooler</t>
        </is>
      </c>
      <c r="I576" t="inlineStr">
        <is>
          <t>Technology</t>
        </is>
      </c>
      <c r="J576" t="inlineStr">
        <is>
          <t>Chairs</t>
        </is>
      </c>
      <c r="K576" t="inlineStr">
        <is>
          <t>South</t>
        </is>
      </c>
      <c r="L576" t="inlineStr">
        <is>
          <t>Texas</t>
        </is>
      </c>
      <c r="M576" t="inlineStr">
        <is>
          <t>Miami</t>
        </is>
      </c>
      <c r="N576" t="inlineStr">
        <is>
          <t>Liam Chen</t>
        </is>
      </c>
      <c r="O576" t="n">
        <v>4</v>
      </c>
      <c r="P576" s="3" t="n">
        <v>567.49</v>
      </c>
      <c r="Q576" s="4" t="n">
        <v>0.036</v>
      </c>
      <c r="R576" s="3" t="n">
        <v>2188.24</v>
      </c>
      <c r="S576" s="3" t="n">
        <v>1453.38</v>
      </c>
      <c r="T576" s="3" t="n">
        <v>725.66</v>
      </c>
      <c r="U576" s="4" t="n">
        <v>0.3316</v>
      </c>
      <c r="V576" s="3" t="n">
        <v>9.199999999999999</v>
      </c>
      <c r="W576" t="inlineStr">
        <is>
          <t>Debit Card</t>
        </is>
      </c>
      <c r="X576" t="inlineStr">
        <is>
          <t>High</t>
        </is>
      </c>
    </row>
    <row r="577">
      <c r="A577" t="inlineStr">
        <is>
          <t>ORD-00576</t>
        </is>
      </c>
      <c r="B577" s="2" t="n">
        <v>45768</v>
      </c>
      <c r="C577" s="2" t="n">
        <v>45771</v>
      </c>
      <c r="D577" t="inlineStr">
        <is>
          <t>CUST-00576</t>
        </is>
      </c>
      <c r="E577" t="inlineStr">
        <is>
          <t>Customer 576</t>
        </is>
      </c>
      <c r="F577" t="inlineStr">
        <is>
          <t>Consumer</t>
        </is>
      </c>
      <c r="G577" t="inlineStr">
        <is>
          <t>P1012</t>
        </is>
      </c>
      <c r="H577" t="inlineStr">
        <is>
          <t>Nova Laptop Stand</t>
        </is>
      </c>
      <c r="I577" t="inlineStr">
        <is>
          <t>Office Supplies</t>
        </is>
      </c>
      <c r="J577" t="inlineStr">
        <is>
          <t>Chairs</t>
        </is>
      </c>
      <c r="K577" t="inlineStr">
        <is>
          <t>South</t>
        </is>
      </c>
      <c r="L577" t="inlineStr">
        <is>
          <t>Texas</t>
        </is>
      </c>
      <c r="M577" t="inlineStr">
        <is>
          <t>Atlanta</t>
        </is>
      </c>
      <c r="N577" t="inlineStr">
        <is>
          <t>Ethan Brooks</t>
        </is>
      </c>
      <c r="O577" t="n">
        <v>2</v>
      </c>
      <c r="P577" s="3" t="n">
        <v>131.45</v>
      </c>
      <c r="Q577" s="4" t="n">
        <v>0.017</v>
      </c>
      <c r="R577" s="3" t="n">
        <v>258.43</v>
      </c>
      <c r="S577" s="3" t="n">
        <v>137.34</v>
      </c>
      <c r="T577" s="3" t="n">
        <v>113.49</v>
      </c>
      <c r="U577" s="4" t="n">
        <v>0.4392</v>
      </c>
      <c r="V577" s="3" t="n">
        <v>7.6</v>
      </c>
      <c r="W577" t="inlineStr">
        <is>
          <t>Credit Card</t>
        </is>
      </c>
      <c r="X577" t="inlineStr">
        <is>
          <t>High</t>
        </is>
      </c>
    </row>
    <row r="578">
      <c r="A578" t="inlineStr">
        <is>
          <t>ORD-00577</t>
        </is>
      </c>
      <c r="B578" s="2" t="n">
        <v>45170</v>
      </c>
      <c r="C578" s="2" t="n">
        <v>45176</v>
      </c>
      <c r="D578" t="inlineStr">
        <is>
          <t>CUST-00577</t>
        </is>
      </c>
      <c r="E578" t="inlineStr">
        <is>
          <t>Customer 577</t>
        </is>
      </c>
      <c r="F578" t="inlineStr">
        <is>
          <t>Corporate</t>
        </is>
      </c>
      <c r="G578" t="inlineStr">
        <is>
          <t>P1015</t>
        </is>
      </c>
      <c r="H578" t="inlineStr">
        <is>
          <t>Atlas Throw Pillow</t>
        </is>
      </c>
      <c r="I578" t="inlineStr">
        <is>
          <t>Home Decor</t>
        </is>
      </c>
      <c r="J578" t="inlineStr">
        <is>
          <t>Furniture</t>
        </is>
      </c>
      <c r="K578" t="inlineStr">
        <is>
          <t>East</t>
        </is>
      </c>
      <c r="L578" t="inlineStr">
        <is>
          <t>Massachusetts</t>
        </is>
      </c>
      <c r="M578" t="inlineStr">
        <is>
          <t>New York</t>
        </is>
      </c>
      <c r="N578" t="inlineStr">
        <is>
          <t>Ethan Brooks</t>
        </is>
      </c>
      <c r="O578" t="n">
        <v>2</v>
      </c>
      <c r="P578" s="3" t="n">
        <v>67.86</v>
      </c>
      <c r="Q578" s="4" t="n">
        <v>0.039</v>
      </c>
      <c r="R578" s="3" t="n">
        <v>130.43</v>
      </c>
      <c r="S578" s="3" t="n">
        <v>63.62</v>
      </c>
      <c r="T578" s="3" t="n">
        <v>58.21</v>
      </c>
      <c r="U578" s="4" t="n">
        <v>0.4463</v>
      </c>
      <c r="V578" s="3" t="n">
        <v>8.6</v>
      </c>
      <c r="W578" t="inlineStr">
        <is>
          <t>Debit Card</t>
        </is>
      </c>
      <c r="X578" t="inlineStr">
        <is>
          <t>Critical</t>
        </is>
      </c>
    </row>
    <row r="579">
      <c r="A579" t="inlineStr">
        <is>
          <t>ORD-00578</t>
        </is>
      </c>
      <c r="B579" s="2" t="n">
        <v>45892</v>
      </c>
      <c r="C579" s="2" t="n">
        <v>45897</v>
      </c>
      <c r="D579" t="inlineStr">
        <is>
          <t>CUST-00578</t>
        </is>
      </c>
      <c r="E579" t="inlineStr">
        <is>
          <t>Customer 578</t>
        </is>
      </c>
      <c r="F579" t="inlineStr">
        <is>
          <t>Home Office</t>
        </is>
      </c>
      <c r="G579" t="inlineStr">
        <is>
          <t>P1019</t>
        </is>
      </c>
      <c r="H579" t="inlineStr">
        <is>
          <t>SmartInk Pen Set</t>
        </is>
      </c>
      <c r="I579" t="inlineStr">
        <is>
          <t>Technology</t>
        </is>
      </c>
      <c r="J579" t="inlineStr">
        <is>
          <t>Peripherals</t>
        </is>
      </c>
      <c r="K579" t="inlineStr">
        <is>
          <t>East</t>
        </is>
      </c>
      <c r="L579" t="inlineStr">
        <is>
          <t>New Jersey</t>
        </is>
      </c>
      <c r="M579" t="inlineStr">
        <is>
          <t>Philadelphia</t>
        </is>
      </c>
      <c r="N579" t="inlineStr">
        <is>
          <t>Ethan Brooks</t>
        </is>
      </c>
      <c r="O579" t="n">
        <v>2</v>
      </c>
      <c r="P579" s="3" t="n">
        <v>59.12</v>
      </c>
      <c r="Q579" s="4" t="n">
        <v>0.003</v>
      </c>
      <c r="R579" s="3" t="n">
        <v>117.89</v>
      </c>
      <c r="S579" s="3" t="n">
        <v>54.94</v>
      </c>
      <c r="T579" s="3" t="n">
        <v>54.35</v>
      </c>
      <c r="U579" s="4" t="n">
        <v>0.461</v>
      </c>
      <c r="V579" s="3" t="n">
        <v>8.6</v>
      </c>
      <c r="W579" t="inlineStr">
        <is>
          <t>Credit Card</t>
        </is>
      </c>
      <c r="X579" t="inlineStr">
        <is>
          <t>Low</t>
        </is>
      </c>
    </row>
    <row r="580">
      <c r="A580" t="inlineStr">
        <is>
          <t>ORD-00579</t>
        </is>
      </c>
      <c r="B580" s="2" t="n">
        <v>45452</v>
      </c>
      <c r="C580" s="2" t="n">
        <v>45455</v>
      </c>
      <c r="D580" t="inlineStr">
        <is>
          <t>CUST-00579</t>
        </is>
      </c>
      <c r="E580" t="inlineStr">
        <is>
          <t>Customer 579</t>
        </is>
      </c>
      <c r="F580" t="inlineStr">
        <is>
          <t>Consumer</t>
        </is>
      </c>
      <c r="G580" t="inlineStr">
        <is>
          <t>P1015</t>
        </is>
      </c>
      <c r="H580" t="inlineStr">
        <is>
          <t>Northstar Lantern</t>
        </is>
      </c>
      <c r="I580" t="inlineStr">
        <is>
          <t>Office Supplies</t>
        </is>
      </c>
      <c r="J580" t="inlineStr">
        <is>
          <t>Accessories</t>
        </is>
      </c>
      <c r="K580" t="inlineStr">
        <is>
          <t>East</t>
        </is>
      </c>
      <c r="L580" t="inlineStr">
        <is>
          <t>New York</t>
        </is>
      </c>
      <c r="M580" t="inlineStr">
        <is>
          <t>New York</t>
        </is>
      </c>
      <c r="N580" t="inlineStr">
        <is>
          <t>Ethan Brooks</t>
        </is>
      </c>
      <c r="O580" t="n">
        <v>1</v>
      </c>
      <c r="P580" s="3" t="n">
        <v>74.16</v>
      </c>
      <c r="Q580" s="4" t="n">
        <v>0.037</v>
      </c>
      <c r="R580" s="3" t="n">
        <v>71.42</v>
      </c>
      <c r="S580" s="3" t="n">
        <v>37.47</v>
      </c>
      <c r="T580" s="3" t="n">
        <v>26.15</v>
      </c>
      <c r="U580" s="4" t="n">
        <v>0.3661</v>
      </c>
      <c r="V580" s="3" t="n">
        <v>7.8</v>
      </c>
      <c r="W580" t="inlineStr">
        <is>
          <t>PayPal</t>
        </is>
      </c>
      <c r="X580" t="inlineStr">
        <is>
          <t>Critical</t>
        </is>
      </c>
    </row>
    <row r="581">
      <c r="A581" t="inlineStr">
        <is>
          <t>ORD-00580</t>
        </is>
      </c>
      <c r="B581" s="2" t="n">
        <v>45113</v>
      </c>
      <c r="C581" s="2" t="n">
        <v>45120</v>
      </c>
      <c r="D581" t="inlineStr">
        <is>
          <t>CUST-00580</t>
        </is>
      </c>
      <c r="E581" t="inlineStr">
        <is>
          <t>Customer 580</t>
        </is>
      </c>
      <c r="F581" t="inlineStr">
        <is>
          <t>Home Office</t>
        </is>
      </c>
      <c r="G581" t="inlineStr">
        <is>
          <t>P1013</t>
        </is>
      </c>
      <c r="H581" t="inlineStr">
        <is>
          <t>Pulse Keyboard</t>
        </is>
      </c>
      <c r="I581" t="inlineStr">
        <is>
          <t>Office Supplies</t>
        </is>
      </c>
      <c r="J581" t="inlineStr">
        <is>
          <t>Peripherals</t>
        </is>
      </c>
      <c r="K581" t="inlineStr">
        <is>
          <t>North</t>
        </is>
      </c>
      <c r="L581" t="inlineStr">
        <is>
          <t>Alberta</t>
        </is>
      </c>
      <c r="M581" t="inlineStr">
        <is>
          <t>Montreal</t>
        </is>
      </c>
      <c r="N581" t="inlineStr">
        <is>
          <t>James Carter</t>
        </is>
      </c>
      <c r="O581" t="n">
        <v>4</v>
      </c>
      <c r="P581" s="3" t="n">
        <v>167.98</v>
      </c>
      <c r="Q581" s="4" t="n">
        <v>0.022</v>
      </c>
      <c r="R581" s="3" t="n">
        <v>657.14</v>
      </c>
      <c r="S581" s="3" t="n">
        <v>378.28</v>
      </c>
      <c r="T581" s="3" t="n">
        <v>269.66</v>
      </c>
      <c r="U581" s="4" t="n">
        <v>0.4104</v>
      </c>
      <c r="V581" s="3" t="n">
        <v>9.199999999999999</v>
      </c>
      <c r="W581" t="inlineStr">
        <is>
          <t>Credit Card</t>
        </is>
      </c>
      <c r="X581" t="inlineStr">
        <is>
          <t>Medium</t>
        </is>
      </c>
    </row>
    <row r="582">
      <c r="A582" t="inlineStr">
        <is>
          <t>ORD-00581</t>
        </is>
      </c>
      <c r="B582" s="2" t="n">
        <v>45414</v>
      </c>
      <c r="C582" s="2" t="n">
        <v>45415</v>
      </c>
      <c r="D582" t="inlineStr">
        <is>
          <t>CUST-00581</t>
        </is>
      </c>
      <c r="E582" t="inlineStr">
        <is>
          <t>Customer 581</t>
        </is>
      </c>
      <c r="F582" t="inlineStr">
        <is>
          <t>Consumer</t>
        </is>
      </c>
      <c r="G582" t="inlineStr">
        <is>
          <t>P1007</t>
        </is>
      </c>
      <c r="H582" t="inlineStr">
        <is>
          <t>Summit Patio Set</t>
        </is>
      </c>
      <c r="I582" t="inlineStr">
        <is>
          <t>Outdoor</t>
        </is>
      </c>
      <c r="J582" t="inlineStr">
        <is>
          <t>Lighting</t>
        </is>
      </c>
      <c r="K582" t="inlineStr">
        <is>
          <t>East</t>
        </is>
      </c>
      <c r="L582" t="inlineStr">
        <is>
          <t>New Jersey</t>
        </is>
      </c>
      <c r="M582" t="inlineStr">
        <is>
          <t>New York</t>
        </is>
      </c>
      <c r="N582" t="inlineStr">
        <is>
          <t>Mia Rodriguez</t>
        </is>
      </c>
      <c r="O582" t="n">
        <v>2</v>
      </c>
      <c r="P582" s="3" t="n">
        <v>25.59</v>
      </c>
      <c r="Q582" s="4" t="n">
        <v>0.047</v>
      </c>
      <c r="R582" s="3" t="n">
        <v>48.77</v>
      </c>
      <c r="S582" s="3" t="n">
        <v>20.07</v>
      </c>
      <c r="T582" s="3" t="n">
        <v>20.1</v>
      </c>
      <c r="U582" s="4" t="n">
        <v>0.4121</v>
      </c>
      <c r="V582" s="3" t="n">
        <v>8.6</v>
      </c>
      <c r="W582" t="inlineStr">
        <is>
          <t>Cash on Delivery</t>
        </is>
      </c>
      <c r="X582" t="inlineStr">
        <is>
          <t>High</t>
        </is>
      </c>
    </row>
    <row r="583">
      <c r="A583" t="inlineStr">
        <is>
          <t>ORD-00582</t>
        </is>
      </c>
      <c r="B583" s="2" t="n">
        <v>45722</v>
      </c>
      <c r="C583" s="2" t="n">
        <v>45727</v>
      </c>
      <c r="D583" t="inlineStr">
        <is>
          <t>CUST-00582</t>
        </is>
      </c>
      <c r="E583" t="inlineStr">
        <is>
          <t>Customer 582</t>
        </is>
      </c>
      <c r="F583" t="inlineStr">
        <is>
          <t>Corporate</t>
        </is>
      </c>
      <c r="G583" t="inlineStr">
        <is>
          <t>P1011</t>
        </is>
      </c>
      <c r="H583" t="inlineStr">
        <is>
          <t>FlexNote Notebook</t>
        </is>
      </c>
      <c r="I583" t="inlineStr">
        <is>
          <t>Home Decor</t>
        </is>
      </c>
      <c r="J583" t="inlineStr">
        <is>
          <t>Textiles</t>
        </is>
      </c>
      <c r="K583" t="inlineStr">
        <is>
          <t>East</t>
        </is>
      </c>
      <c r="L583" t="inlineStr">
        <is>
          <t>New York</t>
        </is>
      </c>
      <c r="M583" t="inlineStr">
        <is>
          <t>Washington</t>
        </is>
      </c>
      <c r="N583" t="inlineStr">
        <is>
          <t>Noah Kim</t>
        </is>
      </c>
      <c r="O583" t="n">
        <v>2</v>
      </c>
      <c r="P583" s="3" t="n">
        <v>85.09</v>
      </c>
      <c r="Q583" s="4" t="n">
        <v>0.022</v>
      </c>
      <c r="R583" s="3" t="n">
        <v>166.44</v>
      </c>
      <c r="S583" s="3" t="n">
        <v>83.37</v>
      </c>
      <c r="T583" s="3" t="n">
        <v>74.47</v>
      </c>
      <c r="U583" s="4" t="n">
        <v>0.4474</v>
      </c>
      <c r="V583" s="3" t="n">
        <v>8.6</v>
      </c>
      <c r="W583" t="inlineStr">
        <is>
          <t>Credit Card</t>
        </is>
      </c>
      <c r="X583" t="inlineStr">
        <is>
          <t>Medium</t>
        </is>
      </c>
    </row>
    <row r="584">
      <c r="A584" t="inlineStr">
        <is>
          <t>ORD-00583</t>
        </is>
      </c>
      <c r="B584" s="2" t="n">
        <v>45391</v>
      </c>
      <c r="C584" s="2" t="n">
        <v>45398</v>
      </c>
      <c r="D584" t="inlineStr">
        <is>
          <t>CUST-00583</t>
        </is>
      </c>
      <c r="E584" t="inlineStr">
        <is>
          <t>Customer 583</t>
        </is>
      </c>
      <c r="F584" t="inlineStr">
        <is>
          <t>Consumer</t>
        </is>
      </c>
      <c r="G584" t="inlineStr">
        <is>
          <t>P1008</t>
        </is>
      </c>
      <c r="H584" t="inlineStr">
        <is>
          <t>Echo Web Camera</t>
        </is>
      </c>
      <c r="I584" t="inlineStr">
        <is>
          <t>Technology</t>
        </is>
      </c>
      <c r="J584" t="inlineStr">
        <is>
          <t>Textiles</t>
        </is>
      </c>
      <c r="K584" t="inlineStr">
        <is>
          <t>Central</t>
        </is>
      </c>
      <c r="L584" t="inlineStr">
        <is>
          <t>Illinois</t>
        </is>
      </c>
      <c r="M584" t="inlineStr">
        <is>
          <t>Kansas City</t>
        </is>
      </c>
      <c r="N584" t="inlineStr">
        <is>
          <t>Ava Patel</t>
        </is>
      </c>
      <c r="O584" t="n">
        <v>2</v>
      </c>
      <c r="P584" s="3" t="n">
        <v>33.63</v>
      </c>
      <c r="Q584" s="4" t="n">
        <v>0.008999999999999999</v>
      </c>
      <c r="R584" s="3" t="n">
        <v>66.65000000000001</v>
      </c>
      <c r="S584" s="3" t="n">
        <v>34.82</v>
      </c>
      <c r="T584" s="3" t="n">
        <v>24.23</v>
      </c>
      <c r="U584" s="4" t="n">
        <v>0.3635</v>
      </c>
      <c r="V584" s="3" t="n">
        <v>7.6</v>
      </c>
      <c r="W584" t="inlineStr">
        <is>
          <t>PayPal</t>
        </is>
      </c>
      <c r="X584" t="inlineStr">
        <is>
          <t>Medium</t>
        </is>
      </c>
    </row>
    <row r="585">
      <c r="A585" t="inlineStr">
        <is>
          <t>ORD-00584</t>
        </is>
      </c>
      <c r="B585" s="2" t="n">
        <v>45325</v>
      </c>
      <c r="C585" s="2" t="n">
        <v>45326</v>
      </c>
      <c r="D585" t="inlineStr">
        <is>
          <t>CUST-00584</t>
        </is>
      </c>
      <c r="E585" t="inlineStr">
        <is>
          <t>Customer 584</t>
        </is>
      </c>
      <c r="F585" t="inlineStr">
        <is>
          <t>Consumer</t>
        </is>
      </c>
      <c r="G585" t="inlineStr">
        <is>
          <t>P1020</t>
        </is>
      </c>
      <c r="H585" t="inlineStr">
        <is>
          <t>Northstar Lantern</t>
        </is>
      </c>
      <c r="I585" t="inlineStr">
        <is>
          <t>Furniture</t>
        </is>
      </c>
      <c r="J585" t="inlineStr">
        <is>
          <t>Storage</t>
        </is>
      </c>
      <c r="K585" t="inlineStr">
        <is>
          <t>Central</t>
        </is>
      </c>
      <c r="L585" t="inlineStr">
        <is>
          <t>Illinois</t>
        </is>
      </c>
      <c r="M585" t="inlineStr">
        <is>
          <t>Kansas City</t>
        </is>
      </c>
      <c r="N585" t="inlineStr">
        <is>
          <t>Liam Chen</t>
        </is>
      </c>
      <c r="O585" t="n">
        <v>1</v>
      </c>
      <c r="P585" s="3" t="n">
        <v>75.38</v>
      </c>
      <c r="Q585" s="4" t="n">
        <v>0.01</v>
      </c>
      <c r="R585" s="3" t="n">
        <v>74.63</v>
      </c>
      <c r="S585" s="3" t="n">
        <v>42.14</v>
      </c>
      <c r="T585" s="3" t="n">
        <v>25.69</v>
      </c>
      <c r="U585" s="4" t="n">
        <v>0.3442</v>
      </c>
      <c r="V585" s="3" t="n">
        <v>6.8</v>
      </c>
      <c r="W585" t="inlineStr">
        <is>
          <t>Bank Transfer</t>
        </is>
      </c>
      <c r="X585" t="inlineStr">
        <is>
          <t>High</t>
        </is>
      </c>
    </row>
    <row r="586">
      <c r="A586" t="inlineStr">
        <is>
          <t>ORD-00585</t>
        </is>
      </c>
      <c r="B586" s="2" t="n">
        <v>45581</v>
      </c>
      <c r="C586" s="2" t="n">
        <v>45587</v>
      </c>
      <c r="D586" t="inlineStr">
        <is>
          <t>CUST-00585</t>
        </is>
      </c>
      <c r="E586" t="inlineStr">
        <is>
          <t>Customer 585</t>
        </is>
      </c>
      <c r="F586" t="inlineStr">
        <is>
          <t>Corporate</t>
        </is>
      </c>
      <c r="G586" t="inlineStr">
        <is>
          <t>P1016</t>
        </is>
      </c>
      <c r="H586" t="inlineStr">
        <is>
          <t>Lumen Desk Lamp</t>
        </is>
      </c>
      <c r="I586" t="inlineStr">
        <is>
          <t>Office Supplies</t>
        </is>
      </c>
      <c r="J586" t="inlineStr">
        <is>
          <t>Writing</t>
        </is>
      </c>
      <c r="K586" t="inlineStr">
        <is>
          <t>West</t>
        </is>
      </c>
      <c r="L586" t="inlineStr">
        <is>
          <t>California</t>
        </is>
      </c>
      <c r="M586" t="inlineStr">
        <is>
          <t>Seattle</t>
        </is>
      </c>
      <c r="N586" t="inlineStr">
        <is>
          <t>Sophia Singh</t>
        </is>
      </c>
      <c r="O586" t="n">
        <v>4</v>
      </c>
      <c r="P586" s="3" t="n">
        <v>42.12</v>
      </c>
      <c r="Q586" s="4" t="n">
        <v>0.03299999999999999</v>
      </c>
      <c r="R586" s="3" t="n">
        <v>162.92</v>
      </c>
      <c r="S586" s="3" t="n">
        <v>67.14</v>
      </c>
      <c r="T586" s="3" t="n">
        <v>85.58</v>
      </c>
      <c r="U586" s="4" t="n">
        <v>0.5253</v>
      </c>
      <c r="V586" s="3" t="n">
        <v>10.2</v>
      </c>
      <c r="W586" t="inlineStr">
        <is>
          <t>PayPal</t>
        </is>
      </c>
      <c r="X586" t="inlineStr">
        <is>
          <t>Medium</t>
        </is>
      </c>
    </row>
    <row r="587">
      <c r="A587" t="inlineStr">
        <is>
          <t>ORD-00586</t>
        </is>
      </c>
      <c r="B587" s="2" t="n">
        <v>45194</v>
      </c>
      <c r="C587" s="2" t="n">
        <v>45199</v>
      </c>
      <c r="D587" t="inlineStr">
        <is>
          <t>CUST-00586</t>
        </is>
      </c>
      <c r="E587" t="inlineStr">
        <is>
          <t>Customer 586</t>
        </is>
      </c>
      <c r="F587" t="inlineStr">
        <is>
          <t>Corporate</t>
        </is>
      </c>
      <c r="G587" t="inlineStr">
        <is>
          <t>P1011</t>
        </is>
      </c>
      <c r="H587" t="inlineStr">
        <is>
          <t>ErgoMesh Chair</t>
        </is>
      </c>
      <c r="I587" t="inlineStr">
        <is>
          <t>Furniture</t>
        </is>
      </c>
      <c r="J587" t="inlineStr">
        <is>
          <t>Peripherals</t>
        </is>
      </c>
      <c r="K587" t="inlineStr">
        <is>
          <t>Central</t>
        </is>
      </c>
      <c r="L587" t="inlineStr">
        <is>
          <t>Illinois</t>
        </is>
      </c>
      <c r="M587" t="inlineStr">
        <is>
          <t>Chicago</t>
        </is>
      </c>
      <c r="N587" t="inlineStr">
        <is>
          <t>Sophia Singh</t>
        </is>
      </c>
      <c r="O587" t="n">
        <v>3</v>
      </c>
      <c r="P587" s="3" t="n">
        <v>90.25</v>
      </c>
      <c r="Q587" s="4" t="n">
        <v>0.025</v>
      </c>
      <c r="R587" s="3" t="n">
        <v>263.98</v>
      </c>
      <c r="S587" s="3" t="n">
        <v>132.11</v>
      </c>
      <c r="T587" s="3" t="n">
        <v>123.47</v>
      </c>
      <c r="U587" s="4" t="n">
        <v>0.4677</v>
      </c>
      <c r="V587" s="3" t="n">
        <v>8.4</v>
      </c>
      <c r="W587" t="inlineStr">
        <is>
          <t>PayPal</t>
        </is>
      </c>
      <c r="X587" t="inlineStr">
        <is>
          <t>High</t>
        </is>
      </c>
    </row>
    <row r="588">
      <c r="A588" t="inlineStr">
        <is>
          <t>ORD-00587</t>
        </is>
      </c>
      <c r="B588" s="2" t="n">
        <v>45284</v>
      </c>
      <c r="C588" s="2" t="n">
        <v>45286</v>
      </c>
      <c r="D588" t="inlineStr">
        <is>
          <t>CUST-00587</t>
        </is>
      </c>
      <c r="E588" t="inlineStr">
        <is>
          <t>Customer 587</t>
        </is>
      </c>
      <c r="F588" t="inlineStr">
        <is>
          <t>Corporate</t>
        </is>
      </c>
      <c r="G588" t="inlineStr">
        <is>
          <t>P1005</t>
        </is>
      </c>
      <c r="H588" t="inlineStr">
        <is>
          <t>Aero Standing Desk</t>
        </is>
      </c>
      <c r="I588" t="inlineStr">
        <is>
          <t>Home Decor</t>
        </is>
      </c>
      <c r="J588" t="inlineStr">
        <is>
          <t>Desks</t>
        </is>
      </c>
      <c r="K588" t="inlineStr">
        <is>
          <t>West</t>
        </is>
      </c>
      <c r="L588" t="inlineStr">
        <is>
          <t>Washington</t>
        </is>
      </c>
      <c r="M588" t="inlineStr">
        <is>
          <t>Seattle</t>
        </is>
      </c>
      <c r="N588" t="inlineStr">
        <is>
          <t>Olivia Martin</t>
        </is>
      </c>
      <c r="O588" t="n">
        <v>3</v>
      </c>
      <c r="P588" s="3" t="n">
        <v>13.55</v>
      </c>
      <c r="Q588" s="4" t="n">
        <v>0.042</v>
      </c>
      <c r="R588" s="3" t="n">
        <v>38.94</v>
      </c>
      <c r="S588" s="3" t="n">
        <v>22.88</v>
      </c>
      <c r="T588" s="3" t="n">
        <v>6.66</v>
      </c>
      <c r="U588" s="4" t="n">
        <v>0.171</v>
      </c>
      <c r="V588" s="3" t="n">
        <v>9.4</v>
      </c>
      <c r="W588" t="inlineStr">
        <is>
          <t>Debit Card</t>
        </is>
      </c>
      <c r="X588" t="inlineStr">
        <is>
          <t>Medium</t>
        </is>
      </c>
    </row>
    <row r="589">
      <c r="A589" t="inlineStr">
        <is>
          <t>ORD-00588</t>
        </is>
      </c>
      <c r="B589" s="2" t="n">
        <v>45214</v>
      </c>
      <c r="C589" s="2" t="n">
        <v>45221</v>
      </c>
      <c r="D589" t="inlineStr">
        <is>
          <t>CUST-00588</t>
        </is>
      </c>
      <c r="E589" t="inlineStr">
        <is>
          <t>Customer 588</t>
        </is>
      </c>
      <c r="F589" t="inlineStr">
        <is>
          <t>Corporate</t>
        </is>
      </c>
      <c r="G589" t="inlineStr">
        <is>
          <t>P1007</t>
        </is>
      </c>
      <c r="H589" t="inlineStr">
        <is>
          <t>Pulse Keyboard</t>
        </is>
      </c>
      <c r="I589" t="inlineStr">
        <is>
          <t>Home Decor</t>
        </is>
      </c>
      <c r="J589" t="inlineStr">
        <is>
          <t>Accessories</t>
        </is>
      </c>
      <c r="K589" t="inlineStr">
        <is>
          <t>East</t>
        </is>
      </c>
      <c r="L589" t="inlineStr">
        <is>
          <t>New York</t>
        </is>
      </c>
      <c r="M589" t="inlineStr">
        <is>
          <t>New York</t>
        </is>
      </c>
      <c r="N589" t="inlineStr">
        <is>
          <t>Noah Kim</t>
        </is>
      </c>
      <c r="O589" t="n">
        <v>3</v>
      </c>
      <c r="P589" s="3" t="n">
        <v>26.49</v>
      </c>
      <c r="Q589" s="4" t="n">
        <v>0.033</v>
      </c>
      <c r="R589" s="3" t="n">
        <v>76.84999999999999</v>
      </c>
      <c r="S589" s="3" t="n">
        <v>33.65</v>
      </c>
      <c r="T589" s="3" t="n">
        <v>33.8</v>
      </c>
      <c r="U589" s="4" t="n">
        <v>0.4398</v>
      </c>
      <c r="V589" s="3" t="n">
        <v>9.4</v>
      </c>
      <c r="W589" t="inlineStr">
        <is>
          <t>Credit Card</t>
        </is>
      </c>
      <c r="X589" t="inlineStr">
        <is>
          <t>Medium</t>
        </is>
      </c>
    </row>
    <row r="590">
      <c r="A590" t="inlineStr">
        <is>
          <t>ORD-00589</t>
        </is>
      </c>
      <c r="B590" s="2" t="n">
        <v>44938</v>
      </c>
      <c r="C590" s="2" t="n">
        <v>44941</v>
      </c>
      <c r="D590" t="inlineStr">
        <is>
          <t>CUST-00589</t>
        </is>
      </c>
      <c r="E590" t="inlineStr">
        <is>
          <t>Customer 589</t>
        </is>
      </c>
      <c r="F590" t="inlineStr">
        <is>
          <t>Corporate</t>
        </is>
      </c>
      <c r="G590" t="inlineStr">
        <is>
          <t>P1016</t>
        </is>
      </c>
      <c r="H590" t="inlineStr">
        <is>
          <t>Tide Cooler</t>
        </is>
      </c>
      <c r="I590" t="inlineStr">
        <is>
          <t>Furniture</t>
        </is>
      </c>
      <c r="J590" t="inlineStr">
        <is>
          <t>Paper</t>
        </is>
      </c>
      <c r="K590" t="inlineStr">
        <is>
          <t>West</t>
        </is>
      </c>
      <c r="L590" t="inlineStr">
        <is>
          <t>California</t>
        </is>
      </c>
      <c r="M590" t="inlineStr">
        <is>
          <t>San Francisco</t>
        </is>
      </c>
      <c r="N590" t="inlineStr">
        <is>
          <t>Ava Patel</t>
        </is>
      </c>
      <c r="O590" t="n">
        <v>4</v>
      </c>
      <c r="P590" s="3" t="n">
        <v>39.88</v>
      </c>
      <c r="Q590" s="4" t="n">
        <v>0.029</v>
      </c>
      <c r="R590" s="3" t="n">
        <v>154.89</v>
      </c>
      <c r="S590" s="3" t="n">
        <v>63.23</v>
      </c>
      <c r="T590" s="3" t="n">
        <v>81.45999999999999</v>
      </c>
      <c r="U590" s="4" t="n">
        <v>0.5259</v>
      </c>
      <c r="V590" s="3" t="n">
        <v>10.2</v>
      </c>
      <c r="W590" t="inlineStr">
        <is>
          <t>Credit Card</t>
        </is>
      </c>
      <c r="X590" t="inlineStr">
        <is>
          <t>Medium</t>
        </is>
      </c>
    </row>
    <row r="591">
      <c r="A591" t="inlineStr">
        <is>
          <t>ORD-00590</t>
        </is>
      </c>
      <c r="B591" s="2" t="n">
        <v>45283</v>
      </c>
      <c r="C591" s="2" t="n">
        <v>45286</v>
      </c>
      <c r="D591" t="inlineStr">
        <is>
          <t>CUST-00590</t>
        </is>
      </c>
      <c r="E591" t="inlineStr">
        <is>
          <t>Customer 590</t>
        </is>
      </c>
      <c r="F591" t="inlineStr">
        <is>
          <t>Home Office</t>
        </is>
      </c>
      <c r="G591" t="inlineStr">
        <is>
          <t>P1016</t>
        </is>
      </c>
      <c r="H591" t="inlineStr">
        <is>
          <t>Atlas Throw Pillow</t>
        </is>
      </c>
      <c r="I591" t="inlineStr">
        <is>
          <t>Office Supplies</t>
        </is>
      </c>
      <c r="J591" t="inlineStr">
        <is>
          <t>Writing</t>
        </is>
      </c>
      <c r="K591" t="inlineStr">
        <is>
          <t>West</t>
        </is>
      </c>
      <c r="L591" t="inlineStr">
        <is>
          <t>Washington</t>
        </is>
      </c>
      <c r="M591" t="inlineStr">
        <is>
          <t>Denver</t>
        </is>
      </c>
      <c r="N591" t="inlineStr">
        <is>
          <t>Sophia Singh</t>
        </is>
      </c>
      <c r="O591" t="n">
        <v>3</v>
      </c>
      <c r="P591" s="3" t="n">
        <v>44.43</v>
      </c>
      <c r="Q591" s="4" t="n">
        <v>0.024</v>
      </c>
      <c r="R591" s="3" t="n">
        <v>130.09</v>
      </c>
      <c r="S591" s="3" t="n">
        <v>54.14</v>
      </c>
      <c r="T591" s="3" t="n">
        <v>66.55</v>
      </c>
      <c r="U591" s="4" t="n">
        <v>0.5116000000000001</v>
      </c>
      <c r="V591" s="3" t="n">
        <v>9.4</v>
      </c>
      <c r="W591" t="inlineStr">
        <is>
          <t>Bank Transfer</t>
        </is>
      </c>
      <c r="X591" t="inlineStr">
        <is>
          <t>Low</t>
        </is>
      </c>
    </row>
    <row r="592">
      <c r="A592" t="inlineStr">
        <is>
          <t>ORD-00591</t>
        </is>
      </c>
      <c r="B592" s="2" t="n">
        <v>45238</v>
      </c>
      <c r="C592" s="2" t="n">
        <v>45245</v>
      </c>
      <c r="D592" t="inlineStr">
        <is>
          <t>CUST-00591</t>
        </is>
      </c>
      <c r="E592" t="inlineStr">
        <is>
          <t>Customer 591</t>
        </is>
      </c>
      <c r="F592" t="inlineStr">
        <is>
          <t>Consumer</t>
        </is>
      </c>
      <c r="G592" t="inlineStr">
        <is>
          <t>P1020</t>
        </is>
      </c>
      <c r="H592" t="inlineStr">
        <is>
          <t>Orbit Wireless Mouse</t>
        </is>
      </c>
      <c r="I592" t="inlineStr">
        <is>
          <t>Office Supplies</t>
        </is>
      </c>
      <c r="J592" t="inlineStr">
        <is>
          <t>Desks</t>
        </is>
      </c>
      <c r="K592" t="inlineStr">
        <is>
          <t>East</t>
        </is>
      </c>
      <c r="L592" t="inlineStr">
        <is>
          <t>New York</t>
        </is>
      </c>
      <c r="M592" t="inlineStr">
        <is>
          <t>Washington</t>
        </is>
      </c>
      <c r="N592" t="inlineStr">
        <is>
          <t>Sophia Singh</t>
        </is>
      </c>
      <c r="O592" t="n">
        <v>5</v>
      </c>
      <c r="P592" s="3" t="n">
        <v>79.81999999999999</v>
      </c>
      <c r="Q592" s="4" t="n">
        <v>0.005</v>
      </c>
      <c r="R592" s="3" t="n">
        <v>397.1</v>
      </c>
      <c r="S592" s="3" t="n">
        <v>185.14</v>
      </c>
      <c r="T592" s="3" t="n">
        <v>200.96</v>
      </c>
      <c r="U592" s="4" t="n">
        <v>0.5061</v>
      </c>
      <c r="V592" s="3" t="n">
        <v>11</v>
      </c>
      <c r="W592" t="inlineStr">
        <is>
          <t>Bank Transfer</t>
        </is>
      </c>
      <c r="X592" t="inlineStr">
        <is>
          <t>Medium</t>
        </is>
      </c>
    </row>
    <row r="593">
      <c r="A593" t="inlineStr">
        <is>
          <t>ORD-00592</t>
        </is>
      </c>
      <c r="B593" s="2" t="n">
        <v>45499</v>
      </c>
      <c r="C593" s="2" t="n">
        <v>45506</v>
      </c>
      <c r="D593" t="inlineStr">
        <is>
          <t>CUST-00592</t>
        </is>
      </c>
      <c r="E593" t="inlineStr">
        <is>
          <t>Customer 592</t>
        </is>
      </c>
      <c r="F593" t="inlineStr">
        <is>
          <t>Consumer</t>
        </is>
      </c>
      <c r="G593" t="inlineStr">
        <is>
          <t>P1017</t>
        </is>
      </c>
      <c r="H593" t="inlineStr">
        <is>
          <t>Echo Web Camera</t>
        </is>
      </c>
      <c r="I593" t="inlineStr">
        <is>
          <t>Technology</t>
        </is>
      </c>
      <c r="J593" t="inlineStr">
        <is>
          <t>Chairs</t>
        </is>
      </c>
      <c r="K593" t="inlineStr">
        <is>
          <t>East</t>
        </is>
      </c>
      <c r="L593" t="inlineStr">
        <is>
          <t>New Jersey</t>
        </is>
      </c>
      <c r="M593" t="inlineStr">
        <is>
          <t>Philadelphia</t>
        </is>
      </c>
      <c r="N593" t="inlineStr">
        <is>
          <t>Ava Patel</t>
        </is>
      </c>
      <c r="O593" t="n">
        <v>2</v>
      </c>
      <c r="P593" s="3" t="n">
        <v>600.3</v>
      </c>
      <c r="Q593" s="4" t="n">
        <v>0.053</v>
      </c>
      <c r="R593" s="3" t="n">
        <v>1136.97</v>
      </c>
      <c r="S593" s="3" t="n">
        <v>754.74</v>
      </c>
      <c r="T593" s="3" t="n">
        <v>373.63</v>
      </c>
      <c r="U593" s="4" t="n">
        <v>0.3286</v>
      </c>
      <c r="V593" s="3" t="n">
        <v>8.6</v>
      </c>
      <c r="W593" t="inlineStr">
        <is>
          <t>Bank Transfer</t>
        </is>
      </c>
      <c r="X593" t="inlineStr">
        <is>
          <t>High</t>
        </is>
      </c>
    </row>
    <row r="594">
      <c r="A594" t="inlineStr">
        <is>
          <t>ORD-00593</t>
        </is>
      </c>
      <c r="B594" s="2" t="n">
        <v>45144</v>
      </c>
      <c r="C594" s="2" t="n">
        <v>45148</v>
      </c>
      <c r="D594" t="inlineStr">
        <is>
          <t>CUST-00593</t>
        </is>
      </c>
      <c r="E594" t="inlineStr">
        <is>
          <t>Customer 593</t>
        </is>
      </c>
      <c r="F594" t="inlineStr">
        <is>
          <t>Consumer</t>
        </is>
      </c>
      <c r="G594" t="inlineStr">
        <is>
          <t>P1019</t>
        </is>
      </c>
      <c r="H594" t="inlineStr">
        <is>
          <t>Lumen Desk Lamp</t>
        </is>
      </c>
      <c r="I594" t="inlineStr">
        <is>
          <t>Technology</t>
        </is>
      </c>
      <c r="J594" t="inlineStr">
        <is>
          <t>Video</t>
        </is>
      </c>
      <c r="K594" t="inlineStr">
        <is>
          <t>Central</t>
        </is>
      </c>
      <c r="L594" t="inlineStr">
        <is>
          <t>Kansas</t>
        </is>
      </c>
      <c r="M594" t="inlineStr">
        <is>
          <t>Kansas City</t>
        </is>
      </c>
      <c r="N594" t="inlineStr">
        <is>
          <t>Liam Chen</t>
        </is>
      </c>
      <c r="O594" t="n">
        <v>4</v>
      </c>
      <c r="P594" s="3" t="n">
        <v>58.57</v>
      </c>
      <c r="Q594" s="4" t="n">
        <v>0.01</v>
      </c>
      <c r="R594" s="3" t="n">
        <v>231.94</v>
      </c>
      <c r="S594" s="3" t="n">
        <v>102.65</v>
      </c>
      <c r="T594" s="3" t="n">
        <v>120.09</v>
      </c>
      <c r="U594" s="4" t="n">
        <v>0.5178</v>
      </c>
      <c r="V594" s="3" t="n">
        <v>9.199999999999999</v>
      </c>
      <c r="W594" t="inlineStr">
        <is>
          <t>Debit Card</t>
        </is>
      </c>
      <c r="X594" t="inlineStr">
        <is>
          <t>Low</t>
        </is>
      </c>
    </row>
    <row r="595">
      <c r="A595" t="inlineStr">
        <is>
          <t>ORD-00594</t>
        </is>
      </c>
      <c r="B595" s="2" t="n">
        <v>45629</v>
      </c>
      <c r="C595" s="2" t="n">
        <v>45634</v>
      </c>
      <c r="D595" t="inlineStr">
        <is>
          <t>CUST-00594</t>
        </is>
      </c>
      <c r="E595" t="inlineStr">
        <is>
          <t>Customer 594</t>
        </is>
      </c>
      <c r="F595" t="inlineStr">
        <is>
          <t>Consumer</t>
        </is>
      </c>
      <c r="G595" t="inlineStr">
        <is>
          <t>P1015</t>
        </is>
      </c>
      <c r="H595" t="inlineStr">
        <is>
          <t>ErgoMesh Chair</t>
        </is>
      </c>
      <c r="I595" t="inlineStr">
        <is>
          <t>Technology</t>
        </is>
      </c>
      <c r="J595" t="inlineStr">
        <is>
          <t>Textiles</t>
        </is>
      </c>
      <c r="K595" t="inlineStr">
        <is>
          <t>West</t>
        </is>
      </c>
      <c r="L595" t="inlineStr">
        <is>
          <t>California</t>
        </is>
      </c>
      <c r="M595" t="inlineStr">
        <is>
          <t>San Francisco</t>
        </is>
      </c>
      <c r="N595" t="inlineStr">
        <is>
          <t>Mia Rodriguez</t>
        </is>
      </c>
      <c r="O595" t="n">
        <v>3</v>
      </c>
      <c r="P595" s="3" t="n">
        <v>73.92</v>
      </c>
      <c r="Q595" s="4" t="n">
        <v>0.033</v>
      </c>
      <c r="R595" s="3" t="n">
        <v>214.44</v>
      </c>
      <c r="S595" s="3" t="n">
        <v>95.72</v>
      </c>
      <c r="T595" s="3" t="n">
        <v>109.32</v>
      </c>
      <c r="U595" s="4" t="n">
        <v>0.5098</v>
      </c>
      <c r="V595" s="3" t="n">
        <v>9.4</v>
      </c>
      <c r="W595" t="inlineStr">
        <is>
          <t>Cash on Delivery</t>
        </is>
      </c>
      <c r="X595" t="inlineStr">
        <is>
          <t>Medium</t>
        </is>
      </c>
    </row>
    <row r="596">
      <c r="A596" t="inlineStr">
        <is>
          <t>ORD-00595</t>
        </is>
      </c>
      <c r="B596" s="2" t="n">
        <v>45892</v>
      </c>
      <c r="C596" s="2" t="n">
        <v>45897</v>
      </c>
      <c r="D596" t="inlineStr">
        <is>
          <t>CUST-00595</t>
        </is>
      </c>
      <c r="E596" t="inlineStr">
        <is>
          <t>Customer 595</t>
        </is>
      </c>
      <c r="F596" t="inlineStr">
        <is>
          <t>Corporate</t>
        </is>
      </c>
      <c r="G596" t="inlineStr">
        <is>
          <t>P1015</t>
        </is>
      </c>
      <c r="H596" t="inlineStr">
        <is>
          <t>Orbit Wireless Mouse</t>
        </is>
      </c>
      <c r="I596" t="inlineStr">
        <is>
          <t>Furniture</t>
        </is>
      </c>
      <c r="J596" t="inlineStr">
        <is>
          <t>Textiles</t>
        </is>
      </c>
      <c r="K596" t="inlineStr">
        <is>
          <t>West</t>
        </is>
      </c>
      <c r="L596" t="inlineStr">
        <is>
          <t>Colorado</t>
        </is>
      </c>
      <c r="M596" t="inlineStr">
        <is>
          <t>Los Angeles</t>
        </is>
      </c>
      <c r="N596" t="inlineStr">
        <is>
          <t>Mia Rodriguez</t>
        </is>
      </c>
      <c r="O596" t="n">
        <v>4</v>
      </c>
      <c r="P596" s="3" t="n">
        <v>71.31</v>
      </c>
      <c r="Q596" s="4" t="n">
        <v>0.03</v>
      </c>
      <c r="R596" s="3" t="n">
        <v>276.68</v>
      </c>
      <c r="S596" s="3" t="n">
        <v>126.64</v>
      </c>
      <c r="T596" s="3" t="n">
        <v>139.84</v>
      </c>
      <c r="U596" s="4" t="n">
        <v>0.5054</v>
      </c>
      <c r="V596" s="3" t="n">
        <v>10.2</v>
      </c>
      <c r="W596" t="inlineStr">
        <is>
          <t>PayPal</t>
        </is>
      </c>
      <c r="X596" t="inlineStr">
        <is>
          <t>Medium</t>
        </is>
      </c>
    </row>
    <row r="597">
      <c r="A597" t="inlineStr">
        <is>
          <t>ORD-00596</t>
        </is>
      </c>
      <c r="B597" s="2" t="n">
        <v>45630</v>
      </c>
      <c r="C597" s="2" t="n">
        <v>45637</v>
      </c>
      <c r="D597" t="inlineStr">
        <is>
          <t>CUST-00596</t>
        </is>
      </c>
      <c r="E597" t="inlineStr">
        <is>
          <t>Customer 596</t>
        </is>
      </c>
      <c r="F597" t="inlineStr">
        <is>
          <t>Consumer</t>
        </is>
      </c>
      <c r="G597" t="inlineStr">
        <is>
          <t>P1020</t>
        </is>
      </c>
      <c r="H597" t="inlineStr">
        <is>
          <t>Orbit Wireless Mouse</t>
        </is>
      </c>
      <c r="I597" t="inlineStr">
        <is>
          <t>Office Supplies</t>
        </is>
      </c>
      <c r="J597" t="inlineStr">
        <is>
          <t>Storage</t>
        </is>
      </c>
      <c r="K597" t="inlineStr">
        <is>
          <t>Central</t>
        </is>
      </c>
      <c r="L597" t="inlineStr">
        <is>
          <t>Illinois</t>
        </is>
      </c>
      <c r="M597" t="inlineStr">
        <is>
          <t>Chicago</t>
        </is>
      </c>
      <c r="N597" t="inlineStr">
        <is>
          <t>Olivia Martin</t>
        </is>
      </c>
      <c r="O597" t="n">
        <v>4</v>
      </c>
      <c r="P597" s="3" t="n">
        <v>76.40000000000001</v>
      </c>
      <c r="Q597" s="4" t="n">
        <v>0.014</v>
      </c>
      <c r="R597" s="3" t="n">
        <v>301.32</v>
      </c>
      <c r="S597" s="3" t="n">
        <v>140.49</v>
      </c>
      <c r="T597" s="3" t="n">
        <v>151.63</v>
      </c>
      <c r="U597" s="4" t="n">
        <v>0.5032</v>
      </c>
      <c r="V597" s="3" t="n">
        <v>9.199999999999999</v>
      </c>
      <c r="W597" t="inlineStr">
        <is>
          <t>Credit Card</t>
        </is>
      </c>
      <c r="X597" t="inlineStr">
        <is>
          <t>High</t>
        </is>
      </c>
    </row>
    <row r="598">
      <c r="A598" t="inlineStr">
        <is>
          <t>ORD-00597</t>
        </is>
      </c>
      <c r="B598" s="2" t="n">
        <v>45715</v>
      </c>
      <c r="C598" s="2" t="n">
        <v>45716</v>
      </c>
      <c r="D598" t="inlineStr">
        <is>
          <t>CUST-00597</t>
        </is>
      </c>
      <c r="E598" t="inlineStr">
        <is>
          <t>Customer 597</t>
        </is>
      </c>
      <c r="F598" t="inlineStr">
        <is>
          <t>Consumer</t>
        </is>
      </c>
      <c r="G598" t="inlineStr">
        <is>
          <t>P1015</t>
        </is>
      </c>
      <c r="H598" t="inlineStr">
        <is>
          <t>Orbit Wireless Mouse</t>
        </is>
      </c>
      <c r="I598" t="inlineStr">
        <is>
          <t>Home Decor</t>
        </is>
      </c>
      <c r="J598" t="inlineStr">
        <is>
          <t>Flooring</t>
        </is>
      </c>
      <c r="K598" t="inlineStr">
        <is>
          <t>East</t>
        </is>
      </c>
      <c r="L598" t="inlineStr">
        <is>
          <t>Virginia</t>
        </is>
      </c>
      <c r="M598" t="inlineStr">
        <is>
          <t>Boston</t>
        </is>
      </c>
      <c r="N598" t="inlineStr">
        <is>
          <t>Ava Patel</t>
        </is>
      </c>
      <c r="O598" t="n">
        <v>1</v>
      </c>
      <c r="P598" s="3" t="n">
        <v>67.84999999999999</v>
      </c>
      <c r="Q598" s="4" t="n">
        <v>0.051</v>
      </c>
      <c r="R598" s="3" t="n">
        <v>64.39</v>
      </c>
      <c r="S598" s="3" t="n">
        <v>31.16</v>
      </c>
      <c r="T598" s="3" t="n">
        <v>25.43</v>
      </c>
      <c r="U598" s="4" t="n">
        <v>0.3949</v>
      </c>
      <c r="V598" s="3" t="n">
        <v>7.8</v>
      </c>
      <c r="W598" t="inlineStr">
        <is>
          <t>Credit Card</t>
        </is>
      </c>
      <c r="X598" t="inlineStr">
        <is>
          <t>High</t>
        </is>
      </c>
    </row>
    <row r="599">
      <c r="A599" t="inlineStr">
        <is>
          <t>ORD-00598</t>
        </is>
      </c>
      <c r="B599" s="2" t="n">
        <v>45026</v>
      </c>
      <c r="C599" s="2" t="n">
        <v>45031</v>
      </c>
      <c r="D599" t="inlineStr">
        <is>
          <t>CUST-00598</t>
        </is>
      </c>
      <c r="E599" t="inlineStr">
        <is>
          <t>Customer 598</t>
        </is>
      </c>
      <c r="F599" t="inlineStr">
        <is>
          <t>Consumer</t>
        </is>
      </c>
      <c r="G599" t="inlineStr">
        <is>
          <t>P1003</t>
        </is>
      </c>
      <c r="H599" t="inlineStr">
        <is>
          <t>Lumen Desk Lamp</t>
        </is>
      </c>
      <c r="I599" t="inlineStr">
        <is>
          <t>Outdoor</t>
        </is>
      </c>
      <c r="J599" t="inlineStr">
        <is>
          <t>Accessories</t>
        </is>
      </c>
      <c r="K599" t="inlineStr">
        <is>
          <t>East</t>
        </is>
      </c>
      <c r="L599" t="inlineStr">
        <is>
          <t>New Jersey</t>
        </is>
      </c>
      <c r="M599" t="inlineStr">
        <is>
          <t>Philadelphia</t>
        </is>
      </c>
      <c r="N599" t="inlineStr">
        <is>
          <t>Ava Patel</t>
        </is>
      </c>
      <c r="O599" t="n">
        <v>4</v>
      </c>
      <c r="P599" s="3" t="n">
        <v>149.18</v>
      </c>
      <c r="Q599" s="4" t="n">
        <v>0.02</v>
      </c>
      <c r="R599" s="3" t="n">
        <v>584.79</v>
      </c>
      <c r="S599" s="3" t="n">
        <v>307.4</v>
      </c>
      <c r="T599" s="3" t="n">
        <v>267.19</v>
      </c>
      <c r="U599" s="4" t="n">
        <v>0.4569</v>
      </c>
      <c r="V599" s="3" t="n">
        <v>10.2</v>
      </c>
      <c r="W599" t="inlineStr">
        <is>
          <t>Debit Card</t>
        </is>
      </c>
      <c r="X599" t="inlineStr">
        <is>
          <t>High</t>
        </is>
      </c>
    </row>
    <row r="600">
      <c r="A600" t="inlineStr">
        <is>
          <t>ORD-00599</t>
        </is>
      </c>
      <c r="B600" s="2" t="n">
        <v>45091</v>
      </c>
      <c r="C600" s="2" t="n">
        <v>45094</v>
      </c>
      <c r="D600" t="inlineStr">
        <is>
          <t>CUST-00599</t>
        </is>
      </c>
      <c r="E600" t="inlineStr">
        <is>
          <t>Customer 599</t>
        </is>
      </c>
      <c r="F600" t="inlineStr">
        <is>
          <t>Corporate</t>
        </is>
      </c>
      <c r="G600" t="inlineStr">
        <is>
          <t>P1012</t>
        </is>
      </c>
      <c r="H600" t="inlineStr">
        <is>
          <t>Trail Tote</t>
        </is>
      </c>
      <c r="I600" t="inlineStr">
        <is>
          <t>Outdoor</t>
        </is>
      </c>
      <c r="J600" t="inlineStr">
        <is>
          <t>Peripherals</t>
        </is>
      </c>
      <c r="K600" t="inlineStr">
        <is>
          <t>Central</t>
        </is>
      </c>
      <c r="L600" t="inlineStr">
        <is>
          <t>Illinois</t>
        </is>
      </c>
      <c r="M600" t="inlineStr">
        <is>
          <t>Minneapolis</t>
        </is>
      </c>
      <c r="N600" t="inlineStr">
        <is>
          <t>Ethan Brooks</t>
        </is>
      </c>
      <c r="O600" t="n">
        <v>2</v>
      </c>
      <c r="P600" s="3" t="n">
        <v>139.45</v>
      </c>
      <c r="Q600" s="4" t="n">
        <v>0.026</v>
      </c>
      <c r="R600" s="3" t="n">
        <v>271.65</v>
      </c>
      <c r="S600" s="3" t="n">
        <v>137.91</v>
      </c>
      <c r="T600" s="3" t="n">
        <v>126.14</v>
      </c>
      <c r="U600" s="4" t="n">
        <v>0.4643</v>
      </c>
      <c r="V600" s="3" t="n">
        <v>7.6</v>
      </c>
      <c r="W600" t="inlineStr">
        <is>
          <t>Bank Transfer</t>
        </is>
      </c>
      <c r="X600" t="inlineStr">
        <is>
          <t>Low</t>
        </is>
      </c>
    </row>
    <row r="601">
      <c r="A601" t="inlineStr">
        <is>
          <t>ORD-00600</t>
        </is>
      </c>
      <c r="B601" s="2" t="n">
        <v>45159</v>
      </c>
      <c r="C601" s="2" t="n">
        <v>45164</v>
      </c>
      <c r="D601" t="inlineStr">
        <is>
          <t>CUST-00600</t>
        </is>
      </c>
      <c r="E601" t="inlineStr">
        <is>
          <t>Customer 600</t>
        </is>
      </c>
      <c r="F601" t="inlineStr">
        <is>
          <t>Consumer</t>
        </is>
      </c>
      <c r="G601" t="inlineStr">
        <is>
          <t>P1006</t>
        </is>
      </c>
      <c r="H601" t="inlineStr">
        <is>
          <t>Nimbus Monitor Arm</t>
        </is>
      </c>
      <c r="I601" t="inlineStr">
        <is>
          <t>Office Supplies</t>
        </is>
      </c>
      <c r="J601" t="inlineStr">
        <is>
          <t>Storage</t>
        </is>
      </c>
      <c r="K601" t="inlineStr">
        <is>
          <t>West</t>
        </is>
      </c>
      <c r="L601" t="inlineStr">
        <is>
          <t>Oregon</t>
        </is>
      </c>
      <c r="M601" t="inlineStr">
        <is>
          <t>Los Angeles</t>
        </is>
      </c>
      <c r="N601" t="inlineStr">
        <is>
          <t>Ava Patel</t>
        </is>
      </c>
      <c r="O601" t="n">
        <v>3</v>
      </c>
      <c r="P601" s="3" t="n">
        <v>18.91</v>
      </c>
      <c r="Q601" s="4" t="n">
        <v>0.009000000000000001</v>
      </c>
      <c r="R601" s="3" t="n">
        <v>56.22</v>
      </c>
      <c r="S601" s="3" t="n">
        <v>24.35</v>
      </c>
      <c r="T601" s="3" t="n">
        <v>22.47</v>
      </c>
      <c r="U601" s="4" t="n">
        <v>0.3997</v>
      </c>
      <c r="V601" s="3" t="n">
        <v>9.4</v>
      </c>
      <c r="W601" t="inlineStr">
        <is>
          <t>Credit Card</t>
        </is>
      </c>
      <c r="X601" t="inlineStr">
        <is>
          <t>Low</t>
        </is>
      </c>
    </row>
    <row r="602">
      <c r="A602" t="inlineStr">
        <is>
          <t>ORD-00601</t>
        </is>
      </c>
      <c r="B602" s="2" t="n">
        <v>45254</v>
      </c>
      <c r="C602" s="2" t="n">
        <v>45258</v>
      </c>
      <c r="D602" t="inlineStr">
        <is>
          <t>CUST-00601</t>
        </is>
      </c>
      <c r="E602" t="inlineStr">
        <is>
          <t>Customer 601</t>
        </is>
      </c>
      <c r="F602" t="inlineStr">
        <is>
          <t>Consumer</t>
        </is>
      </c>
      <c r="G602" t="inlineStr">
        <is>
          <t>P1020</t>
        </is>
      </c>
      <c r="H602" t="inlineStr">
        <is>
          <t>ErgoMesh Chair</t>
        </is>
      </c>
      <c r="I602" t="inlineStr">
        <is>
          <t>Outdoor</t>
        </is>
      </c>
      <c r="J602" t="inlineStr">
        <is>
          <t>Chairs</t>
        </is>
      </c>
      <c r="K602" t="inlineStr">
        <is>
          <t>South</t>
        </is>
      </c>
      <c r="L602" t="inlineStr">
        <is>
          <t>North Carolina</t>
        </is>
      </c>
      <c r="M602" t="inlineStr">
        <is>
          <t>Dallas</t>
        </is>
      </c>
      <c r="N602" t="inlineStr">
        <is>
          <t>Noah Kim</t>
        </is>
      </c>
      <c r="O602" t="n">
        <v>1</v>
      </c>
      <c r="P602" s="3" t="n">
        <v>74.12</v>
      </c>
      <c r="Q602" s="4" t="n">
        <v>0.032</v>
      </c>
      <c r="R602" s="3" t="n">
        <v>71.75</v>
      </c>
      <c r="S602" s="3" t="n">
        <v>38.27</v>
      </c>
      <c r="T602" s="3" t="n">
        <v>26.68</v>
      </c>
      <c r="U602" s="4" t="n">
        <v>0.3718</v>
      </c>
      <c r="V602" s="3" t="n">
        <v>6.8</v>
      </c>
      <c r="W602" t="inlineStr">
        <is>
          <t>None</t>
        </is>
      </c>
      <c r="X602" t="inlineStr">
        <is>
          <t>High</t>
        </is>
      </c>
    </row>
    <row r="603">
      <c r="A603" t="inlineStr">
        <is>
          <t>ORD-00602</t>
        </is>
      </c>
      <c r="B603" s="2" t="n">
        <v>45275</v>
      </c>
      <c r="C603" s="2" t="n">
        <v>45279</v>
      </c>
      <c r="D603" t="inlineStr">
        <is>
          <t>CUST-00602</t>
        </is>
      </c>
      <c r="E603" t="inlineStr">
        <is>
          <t>Customer 602</t>
        </is>
      </c>
      <c r="F603" t="inlineStr">
        <is>
          <t>Corporate</t>
        </is>
      </c>
      <c r="G603" t="inlineStr">
        <is>
          <t>P1005</t>
        </is>
      </c>
      <c r="H603" t="inlineStr">
        <is>
          <t>Tide Cooler</t>
        </is>
      </c>
      <c r="I603" t="inlineStr">
        <is>
          <t>Outdoor</t>
        </is>
      </c>
      <c r="J603" t="inlineStr">
        <is>
          <t>Accessories</t>
        </is>
      </c>
      <c r="K603" t="inlineStr">
        <is>
          <t>Central</t>
        </is>
      </c>
      <c r="L603" t="inlineStr">
        <is>
          <t>Minnesota</t>
        </is>
      </c>
      <c r="M603" t="inlineStr">
        <is>
          <t>Chicago</t>
        </is>
      </c>
      <c r="N603" t="inlineStr">
        <is>
          <t>Noah Kim</t>
        </is>
      </c>
      <c r="O603" t="n">
        <v>4</v>
      </c>
      <c r="P603" s="3" t="n">
        <v>13.04</v>
      </c>
      <c r="Q603" s="4" t="n">
        <v>0.021</v>
      </c>
      <c r="R603" s="3" t="n">
        <v>51.06</v>
      </c>
      <c r="S603" s="3" t="n">
        <v>25.34</v>
      </c>
      <c r="T603" s="3" t="n">
        <v>16.52</v>
      </c>
      <c r="U603" s="4" t="n">
        <v>0.3235</v>
      </c>
      <c r="V603" s="3" t="n">
        <v>9.199999999999999</v>
      </c>
      <c r="W603" t="inlineStr">
        <is>
          <t>PayPal</t>
        </is>
      </c>
      <c r="X603" t="inlineStr">
        <is>
          <t>Low</t>
        </is>
      </c>
    </row>
    <row r="604">
      <c r="A604" t="inlineStr">
        <is>
          <t>ORD-00603</t>
        </is>
      </c>
      <c r="B604" s="2" t="n">
        <v>45084</v>
      </c>
      <c r="C604" s="2" t="n">
        <v>45091</v>
      </c>
      <c r="D604" t="inlineStr">
        <is>
          <t>CUST-00603</t>
        </is>
      </c>
      <c r="E604" t="inlineStr">
        <is>
          <t>Customer 603</t>
        </is>
      </c>
      <c r="F604" t="inlineStr">
        <is>
          <t>Corporate</t>
        </is>
      </c>
      <c r="G604" t="inlineStr">
        <is>
          <t>P1011</t>
        </is>
      </c>
      <c r="H604" t="inlineStr">
        <is>
          <t>Pulse Keyboard</t>
        </is>
      </c>
      <c r="I604" t="inlineStr">
        <is>
          <t>Outdoor</t>
        </is>
      </c>
      <c r="J604" t="inlineStr">
        <is>
          <t>Paper</t>
        </is>
      </c>
      <c r="K604" t="inlineStr">
        <is>
          <t>East</t>
        </is>
      </c>
      <c r="L604" t="inlineStr">
        <is>
          <t>Virginia</t>
        </is>
      </c>
      <c r="M604" t="inlineStr">
        <is>
          <t>Boston</t>
        </is>
      </c>
      <c r="N604" t="inlineStr">
        <is>
          <t>Ava Patel</t>
        </is>
      </c>
      <c r="O604" t="n">
        <v>3</v>
      </c>
      <c r="P604" s="3" t="n">
        <v>89.83</v>
      </c>
      <c r="Q604" s="4" t="n">
        <v>0.016</v>
      </c>
      <c r="R604" s="3" t="n">
        <v>265.18</v>
      </c>
      <c r="S604" s="3" t="n">
        <v>128.41</v>
      </c>
      <c r="T604" s="3" t="n">
        <v>127.37</v>
      </c>
      <c r="U604" s="4" t="n">
        <v>0.4803</v>
      </c>
      <c r="V604" s="3" t="n">
        <v>9.4</v>
      </c>
      <c r="W604" t="inlineStr">
        <is>
          <t>Cash on Delivery</t>
        </is>
      </c>
      <c r="X604" t="inlineStr">
        <is>
          <t>Medium</t>
        </is>
      </c>
    </row>
    <row r="605">
      <c r="A605" t="inlineStr">
        <is>
          <t>ORD-00604</t>
        </is>
      </c>
      <c r="B605" s="2" t="n">
        <v>44933</v>
      </c>
      <c r="C605" s="2" t="n">
        <v>44936</v>
      </c>
      <c r="D605" t="inlineStr">
        <is>
          <t>CUST-00604</t>
        </is>
      </c>
      <c r="E605" t="inlineStr">
        <is>
          <t>Customer 604</t>
        </is>
      </c>
      <c r="F605" t="inlineStr">
        <is>
          <t>Consumer</t>
        </is>
      </c>
      <c r="G605" t="inlineStr">
        <is>
          <t>P1012</t>
        </is>
      </c>
      <c r="H605" t="inlineStr">
        <is>
          <t>Echo Web Camera</t>
        </is>
      </c>
      <c r="I605" t="inlineStr">
        <is>
          <t>Outdoor</t>
        </is>
      </c>
      <c r="J605" t="inlineStr">
        <is>
          <t>Writing</t>
        </is>
      </c>
      <c r="K605" t="inlineStr">
        <is>
          <t>West</t>
        </is>
      </c>
      <c r="L605" t="inlineStr">
        <is>
          <t>Oregon</t>
        </is>
      </c>
      <c r="M605" t="inlineStr">
        <is>
          <t>Los Angeles</t>
        </is>
      </c>
      <c r="N605" t="inlineStr">
        <is>
          <t>Noah Kim</t>
        </is>
      </c>
      <c r="O605" t="n">
        <v>5</v>
      </c>
      <c r="P605" s="3" t="n">
        <v>136.55</v>
      </c>
      <c r="Q605" s="4" t="n">
        <v>0.028</v>
      </c>
      <c r="R605" s="3" t="n">
        <v>663.63</v>
      </c>
      <c r="S605" s="3" t="n">
        <v>331.61</v>
      </c>
      <c r="T605" s="3" t="n">
        <v>321.02</v>
      </c>
      <c r="U605" s="4" t="n">
        <v>0.4837</v>
      </c>
      <c r="V605" s="3" t="n">
        <v>11</v>
      </c>
      <c r="W605" t="inlineStr">
        <is>
          <t>Bank Transfer</t>
        </is>
      </c>
      <c r="X605" t="inlineStr">
        <is>
          <t>Medium</t>
        </is>
      </c>
    </row>
    <row r="606">
      <c r="A606" t="inlineStr">
        <is>
          <t>ORD-00605</t>
        </is>
      </c>
      <c r="B606" s="2" t="n">
        <v>45238</v>
      </c>
      <c r="C606" s="2" t="n">
        <v>45241</v>
      </c>
      <c r="D606" t="inlineStr">
        <is>
          <t>CUST-00605</t>
        </is>
      </c>
      <c r="E606" t="inlineStr">
        <is>
          <t>Customer 605</t>
        </is>
      </c>
      <c r="F606" t="inlineStr">
        <is>
          <t>Corporate</t>
        </is>
      </c>
      <c r="G606" t="inlineStr">
        <is>
          <t>P1007</t>
        </is>
      </c>
      <c r="H606" t="inlineStr">
        <is>
          <t>ErgoMesh Chair</t>
        </is>
      </c>
      <c r="I606" t="inlineStr">
        <is>
          <t>Home Decor</t>
        </is>
      </c>
      <c r="J606" t="inlineStr">
        <is>
          <t>Textiles</t>
        </is>
      </c>
      <c r="K606" t="inlineStr">
        <is>
          <t>South</t>
        </is>
      </c>
      <c r="L606" t="inlineStr">
        <is>
          <t>Texas</t>
        </is>
      </c>
      <c r="M606" t="inlineStr">
        <is>
          <t>Atlanta</t>
        </is>
      </c>
      <c r="N606" t="inlineStr">
        <is>
          <t>James Carter</t>
        </is>
      </c>
      <c r="O606" t="n">
        <v>2</v>
      </c>
      <c r="P606" s="3" t="n">
        <v>26.37</v>
      </c>
      <c r="Q606" s="4" t="n">
        <v>0.036</v>
      </c>
      <c r="R606" s="3" t="n">
        <v>50.84</v>
      </c>
      <c r="S606" s="3" t="n">
        <v>23.49</v>
      </c>
      <c r="T606" s="3" t="n">
        <v>19.75</v>
      </c>
      <c r="U606" s="4" t="n">
        <v>0.3885</v>
      </c>
      <c r="V606" s="3" t="n">
        <v>7.6</v>
      </c>
      <c r="W606" t="inlineStr">
        <is>
          <t>Credit Card</t>
        </is>
      </c>
      <c r="X606" t="inlineStr">
        <is>
          <t>Medium</t>
        </is>
      </c>
    </row>
    <row r="607">
      <c r="A607" t="inlineStr">
        <is>
          <t>ORD-00606</t>
        </is>
      </c>
      <c r="B607" s="2" t="n">
        <v>45514</v>
      </c>
      <c r="C607" s="2" t="n">
        <v>45517</v>
      </c>
      <c r="D607" t="inlineStr">
        <is>
          <t>CUST-00606</t>
        </is>
      </c>
      <c r="E607" t="inlineStr">
        <is>
          <t>Customer 606</t>
        </is>
      </c>
      <c r="F607" t="inlineStr">
        <is>
          <t>Consumer</t>
        </is>
      </c>
      <c r="G607" t="inlineStr">
        <is>
          <t>P1009</t>
        </is>
      </c>
      <c r="H607" t="inlineStr">
        <is>
          <t>ProClip Binder</t>
        </is>
      </c>
      <c r="I607" t="inlineStr">
        <is>
          <t>Outdoor</t>
        </is>
      </c>
      <c r="J607" t="inlineStr">
        <is>
          <t>Storage</t>
        </is>
      </c>
      <c r="K607" t="inlineStr">
        <is>
          <t>Central</t>
        </is>
      </c>
      <c r="L607" t="inlineStr">
        <is>
          <t>Minnesota</t>
        </is>
      </c>
      <c r="M607" t="inlineStr">
        <is>
          <t>Kansas City</t>
        </is>
      </c>
      <c r="N607" t="inlineStr">
        <is>
          <t>Mia Rodriguez</t>
        </is>
      </c>
      <c r="O607" t="n">
        <v>3</v>
      </c>
      <c r="P607" s="3" t="n">
        <v>95.63</v>
      </c>
      <c r="Q607" s="4" t="n">
        <v>0.018</v>
      </c>
      <c r="R607" s="3" t="n">
        <v>281.73</v>
      </c>
      <c r="S607" s="3" t="n">
        <v>144.07</v>
      </c>
      <c r="T607" s="3" t="n">
        <v>129.26</v>
      </c>
      <c r="U607" s="4" t="n">
        <v>0.4588</v>
      </c>
      <c r="V607" s="3" t="n">
        <v>8.4</v>
      </c>
      <c r="W607" t="inlineStr">
        <is>
          <t>Credit Card</t>
        </is>
      </c>
      <c r="X607" t="inlineStr">
        <is>
          <t>High</t>
        </is>
      </c>
    </row>
    <row r="608">
      <c r="A608" t="inlineStr">
        <is>
          <t>ORD-00607</t>
        </is>
      </c>
      <c r="B608" s="2" t="n">
        <v>45035</v>
      </c>
      <c r="C608" s="2" t="n">
        <v>45040</v>
      </c>
      <c r="D608" t="inlineStr">
        <is>
          <t>CUST-00607</t>
        </is>
      </c>
      <c r="E608" t="inlineStr">
        <is>
          <t>Customer 607</t>
        </is>
      </c>
      <c r="F608" t="inlineStr">
        <is>
          <t>Home Office</t>
        </is>
      </c>
      <c r="G608" t="inlineStr">
        <is>
          <t>P1018</t>
        </is>
      </c>
      <c r="H608" t="inlineStr">
        <is>
          <t>Atlas Throw Pillow</t>
        </is>
      </c>
      <c r="I608" t="inlineStr">
        <is>
          <t>Furniture</t>
        </is>
      </c>
      <c r="J608" t="inlineStr">
        <is>
          <t>Chairs</t>
        </is>
      </c>
      <c r="K608" t="inlineStr">
        <is>
          <t>South</t>
        </is>
      </c>
      <c r="L608" t="inlineStr">
        <is>
          <t>Georgia</t>
        </is>
      </c>
      <c r="M608" t="inlineStr">
        <is>
          <t>Atlanta</t>
        </is>
      </c>
      <c r="N608" t="inlineStr">
        <is>
          <t>Ava Patel</t>
        </is>
      </c>
      <c r="O608" t="n">
        <v>3</v>
      </c>
      <c r="P608" s="3" t="n">
        <v>84.36</v>
      </c>
      <c r="Q608" s="4" t="n">
        <v>0.036</v>
      </c>
      <c r="R608" s="3" t="n">
        <v>243.97</v>
      </c>
      <c r="S608" s="3" t="n">
        <v>114.8</v>
      </c>
      <c r="T608" s="3" t="n">
        <v>120.77</v>
      </c>
      <c r="U608" s="4" t="n">
        <v>0.495</v>
      </c>
      <c r="V608" s="3" t="n">
        <v>8.4</v>
      </c>
      <c r="W608" t="inlineStr">
        <is>
          <t>Bank Transfer</t>
        </is>
      </c>
      <c r="X608" t="inlineStr">
        <is>
          <t>High</t>
        </is>
      </c>
    </row>
    <row r="609">
      <c r="A609" t="inlineStr">
        <is>
          <t>ORD-00608</t>
        </is>
      </c>
      <c r="B609" s="2" t="n">
        <v>45492</v>
      </c>
      <c r="C609" s="2" t="n">
        <v>45497</v>
      </c>
      <c r="D609" t="inlineStr">
        <is>
          <t>CUST-00608</t>
        </is>
      </c>
      <c r="E609" t="inlineStr">
        <is>
          <t>Customer 608</t>
        </is>
      </c>
      <c r="F609" t="inlineStr">
        <is>
          <t>Consumer</t>
        </is>
      </c>
      <c r="G609" t="inlineStr">
        <is>
          <t>P1014</t>
        </is>
      </c>
      <c r="H609" t="inlineStr">
        <is>
          <t>Trail Tote</t>
        </is>
      </c>
      <c r="I609" t="inlineStr">
        <is>
          <t>Furniture</t>
        </is>
      </c>
      <c r="J609" t="inlineStr">
        <is>
          <t>Accessories</t>
        </is>
      </c>
      <c r="K609" t="inlineStr">
        <is>
          <t>East</t>
        </is>
      </c>
      <c r="L609" t="inlineStr">
        <is>
          <t>Massachusetts</t>
        </is>
      </c>
      <c r="M609" t="inlineStr">
        <is>
          <t>Washington</t>
        </is>
      </c>
      <c r="N609" t="inlineStr">
        <is>
          <t>Mia Rodriguez</t>
        </is>
      </c>
      <c r="O609" t="n">
        <v>4</v>
      </c>
      <c r="P609" s="3" t="n">
        <v>43.7</v>
      </c>
      <c r="Q609" s="4" t="n">
        <v>0.007</v>
      </c>
      <c r="R609" s="3" t="n">
        <v>173.58</v>
      </c>
      <c r="S609" s="3" t="n">
        <v>78.23999999999999</v>
      </c>
      <c r="T609" s="3" t="n">
        <v>85.14</v>
      </c>
      <c r="U609" s="4" t="n">
        <v>0.4905</v>
      </c>
      <c r="V609" s="3" t="n">
        <v>10.2</v>
      </c>
      <c r="W609" t="inlineStr">
        <is>
          <t>Bank Transfer</t>
        </is>
      </c>
      <c r="X609" t="inlineStr">
        <is>
          <t>Low</t>
        </is>
      </c>
    </row>
    <row r="610">
      <c r="A610" t="inlineStr">
        <is>
          <t>ORD-00609</t>
        </is>
      </c>
      <c r="B610" s="2" t="n">
        <v>45567</v>
      </c>
      <c r="C610" s="2" t="n">
        <v>45569</v>
      </c>
      <c r="D610" t="inlineStr">
        <is>
          <t>CUST-00609</t>
        </is>
      </c>
      <c r="E610" t="inlineStr">
        <is>
          <t>Customer 609</t>
        </is>
      </c>
      <c r="F610" t="inlineStr">
        <is>
          <t>Home Office</t>
        </is>
      </c>
      <c r="G610" t="inlineStr">
        <is>
          <t>P1004</t>
        </is>
      </c>
      <c r="H610" t="inlineStr">
        <is>
          <t>Nimbus Monitor Arm</t>
        </is>
      </c>
      <c r="I610" t="inlineStr">
        <is>
          <t>Office Supplies</t>
        </is>
      </c>
      <c r="J610" t="inlineStr">
        <is>
          <t>Binders</t>
        </is>
      </c>
      <c r="K610" t="inlineStr">
        <is>
          <t>West</t>
        </is>
      </c>
      <c r="L610" t="inlineStr">
        <is>
          <t>Colorado</t>
        </is>
      </c>
      <c r="M610" t="inlineStr">
        <is>
          <t>Los Angeles</t>
        </is>
      </c>
      <c r="N610" t="inlineStr">
        <is>
          <t>James Carter</t>
        </is>
      </c>
      <c r="O610" t="n">
        <v>3</v>
      </c>
      <c r="P610" s="3" t="n">
        <v>691.99</v>
      </c>
      <c r="Q610" s="4" t="n">
        <v>0.026</v>
      </c>
      <c r="R610" s="3" t="n">
        <v>2021.99</v>
      </c>
      <c r="S610" s="3" t="n">
        <v>1279.86</v>
      </c>
      <c r="T610" s="3" t="n">
        <v>732.73</v>
      </c>
      <c r="U610" s="4" t="n">
        <v>0.3624</v>
      </c>
      <c r="V610" s="3" t="n">
        <v>9.4</v>
      </c>
      <c r="W610" t="inlineStr">
        <is>
          <t>Debit Card</t>
        </is>
      </c>
      <c r="X610" t="inlineStr">
        <is>
          <t>Medium</t>
        </is>
      </c>
    </row>
    <row r="611">
      <c r="A611" t="inlineStr">
        <is>
          <t>ORD-00610</t>
        </is>
      </c>
      <c r="B611" s="2" t="n">
        <v>45945</v>
      </c>
      <c r="C611" s="2" t="n">
        <v>45951</v>
      </c>
      <c r="D611" t="inlineStr">
        <is>
          <t>CUST-00610</t>
        </is>
      </c>
      <c r="E611" t="inlineStr">
        <is>
          <t>Customer 610</t>
        </is>
      </c>
      <c r="F611" t="inlineStr">
        <is>
          <t>Home Office</t>
        </is>
      </c>
      <c r="G611" t="inlineStr">
        <is>
          <t>P1008</t>
        </is>
      </c>
      <c r="H611" t="inlineStr">
        <is>
          <t>Summit Patio Set</t>
        </is>
      </c>
      <c r="I611" t="inlineStr">
        <is>
          <t>Home Decor</t>
        </is>
      </c>
      <c r="J611" t="inlineStr">
        <is>
          <t>Video</t>
        </is>
      </c>
      <c r="K611" t="inlineStr">
        <is>
          <t>West</t>
        </is>
      </c>
      <c r="L611" t="inlineStr">
        <is>
          <t>Oregon</t>
        </is>
      </c>
      <c r="M611" t="inlineStr">
        <is>
          <t>Denver</t>
        </is>
      </c>
      <c r="N611" t="inlineStr">
        <is>
          <t>Mia Rodriguez</t>
        </is>
      </c>
      <c r="O611" t="n">
        <v>3</v>
      </c>
      <c r="P611" s="3" t="n">
        <v>41.08</v>
      </c>
      <c r="Q611" s="4" t="n">
        <v>0.059</v>
      </c>
      <c r="R611" s="3" t="n">
        <v>115.97</v>
      </c>
      <c r="S611" s="3" t="n">
        <v>49.63</v>
      </c>
      <c r="T611" s="3" t="n">
        <v>56.94</v>
      </c>
      <c r="U611" s="4" t="n">
        <v>0.491</v>
      </c>
      <c r="V611" s="3" t="n">
        <v>9.4</v>
      </c>
      <c r="W611" t="inlineStr">
        <is>
          <t>Credit Card</t>
        </is>
      </c>
      <c r="X611" t="inlineStr">
        <is>
          <t>High</t>
        </is>
      </c>
    </row>
    <row r="612">
      <c r="A612" t="inlineStr">
        <is>
          <t>ORD-00611</t>
        </is>
      </c>
      <c r="B612" s="2" t="n">
        <v>45108</v>
      </c>
      <c r="C612" s="2" t="n">
        <v>45115</v>
      </c>
      <c r="D612" t="inlineStr">
        <is>
          <t>CUST-00611</t>
        </is>
      </c>
      <c r="E612" t="inlineStr">
        <is>
          <t>Customer 611</t>
        </is>
      </c>
      <c r="F612" t="inlineStr">
        <is>
          <t>Corporate</t>
        </is>
      </c>
      <c r="G612" t="inlineStr">
        <is>
          <t>P1016</t>
        </is>
      </c>
      <c r="H612" t="inlineStr">
        <is>
          <t>Atlas Throw Pillow</t>
        </is>
      </c>
      <c r="I612" t="inlineStr">
        <is>
          <t>Furniture</t>
        </is>
      </c>
      <c r="J612" t="inlineStr">
        <is>
          <t>Plants</t>
        </is>
      </c>
      <c r="K612" t="inlineStr">
        <is>
          <t>Central</t>
        </is>
      </c>
      <c r="L612" t="inlineStr">
        <is>
          <t>Minnesota</t>
        </is>
      </c>
      <c r="M612" t="inlineStr">
        <is>
          <t>Chicago</t>
        </is>
      </c>
      <c r="N612" t="inlineStr">
        <is>
          <t>Noah Kim</t>
        </is>
      </c>
      <c r="O612" t="n">
        <v>5</v>
      </c>
      <c r="P612" s="3" t="n">
        <v>39.3</v>
      </c>
      <c r="Q612" s="4" t="n">
        <v>0.03</v>
      </c>
      <c r="R612" s="3" t="n">
        <v>190.6</v>
      </c>
      <c r="S612" s="3" t="n">
        <v>79.81</v>
      </c>
      <c r="T612" s="3" t="n">
        <v>100.79</v>
      </c>
      <c r="U612" s="4" t="n">
        <v>0.5288</v>
      </c>
      <c r="V612" s="3" t="n">
        <v>10</v>
      </c>
      <c r="W612" t="inlineStr">
        <is>
          <t>Bank Transfer</t>
        </is>
      </c>
      <c r="X612" t="inlineStr">
        <is>
          <t>Medium</t>
        </is>
      </c>
    </row>
    <row r="613">
      <c r="A613" t="inlineStr">
        <is>
          <t>ORD-00612</t>
        </is>
      </c>
      <c r="B613" s="2" t="n">
        <v>45787</v>
      </c>
      <c r="C613" s="2" t="n">
        <v>45793</v>
      </c>
      <c r="D613" t="inlineStr">
        <is>
          <t>CUST-00612</t>
        </is>
      </c>
      <c r="E613" t="inlineStr">
        <is>
          <t>Customer 612</t>
        </is>
      </c>
      <c r="F613" t="inlineStr">
        <is>
          <t>Consumer</t>
        </is>
      </c>
      <c r="G613" t="inlineStr">
        <is>
          <t>P1004</t>
        </is>
      </c>
      <c r="H613" t="inlineStr">
        <is>
          <t>Pulse Keyboard</t>
        </is>
      </c>
      <c r="I613" t="inlineStr">
        <is>
          <t>Technology</t>
        </is>
      </c>
      <c r="J613" t="inlineStr">
        <is>
          <t>Furniture</t>
        </is>
      </c>
      <c r="K613" t="inlineStr">
        <is>
          <t>West</t>
        </is>
      </c>
      <c r="L613" t="inlineStr">
        <is>
          <t>California</t>
        </is>
      </c>
      <c r="M613" t="inlineStr">
        <is>
          <t>Los Angeles</t>
        </is>
      </c>
      <c r="N613" t="inlineStr">
        <is>
          <t>Olivia Martin</t>
        </is>
      </c>
      <c r="O613" t="n">
        <v>2</v>
      </c>
      <c r="P613" s="3" t="n">
        <v>617.52</v>
      </c>
      <c r="Q613" s="4" t="n">
        <v>0.016</v>
      </c>
      <c r="R613" s="3" t="n">
        <v>1215.28</v>
      </c>
      <c r="S613" s="3" t="n">
        <v>775.8200000000001</v>
      </c>
      <c r="T613" s="3" t="n">
        <v>430.86</v>
      </c>
      <c r="U613" s="4" t="n">
        <v>0.3545</v>
      </c>
      <c r="V613" s="3" t="n">
        <v>8.6</v>
      </c>
      <c r="W613" t="inlineStr">
        <is>
          <t>Debit Card</t>
        </is>
      </c>
      <c r="X613" t="inlineStr">
        <is>
          <t>Medium</t>
        </is>
      </c>
    </row>
    <row r="614">
      <c r="A614" t="inlineStr">
        <is>
          <t>ORD-00613</t>
        </is>
      </c>
      <c r="B614" s="2" t="n">
        <v>45632</v>
      </c>
      <c r="C614" s="2" t="n">
        <v>45633</v>
      </c>
      <c r="D614" t="inlineStr">
        <is>
          <t>CUST-00613</t>
        </is>
      </c>
      <c r="E614" t="inlineStr">
        <is>
          <t>Customer 613</t>
        </is>
      </c>
      <c r="F614" t="inlineStr">
        <is>
          <t>Corporate</t>
        </is>
      </c>
      <c r="G614" t="inlineStr">
        <is>
          <t>P1019</t>
        </is>
      </c>
      <c r="H614" t="inlineStr">
        <is>
          <t>Atlas Throw Pillow</t>
        </is>
      </c>
      <c r="I614" t="inlineStr">
        <is>
          <t>Furniture</t>
        </is>
      </c>
      <c r="J614" t="inlineStr">
        <is>
          <t>Coolers</t>
        </is>
      </c>
      <c r="K614" t="inlineStr">
        <is>
          <t>North</t>
        </is>
      </c>
      <c r="L614" t="inlineStr">
        <is>
          <t>Ontario</t>
        </is>
      </c>
      <c r="M614" t="inlineStr">
        <is>
          <t>Montreal</t>
        </is>
      </c>
      <c r="N614" t="inlineStr">
        <is>
          <t>Sophia Singh</t>
        </is>
      </c>
      <c r="O614" t="n">
        <v>3</v>
      </c>
      <c r="P614" s="3" t="n">
        <v>60.42</v>
      </c>
      <c r="Q614" s="4" t="n">
        <v>0.039</v>
      </c>
      <c r="R614" s="3" t="n">
        <v>174.19</v>
      </c>
      <c r="S614" s="3" t="n">
        <v>80.97</v>
      </c>
      <c r="T614" s="3" t="n">
        <v>84.81999999999999</v>
      </c>
      <c r="U614" s="4" t="n">
        <v>0.4869</v>
      </c>
      <c r="V614" s="3" t="n">
        <v>8.4</v>
      </c>
      <c r="W614" t="inlineStr">
        <is>
          <t>Bank Transfer</t>
        </is>
      </c>
      <c r="X614" t="inlineStr">
        <is>
          <t>High</t>
        </is>
      </c>
    </row>
    <row r="615">
      <c r="A615" t="inlineStr">
        <is>
          <t>ORD-00614</t>
        </is>
      </c>
      <c r="B615" s="2" t="n">
        <v>45191</v>
      </c>
      <c r="C615" s="2" t="n">
        <v>45196</v>
      </c>
      <c r="D615" t="inlineStr">
        <is>
          <t>CUST-00614</t>
        </is>
      </c>
      <c r="E615" t="inlineStr">
        <is>
          <t>Customer 614</t>
        </is>
      </c>
      <c r="F615" t="inlineStr">
        <is>
          <t>Consumer</t>
        </is>
      </c>
      <c r="G615" t="inlineStr">
        <is>
          <t>P1006</t>
        </is>
      </c>
      <c r="H615" t="inlineStr">
        <is>
          <t>Echo Web Camera</t>
        </is>
      </c>
      <c r="I615" t="inlineStr">
        <is>
          <t>Technology</t>
        </is>
      </c>
      <c r="J615" t="inlineStr">
        <is>
          <t>Furniture</t>
        </is>
      </c>
      <c r="K615" t="inlineStr">
        <is>
          <t>West</t>
        </is>
      </c>
      <c r="L615" t="inlineStr">
        <is>
          <t>Oregon</t>
        </is>
      </c>
      <c r="M615" t="inlineStr">
        <is>
          <t>San Francisco</t>
        </is>
      </c>
      <c r="N615" t="inlineStr">
        <is>
          <t>James Carter</t>
        </is>
      </c>
      <c r="O615" t="n">
        <v>3</v>
      </c>
      <c r="P615" s="3" t="n">
        <v>18.22</v>
      </c>
      <c r="Q615" s="4" t="n">
        <v>0.033</v>
      </c>
      <c r="R615" s="3" t="n">
        <v>52.86</v>
      </c>
      <c r="S615" s="3" t="n">
        <v>24.21</v>
      </c>
      <c r="T615" s="3" t="n">
        <v>19.25</v>
      </c>
      <c r="U615" s="4" t="n">
        <v>0.3642</v>
      </c>
      <c r="V615" s="3" t="n">
        <v>9.4</v>
      </c>
      <c r="W615" t="inlineStr">
        <is>
          <t>Credit Card</t>
        </is>
      </c>
      <c r="X615" t="inlineStr">
        <is>
          <t>Medium</t>
        </is>
      </c>
    </row>
    <row r="616">
      <c r="A616" t="inlineStr">
        <is>
          <t>ORD-00615</t>
        </is>
      </c>
      <c r="B616" s="2" t="n">
        <v>45821</v>
      </c>
      <c r="C616" s="2" t="n">
        <v>45823</v>
      </c>
      <c r="D616" t="inlineStr">
        <is>
          <t>CUST-00615</t>
        </is>
      </c>
      <c r="E616" t="inlineStr">
        <is>
          <t>Customer 615</t>
        </is>
      </c>
      <c r="F616" t="inlineStr">
        <is>
          <t>Home Office</t>
        </is>
      </c>
      <c r="G616" t="inlineStr">
        <is>
          <t>P1019</t>
        </is>
      </c>
      <c r="H616" t="inlineStr">
        <is>
          <t>ErgoMesh Chair</t>
        </is>
      </c>
      <c r="I616" t="inlineStr">
        <is>
          <t>Furniture</t>
        </is>
      </c>
      <c r="J616" t="inlineStr">
        <is>
          <t>Video</t>
        </is>
      </c>
      <c r="K616" t="inlineStr">
        <is>
          <t>East</t>
        </is>
      </c>
      <c r="L616" t="inlineStr">
        <is>
          <t>New York</t>
        </is>
      </c>
      <c r="M616" t="inlineStr">
        <is>
          <t>Philadelphia</t>
        </is>
      </c>
      <c r="N616" t="inlineStr">
        <is>
          <t>Sophia Singh</t>
        </is>
      </c>
      <c r="O616" t="n">
        <v>1</v>
      </c>
      <c r="P616" s="3" t="n">
        <v>59.25</v>
      </c>
      <c r="Q616" s="4" t="n">
        <v>0.057</v>
      </c>
      <c r="R616" s="3" t="n">
        <v>55.87</v>
      </c>
      <c r="S616" s="3" t="n">
        <v>32.4</v>
      </c>
      <c r="T616" s="3" t="n">
        <v>15.67</v>
      </c>
      <c r="U616" s="4" t="n">
        <v>0.2805</v>
      </c>
      <c r="V616" s="3" t="n">
        <v>7.8</v>
      </c>
      <c r="W616" t="inlineStr">
        <is>
          <t>Debit Card</t>
        </is>
      </c>
      <c r="X616" t="inlineStr">
        <is>
          <t>High</t>
        </is>
      </c>
    </row>
    <row r="617">
      <c r="A617" t="inlineStr">
        <is>
          <t>ORD-00616</t>
        </is>
      </c>
      <c r="B617" s="2" t="n">
        <v>45787</v>
      </c>
      <c r="C617" s="2" t="n">
        <v>45789</v>
      </c>
      <c r="D617" t="inlineStr">
        <is>
          <t>CUST-00616</t>
        </is>
      </c>
      <c r="E617" t="inlineStr">
        <is>
          <t>Customer 616</t>
        </is>
      </c>
      <c r="F617" t="inlineStr">
        <is>
          <t>Corporate</t>
        </is>
      </c>
      <c r="G617" t="inlineStr">
        <is>
          <t>P1015</t>
        </is>
      </c>
      <c r="H617" t="inlineStr">
        <is>
          <t>Pulse Keyboard</t>
        </is>
      </c>
      <c r="I617" t="inlineStr">
        <is>
          <t>Technology</t>
        </is>
      </c>
      <c r="J617" t="inlineStr">
        <is>
          <t>Textiles</t>
        </is>
      </c>
      <c r="K617" t="inlineStr">
        <is>
          <t>South</t>
        </is>
      </c>
      <c r="L617" t="inlineStr">
        <is>
          <t>Florida</t>
        </is>
      </c>
      <c r="M617" t="inlineStr">
        <is>
          <t>Dallas</t>
        </is>
      </c>
      <c r="N617" t="inlineStr">
        <is>
          <t>Liam Chen</t>
        </is>
      </c>
      <c r="O617" t="n">
        <v>3</v>
      </c>
      <c r="P617" s="3" t="n">
        <v>65.23</v>
      </c>
      <c r="Q617" s="4" t="n">
        <v>0.04500000000000001</v>
      </c>
      <c r="R617" s="3" t="n">
        <v>186.88</v>
      </c>
      <c r="S617" s="3" t="n">
        <v>88.61</v>
      </c>
      <c r="T617" s="3" t="n">
        <v>89.87</v>
      </c>
      <c r="U617" s="4" t="n">
        <v>0.4809</v>
      </c>
      <c r="V617" s="3" t="n">
        <v>8.4</v>
      </c>
      <c r="W617" t="inlineStr">
        <is>
          <t>Debit Card</t>
        </is>
      </c>
      <c r="X617" t="inlineStr">
        <is>
          <t>High</t>
        </is>
      </c>
    </row>
    <row r="618">
      <c r="A618" t="inlineStr">
        <is>
          <t>ORD-00617</t>
        </is>
      </c>
      <c r="B618" s="2" t="n">
        <v>45211</v>
      </c>
      <c r="C618" s="2" t="n">
        <v>45215</v>
      </c>
      <c r="D618" t="inlineStr">
        <is>
          <t>CUST-00617</t>
        </is>
      </c>
      <c r="E618" t="inlineStr">
        <is>
          <t>Customer 617</t>
        </is>
      </c>
      <c r="F618" t="inlineStr">
        <is>
          <t>Home Office</t>
        </is>
      </c>
      <c r="G618" t="inlineStr">
        <is>
          <t>P1012</t>
        </is>
      </c>
      <c r="H618" t="inlineStr">
        <is>
          <t>ProClip Binder</t>
        </is>
      </c>
      <c r="I618" t="inlineStr">
        <is>
          <t>Furniture</t>
        </is>
      </c>
      <c r="J618" t="inlineStr">
        <is>
          <t>Video</t>
        </is>
      </c>
      <c r="K618" t="inlineStr">
        <is>
          <t>West</t>
        </is>
      </c>
      <c r="L618" t="inlineStr">
        <is>
          <t>Oregon</t>
        </is>
      </c>
      <c r="M618" t="inlineStr">
        <is>
          <t>Seattle</t>
        </is>
      </c>
      <c r="N618" t="inlineStr">
        <is>
          <t>James Carter</t>
        </is>
      </c>
      <c r="O618" t="n">
        <v>2</v>
      </c>
      <c r="P618" s="3" t="n">
        <v>143.27</v>
      </c>
      <c r="Q618" s="4" t="n">
        <v>0.06900000000000001</v>
      </c>
      <c r="R618" s="3" t="n">
        <v>266.77</v>
      </c>
      <c r="S618" s="3" t="n">
        <v>142.51</v>
      </c>
      <c r="T618" s="3" t="n">
        <v>115.66</v>
      </c>
      <c r="U618" s="4" t="n">
        <v>0.4336</v>
      </c>
      <c r="V618" s="3" t="n">
        <v>8.6</v>
      </c>
      <c r="W618" t="inlineStr">
        <is>
          <t>Debit Card</t>
        </is>
      </c>
      <c r="X618" t="inlineStr">
        <is>
          <t>Critical</t>
        </is>
      </c>
    </row>
    <row r="619">
      <c r="A619" t="inlineStr">
        <is>
          <t>ORD-00618</t>
        </is>
      </c>
      <c r="B619" s="2" t="n">
        <v>45040</v>
      </c>
      <c r="C619" s="2" t="n">
        <v>45045</v>
      </c>
      <c r="D619" t="inlineStr">
        <is>
          <t>CUST-00618</t>
        </is>
      </c>
      <c r="E619" t="inlineStr">
        <is>
          <t>Customer 618</t>
        </is>
      </c>
      <c r="F619" t="inlineStr">
        <is>
          <t>Corporate</t>
        </is>
      </c>
      <c r="G619" t="inlineStr">
        <is>
          <t>P1012</t>
        </is>
      </c>
      <c r="H619" t="inlineStr">
        <is>
          <t>Northstar Lantern</t>
        </is>
      </c>
      <c r="I619" t="inlineStr">
        <is>
          <t>Outdoor</t>
        </is>
      </c>
      <c r="J619" t="inlineStr">
        <is>
          <t>Desks</t>
        </is>
      </c>
      <c r="K619" t="inlineStr">
        <is>
          <t>South</t>
        </is>
      </c>
      <c r="L619" t="inlineStr">
        <is>
          <t>Texas</t>
        </is>
      </c>
      <c r="M619" t="inlineStr">
        <is>
          <t>Atlanta</t>
        </is>
      </c>
      <c r="N619" t="inlineStr">
        <is>
          <t>Olivia Martin</t>
        </is>
      </c>
      <c r="O619" t="n">
        <v>3</v>
      </c>
      <c r="P619" s="3" t="n">
        <v>130.41</v>
      </c>
      <c r="Q619" s="4" t="n">
        <v>0.028</v>
      </c>
      <c r="R619" s="3" t="n">
        <v>380.28</v>
      </c>
      <c r="S619" s="3" t="n">
        <v>193.38</v>
      </c>
      <c r="T619" s="3" t="n">
        <v>178.5</v>
      </c>
      <c r="U619" s="4" t="n">
        <v>0.4694</v>
      </c>
      <c r="V619" s="3" t="n">
        <v>8.4</v>
      </c>
      <c r="W619" t="inlineStr">
        <is>
          <t>Cash on Delivery</t>
        </is>
      </c>
      <c r="X619" t="inlineStr">
        <is>
          <t>Medium</t>
        </is>
      </c>
    </row>
    <row r="620">
      <c r="A620" t="inlineStr">
        <is>
          <t>ORD-00619</t>
        </is>
      </c>
      <c r="B620" s="2" t="n">
        <v>45722</v>
      </c>
      <c r="C620" s="2" t="n">
        <v>45724</v>
      </c>
      <c r="D620" t="inlineStr">
        <is>
          <t>CUST-00619</t>
        </is>
      </c>
      <c r="E620" t="inlineStr">
        <is>
          <t>Customer 619</t>
        </is>
      </c>
      <c r="F620" t="inlineStr">
        <is>
          <t>Corporate</t>
        </is>
      </c>
      <c r="G620" t="inlineStr">
        <is>
          <t>P1002</t>
        </is>
      </c>
      <c r="H620" t="inlineStr">
        <is>
          <t>Echo Web Camera</t>
        </is>
      </c>
      <c r="I620" t="inlineStr">
        <is>
          <t>Outdoor</t>
        </is>
      </c>
      <c r="J620" t="inlineStr">
        <is>
          <t>Accessories</t>
        </is>
      </c>
      <c r="K620" t="inlineStr">
        <is>
          <t>North</t>
        </is>
      </c>
      <c r="L620" t="inlineStr">
        <is>
          <t>Alberta</t>
        </is>
      </c>
      <c r="M620" t="inlineStr">
        <is>
          <t>Montreal</t>
        </is>
      </c>
      <c r="N620" t="inlineStr">
        <is>
          <t>Liam Chen</t>
        </is>
      </c>
      <c r="O620" t="n">
        <v>3</v>
      </c>
      <c r="P620" s="3" t="n">
        <v>78.40000000000001</v>
      </c>
      <c r="Q620" s="4" t="n">
        <v>0.02</v>
      </c>
      <c r="R620" s="3" t="n">
        <v>230.5</v>
      </c>
      <c r="S620" s="3" t="n">
        <v>109.42</v>
      </c>
      <c r="T620" s="3" t="n">
        <v>112.68</v>
      </c>
      <c r="U620" s="4" t="n">
        <v>0.4889</v>
      </c>
      <c r="V620" s="3" t="n">
        <v>8.4</v>
      </c>
      <c r="W620" t="inlineStr">
        <is>
          <t>Bank Transfer</t>
        </is>
      </c>
      <c r="X620" t="inlineStr">
        <is>
          <t>Medium</t>
        </is>
      </c>
    </row>
    <row r="621">
      <c r="A621" t="inlineStr">
        <is>
          <t>ORD-00620</t>
        </is>
      </c>
      <c r="B621" s="2" t="n">
        <v>45875</v>
      </c>
      <c r="C621" s="2" t="n">
        <v>45879</v>
      </c>
      <c r="D621" t="inlineStr">
        <is>
          <t>CUST-00620</t>
        </is>
      </c>
      <c r="E621" t="inlineStr">
        <is>
          <t>Customer 620</t>
        </is>
      </c>
      <c r="F621" t="inlineStr">
        <is>
          <t>Corporate</t>
        </is>
      </c>
      <c r="G621" t="inlineStr">
        <is>
          <t>P1009</t>
        </is>
      </c>
      <c r="H621" t="inlineStr">
        <is>
          <t>Lumen Desk Lamp</t>
        </is>
      </c>
      <c r="I621" t="inlineStr">
        <is>
          <t>Home Decor</t>
        </is>
      </c>
      <c r="J621" t="inlineStr">
        <is>
          <t>Plants</t>
        </is>
      </c>
      <c r="K621" t="inlineStr">
        <is>
          <t>North</t>
        </is>
      </c>
      <c r="L621" t="inlineStr">
        <is>
          <t>British Columbia</t>
        </is>
      </c>
      <c r="M621" t="inlineStr">
        <is>
          <t>Calgary</t>
        </is>
      </c>
      <c r="N621" t="inlineStr">
        <is>
          <t>Sophia Singh</t>
        </is>
      </c>
      <c r="O621" t="n">
        <v>4</v>
      </c>
      <c r="P621" s="3" t="n">
        <v>90.05</v>
      </c>
      <c r="Q621" s="4" t="n">
        <v>0.021</v>
      </c>
      <c r="R621" s="3" t="n">
        <v>352.64</v>
      </c>
      <c r="S621" s="3" t="n">
        <v>174.8</v>
      </c>
      <c r="T621" s="3" t="n">
        <v>168.64</v>
      </c>
      <c r="U621" s="4" t="n">
        <v>0.4782</v>
      </c>
      <c r="V621" s="3" t="n">
        <v>9.199999999999999</v>
      </c>
      <c r="W621" t="inlineStr">
        <is>
          <t>Bank Transfer</t>
        </is>
      </c>
      <c r="X621" t="inlineStr">
        <is>
          <t>High</t>
        </is>
      </c>
    </row>
    <row r="622">
      <c r="A622" t="inlineStr">
        <is>
          <t>ORD-00621</t>
        </is>
      </c>
      <c r="B622" s="2" t="n">
        <v>45047</v>
      </c>
      <c r="C622" s="2" t="n">
        <v>45048</v>
      </c>
      <c r="D622" t="inlineStr">
        <is>
          <t>CUST-00621</t>
        </is>
      </c>
      <c r="E622" t="inlineStr">
        <is>
          <t>Customer 621</t>
        </is>
      </c>
      <c r="F622" t="inlineStr">
        <is>
          <t>Consumer</t>
        </is>
      </c>
      <c r="G622" t="inlineStr">
        <is>
          <t>P1003</t>
        </is>
      </c>
      <c r="H622" t="inlineStr">
        <is>
          <t>Orbit Wireless Mouse</t>
        </is>
      </c>
      <c r="I622" t="inlineStr">
        <is>
          <t>Office Supplies</t>
        </is>
      </c>
      <c r="J622" t="inlineStr">
        <is>
          <t>Paper</t>
        </is>
      </c>
      <c r="K622" t="inlineStr">
        <is>
          <t>East</t>
        </is>
      </c>
      <c r="L622" t="inlineStr">
        <is>
          <t>New York</t>
        </is>
      </c>
      <c r="M622" t="inlineStr">
        <is>
          <t>New York</t>
        </is>
      </c>
      <c r="N622" t="inlineStr">
        <is>
          <t>Ava Patel</t>
        </is>
      </c>
      <c r="O622" t="n">
        <v>2</v>
      </c>
      <c r="P622" s="3" t="n">
        <v>152.33</v>
      </c>
      <c r="Q622" s="4" t="n">
        <v>0.02</v>
      </c>
      <c r="R622" s="3" t="n">
        <v>298.57</v>
      </c>
      <c r="S622" s="3" t="n">
        <v>160.81</v>
      </c>
      <c r="T622" s="3" t="n">
        <v>129.16</v>
      </c>
      <c r="U622" s="4" t="n">
        <v>0.4326</v>
      </c>
      <c r="V622" s="3" t="n">
        <v>8.6</v>
      </c>
      <c r="W622" t="inlineStr">
        <is>
          <t>Credit Card</t>
        </is>
      </c>
      <c r="X622" t="inlineStr">
        <is>
          <t>High</t>
        </is>
      </c>
    </row>
    <row r="623">
      <c r="A623" t="inlineStr">
        <is>
          <t>ORD-00622</t>
        </is>
      </c>
      <c r="B623" s="2" t="n">
        <v>45181</v>
      </c>
      <c r="C623" s="2" t="n">
        <v>45185</v>
      </c>
      <c r="D623" t="inlineStr">
        <is>
          <t>CUST-00622</t>
        </is>
      </c>
      <c r="E623" t="inlineStr">
        <is>
          <t>Customer 622</t>
        </is>
      </c>
      <c r="F623" t="inlineStr">
        <is>
          <t>Consumer</t>
        </is>
      </c>
      <c r="G623" t="inlineStr">
        <is>
          <t>P1001</t>
        </is>
      </c>
      <c r="H623" t="inlineStr">
        <is>
          <t>Northstar Lantern</t>
        </is>
      </c>
      <c r="I623" t="inlineStr">
        <is>
          <t>Furniture</t>
        </is>
      </c>
      <c r="J623" t="inlineStr">
        <is>
          <t>Peripherals</t>
        </is>
      </c>
      <c r="K623" t="inlineStr">
        <is>
          <t>East</t>
        </is>
      </c>
      <c r="L623" t="inlineStr">
        <is>
          <t>New York</t>
        </is>
      </c>
      <c r="M623" t="inlineStr">
        <is>
          <t>Washington</t>
        </is>
      </c>
      <c r="N623" t="inlineStr">
        <is>
          <t>Sophia Singh</t>
        </is>
      </c>
      <c r="O623" t="n">
        <v>1</v>
      </c>
      <c r="P623" s="3" t="n">
        <v>298.04</v>
      </c>
      <c r="Q623" s="4" t="n">
        <v>0.02</v>
      </c>
      <c r="R623" s="3" t="n">
        <v>292.08</v>
      </c>
      <c r="S623" s="3" t="n">
        <v>173.43</v>
      </c>
      <c r="T623" s="3" t="n">
        <v>110.85</v>
      </c>
      <c r="U623" s="4" t="n">
        <v>0.3795</v>
      </c>
      <c r="V623" s="3" t="n">
        <v>7.8</v>
      </c>
      <c r="W623" t="inlineStr">
        <is>
          <t>Debit Card</t>
        </is>
      </c>
      <c r="X623" t="inlineStr">
        <is>
          <t>Medium</t>
        </is>
      </c>
    </row>
    <row r="624">
      <c r="A624" t="inlineStr">
        <is>
          <t>ORD-00623</t>
        </is>
      </c>
      <c r="B624" s="2" t="n">
        <v>45374</v>
      </c>
      <c r="C624" s="2" t="n">
        <v>45375</v>
      </c>
      <c r="D624" t="inlineStr">
        <is>
          <t>CUST-00623</t>
        </is>
      </c>
      <c r="E624" t="inlineStr">
        <is>
          <t>Customer 623</t>
        </is>
      </c>
      <c r="F624" t="inlineStr">
        <is>
          <t>Corporate</t>
        </is>
      </c>
      <c r="G624" t="inlineStr">
        <is>
          <t>P1014</t>
        </is>
      </c>
      <c r="H624" t="inlineStr">
        <is>
          <t>Halo Planter</t>
        </is>
      </c>
      <c r="I624" t="inlineStr">
        <is>
          <t>Outdoor</t>
        </is>
      </c>
      <c r="J624" t="inlineStr">
        <is>
          <t>Coolers</t>
        </is>
      </c>
      <c r="K624" t="inlineStr">
        <is>
          <t>North</t>
        </is>
      </c>
      <c r="L624" t="inlineStr">
        <is>
          <t>Quebec</t>
        </is>
      </c>
      <c r="M624" t="inlineStr">
        <is>
          <t>Vancouver</t>
        </is>
      </c>
      <c r="N624" t="inlineStr">
        <is>
          <t>Ethan Brooks</t>
        </is>
      </c>
      <c r="O624" t="n">
        <v>3</v>
      </c>
      <c r="P624" s="3" t="n">
        <v>43.38</v>
      </c>
      <c r="Q624" s="4" t="n">
        <v>0.025</v>
      </c>
      <c r="R624" s="3" t="n">
        <v>126.89</v>
      </c>
      <c r="S624" s="3" t="n">
        <v>56.53</v>
      </c>
      <c r="T624" s="3" t="n">
        <v>61.96</v>
      </c>
      <c r="U624" s="4" t="n">
        <v>0.4883</v>
      </c>
      <c r="V624" s="3" t="n">
        <v>8.4</v>
      </c>
      <c r="W624" t="inlineStr">
        <is>
          <t>Credit Card</t>
        </is>
      </c>
      <c r="X624" t="inlineStr">
        <is>
          <t>Low</t>
        </is>
      </c>
    </row>
    <row r="625">
      <c r="A625" t="inlineStr">
        <is>
          <t>ORD-00624</t>
        </is>
      </c>
      <c r="B625" s="2" t="n">
        <v>45558</v>
      </c>
      <c r="C625" s="2" t="n">
        <v>45564</v>
      </c>
      <c r="D625" t="inlineStr">
        <is>
          <t>CUST-00624</t>
        </is>
      </c>
      <c r="E625" t="inlineStr">
        <is>
          <t>Customer 624</t>
        </is>
      </c>
      <c r="F625" t="inlineStr">
        <is>
          <t>Home Office</t>
        </is>
      </c>
      <c r="G625" t="inlineStr">
        <is>
          <t>P1013</t>
        </is>
      </c>
      <c r="H625" t="inlineStr">
        <is>
          <t>CloudDrive File Box</t>
        </is>
      </c>
      <c r="I625" t="inlineStr">
        <is>
          <t>Office Supplies</t>
        </is>
      </c>
      <c r="J625" t="inlineStr">
        <is>
          <t>Chairs</t>
        </is>
      </c>
      <c r="K625" t="inlineStr">
        <is>
          <t>Central</t>
        </is>
      </c>
      <c r="L625" t="inlineStr">
        <is>
          <t>Illinois</t>
        </is>
      </c>
      <c r="M625" t="inlineStr">
        <is>
          <t>St. Louis</t>
        </is>
      </c>
      <c r="N625" t="inlineStr">
        <is>
          <t>Noah Kim</t>
        </is>
      </c>
      <c r="O625" t="n">
        <v>3</v>
      </c>
      <c r="P625" s="3" t="n">
        <v>161.39</v>
      </c>
      <c r="Q625" s="4" t="n">
        <v>0.03</v>
      </c>
      <c r="R625" s="3" t="n">
        <v>469.64</v>
      </c>
      <c r="S625" s="3" t="n">
        <v>271.1</v>
      </c>
      <c r="T625" s="3" t="n">
        <v>190.14</v>
      </c>
      <c r="U625" s="4" t="n">
        <v>0.4049</v>
      </c>
      <c r="V625" s="3" t="n">
        <v>8.4</v>
      </c>
      <c r="W625" t="inlineStr">
        <is>
          <t>Cash on Delivery</t>
        </is>
      </c>
      <c r="X625" t="inlineStr">
        <is>
          <t>Medium</t>
        </is>
      </c>
    </row>
    <row r="626">
      <c r="A626" t="inlineStr">
        <is>
          <t>ORD-00625</t>
        </is>
      </c>
      <c r="B626" s="2" t="n">
        <v>45422</v>
      </c>
      <c r="C626" s="2" t="n">
        <v>45428</v>
      </c>
      <c r="D626" t="inlineStr">
        <is>
          <t>CUST-00625</t>
        </is>
      </c>
      <c r="E626" t="inlineStr">
        <is>
          <t>Customer 625</t>
        </is>
      </c>
      <c r="F626" t="inlineStr">
        <is>
          <t>Corporate</t>
        </is>
      </c>
      <c r="G626" t="inlineStr">
        <is>
          <t>P1005</t>
        </is>
      </c>
      <c r="H626" t="inlineStr">
        <is>
          <t>Pulse Keyboard</t>
        </is>
      </c>
      <c r="I626" t="inlineStr">
        <is>
          <t>Technology</t>
        </is>
      </c>
      <c r="J626" t="inlineStr">
        <is>
          <t>Textiles</t>
        </is>
      </c>
      <c r="K626" t="inlineStr">
        <is>
          <t>West</t>
        </is>
      </c>
      <c r="L626" t="inlineStr">
        <is>
          <t>California</t>
        </is>
      </c>
      <c r="M626" t="inlineStr">
        <is>
          <t>Seattle</t>
        </is>
      </c>
      <c r="N626" t="inlineStr">
        <is>
          <t>James Carter</t>
        </is>
      </c>
      <c r="O626" t="n">
        <v>1</v>
      </c>
      <c r="P626" s="3" t="n">
        <v>13.68</v>
      </c>
      <c r="Q626" s="4" t="n">
        <v>0.027</v>
      </c>
      <c r="R626" s="3" t="n">
        <v>13.31</v>
      </c>
      <c r="S626" s="3" t="n">
        <v>13.65</v>
      </c>
      <c r="T626" s="3" t="n">
        <v>-8.140000000000001</v>
      </c>
      <c r="U626" s="4" t="n">
        <v>-0.6116</v>
      </c>
      <c r="V626" s="3" t="n">
        <v>7.8</v>
      </c>
      <c r="W626" t="inlineStr">
        <is>
          <t>Credit Card</t>
        </is>
      </c>
      <c r="X626" t="inlineStr">
        <is>
          <t>Medium</t>
        </is>
      </c>
    </row>
    <row r="627">
      <c r="A627" t="inlineStr">
        <is>
          <t>ORD-00626</t>
        </is>
      </c>
      <c r="B627" s="2" t="n">
        <v>45316</v>
      </c>
      <c r="C627" s="2" t="n">
        <v>45319</v>
      </c>
      <c r="D627" t="inlineStr">
        <is>
          <t>CUST-00626</t>
        </is>
      </c>
      <c r="E627" t="inlineStr">
        <is>
          <t>Customer 626</t>
        </is>
      </c>
      <c r="F627" t="inlineStr">
        <is>
          <t>Home Office</t>
        </is>
      </c>
      <c r="G627" t="inlineStr">
        <is>
          <t>P1007</t>
        </is>
      </c>
      <c r="H627" t="inlineStr">
        <is>
          <t>Atlas Throw Pillow</t>
        </is>
      </c>
      <c r="I627" t="inlineStr">
        <is>
          <t>Office Supplies</t>
        </is>
      </c>
      <c r="J627" t="inlineStr">
        <is>
          <t>Coolers</t>
        </is>
      </c>
      <c r="K627" t="inlineStr">
        <is>
          <t>Central</t>
        </is>
      </c>
      <c r="L627" t="inlineStr">
        <is>
          <t>Missouri</t>
        </is>
      </c>
      <c r="M627" t="inlineStr">
        <is>
          <t>Minneapolis</t>
        </is>
      </c>
      <c r="N627" t="inlineStr">
        <is>
          <t>Sophia Singh</t>
        </is>
      </c>
      <c r="O627" t="n">
        <v>3</v>
      </c>
      <c r="P627" s="3" t="n">
        <v>23.91</v>
      </c>
      <c r="Q627" s="4" t="n">
        <v>0.008999999999999999</v>
      </c>
      <c r="R627" s="3" t="n">
        <v>71.08</v>
      </c>
      <c r="S627" s="3" t="n">
        <v>28.34</v>
      </c>
      <c r="T627" s="3" t="n">
        <v>34.34</v>
      </c>
      <c r="U627" s="4" t="n">
        <v>0.4831</v>
      </c>
      <c r="V627" s="3" t="n">
        <v>8.4</v>
      </c>
      <c r="W627" t="inlineStr">
        <is>
          <t>Credit Card</t>
        </is>
      </c>
      <c r="X627" t="inlineStr">
        <is>
          <t>Low</t>
        </is>
      </c>
    </row>
    <row r="628">
      <c r="A628" t="inlineStr">
        <is>
          <t>ORD-00627</t>
        </is>
      </c>
      <c r="B628" s="2" t="n">
        <v>45365</v>
      </c>
      <c r="C628" s="2" t="n">
        <v>45368</v>
      </c>
      <c r="D628" t="inlineStr">
        <is>
          <t>CUST-00627</t>
        </is>
      </c>
      <c r="E628" t="inlineStr">
        <is>
          <t>Customer 627</t>
        </is>
      </c>
      <c r="F628" t="inlineStr">
        <is>
          <t>Home Office</t>
        </is>
      </c>
      <c r="G628" t="inlineStr">
        <is>
          <t>P1014</t>
        </is>
      </c>
      <c r="H628" t="inlineStr">
        <is>
          <t>Harbor Rug</t>
        </is>
      </c>
      <c r="I628" t="inlineStr">
        <is>
          <t>Furniture</t>
        </is>
      </c>
      <c r="J628" t="inlineStr">
        <is>
          <t>Flooring</t>
        </is>
      </c>
      <c r="K628" t="inlineStr">
        <is>
          <t>Central</t>
        </is>
      </c>
      <c r="L628" t="inlineStr">
        <is>
          <t>Missouri</t>
        </is>
      </c>
      <c r="M628" t="inlineStr">
        <is>
          <t>St. Louis</t>
        </is>
      </c>
      <c r="N628" t="inlineStr">
        <is>
          <t>Ava Patel</t>
        </is>
      </c>
      <c r="O628" t="n">
        <v>2</v>
      </c>
      <c r="P628" s="3" t="n">
        <v>43.86</v>
      </c>
      <c r="Q628" s="4" t="n">
        <v>0.014</v>
      </c>
      <c r="R628" s="3" t="n">
        <v>86.48999999999999</v>
      </c>
      <c r="S628" s="3" t="n">
        <v>40.35</v>
      </c>
      <c r="T628" s="3" t="n">
        <v>38.54</v>
      </c>
      <c r="U628" s="4" t="n">
        <v>0.4456</v>
      </c>
      <c r="V628" s="3" t="n">
        <v>7.6</v>
      </c>
      <c r="W628" t="inlineStr">
        <is>
          <t>Credit Card</t>
        </is>
      </c>
      <c r="X628" t="inlineStr">
        <is>
          <t>Medium</t>
        </is>
      </c>
    </row>
    <row r="629">
      <c r="A629" t="inlineStr">
        <is>
          <t>ORD-00628</t>
        </is>
      </c>
      <c r="B629" s="2" t="n">
        <v>46006</v>
      </c>
      <c r="C629" s="2" t="n">
        <v>46013</v>
      </c>
      <c r="D629" t="inlineStr">
        <is>
          <t>CUST-00628</t>
        </is>
      </c>
      <c r="E629" t="inlineStr">
        <is>
          <t>Customer 628</t>
        </is>
      </c>
      <c r="F629" t="inlineStr">
        <is>
          <t>Corporate</t>
        </is>
      </c>
      <c r="G629" t="inlineStr">
        <is>
          <t>P1016</t>
        </is>
      </c>
      <c r="H629" t="inlineStr">
        <is>
          <t>Harbor Rug</t>
        </is>
      </c>
      <c r="I629" t="inlineStr">
        <is>
          <t>Technology</t>
        </is>
      </c>
      <c r="J629" t="inlineStr">
        <is>
          <t>Bags</t>
        </is>
      </c>
      <c r="K629" t="inlineStr">
        <is>
          <t>West</t>
        </is>
      </c>
      <c r="L629" t="inlineStr">
        <is>
          <t>Washington</t>
        </is>
      </c>
      <c r="M629" t="inlineStr">
        <is>
          <t>San Francisco</t>
        </is>
      </c>
      <c r="N629" t="inlineStr">
        <is>
          <t>Ava Patel</t>
        </is>
      </c>
      <c r="O629" t="n">
        <v>3</v>
      </c>
      <c r="P629" s="3" t="n">
        <v>43</v>
      </c>
      <c r="Q629" s="4" t="n">
        <v>0.042</v>
      </c>
      <c r="R629" s="3" t="n">
        <v>123.58</v>
      </c>
      <c r="S629" s="3" t="n">
        <v>55.44</v>
      </c>
      <c r="T629" s="3" t="n">
        <v>58.74</v>
      </c>
      <c r="U629" s="4" t="n">
        <v>0.4753</v>
      </c>
      <c r="V629" s="3" t="n">
        <v>9.4</v>
      </c>
      <c r="W629" t="inlineStr">
        <is>
          <t>PayPal</t>
        </is>
      </c>
      <c r="X629" t="inlineStr">
        <is>
          <t>Medium</t>
        </is>
      </c>
    </row>
    <row r="630">
      <c r="A630" t="inlineStr">
        <is>
          <t>ORD-00629</t>
        </is>
      </c>
      <c r="B630" s="2" t="n">
        <v>45258</v>
      </c>
      <c r="C630" s="2" t="n">
        <v>45262</v>
      </c>
      <c r="D630" t="inlineStr">
        <is>
          <t>CUST-00629</t>
        </is>
      </c>
      <c r="E630" t="inlineStr">
        <is>
          <t>Customer 629</t>
        </is>
      </c>
      <c r="F630" t="inlineStr">
        <is>
          <t>Consumer</t>
        </is>
      </c>
      <c r="G630" t="inlineStr">
        <is>
          <t>P1018</t>
        </is>
      </c>
      <c r="H630" t="inlineStr">
        <is>
          <t>FlexNote Notebook</t>
        </is>
      </c>
      <c r="I630" t="inlineStr">
        <is>
          <t>Technology</t>
        </is>
      </c>
      <c r="J630" t="inlineStr">
        <is>
          <t>Textiles</t>
        </is>
      </c>
      <c r="K630" t="inlineStr">
        <is>
          <t>North</t>
        </is>
      </c>
      <c r="L630" t="inlineStr">
        <is>
          <t>British Columbia</t>
        </is>
      </c>
      <c r="M630" t="inlineStr">
        <is>
          <t>Toronto</t>
        </is>
      </c>
      <c r="N630" t="inlineStr">
        <is>
          <t>Liam Chen</t>
        </is>
      </c>
      <c r="O630" t="n">
        <v>2</v>
      </c>
      <c r="P630" s="3" t="n">
        <v>95.84999999999999</v>
      </c>
      <c r="Q630" s="4" t="n">
        <v>0.06900000000000001</v>
      </c>
      <c r="R630" s="3" t="n">
        <v>178.47</v>
      </c>
      <c r="S630" s="3" t="n">
        <v>87.42</v>
      </c>
      <c r="T630" s="3" t="n">
        <v>83.45</v>
      </c>
      <c r="U630" s="4" t="n">
        <v>0.4676</v>
      </c>
      <c r="V630" s="3" t="n">
        <v>7.6</v>
      </c>
      <c r="W630" t="inlineStr">
        <is>
          <t>Credit Card</t>
        </is>
      </c>
      <c r="X630" t="inlineStr">
        <is>
          <t>Critical</t>
        </is>
      </c>
    </row>
    <row r="631">
      <c r="A631" t="inlineStr">
        <is>
          <t>ORD-00630</t>
        </is>
      </c>
      <c r="B631" s="2" t="n">
        <v>45039</v>
      </c>
      <c r="C631" s="2" t="n">
        <v>45046</v>
      </c>
      <c r="D631" t="inlineStr">
        <is>
          <t>CUST-00630</t>
        </is>
      </c>
      <c r="E631" t="inlineStr">
        <is>
          <t>Customer 630</t>
        </is>
      </c>
      <c r="F631" t="inlineStr">
        <is>
          <t>Corporate</t>
        </is>
      </c>
      <c r="G631" t="inlineStr">
        <is>
          <t>P1014</t>
        </is>
      </c>
      <c r="H631" t="inlineStr">
        <is>
          <t>Echo Web Camera</t>
        </is>
      </c>
      <c r="I631" t="inlineStr">
        <is>
          <t>Home Decor</t>
        </is>
      </c>
      <c r="J631" t="inlineStr">
        <is>
          <t>Textiles</t>
        </is>
      </c>
      <c r="K631" t="inlineStr">
        <is>
          <t>West</t>
        </is>
      </c>
      <c r="L631" t="inlineStr">
        <is>
          <t>Colorado</t>
        </is>
      </c>
      <c r="M631" t="inlineStr">
        <is>
          <t>Los Angeles</t>
        </is>
      </c>
      <c r="N631" t="inlineStr">
        <is>
          <t>Liam Chen</t>
        </is>
      </c>
      <c r="O631" t="n">
        <v>3</v>
      </c>
      <c r="P631" s="3" t="n">
        <v>42.79</v>
      </c>
      <c r="Q631" s="4" t="n">
        <v>0.027</v>
      </c>
      <c r="R631" s="3" t="n">
        <v>124.9</v>
      </c>
      <c r="S631" s="3" t="n">
        <v>60.35</v>
      </c>
      <c r="T631" s="3" t="n">
        <v>55.15</v>
      </c>
      <c r="U631" s="4" t="n">
        <v>0.4416</v>
      </c>
      <c r="V631" s="3" t="n">
        <v>9.4</v>
      </c>
      <c r="W631" t="inlineStr">
        <is>
          <t>Credit Card</t>
        </is>
      </c>
      <c r="X631" t="inlineStr">
        <is>
          <t>Medium</t>
        </is>
      </c>
    </row>
    <row r="632">
      <c r="A632" t="inlineStr">
        <is>
          <t>ORD-00631</t>
        </is>
      </c>
      <c r="B632" s="2" t="n">
        <v>45985</v>
      </c>
      <c r="C632" s="2" t="n">
        <v>45988</v>
      </c>
      <c r="D632" t="inlineStr">
        <is>
          <t>CUST-00631</t>
        </is>
      </c>
      <c r="E632" t="inlineStr">
        <is>
          <t>Customer 631</t>
        </is>
      </c>
      <c r="F632" t="inlineStr">
        <is>
          <t>Consumer</t>
        </is>
      </c>
      <c r="G632" t="inlineStr">
        <is>
          <t>P1001</t>
        </is>
      </c>
      <c r="H632" t="inlineStr">
        <is>
          <t>Orbit Wireless Mouse</t>
        </is>
      </c>
      <c r="I632" t="inlineStr">
        <is>
          <t>Technology</t>
        </is>
      </c>
      <c r="J632" t="inlineStr">
        <is>
          <t>Accessories</t>
        </is>
      </c>
      <c r="K632" t="inlineStr">
        <is>
          <t>West</t>
        </is>
      </c>
      <c r="L632" t="inlineStr">
        <is>
          <t>California</t>
        </is>
      </c>
      <c r="M632" t="inlineStr">
        <is>
          <t>Denver</t>
        </is>
      </c>
      <c r="N632" t="inlineStr">
        <is>
          <t>Ava Patel</t>
        </is>
      </c>
      <c r="O632" t="n">
        <v>4</v>
      </c>
      <c r="P632" s="3" t="n">
        <v>322.31</v>
      </c>
      <c r="Q632" s="4" t="n">
        <v>0.039</v>
      </c>
      <c r="R632" s="3" t="n">
        <v>1238.96</v>
      </c>
      <c r="S632" s="3" t="n">
        <v>726.91</v>
      </c>
      <c r="T632" s="3" t="n">
        <v>501.85</v>
      </c>
      <c r="U632" s="4" t="n">
        <v>0.4051</v>
      </c>
      <c r="V632" s="3" t="n">
        <v>10.2</v>
      </c>
      <c r="W632" t="inlineStr">
        <is>
          <t>Debit Card</t>
        </is>
      </c>
      <c r="X632" t="inlineStr">
        <is>
          <t>Critical</t>
        </is>
      </c>
    </row>
    <row r="633">
      <c r="A633" t="inlineStr">
        <is>
          <t>ORD-00632</t>
        </is>
      </c>
      <c r="B633" s="2" t="n">
        <v>45904</v>
      </c>
      <c r="C633" s="2" t="n">
        <v>45909</v>
      </c>
      <c r="D633" t="inlineStr">
        <is>
          <t>CUST-00632</t>
        </is>
      </c>
      <c r="E633" t="inlineStr">
        <is>
          <t>Customer 632</t>
        </is>
      </c>
      <c r="F633" t="inlineStr">
        <is>
          <t>Consumer</t>
        </is>
      </c>
      <c r="G633" t="inlineStr">
        <is>
          <t>P1006</t>
        </is>
      </c>
      <c r="H633" t="inlineStr">
        <is>
          <t>Northstar Lantern</t>
        </is>
      </c>
      <c r="I633" t="inlineStr">
        <is>
          <t>Home Decor</t>
        </is>
      </c>
      <c r="J633" t="inlineStr">
        <is>
          <t>Coolers</t>
        </is>
      </c>
      <c r="K633" t="inlineStr">
        <is>
          <t>South</t>
        </is>
      </c>
      <c r="L633" t="inlineStr">
        <is>
          <t>Texas</t>
        </is>
      </c>
      <c r="M633" t="inlineStr">
        <is>
          <t>Dallas</t>
        </is>
      </c>
      <c r="N633" t="inlineStr">
        <is>
          <t>Mia Rodriguez</t>
        </is>
      </c>
      <c r="O633" t="n">
        <v>4</v>
      </c>
      <c r="P633" s="3" t="n">
        <v>18.2</v>
      </c>
      <c r="Q633" s="4" t="n">
        <v>0.031</v>
      </c>
      <c r="R633" s="3" t="n">
        <v>70.54000000000001</v>
      </c>
      <c r="S633" s="3" t="n">
        <v>26.46</v>
      </c>
      <c r="T633" s="3" t="n">
        <v>34.88</v>
      </c>
      <c r="U633" s="4" t="n">
        <v>0.4945</v>
      </c>
      <c r="V633" s="3" t="n">
        <v>9.199999999999999</v>
      </c>
      <c r="W633" t="inlineStr">
        <is>
          <t>PayPal</t>
        </is>
      </c>
      <c r="X633" t="inlineStr">
        <is>
          <t>High</t>
        </is>
      </c>
    </row>
    <row r="634">
      <c r="A634" t="inlineStr">
        <is>
          <t>ORD-00633</t>
        </is>
      </c>
      <c r="B634" s="2" t="n">
        <v>45651</v>
      </c>
      <c r="C634" s="2" t="n">
        <v>45655</v>
      </c>
      <c r="D634" t="inlineStr">
        <is>
          <t>CUST-00633</t>
        </is>
      </c>
      <c r="E634" t="inlineStr">
        <is>
          <t>Customer 633</t>
        </is>
      </c>
      <c r="F634" t="inlineStr">
        <is>
          <t>Consumer</t>
        </is>
      </c>
      <c r="G634" t="inlineStr">
        <is>
          <t>P1010</t>
        </is>
      </c>
      <c r="H634" t="inlineStr">
        <is>
          <t>Summit Patio Set</t>
        </is>
      </c>
      <c r="I634" t="inlineStr">
        <is>
          <t>Technology</t>
        </is>
      </c>
      <c r="J634" t="inlineStr">
        <is>
          <t>Peripherals</t>
        </is>
      </c>
      <c r="K634" t="inlineStr">
        <is>
          <t>East</t>
        </is>
      </c>
      <c r="L634" t="inlineStr">
        <is>
          <t>Massachusetts</t>
        </is>
      </c>
      <c r="M634" t="inlineStr">
        <is>
          <t>Boston</t>
        </is>
      </c>
      <c r="N634" t="inlineStr">
        <is>
          <t>James Carter</t>
        </is>
      </c>
      <c r="O634" t="n">
        <v>3</v>
      </c>
      <c r="P634" s="3" t="n">
        <v>60.38</v>
      </c>
      <c r="Q634" s="4" t="n">
        <v>0.005</v>
      </c>
      <c r="R634" s="3" t="n">
        <v>180.23</v>
      </c>
      <c r="S634" s="3" t="n">
        <v>82.45999999999999</v>
      </c>
      <c r="T634" s="3" t="n">
        <v>88.37</v>
      </c>
      <c r="U634" s="4" t="n">
        <v>0.4903</v>
      </c>
      <c r="V634" s="3" t="n">
        <v>9.4</v>
      </c>
      <c r="W634" t="inlineStr">
        <is>
          <t>PayPal</t>
        </is>
      </c>
      <c r="X634" t="inlineStr">
        <is>
          <t>Medium</t>
        </is>
      </c>
    </row>
    <row r="635">
      <c r="A635" t="inlineStr">
        <is>
          <t>ORD-00634</t>
        </is>
      </c>
      <c r="B635" s="2" t="n">
        <v>45444</v>
      </c>
      <c r="C635" s="2" t="n">
        <v>45446</v>
      </c>
      <c r="D635" t="inlineStr">
        <is>
          <t>CUST-00634</t>
        </is>
      </c>
      <c r="E635" t="inlineStr">
        <is>
          <t>Customer 634</t>
        </is>
      </c>
      <c r="F635" t="inlineStr">
        <is>
          <t>Home Office</t>
        </is>
      </c>
      <c r="G635" t="inlineStr">
        <is>
          <t>P1006</t>
        </is>
      </c>
      <c r="H635" t="inlineStr">
        <is>
          <t>ErgoMesh Chair</t>
        </is>
      </c>
      <c r="I635" t="inlineStr">
        <is>
          <t>Technology</t>
        </is>
      </c>
      <c r="J635" t="inlineStr">
        <is>
          <t>Flooring</t>
        </is>
      </c>
      <c r="K635" t="inlineStr">
        <is>
          <t>South</t>
        </is>
      </c>
      <c r="L635" t="inlineStr">
        <is>
          <t>Florida</t>
        </is>
      </c>
      <c r="M635" t="inlineStr">
        <is>
          <t>Dallas</t>
        </is>
      </c>
      <c r="N635" t="inlineStr">
        <is>
          <t>Ethan Brooks</t>
        </is>
      </c>
      <c r="O635" t="n">
        <v>3</v>
      </c>
      <c r="P635" s="3" t="n">
        <v>18.98</v>
      </c>
      <c r="Q635" s="4" t="n">
        <v>0.04</v>
      </c>
      <c r="R635" s="3" t="n">
        <v>54.66</v>
      </c>
      <c r="S635" s="3" t="n">
        <v>26.18</v>
      </c>
      <c r="T635" s="3" t="n">
        <v>20.08</v>
      </c>
      <c r="U635" s="4" t="n">
        <v>0.3674</v>
      </c>
      <c r="V635" s="3" t="n">
        <v>8.4</v>
      </c>
      <c r="W635" t="inlineStr">
        <is>
          <t>Credit Card</t>
        </is>
      </c>
      <c r="X635" t="inlineStr">
        <is>
          <t>High</t>
        </is>
      </c>
    </row>
    <row r="636">
      <c r="A636" t="inlineStr">
        <is>
          <t>ORD-00635</t>
        </is>
      </c>
      <c r="B636" s="2" t="n">
        <v>45177</v>
      </c>
      <c r="C636" s="2" t="n">
        <v>45182</v>
      </c>
      <c r="D636" t="inlineStr">
        <is>
          <t>CUST-00635</t>
        </is>
      </c>
      <c r="E636" t="inlineStr">
        <is>
          <t>Customer 635</t>
        </is>
      </c>
      <c r="F636" t="inlineStr">
        <is>
          <t>Consumer</t>
        </is>
      </c>
      <c r="G636" t="inlineStr">
        <is>
          <t>P1002</t>
        </is>
      </c>
      <c r="H636" t="inlineStr">
        <is>
          <t>Halo Planter</t>
        </is>
      </c>
      <c r="I636" t="inlineStr">
        <is>
          <t>Office Supplies</t>
        </is>
      </c>
      <c r="J636" t="inlineStr">
        <is>
          <t>Lighting</t>
        </is>
      </c>
      <c r="K636" t="inlineStr">
        <is>
          <t>Central</t>
        </is>
      </c>
      <c r="L636" t="inlineStr">
        <is>
          <t>Minnesota</t>
        </is>
      </c>
      <c r="M636" t="inlineStr">
        <is>
          <t>Chicago</t>
        </is>
      </c>
      <c r="N636" t="inlineStr">
        <is>
          <t>James Carter</t>
        </is>
      </c>
      <c r="O636" t="n">
        <v>4</v>
      </c>
      <c r="P636" s="3" t="n">
        <v>82.8</v>
      </c>
      <c r="Q636" s="4" t="n">
        <v>0.024</v>
      </c>
      <c r="R636" s="3" t="n">
        <v>323.25</v>
      </c>
      <c r="S636" s="3" t="n">
        <v>151.02</v>
      </c>
      <c r="T636" s="3" t="n">
        <v>163.03</v>
      </c>
      <c r="U636" s="4" t="n">
        <v>0.5043</v>
      </c>
      <c r="V636" s="3" t="n">
        <v>9.199999999999999</v>
      </c>
      <c r="W636" t="inlineStr">
        <is>
          <t>Bank Transfer</t>
        </is>
      </c>
      <c r="X636" t="inlineStr">
        <is>
          <t>Medium</t>
        </is>
      </c>
    </row>
    <row r="637">
      <c r="A637" t="inlineStr">
        <is>
          <t>ORD-00636</t>
        </is>
      </c>
      <c r="B637" s="2" t="n">
        <v>45325</v>
      </c>
      <c r="C637" s="2" t="n">
        <v>45332</v>
      </c>
      <c r="D637" t="inlineStr">
        <is>
          <t>CUST-00636</t>
        </is>
      </c>
      <c r="E637" t="inlineStr">
        <is>
          <t>Customer 636</t>
        </is>
      </c>
      <c r="F637" t="inlineStr">
        <is>
          <t>Corporate</t>
        </is>
      </c>
      <c r="G637" t="inlineStr">
        <is>
          <t>P1007</t>
        </is>
      </c>
      <c r="H637" t="inlineStr">
        <is>
          <t>Atlas Throw Pillow</t>
        </is>
      </c>
      <c r="I637" t="inlineStr">
        <is>
          <t>Outdoor</t>
        </is>
      </c>
      <c r="J637" t="inlineStr">
        <is>
          <t>Accessories</t>
        </is>
      </c>
      <c r="K637" t="inlineStr">
        <is>
          <t>East</t>
        </is>
      </c>
      <c r="L637" t="inlineStr">
        <is>
          <t>Massachusetts</t>
        </is>
      </c>
      <c r="M637" t="inlineStr">
        <is>
          <t>Washington</t>
        </is>
      </c>
      <c r="N637" t="inlineStr">
        <is>
          <t>Liam Chen</t>
        </is>
      </c>
      <c r="O637" t="n">
        <v>3</v>
      </c>
      <c r="P637" s="3" t="n">
        <v>24.04</v>
      </c>
      <c r="Q637" s="4" t="n">
        <v>0.039</v>
      </c>
      <c r="R637" s="3" t="n">
        <v>69.31</v>
      </c>
      <c r="S637" s="3" t="n">
        <v>28.81</v>
      </c>
      <c r="T637" s="3" t="n">
        <v>31.1</v>
      </c>
      <c r="U637" s="4" t="n">
        <v>0.4487</v>
      </c>
      <c r="V637" s="3" t="n">
        <v>9.4</v>
      </c>
      <c r="W637" t="inlineStr">
        <is>
          <t>Credit Card</t>
        </is>
      </c>
      <c r="X637" t="inlineStr">
        <is>
          <t>Medium</t>
        </is>
      </c>
    </row>
    <row r="638">
      <c r="A638" t="inlineStr">
        <is>
          <t>ORD-00637</t>
        </is>
      </c>
      <c r="B638" s="2" t="n">
        <v>45457</v>
      </c>
      <c r="C638" s="2" t="n">
        <v>45461</v>
      </c>
      <c r="D638" t="inlineStr">
        <is>
          <t>CUST-00637</t>
        </is>
      </c>
      <c r="E638" t="inlineStr">
        <is>
          <t>Customer 637</t>
        </is>
      </c>
      <c r="F638" t="inlineStr">
        <is>
          <t>Home Office</t>
        </is>
      </c>
      <c r="G638" t="inlineStr">
        <is>
          <t>P1017</t>
        </is>
      </c>
      <c r="H638" t="inlineStr">
        <is>
          <t>Trail Tote</t>
        </is>
      </c>
      <c r="I638" t="inlineStr">
        <is>
          <t>Outdoor</t>
        </is>
      </c>
      <c r="J638" t="inlineStr">
        <is>
          <t>Chairs</t>
        </is>
      </c>
      <c r="K638" t="inlineStr">
        <is>
          <t>West</t>
        </is>
      </c>
      <c r="L638" t="inlineStr">
        <is>
          <t>California</t>
        </is>
      </c>
      <c r="M638" t="inlineStr">
        <is>
          <t>Denver</t>
        </is>
      </c>
      <c r="N638" t="inlineStr">
        <is>
          <t>Olivia Martin</t>
        </is>
      </c>
      <c r="O638" t="n">
        <v>3</v>
      </c>
      <c r="P638" s="3" t="n">
        <v>616.75</v>
      </c>
      <c r="Q638" s="4" t="n">
        <v>0.024</v>
      </c>
      <c r="R638" s="3" t="n">
        <v>1805.84</v>
      </c>
      <c r="S638" s="3" t="n">
        <v>1202</v>
      </c>
      <c r="T638" s="3" t="n">
        <v>594.4400000000001</v>
      </c>
      <c r="U638" s="4" t="n">
        <v>0.3292</v>
      </c>
      <c r="V638" s="3" t="n">
        <v>9.4</v>
      </c>
      <c r="W638" t="inlineStr">
        <is>
          <t>Cash on Delivery</t>
        </is>
      </c>
      <c r="X638" t="inlineStr">
        <is>
          <t>Medium</t>
        </is>
      </c>
    </row>
    <row r="639">
      <c r="A639" t="inlineStr">
        <is>
          <t>ORD-00638</t>
        </is>
      </c>
      <c r="B639" s="2" t="n">
        <v>45277</v>
      </c>
      <c r="C639" s="2" t="n">
        <v>45284</v>
      </c>
      <c r="D639" t="inlineStr">
        <is>
          <t>CUST-00638</t>
        </is>
      </c>
      <c r="E639" t="inlineStr">
        <is>
          <t>Customer 638</t>
        </is>
      </c>
      <c r="F639" t="inlineStr">
        <is>
          <t>Corporate</t>
        </is>
      </c>
      <c r="G639" t="inlineStr">
        <is>
          <t>P1014</t>
        </is>
      </c>
      <c r="H639" t="inlineStr">
        <is>
          <t>Orbit Wireless Mouse</t>
        </is>
      </c>
      <c r="I639" t="inlineStr">
        <is>
          <t>Technology</t>
        </is>
      </c>
      <c r="J639" t="inlineStr">
        <is>
          <t>Chairs</t>
        </is>
      </c>
      <c r="K639" t="inlineStr">
        <is>
          <t>South</t>
        </is>
      </c>
      <c r="L639" t="inlineStr">
        <is>
          <t>Georgia</t>
        </is>
      </c>
      <c r="M639" t="inlineStr">
        <is>
          <t>Atlanta</t>
        </is>
      </c>
      <c r="N639" t="inlineStr">
        <is>
          <t>Ethan Brooks</t>
        </is>
      </c>
      <c r="O639" t="n">
        <v>4</v>
      </c>
      <c r="P639" s="3" t="n">
        <v>45.06</v>
      </c>
      <c r="Q639" s="4" t="n">
        <v>0.08099999999999999</v>
      </c>
      <c r="R639" s="3" t="n">
        <v>165.64</v>
      </c>
      <c r="S639" s="3" t="n">
        <v>74.41</v>
      </c>
      <c r="T639" s="3" t="n">
        <v>82.03</v>
      </c>
      <c r="U639" s="4" t="n">
        <v>0.4952</v>
      </c>
      <c r="V639" s="3" t="n">
        <v>9.199999999999999</v>
      </c>
      <c r="W639" t="inlineStr">
        <is>
          <t>Credit Card</t>
        </is>
      </c>
      <c r="X639" t="inlineStr">
        <is>
          <t>Critical</t>
        </is>
      </c>
    </row>
    <row r="640">
      <c r="A640" t="inlineStr">
        <is>
          <t>ORD-00639</t>
        </is>
      </c>
      <c r="B640" s="2" t="n">
        <v>45140</v>
      </c>
      <c r="C640" s="2" t="n">
        <v>45146</v>
      </c>
      <c r="D640" t="inlineStr">
        <is>
          <t>CUST-00639</t>
        </is>
      </c>
      <c r="E640" t="inlineStr">
        <is>
          <t>Customer 639</t>
        </is>
      </c>
      <c r="F640" t="inlineStr">
        <is>
          <t>Corporate</t>
        </is>
      </c>
      <c r="G640" t="inlineStr">
        <is>
          <t>P1007</t>
        </is>
      </c>
      <c r="H640" t="inlineStr">
        <is>
          <t>Orbit Wireless Mouse</t>
        </is>
      </c>
      <c r="I640" t="inlineStr">
        <is>
          <t>Office Supplies</t>
        </is>
      </c>
      <c r="J640" t="inlineStr">
        <is>
          <t>Plants</t>
        </is>
      </c>
      <c r="K640" t="inlineStr">
        <is>
          <t>North</t>
        </is>
      </c>
      <c r="L640" t="inlineStr">
        <is>
          <t>Alberta</t>
        </is>
      </c>
      <c r="M640" t="inlineStr">
        <is>
          <t>Montreal</t>
        </is>
      </c>
      <c r="N640" t="inlineStr">
        <is>
          <t>Noah Kim</t>
        </is>
      </c>
      <c r="O640" t="n">
        <v>4</v>
      </c>
      <c r="P640" s="3" t="n">
        <v>25.87</v>
      </c>
      <c r="Q640" s="4" t="n">
        <v>0.02</v>
      </c>
      <c r="R640" s="3" t="n">
        <v>101.41</v>
      </c>
      <c r="S640" s="3" t="n">
        <v>39.32</v>
      </c>
      <c r="T640" s="3" t="n">
        <v>52.89</v>
      </c>
      <c r="U640" s="4" t="n">
        <v>0.5215</v>
      </c>
      <c r="V640" s="3" t="n">
        <v>9.199999999999999</v>
      </c>
      <c r="W640" t="inlineStr">
        <is>
          <t>Debit Card</t>
        </is>
      </c>
      <c r="X640" t="inlineStr">
        <is>
          <t>Low</t>
        </is>
      </c>
    </row>
    <row r="641">
      <c r="A641" t="inlineStr">
        <is>
          <t>ORD-00640</t>
        </is>
      </c>
      <c r="B641" s="2" t="n">
        <v>45427</v>
      </c>
      <c r="C641" s="2" t="n">
        <v>45428</v>
      </c>
      <c r="D641" t="inlineStr">
        <is>
          <t>CUST-00640</t>
        </is>
      </c>
      <c r="E641" t="inlineStr">
        <is>
          <t>Customer 640</t>
        </is>
      </c>
      <c r="F641" t="inlineStr">
        <is>
          <t>Corporate</t>
        </is>
      </c>
      <c r="G641" t="inlineStr">
        <is>
          <t>P1009</t>
        </is>
      </c>
      <c r="H641" t="inlineStr">
        <is>
          <t>Summit Patio Set</t>
        </is>
      </c>
      <c r="I641" t="inlineStr">
        <is>
          <t>Furniture</t>
        </is>
      </c>
      <c r="J641" t="inlineStr">
        <is>
          <t>Accessories</t>
        </is>
      </c>
      <c r="K641" t="inlineStr">
        <is>
          <t>Central</t>
        </is>
      </c>
      <c r="L641" t="inlineStr">
        <is>
          <t>Missouri</t>
        </is>
      </c>
      <c r="M641" t="inlineStr">
        <is>
          <t>Chicago</t>
        </is>
      </c>
      <c r="N641" t="inlineStr">
        <is>
          <t>Mia Rodriguez</t>
        </is>
      </c>
      <c r="O641" t="n">
        <v>3</v>
      </c>
      <c r="P641" s="3" t="n">
        <v>92.09</v>
      </c>
      <c r="Q641" s="4" t="n">
        <v>0.019</v>
      </c>
      <c r="R641" s="3" t="n">
        <v>271.02</v>
      </c>
      <c r="S641" s="3" t="n">
        <v>133.39</v>
      </c>
      <c r="T641" s="3" t="n">
        <v>129.23</v>
      </c>
      <c r="U641" s="4" t="n">
        <v>0.4768</v>
      </c>
      <c r="V641" s="3" t="n">
        <v>8.4</v>
      </c>
      <c r="W641" t="inlineStr">
        <is>
          <t>Credit Card</t>
        </is>
      </c>
      <c r="X641" t="inlineStr">
        <is>
          <t>Medium</t>
        </is>
      </c>
    </row>
    <row r="642">
      <c r="A642" t="inlineStr">
        <is>
          <t>ORD-00641</t>
        </is>
      </c>
      <c r="B642" s="2" t="n">
        <v>44991</v>
      </c>
      <c r="C642" s="2" t="n">
        <v>44998</v>
      </c>
      <c r="D642" t="inlineStr">
        <is>
          <t>CUST-00641</t>
        </is>
      </c>
      <c r="E642" t="inlineStr">
        <is>
          <t>Customer 641</t>
        </is>
      </c>
      <c r="F642" t="inlineStr">
        <is>
          <t>Consumer</t>
        </is>
      </c>
      <c r="G642" t="inlineStr">
        <is>
          <t>P1019</t>
        </is>
      </c>
      <c r="H642" t="inlineStr">
        <is>
          <t>Summit Patio Set</t>
        </is>
      </c>
      <c r="I642" t="inlineStr">
        <is>
          <t>Office Supplies</t>
        </is>
      </c>
      <c r="J642" t="inlineStr">
        <is>
          <t>Desks</t>
        </is>
      </c>
      <c r="K642" t="inlineStr">
        <is>
          <t>East</t>
        </is>
      </c>
      <c r="L642" t="inlineStr">
        <is>
          <t>Massachusetts</t>
        </is>
      </c>
      <c r="M642" t="inlineStr">
        <is>
          <t>Washington</t>
        </is>
      </c>
      <c r="N642" t="inlineStr">
        <is>
          <t>Olivia Martin</t>
        </is>
      </c>
      <c r="O642" t="n">
        <v>2</v>
      </c>
      <c r="P642" s="3" t="n">
        <v>58.04</v>
      </c>
      <c r="Q642" s="4" t="n">
        <v>0.004</v>
      </c>
      <c r="R642" s="3" t="n">
        <v>115.62</v>
      </c>
      <c r="S642" s="3" t="n">
        <v>57.19</v>
      </c>
      <c r="T642" s="3" t="n">
        <v>49.83</v>
      </c>
      <c r="U642" s="4" t="n">
        <v>0.431</v>
      </c>
      <c r="V642" s="3" t="n">
        <v>8.6</v>
      </c>
      <c r="W642" t="inlineStr">
        <is>
          <t>Debit Card</t>
        </is>
      </c>
      <c r="X642" t="inlineStr">
        <is>
          <t>Low</t>
        </is>
      </c>
    </row>
    <row r="643">
      <c r="A643" t="inlineStr">
        <is>
          <t>ORD-00642</t>
        </is>
      </c>
      <c r="B643" s="2" t="n">
        <v>45570</v>
      </c>
      <c r="C643" s="2" t="n">
        <v>45573</v>
      </c>
      <c r="D643" t="inlineStr">
        <is>
          <t>CUST-00642</t>
        </is>
      </c>
      <c r="E643" t="inlineStr">
        <is>
          <t>Customer 642</t>
        </is>
      </c>
      <c r="F643" t="inlineStr">
        <is>
          <t>Consumer</t>
        </is>
      </c>
      <c r="G643" t="inlineStr">
        <is>
          <t>P1011</t>
        </is>
      </c>
      <c r="H643" t="inlineStr">
        <is>
          <t>Lumen Desk Lamp</t>
        </is>
      </c>
      <c r="I643" t="inlineStr">
        <is>
          <t>Office Supplies</t>
        </is>
      </c>
      <c r="J643" t="inlineStr">
        <is>
          <t>Video</t>
        </is>
      </c>
      <c r="K643" t="inlineStr">
        <is>
          <t>South</t>
        </is>
      </c>
      <c r="L643" t="inlineStr">
        <is>
          <t>Florida</t>
        </is>
      </c>
      <c r="M643" t="inlineStr">
        <is>
          <t>Miami</t>
        </is>
      </c>
      <c r="N643" t="inlineStr">
        <is>
          <t>Olivia Martin</t>
        </is>
      </c>
      <c r="O643" t="n">
        <v>3</v>
      </c>
      <c r="P643" s="3" t="n">
        <v>94.75</v>
      </c>
      <c r="Q643" s="4" t="n">
        <v>0.004</v>
      </c>
      <c r="R643" s="3" t="n">
        <v>283.11</v>
      </c>
      <c r="S643" s="3" t="n">
        <v>134.35</v>
      </c>
      <c r="T643" s="3" t="n">
        <v>140.36</v>
      </c>
      <c r="U643" s="4" t="n">
        <v>0.4958</v>
      </c>
      <c r="V643" s="3" t="n">
        <v>8.4</v>
      </c>
      <c r="W643" t="inlineStr">
        <is>
          <t>Credit Card</t>
        </is>
      </c>
      <c r="X643" t="inlineStr">
        <is>
          <t>Medium</t>
        </is>
      </c>
    </row>
    <row r="644">
      <c r="A644" t="inlineStr">
        <is>
          <t>ORD-00643</t>
        </is>
      </c>
      <c r="B644" s="2" t="n">
        <v>45183</v>
      </c>
      <c r="C644" s="2" t="n">
        <v>45186</v>
      </c>
      <c r="D644" t="inlineStr">
        <is>
          <t>CUST-00643</t>
        </is>
      </c>
      <c r="E644" t="inlineStr">
        <is>
          <t>Customer 643</t>
        </is>
      </c>
      <c r="F644" t="inlineStr">
        <is>
          <t>Home Office</t>
        </is>
      </c>
      <c r="G644" t="inlineStr">
        <is>
          <t>P1003</t>
        </is>
      </c>
      <c r="H644" t="inlineStr">
        <is>
          <t>Nova Laptop Stand</t>
        </is>
      </c>
      <c r="I644" t="inlineStr">
        <is>
          <t>Outdoor</t>
        </is>
      </c>
      <c r="J644" t="inlineStr">
        <is>
          <t>Video</t>
        </is>
      </c>
      <c r="K644" t="inlineStr">
        <is>
          <t>East</t>
        </is>
      </c>
      <c r="L644" t="inlineStr">
        <is>
          <t>Massachusetts</t>
        </is>
      </c>
      <c r="M644" t="inlineStr">
        <is>
          <t>Philadelphia</t>
        </is>
      </c>
      <c r="N644" t="inlineStr">
        <is>
          <t>Olivia Martin</t>
        </is>
      </c>
      <c r="O644" t="n">
        <v>1</v>
      </c>
      <c r="P644" s="3" t="n">
        <v>154.67</v>
      </c>
      <c r="Q644" s="4" t="n">
        <v>0.002</v>
      </c>
      <c r="R644" s="3" t="n">
        <v>154.36</v>
      </c>
      <c r="S644" s="3" t="n">
        <v>86.5</v>
      </c>
      <c r="T644" s="3" t="n">
        <v>60.06</v>
      </c>
      <c r="U644" s="4" t="n">
        <v>0.3891</v>
      </c>
      <c r="V644" s="3" t="n">
        <v>7.8</v>
      </c>
      <c r="W644" t="inlineStr">
        <is>
          <t>Bank Transfer</t>
        </is>
      </c>
      <c r="X644" t="inlineStr">
        <is>
          <t>Low</t>
        </is>
      </c>
    </row>
    <row r="645">
      <c r="A645" t="inlineStr">
        <is>
          <t>ORD-00644</t>
        </is>
      </c>
      <c r="B645" s="2" t="n">
        <v>45462</v>
      </c>
      <c r="C645" s="2" t="n">
        <v>45465</v>
      </c>
      <c r="D645" t="inlineStr">
        <is>
          <t>CUST-00644</t>
        </is>
      </c>
      <c r="E645" t="inlineStr">
        <is>
          <t>Customer 644</t>
        </is>
      </c>
      <c r="F645" t="inlineStr">
        <is>
          <t>Consumer</t>
        </is>
      </c>
      <c r="G645" t="inlineStr">
        <is>
          <t>P1004</t>
        </is>
      </c>
      <c r="H645" t="inlineStr">
        <is>
          <t>Aero Standing Desk</t>
        </is>
      </c>
      <c r="I645" t="inlineStr">
        <is>
          <t>Outdoor</t>
        </is>
      </c>
      <c r="J645" t="inlineStr">
        <is>
          <t>Decor</t>
        </is>
      </c>
      <c r="K645" t="inlineStr">
        <is>
          <t>West</t>
        </is>
      </c>
      <c r="L645" t="inlineStr">
        <is>
          <t>Colorado</t>
        </is>
      </c>
      <c r="M645" t="inlineStr">
        <is>
          <t>Seattle</t>
        </is>
      </c>
      <c r="N645" t="inlineStr">
        <is>
          <t>Noah Kim</t>
        </is>
      </c>
      <c r="O645" t="n">
        <v>3</v>
      </c>
      <c r="P645" s="3" t="n">
        <v>644.8</v>
      </c>
      <c r="Q645" s="4" t="n">
        <v>0.028</v>
      </c>
      <c r="R645" s="3" t="n">
        <v>1880.24</v>
      </c>
      <c r="S645" s="3" t="n">
        <v>1195.62</v>
      </c>
      <c r="T645" s="3" t="n">
        <v>675.22</v>
      </c>
      <c r="U645" s="4" t="n">
        <v>0.3591</v>
      </c>
      <c r="V645" s="3" t="n">
        <v>9.4</v>
      </c>
      <c r="W645" t="inlineStr">
        <is>
          <t>Debit Card</t>
        </is>
      </c>
      <c r="X645" t="inlineStr">
        <is>
          <t>Critical</t>
        </is>
      </c>
    </row>
    <row r="646">
      <c r="A646" t="inlineStr">
        <is>
          <t>ORD-00645</t>
        </is>
      </c>
      <c r="B646" s="2" t="n">
        <v>45269</v>
      </c>
      <c r="C646" s="2" t="n">
        <v>45273</v>
      </c>
      <c r="D646" t="inlineStr">
        <is>
          <t>CUST-00645</t>
        </is>
      </c>
      <c r="E646" t="inlineStr">
        <is>
          <t>Customer 645</t>
        </is>
      </c>
      <c r="F646" t="inlineStr">
        <is>
          <t>Corporate</t>
        </is>
      </c>
      <c r="G646" t="inlineStr">
        <is>
          <t>P1005</t>
        </is>
      </c>
      <c r="H646" t="inlineStr">
        <is>
          <t>SmartInk Pen Set</t>
        </is>
      </c>
      <c r="I646" t="inlineStr">
        <is>
          <t>Furniture</t>
        </is>
      </c>
      <c r="J646" t="inlineStr">
        <is>
          <t>Peripherals</t>
        </is>
      </c>
      <c r="K646" t="inlineStr">
        <is>
          <t>South</t>
        </is>
      </c>
      <c r="L646" t="inlineStr">
        <is>
          <t>Georgia</t>
        </is>
      </c>
      <c r="M646" t="inlineStr">
        <is>
          <t>Dallas</t>
        </is>
      </c>
      <c r="N646" t="inlineStr">
        <is>
          <t>Olivia Martin</t>
        </is>
      </c>
      <c r="O646" t="n">
        <v>3</v>
      </c>
      <c r="P646" s="3" t="n">
        <v>12.62</v>
      </c>
      <c r="Q646" s="4" t="n">
        <v>0.02</v>
      </c>
      <c r="R646" s="3" t="n">
        <v>37.1</v>
      </c>
      <c r="S646" s="3" t="n">
        <v>19.59</v>
      </c>
      <c r="T646" s="3" t="n">
        <v>9.109999999999999</v>
      </c>
      <c r="U646" s="4" t="n">
        <v>0.2456</v>
      </c>
      <c r="V646" s="3" t="n">
        <v>8.4</v>
      </c>
      <c r="W646" t="inlineStr">
        <is>
          <t>Debit Card</t>
        </is>
      </c>
      <c r="X646" t="inlineStr">
        <is>
          <t>Medium</t>
        </is>
      </c>
    </row>
    <row r="647">
      <c r="A647" t="inlineStr">
        <is>
          <t>ORD-00646</t>
        </is>
      </c>
      <c r="B647" s="2" t="n">
        <v>45665</v>
      </c>
      <c r="C647" s="2" t="n">
        <v>45670</v>
      </c>
      <c r="D647" t="inlineStr">
        <is>
          <t>CUST-00646</t>
        </is>
      </c>
      <c r="E647" t="inlineStr">
        <is>
          <t>Customer 646</t>
        </is>
      </c>
      <c r="F647" t="inlineStr">
        <is>
          <t>Corporate</t>
        </is>
      </c>
      <c r="G647" t="inlineStr">
        <is>
          <t>P1004</t>
        </is>
      </c>
      <c r="H647" t="inlineStr">
        <is>
          <t>FlexNote Notebook</t>
        </is>
      </c>
      <c r="I647" t="inlineStr">
        <is>
          <t>Home Decor</t>
        </is>
      </c>
      <c r="J647" t="inlineStr">
        <is>
          <t>Binders</t>
        </is>
      </c>
      <c r="K647" t="inlineStr">
        <is>
          <t>East</t>
        </is>
      </c>
      <c r="L647" t="inlineStr">
        <is>
          <t>Virginia</t>
        </is>
      </c>
      <c r="M647" t="inlineStr">
        <is>
          <t>Washington</t>
        </is>
      </c>
      <c r="N647" t="inlineStr">
        <is>
          <t>Noah Kim</t>
        </is>
      </c>
      <c r="O647" t="n">
        <v>3</v>
      </c>
      <c r="P647" s="3" t="n">
        <v>585.6799999999999</v>
      </c>
      <c r="Q647" s="4" t="n">
        <v>0.058</v>
      </c>
      <c r="R647" s="3" t="n">
        <v>1655.13</v>
      </c>
      <c r="S647" s="3" t="n">
        <v>1054.53</v>
      </c>
      <c r="T647" s="3" t="n">
        <v>591.2</v>
      </c>
      <c r="U647" s="4" t="n">
        <v>0.3572</v>
      </c>
      <c r="V647" s="3" t="n">
        <v>9.4</v>
      </c>
      <c r="W647" t="inlineStr">
        <is>
          <t>Cash on Delivery</t>
        </is>
      </c>
      <c r="X647" t="inlineStr">
        <is>
          <t>High</t>
        </is>
      </c>
    </row>
    <row r="648">
      <c r="A648" t="inlineStr">
        <is>
          <t>ORD-00647</t>
        </is>
      </c>
      <c r="B648" s="2" t="n">
        <v>45415</v>
      </c>
      <c r="C648" s="2" t="n">
        <v>45416</v>
      </c>
      <c r="D648" t="inlineStr">
        <is>
          <t>CUST-00647</t>
        </is>
      </c>
      <c r="E648" t="inlineStr">
        <is>
          <t>Customer 647</t>
        </is>
      </c>
      <c r="F648" t="inlineStr">
        <is>
          <t>Consumer</t>
        </is>
      </c>
      <c r="G648" t="inlineStr">
        <is>
          <t>P1013</t>
        </is>
      </c>
      <c r="H648" t="inlineStr">
        <is>
          <t>Northstar Lantern</t>
        </is>
      </c>
      <c r="I648" t="inlineStr">
        <is>
          <t>Technology</t>
        </is>
      </c>
      <c r="J648" t="inlineStr">
        <is>
          <t>Decor</t>
        </is>
      </c>
      <c r="K648" t="inlineStr">
        <is>
          <t>Central</t>
        </is>
      </c>
      <c r="L648" t="inlineStr">
        <is>
          <t>Illinois</t>
        </is>
      </c>
      <c r="M648" t="inlineStr">
        <is>
          <t>Kansas City</t>
        </is>
      </c>
      <c r="N648" t="inlineStr">
        <is>
          <t>Ethan Brooks</t>
        </is>
      </c>
      <c r="O648" t="n">
        <v>4</v>
      </c>
      <c r="P648" s="3" t="n">
        <v>151.43</v>
      </c>
      <c r="Q648" s="4" t="n">
        <v>0.022</v>
      </c>
      <c r="R648" s="3" t="n">
        <v>592.39</v>
      </c>
      <c r="S648" s="3" t="n">
        <v>336.75</v>
      </c>
      <c r="T648" s="3" t="n">
        <v>246.44</v>
      </c>
      <c r="U648" s="4" t="n">
        <v>0.416</v>
      </c>
      <c r="V648" s="3" t="n">
        <v>9.199999999999999</v>
      </c>
      <c r="W648" t="inlineStr">
        <is>
          <t>Debit Card</t>
        </is>
      </c>
      <c r="X648" t="inlineStr">
        <is>
          <t>High</t>
        </is>
      </c>
    </row>
    <row r="649">
      <c r="A649" t="inlineStr">
        <is>
          <t>ORD-00648</t>
        </is>
      </c>
      <c r="B649" s="2" t="n">
        <v>46009</v>
      </c>
      <c r="C649" s="2" t="n">
        <v>46012</v>
      </c>
      <c r="D649" t="inlineStr">
        <is>
          <t>CUST-00648</t>
        </is>
      </c>
      <c r="E649" t="inlineStr">
        <is>
          <t>Customer 648</t>
        </is>
      </c>
      <c r="F649" t="inlineStr">
        <is>
          <t>Home Office</t>
        </is>
      </c>
      <c r="G649" t="inlineStr">
        <is>
          <t>P1009</t>
        </is>
      </c>
      <c r="H649" t="inlineStr">
        <is>
          <t>Aero Standing Desk</t>
        </is>
      </c>
      <c r="I649" t="inlineStr">
        <is>
          <t>Technology</t>
        </is>
      </c>
      <c r="J649" t="inlineStr">
        <is>
          <t>Lighting</t>
        </is>
      </c>
      <c r="K649" t="inlineStr">
        <is>
          <t>Central</t>
        </is>
      </c>
      <c r="L649" t="inlineStr">
        <is>
          <t>Minnesota</t>
        </is>
      </c>
      <c r="M649" t="inlineStr">
        <is>
          <t>Minneapolis</t>
        </is>
      </c>
      <c r="N649" t="inlineStr">
        <is>
          <t>James Carter</t>
        </is>
      </c>
      <c r="O649" t="n">
        <v>2</v>
      </c>
      <c r="P649" s="3" t="n">
        <v>94.69</v>
      </c>
      <c r="Q649" s="4" t="n">
        <v>0.018</v>
      </c>
      <c r="R649" s="3" t="n">
        <v>185.97</v>
      </c>
      <c r="S649" s="3" t="n">
        <v>98.72</v>
      </c>
      <c r="T649" s="3" t="n">
        <v>79.65000000000001</v>
      </c>
      <c r="U649" s="4" t="n">
        <v>0.4283</v>
      </c>
      <c r="V649" s="3" t="n">
        <v>7.6</v>
      </c>
      <c r="W649" t="inlineStr">
        <is>
          <t>Credit Card</t>
        </is>
      </c>
      <c r="X649" t="inlineStr">
        <is>
          <t>Low</t>
        </is>
      </c>
    </row>
    <row r="650">
      <c r="A650" t="inlineStr">
        <is>
          <t>ORD-00649</t>
        </is>
      </c>
      <c r="B650" s="2" t="n">
        <v>45785</v>
      </c>
      <c r="C650" s="2" t="n">
        <v>45790</v>
      </c>
      <c r="D650" t="inlineStr">
        <is>
          <t>CUST-00649</t>
        </is>
      </c>
      <c r="E650" t="inlineStr">
        <is>
          <t>Customer 649</t>
        </is>
      </c>
      <c r="F650" t="inlineStr">
        <is>
          <t>Corporate</t>
        </is>
      </c>
      <c r="G650" t="inlineStr">
        <is>
          <t>P1014</t>
        </is>
      </c>
      <c r="H650" t="inlineStr">
        <is>
          <t>Tide Cooler</t>
        </is>
      </c>
      <c r="I650" t="inlineStr">
        <is>
          <t>Outdoor</t>
        </is>
      </c>
      <c r="J650" t="inlineStr">
        <is>
          <t>Accessories</t>
        </is>
      </c>
      <c r="K650" t="inlineStr">
        <is>
          <t>West</t>
        </is>
      </c>
      <c r="L650" t="inlineStr">
        <is>
          <t>Colorado</t>
        </is>
      </c>
      <c r="M650" t="inlineStr">
        <is>
          <t>Seattle</t>
        </is>
      </c>
      <c r="N650" t="inlineStr">
        <is>
          <t>Ava Patel</t>
        </is>
      </c>
      <c r="O650" t="n">
        <v>3</v>
      </c>
      <c r="P650" s="3" t="n">
        <v>44.56</v>
      </c>
      <c r="Q650" s="4" t="n">
        <v>0.034</v>
      </c>
      <c r="R650" s="3" t="n">
        <v>129.13</v>
      </c>
      <c r="S650" s="3" t="n">
        <v>55.05</v>
      </c>
      <c r="T650" s="3" t="n">
        <v>64.68000000000001</v>
      </c>
      <c r="U650" s="4" t="n">
        <v>0.5009</v>
      </c>
      <c r="V650" s="3" t="n">
        <v>9.4</v>
      </c>
      <c r="W650" t="inlineStr">
        <is>
          <t>Credit Card</t>
        </is>
      </c>
      <c r="X650" t="inlineStr">
        <is>
          <t>Low</t>
        </is>
      </c>
    </row>
    <row r="651">
      <c r="A651" t="inlineStr">
        <is>
          <t>ORD-00650</t>
        </is>
      </c>
      <c r="B651" s="2" t="n">
        <v>45398</v>
      </c>
      <c r="C651" s="2" t="n">
        <v>45405</v>
      </c>
      <c r="D651" t="inlineStr">
        <is>
          <t>CUST-00650</t>
        </is>
      </c>
      <c r="E651" t="inlineStr">
        <is>
          <t>Customer 650</t>
        </is>
      </c>
      <c r="F651" t="inlineStr">
        <is>
          <t>Consumer</t>
        </is>
      </c>
      <c r="G651" t="inlineStr">
        <is>
          <t>P1016</t>
        </is>
      </c>
      <c r="H651" t="inlineStr">
        <is>
          <t>Nimbus Monitor Arm</t>
        </is>
      </c>
      <c r="I651" t="inlineStr">
        <is>
          <t>Technology</t>
        </is>
      </c>
      <c r="J651" t="inlineStr">
        <is>
          <t>Coolers</t>
        </is>
      </c>
      <c r="K651" t="inlineStr">
        <is>
          <t>West</t>
        </is>
      </c>
      <c r="L651" t="inlineStr">
        <is>
          <t>Colorado</t>
        </is>
      </c>
      <c r="M651" t="inlineStr">
        <is>
          <t>Seattle</t>
        </is>
      </c>
      <c r="N651" t="inlineStr">
        <is>
          <t>Mia Rodriguez</t>
        </is>
      </c>
      <c r="O651" t="n">
        <v>3</v>
      </c>
      <c r="P651" s="3" t="n">
        <v>38.1</v>
      </c>
      <c r="Q651" s="4" t="n">
        <v>0.018</v>
      </c>
      <c r="R651" s="3" t="n">
        <v>112.24</v>
      </c>
      <c r="S651" s="3" t="n">
        <v>48.51</v>
      </c>
      <c r="T651" s="3" t="n">
        <v>54.33</v>
      </c>
      <c r="U651" s="4" t="n">
        <v>0.4841</v>
      </c>
      <c r="V651" s="3" t="n">
        <v>9.4</v>
      </c>
      <c r="W651" t="inlineStr">
        <is>
          <t>Bank Transfer</t>
        </is>
      </c>
      <c r="X651" t="inlineStr">
        <is>
          <t>Medium</t>
        </is>
      </c>
    </row>
    <row r="652">
      <c r="A652" t="inlineStr">
        <is>
          <t>ORD-00651</t>
        </is>
      </c>
      <c r="B652" s="2" t="n">
        <v>45153</v>
      </c>
      <c r="C652" s="2" t="n">
        <v>45155</v>
      </c>
      <c r="D652" t="inlineStr">
        <is>
          <t>CUST-00651</t>
        </is>
      </c>
      <c r="E652" t="inlineStr">
        <is>
          <t>Customer 651</t>
        </is>
      </c>
      <c r="F652" t="inlineStr">
        <is>
          <t>Home Office</t>
        </is>
      </c>
      <c r="G652" t="inlineStr">
        <is>
          <t>P1006</t>
        </is>
      </c>
      <c r="H652" t="inlineStr">
        <is>
          <t>Aero Standing Desk</t>
        </is>
      </c>
      <c r="I652" t="inlineStr">
        <is>
          <t>Office Supplies</t>
        </is>
      </c>
      <c r="J652" t="inlineStr">
        <is>
          <t>Storage</t>
        </is>
      </c>
      <c r="K652" t="inlineStr">
        <is>
          <t>Central</t>
        </is>
      </c>
      <c r="L652" t="inlineStr">
        <is>
          <t>Missouri</t>
        </is>
      </c>
      <c r="M652" t="inlineStr">
        <is>
          <t>Kansas City</t>
        </is>
      </c>
      <c r="N652" t="inlineStr">
        <is>
          <t>James Carter</t>
        </is>
      </c>
      <c r="O652" t="n">
        <v>2</v>
      </c>
      <c r="P652" s="3" t="n">
        <v>19.37</v>
      </c>
      <c r="Q652" s="4" t="n">
        <v>0.006</v>
      </c>
      <c r="R652" s="3" t="n">
        <v>38.51</v>
      </c>
      <c r="S652" s="3" t="n">
        <v>18.7</v>
      </c>
      <c r="T652" s="3" t="n">
        <v>12.21</v>
      </c>
      <c r="U652" s="4" t="n">
        <v>0.3171</v>
      </c>
      <c r="V652" s="3" t="n">
        <v>7.6</v>
      </c>
      <c r="W652" t="inlineStr">
        <is>
          <t>Credit Card</t>
        </is>
      </c>
      <c r="X652" t="inlineStr">
        <is>
          <t>Medium</t>
        </is>
      </c>
    </row>
    <row r="653">
      <c r="A653" t="inlineStr">
        <is>
          <t>ORD-00652</t>
        </is>
      </c>
      <c r="B653" s="2" t="n">
        <v>45617</v>
      </c>
      <c r="C653" s="2" t="n">
        <v>45623</v>
      </c>
      <c r="D653" t="inlineStr">
        <is>
          <t>CUST-00652</t>
        </is>
      </c>
      <c r="E653" t="inlineStr">
        <is>
          <t>Customer 652</t>
        </is>
      </c>
      <c r="F653" t="inlineStr">
        <is>
          <t>Corporate</t>
        </is>
      </c>
      <c r="G653" t="inlineStr">
        <is>
          <t>P1010</t>
        </is>
      </c>
      <c r="H653" t="inlineStr">
        <is>
          <t>Cove Wall Clock</t>
        </is>
      </c>
      <c r="I653" t="inlineStr">
        <is>
          <t>Furniture</t>
        </is>
      </c>
      <c r="J653" t="inlineStr">
        <is>
          <t>Lighting</t>
        </is>
      </c>
      <c r="K653" t="inlineStr">
        <is>
          <t>East</t>
        </is>
      </c>
      <c r="L653" t="inlineStr">
        <is>
          <t>New York</t>
        </is>
      </c>
      <c r="M653" t="inlineStr">
        <is>
          <t>New York</t>
        </is>
      </c>
      <c r="N653" t="inlineStr">
        <is>
          <t>Liam Chen</t>
        </is>
      </c>
      <c r="O653" t="n">
        <v>2</v>
      </c>
      <c r="P653" s="3" t="n">
        <v>60.02</v>
      </c>
      <c r="Q653" s="4" t="n">
        <v>0.027</v>
      </c>
      <c r="R653" s="3" t="n">
        <v>116.8</v>
      </c>
      <c r="S653" s="3" t="n">
        <v>58.19</v>
      </c>
      <c r="T653" s="3" t="n">
        <v>50.01</v>
      </c>
      <c r="U653" s="4" t="n">
        <v>0.4282</v>
      </c>
      <c r="V653" s="3" t="n">
        <v>8.6</v>
      </c>
      <c r="W653" t="inlineStr">
        <is>
          <t>PayPal</t>
        </is>
      </c>
      <c r="X653" t="inlineStr">
        <is>
          <t>Medium</t>
        </is>
      </c>
    </row>
    <row r="654">
      <c r="A654" t="inlineStr">
        <is>
          <t>ORD-00653</t>
        </is>
      </c>
      <c r="B654" s="2" t="n">
        <v>45337</v>
      </c>
      <c r="C654" s="2" t="n">
        <v>45339</v>
      </c>
      <c r="D654" t="inlineStr">
        <is>
          <t>CUST-00653</t>
        </is>
      </c>
      <c r="E654" t="inlineStr">
        <is>
          <t>Customer 653</t>
        </is>
      </c>
      <c r="F654" t="inlineStr">
        <is>
          <t>Consumer</t>
        </is>
      </c>
      <c r="G654" t="inlineStr">
        <is>
          <t>P1013</t>
        </is>
      </c>
      <c r="H654" t="inlineStr">
        <is>
          <t>Cove Wall Clock</t>
        </is>
      </c>
      <c r="I654" t="inlineStr">
        <is>
          <t>Home Decor</t>
        </is>
      </c>
      <c r="J654" t="inlineStr">
        <is>
          <t>Bags</t>
        </is>
      </c>
      <c r="K654" t="inlineStr">
        <is>
          <t>East</t>
        </is>
      </c>
      <c r="L654" t="inlineStr">
        <is>
          <t>New Jersey</t>
        </is>
      </c>
      <c r="M654" t="inlineStr">
        <is>
          <t>Washington</t>
        </is>
      </c>
      <c r="N654" t="inlineStr">
        <is>
          <t>Ava Patel</t>
        </is>
      </c>
      <c r="O654" t="n">
        <v>3</v>
      </c>
      <c r="P654" s="3" t="n">
        <v>167.31</v>
      </c>
      <c r="Q654" s="4" t="n">
        <v>0.027</v>
      </c>
      <c r="R654" s="3" t="n">
        <v>488.38</v>
      </c>
      <c r="S654" s="3" t="n">
        <v>282.04</v>
      </c>
      <c r="T654" s="3" t="n">
        <v>196.94</v>
      </c>
      <c r="U654" s="4" t="n">
        <v>0.4033</v>
      </c>
      <c r="V654" s="3" t="n">
        <v>9.4</v>
      </c>
      <c r="W654" t="inlineStr">
        <is>
          <t>Cash on Delivery</t>
        </is>
      </c>
      <c r="X654" t="inlineStr">
        <is>
          <t>High</t>
        </is>
      </c>
    </row>
    <row r="655">
      <c r="A655" t="inlineStr">
        <is>
          <t>ORD-00654</t>
        </is>
      </c>
      <c r="B655" s="2" t="n">
        <v>46007</v>
      </c>
      <c r="C655" s="2" t="n">
        <v>46008</v>
      </c>
      <c r="D655" t="inlineStr">
        <is>
          <t>CUST-00654</t>
        </is>
      </c>
      <c r="E655" t="inlineStr">
        <is>
          <t>Customer 654</t>
        </is>
      </c>
      <c r="F655" t="inlineStr">
        <is>
          <t>Corporate</t>
        </is>
      </c>
      <c r="G655" t="inlineStr">
        <is>
          <t>P1003</t>
        </is>
      </c>
      <c r="H655" t="inlineStr">
        <is>
          <t>Summit Patio Set</t>
        </is>
      </c>
      <c r="I655" t="inlineStr">
        <is>
          <t>Furniture</t>
        </is>
      </c>
      <c r="J655" t="inlineStr">
        <is>
          <t>Textiles</t>
        </is>
      </c>
      <c r="K655" t="inlineStr">
        <is>
          <t>West</t>
        </is>
      </c>
      <c r="L655" t="inlineStr">
        <is>
          <t>Washington</t>
        </is>
      </c>
      <c r="M655" t="inlineStr">
        <is>
          <t>Los Angeles</t>
        </is>
      </c>
      <c r="N655" t="inlineStr">
        <is>
          <t>Sophia Singh</t>
        </is>
      </c>
      <c r="O655" t="n">
        <v>2</v>
      </c>
      <c r="P655" s="3" t="n">
        <v>168.59</v>
      </c>
      <c r="Q655" s="4" t="n">
        <v>0.02</v>
      </c>
      <c r="R655" s="3" t="n">
        <v>330.44</v>
      </c>
      <c r="S655" s="3" t="n">
        <v>178.01</v>
      </c>
      <c r="T655" s="3" t="n">
        <v>143.83</v>
      </c>
      <c r="U655" s="4" t="n">
        <v>0.4353</v>
      </c>
      <c r="V655" s="3" t="n">
        <v>8.6</v>
      </c>
      <c r="W655" t="inlineStr">
        <is>
          <t>Debit Card</t>
        </is>
      </c>
      <c r="X655" t="inlineStr">
        <is>
          <t>Medium</t>
        </is>
      </c>
    </row>
    <row r="656">
      <c r="A656" t="inlineStr">
        <is>
          <t>ORD-00655</t>
        </is>
      </c>
      <c r="B656" s="2" t="n">
        <v>45621</v>
      </c>
      <c r="C656" s="2" t="n">
        <v>45624</v>
      </c>
      <c r="D656" t="inlineStr">
        <is>
          <t>CUST-00655</t>
        </is>
      </c>
      <c r="E656" t="inlineStr">
        <is>
          <t>Customer 655</t>
        </is>
      </c>
      <c r="F656" t="inlineStr">
        <is>
          <t>Consumer</t>
        </is>
      </c>
      <c r="G656" t="inlineStr">
        <is>
          <t>P1011</t>
        </is>
      </c>
      <c r="H656" t="inlineStr">
        <is>
          <t>Nova Laptop Stand</t>
        </is>
      </c>
      <c r="I656" t="inlineStr">
        <is>
          <t>Office Supplies</t>
        </is>
      </c>
      <c r="J656" t="inlineStr">
        <is>
          <t>Decor</t>
        </is>
      </c>
      <c r="K656" t="inlineStr">
        <is>
          <t>West</t>
        </is>
      </c>
      <c r="L656" t="inlineStr">
        <is>
          <t>Washington</t>
        </is>
      </c>
      <c r="M656" t="inlineStr">
        <is>
          <t>Denver</t>
        </is>
      </c>
      <c r="N656" t="inlineStr">
        <is>
          <t>Liam Chen</t>
        </is>
      </c>
      <c r="O656" t="n">
        <v>4</v>
      </c>
      <c r="P656" s="3" t="n">
        <v>99.66</v>
      </c>
      <c r="Q656" s="4" t="n">
        <v>0.053</v>
      </c>
      <c r="R656" s="3" t="n">
        <v>377.51</v>
      </c>
      <c r="S656" s="3" t="n">
        <v>184.71</v>
      </c>
      <c r="T656" s="3" t="n">
        <v>182.6</v>
      </c>
      <c r="U656" s="4" t="n">
        <v>0.4837</v>
      </c>
      <c r="V656" s="3" t="n">
        <v>10.2</v>
      </c>
      <c r="W656" t="inlineStr">
        <is>
          <t>Credit Card</t>
        </is>
      </c>
      <c r="X656" t="inlineStr">
        <is>
          <t>High</t>
        </is>
      </c>
    </row>
    <row r="657">
      <c r="A657" t="inlineStr">
        <is>
          <t>ORD-00656</t>
        </is>
      </c>
      <c r="B657" s="2" t="n">
        <v>44986</v>
      </c>
      <c r="C657" s="2" t="n">
        <v>44988</v>
      </c>
      <c r="D657" t="inlineStr">
        <is>
          <t>CUST-00656</t>
        </is>
      </c>
      <c r="E657" t="inlineStr">
        <is>
          <t>Customer 656</t>
        </is>
      </c>
      <c r="F657" t="inlineStr">
        <is>
          <t>Corporate</t>
        </is>
      </c>
      <c r="G657" t="inlineStr">
        <is>
          <t>P1003</t>
        </is>
      </c>
      <c r="H657" t="inlineStr">
        <is>
          <t>Northstar Lantern</t>
        </is>
      </c>
      <c r="I657" t="inlineStr">
        <is>
          <t>Home Decor</t>
        </is>
      </c>
      <c r="J657" t="inlineStr">
        <is>
          <t>Lighting</t>
        </is>
      </c>
      <c r="K657" t="inlineStr">
        <is>
          <t>North</t>
        </is>
      </c>
      <c r="L657" t="inlineStr">
        <is>
          <t>Ontario</t>
        </is>
      </c>
      <c r="M657" t="inlineStr">
        <is>
          <t>Calgary</t>
        </is>
      </c>
      <c r="N657" t="inlineStr">
        <is>
          <t>Sophia Singh</t>
        </is>
      </c>
      <c r="O657" t="n">
        <v>6</v>
      </c>
      <c r="P657" s="3" t="n">
        <v>156.43</v>
      </c>
      <c r="Q657" s="4" t="n">
        <v>0.028</v>
      </c>
      <c r="R657" s="3" t="n">
        <v>912.3</v>
      </c>
      <c r="S657" s="3" t="n">
        <v>469.69</v>
      </c>
      <c r="T657" s="3" t="n">
        <v>431.81</v>
      </c>
      <c r="U657" s="4" t="n">
        <v>0.4733</v>
      </c>
      <c r="V657" s="3" t="n">
        <v>10.8</v>
      </c>
      <c r="W657" t="inlineStr">
        <is>
          <t>Bank Transfer</t>
        </is>
      </c>
      <c r="X657" t="inlineStr">
        <is>
          <t>Medium</t>
        </is>
      </c>
    </row>
    <row r="658">
      <c r="A658" t="inlineStr">
        <is>
          <t>ORD-00657</t>
        </is>
      </c>
      <c r="B658" s="2" t="n">
        <v>45209</v>
      </c>
      <c r="C658" s="2" t="n">
        <v>45215</v>
      </c>
      <c r="D658" t="inlineStr">
        <is>
          <t>CUST-00657</t>
        </is>
      </c>
      <c r="E658" t="inlineStr">
        <is>
          <t>Customer 657</t>
        </is>
      </c>
      <c r="F658" t="inlineStr">
        <is>
          <t>Consumer</t>
        </is>
      </c>
      <c r="G658" t="inlineStr">
        <is>
          <t>P1007</t>
        </is>
      </c>
      <c r="H658" t="inlineStr">
        <is>
          <t>Nimbus Monitor Arm</t>
        </is>
      </c>
      <c r="I658" t="inlineStr">
        <is>
          <t>Furniture</t>
        </is>
      </c>
      <c r="J658" t="inlineStr">
        <is>
          <t>Bags</t>
        </is>
      </c>
      <c r="K658" t="inlineStr">
        <is>
          <t>East</t>
        </is>
      </c>
      <c r="L658" t="inlineStr">
        <is>
          <t>New Jersey</t>
        </is>
      </c>
      <c r="M658" t="inlineStr">
        <is>
          <t>Philadelphia</t>
        </is>
      </c>
      <c r="N658" t="inlineStr">
        <is>
          <t>Ava Patel</t>
        </is>
      </c>
      <c r="O658" t="n">
        <v>2</v>
      </c>
      <c r="P658" s="3" t="n">
        <v>27.17</v>
      </c>
      <c r="Q658" s="4" t="n">
        <v>0.018</v>
      </c>
      <c r="R658" s="3" t="n">
        <v>53.36</v>
      </c>
      <c r="S658" s="3" t="n">
        <v>24.22</v>
      </c>
      <c r="T658" s="3" t="n">
        <v>20.54</v>
      </c>
      <c r="U658" s="4" t="n">
        <v>0.3849</v>
      </c>
      <c r="V658" s="3" t="n">
        <v>8.6</v>
      </c>
      <c r="W658" t="inlineStr">
        <is>
          <t>Debit Card</t>
        </is>
      </c>
      <c r="X658" t="inlineStr">
        <is>
          <t>Medium</t>
        </is>
      </c>
    </row>
    <row r="659">
      <c r="A659" t="inlineStr">
        <is>
          <t>ORD-00658</t>
        </is>
      </c>
      <c r="B659" s="2" t="n">
        <v>45462</v>
      </c>
      <c r="C659" s="2" t="n">
        <v>45467</v>
      </c>
      <c r="D659" t="inlineStr">
        <is>
          <t>CUST-00658</t>
        </is>
      </c>
      <c r="E659" t="inlineStr">
        <is>
          <t>Customer 658</t>
        </is>
      </c>
      <c r="F659" t="inlineStr">
        <is>
          <t>Corporate</t>
        </is>
      </c>
      <c r="G659" t="inlineStr">
        <is>
          <t>P1010</t>
        </is>
      </c>
      <c r="H659" t="inlineStr">
        <is>
          <t>Halo Planter</t>
        </is>
      </c>
      <c r="I659" t="inlineStr">
        <is>
          <t>Home Decor</t>
        </is>
      </c>
      <c r="J659" t="inlineStr">
        <is>
          <t>Desks</t>
        </is>
      </c>
      <c r="K659" t="inlineStr">
        <is>
          <t>West</t>
        </is>
      </c>
      <c r="L659" t="inlineStr">
        <is>
          <t>Washington</t>
        </is>
      </c>
      <c r="M659" t="inlineStr">
        <is>
          <t>San Francisco</t>
        </is>
      </c>
      <c r="N659" t="inlineStr">
        <is>
          <t>Noah Kim</t>
        </is>
      </c>
      <c r="O659" t="n">
        <v>3</v>
      </c>
      <c r="P659" s="3" t="n">
        <v>56.08</v>
      </c>
      <c r="Q659" s="4" t="n">
        <v>0.047</v>
      </c>
      <c r="R659" s="3" t="n">
        <v>160.33</v>
      </c>
      <c r="S659" s="3" t="n">
        <v>77.52</v>
      </c>
      <c r="T659" s="3" t="n">
        <v>73.41</v>
      </c>
      <c r="U659" s="4" t="n">
        <v>0.4579</v>
      </c>
      <c r="V659" s="3" t="n">
        <v>9.4</v>
      </c>
      <c r="W659" t="inlineStr">
        <is>
          <t>Credit Card</t>
        </is>
      </c>
      <c r="X659" t="inlineStr">
        <is>
          <t>High</t>
        </is>
      </c>
    </row>
    <row r="660">
      <c r="A660" t="inlineStr">
        <is>
          <t>ORD-00659</t>
        </is>
      </c>
      <c r="B660" s="2" t="n">
        <v>45448</v>
      </c>
      <c r="C660" s="2" t="n">
        <v>45453</v>
      </c>
      <c r="D660" t="inlineStr">
        <is>
          <t>CUST-00659</t>
        </is>
      </c>
      <c r="E660" t="inlineStr">
        <is>
          <t>Customer 659</t>
        </is>
      </c>
      <c r="F660" t="inlineStr">
        <is>
          <t>Corporate</t>
        </is>
      </c>
      <c r="G660" t="inlineStr">
        <is>
          <t>P1001</t>
        </is>
      </c>
      <c r="H660" t="inlineStr">
        <is>
          <t>ErgoMesh Chair</t>
        </is>
      </c>
      <c r="I660" t="inlineStr">
        <is>
          <t>Outdoor</t>
        </is>
      </c>
      <c r="J660" t="inlineStr">
        <is>
          <t>Binders</t>
        </is>
      </c>
      <c r="K660" t="inlineStr">
        <is>
          <t>Central</t>
        </is>
      </c>
      <c r="L660" t="inlineStr">
        <is>
          <t>Illinois</t>
        </is>
      </c>
      <c r="M660" t="inlineStr">
        <is>
          <t>Minneapolis</t>
        </is>
      </c>
      <c r="N660" t="inlineStr">
        <is>
          <t>Olivia Martin</t>
        </is>
      </c>
      <c r="O660" t="n">
        <v>1</v>
      </c>
      <c r="P660" s="3" t="n">
        <v>297.32</v>
      </c>
      <c r="Q660" s="4" t="n">
        <v>0.043</v>
      </c>
      <c r="R660" s="3" t="n">
        <v>284.54</v>
      </c>
      <c r="S660" s="3" t="n">
        <v>171.42</v>
      </c>
      <c r="T660" s="3" t="n">
        <v>106.32</v>
      </c>
      <c r="U660" s="4" t="n">
        <v>0.3737</v>
      </c>
      <c r="V660" s="3" t="n">
        <v>6.8</v>
      </c>
      <c r="W660" t="inlineStr">
        <is>
          <t>PayPal</t>
        </is>
      </c>
      <c r="X660" t="inlineStr">
        <is>
          <t>High</t>
        </is>
      </c>
    </row>
    <row r="661">
      <c r="A661" t="inlineStr">
        <is>
          <t>ORD-00660</t>
        </is>
      </c>
      <c r="B661" s="2" t="n">
        <v>45614</v>
      </c>
      <c r="C661" s="2" t="n">
        <v>45616</v>
      </c>
      <c r="D661" t="inlineStr">
        <is>
          <t>CUST-00660</t>
        </is>
      </c>
      <c r="E661" t="inlineStr">
        <is>
          <t>Customer 660</t>
        </is>
      </c>
      <c r="F661" t="inlineStr">
        <is>
          <t>Home Office</t>
        </is>
      </c>
      <c r="G661" t="inlineStr">
        <is>
          <t>P1004</t>
        </is>
      </c>
      <c r="H661" t="inlineStr">
        <is>
          <t>Northstar Lantern</t>
        </is>
      </c>
      <c r="I661" t="inlineStr">
        <is>
          <t>Home Decor</t>
        </is>
      </c>
      <c r="J661" t="inlineStr">
        <is>
          <t>Video</t>
        </is>
      </c>
      <c r="K661" t="inlineStr">
        <is>
          <t>Central</t>
        </is>
      </c>
      <c r="L661" t="inlineStr">
        <is>
          <t>Missouri</t>
        </is>
      </c>
      <c r="M661" t="inlineStr">
        <is>
          <t>Minneapolis</t>
        </is>
      </c>
      <c r="N661" t="inlineStr">
        <is>
          <t>Noah Kim</t>
        </is>
      </c>
      <c r="O661" t="n">
        <v>2</v>
      </c>
      <c r="P661" s="3" t="n">
        <v>623.1900000000001</v>
      </c>
      <c r="Q661" s="4" t="n">
        <v>0.045</v>
      </c>
      <c r="R661" s="3" t="n">
        <v>1190.29</v>
      </c>
      <c r="S661" s="3" t="n">
        <v>757.49</v>
      </c>
      <c r="T661" s="3" t="n">
        <v>425.2</v>
      </c>
      <c r="U661" s="4" t="n">
        <v>0.3572</v>
      </c>
      <c r="V661" s="3" t="n">
        <v>7.6</v>
      </c>
      <c r="W661" t="inlineStr">
        <is>
          <t>PayPal</t>
        </is>
      </c>
      <c r="X661" t="inlineStr">
        <is>
          <t>High</t>
        </is>
      </c>
    </row>
    <row r="662">
      <c r="A662" t="inlineStr">
        <is>
          <t>ORD-00661</t>
        </is>
      </c>
      <c r="B662" s="2" t="n">
        <v>45629</v>
      </c>
      <c r="C662" s="2" t="n">
        <v>45636</v>
      </c>
      <c r="D662" t="inlineStr">
        <is>
          <t>CUST-00661</t>
        </is>
      </c>
      <c r="E662" t="inlineStr">
        <is>
          <t>Customer 661</t>
        </is>
      </c>
      <c r="F662" t="inlineStr">
        <is>
          <t>Corporate</t>
        </is>
      </c>
      <c r="G662" t="inlineStr">
        <is>
          <t>P1008</t>
        </is>
      </c>
      <c r="H662" t="inlineStr">
        <is>
          <t>Aero Standing Desk</t>
        </is>
      </c>
      <c r="I662" t="inlineStr">
        <is>
          <t>Outdoor</t>
        </is>
      </c>
      <c r="J662" t="inlineStr">
        <is>
          <t>Peripherals</t>
        </is>
      </c>
      <c r="K662" t="inlineStr">
        <is>
          <t>South</t>
        </is>
      </c>
      <c r="L662" t="inlineStr">
        <is>
          <t>Texas</t>
        </is>
      </c>
      <c r="M662" t="inlineStr">
        <is>
          <t>Houston</t>
        </is>
      </c>
      <c r="N662" t="inlineStr">
        <is>
          <t>Mia Rodriguez</t>
        </is>
      </c>
      <c r="O662" t="n">
        <v>4</v>
      </c>
      <c r="P662" s="3" t="n">
        <v>37.37</v>
      </c>
      <c r="Q662" s="4" t="n">
        <v>0.028</v>
      </c>
      <c r="R662" s="3" t="n">
        <v>145.29</v>
      </c>
      <c r="S662" s="3" t="n">
        <v>60.65</v>
      </c>
      <c r="T662" s="3" t="n">
        <v>75.44</v>
      </c>
      <c r="U662" s="4" t="n">
        <v>0.5192</v>
      </c>
      <c r="V662" s="3" t="n">
        <v>9.199999999999999</v>
      </c>
      <c r="W662" t="inlineStr">
        <is>
          <t>PayPal</t>
        </is>
      </c>
      <c r="X662" t="inlineStr">
        <is>
          <t>Medium</t>
        </is>
      </c>
    </row>
    <row r="663">
      <c r="A663" t="inlineStr">
        <is>
          <t>ORD-00662</t>
        </is>
      </c>
      <c r="B663" s="2" t="n">
        <v>45720</v>
      </c>
      <c r="C663" s="2" t="n">
        <v>45727</v>
      </c>
      <c r="D663" t="inlineStr">
        <is>
          <t>CUST-00662</t>
        </is>
      </c>
      <c r="E663" t="inlineStr">
        <is>
          <t>Customer 662</t>
        </is>
      </c>
      <c r="F663" t="inlineStr">
        <is>
          <t>Consumer</t>
        </is>
      </c>
      <c r="G663" t="inlineStr">
        <is>
          <t>P1020</t>
        </is>
      </c>
      <c r="H663" t="inlineStr">
        <is>
          <t>Cove Wall Clock</t>
        </is>
      </c>
      <c r="I663" t="inlineStr">
        <is>
          <t>Office Supplies</t>
        </is>
      </c>
      <c r="J663" t="inlineStr">
        <is>
          <t>Accessories</t>
        </is>
      </c>
      <c r="K663" t="inlineStr">
        <is>
          <t>West</t>
        </is>
      </c>
      <c r="L663" t="inlineStr">
        <is>
          <t>Washington</t>
        </is>
      </c>
      <c r="M663" t="inlineStr">
        <is>
          <t>Denver</t>
        </is>
      </c>
      <c r="N663" t="inlineStr">
        <is>
          <t>James Carter</t>
        </is>
      </c>
      <c r="O663" t="n">
        <v>2</v>
      </c>
      <c r="P663" s="3" t="n">
        <v>78.61</v>
      </c>
      <c r="Q663" s="4" t="n">
        <v>0.007</v>
      </c>
      <c r="R663" s="3" t="n">
        <v>156.12</v>
      </c>
      <c r="S663" s="3" t="n">
        <v>82.06</v>
      </c>
      <c r="T663" s="3" t="n">
        <v>65.45999999999999</v>
      </c>
      <c r="U663" s="4" t="n">
        <v>0.4193</v>
      </c>
      <c r="V663" s="3" t="n">
        <v>8.6</v>
      </c>
      <c r="W663" t="inlineStr">
        <is>
          <t>Bank Transfer</t>
        </is>
      </c>
      <c r="X663" t="inlineStr">
        <is>
          <t>Low</t>
        </is>
      </c>
    </row>
    <row r="664">
      <c r="A664" t="inlineStr">
        <is>
          <t>ORD-00663</t>
        </is>
      </c>
      <c r="B664" s="2" t="n">
        <v>45447</v>
      </c>
      <c r="C664" s="2" t="n">
        <v>45450</v>
      </c>
      <c r="D664" t="inlineStr">
        <is>
          <t>CUST-00663</t>
        </is>
      </c>
      <c r="E664" t="inlineStr">
        <is>
          <t>Customer 663</t>
        </is>
      </c>
      <c r="F664" t="inlineStr">
        <is>
          <t>Home Office</t>
        </is>
      </c>
      <c r="G664" t="inlineStr">
        <is>
          <t>P1017</t>
        </is>
      </c>
      <c r="H664" t="inlineStr">
        <is>
          <t>Tide Cooler</t>
        </is>
      </c>
      <c r="I664" t="inlineStr">
        <is>
          <t>Furniture</t>
        </is>
      </c>
      <c r="J664" t="inlineStr">
        <is>
          <t>Accessories</t>
        </is>
      </c>
      <c r="K664" t="inlineStr">
        <is>
          <t>East</t>
        </is>
      </c>
      <c r="L664" t="inlineStr">
        <is>
          <t>New York</t>
        </is>
      </c>
      <c r="M664" t="inlineStr">
        <is>
          <t>New York</t>
        </is>
      </c>
      <c r="N664" t="inlineStr">
        <is>
          <t>Liam Chen</t>
        </is>
      </c>
      <c r="O664" t="n">
        <v>4</v>
      </c>
      <c r="P664" s="3" t="n">
        <v>589.53</v>
      </c>
      <c r="Q664" s="4" t="n">
        <v>0.017</v>
      </c>
      <c r="R664" s="3" t="n">
        <v>2318.03</v>
      </c>
      <c r="S664" s="3" t="n">
        <v>1533.99</v>
      </c>
      <c r="T664" s="3" t="n">
        <v>773.84</v>
      </c>
      <c r="U664" s="4" t="n">
        <v>0.3338</v>
      </c>
      <c r="V664" s="3" t="n">
        <v>10.2</v>
      </c>
      <c r="W664" t="inlineStr">
        <is>
          <t>PayPal</t>
        </is>
      </c>
      <c r="X664" t="inlineStr">
        <is>
          <t>Medium</t>
        </is>
      </c>
    </row>
    <row r="665">
      <c r="A665" t="inlineStr">
        <is>
          <t>ORD-00664</t>
        </is>
      </c>
      <c r="B665" s="2" t="n">
        <v>45118</v>
      </c>
      <c r="C665" s="2" t="n">
        <v>45124</v>
      </c>
      <c r="D665" t="inlineStr">
        <is>
          <t>CUST-00664</t>
        </is>
      </c>
      <c r="E665" t="inlineStr">
        <is>
          <t>Customer 664</t>
        </is>
      </c>
      <c r="F665" t="inlineStr">
        <is>
          <t>Corporate</t>
        </is>
      </c>
      <c r="G665" t="inlineStr">
        <is>
          <t>P1005</t>
        </is>
      </c>
      <c r="H665" t="inlineStr">
        <is>
          <t>Echo Web Camera</t>
        </is>
      </c>
      <c r="I665" t="inlineStr">
        <is>
          <t>Furniture</t>
        </is>
      </c>
      <c r="J665" t="inlineStr">
        <is>
          <t>Chairs</t>
        </is>
      </c>
      <c r="K665" t="inlineStr">
        <is>
          <t>North</t>
        </is>
      </c>
      <c r="L665" t="inlineStr">
        <is>
          <t>Ontario</t>
        </is>
      </c>
      <c r="M665" t="inlineStr">
        <is>
          <t>Montreal</t>
        </is>
      </c>
      <c r="N665" t="inlineStr">
        <is>
          <t>Olivia Martin</t>
        </is>
      </c>
      <c r="O665" t="n">
        <v>3</v>
      </c>
      <c r="P665" s="3" t="n">
        <v>13.52</v>
      </c>
      <c r="Q665" s="4" t="n">
        <v>0.023</v>
      </c>
      <c r="R665" s="3" t="n">
        <v>39.63</v>
      </c>
      <c r="S665" s="3" t="n">
        <v>21.49</v>
      </c>
      <c r="T665" s="3" t="n">
        <v>9.74</v>
      </c>
      <c r="U665" s="4" t="n">
        <v>0.2458</v>
      </c>
      <c r="V665" s="3" t="n">
        <v>8.4</v>
      </c>
      <c r="W665" t="inlineStr">
        <is>
          <t>Credit Card</t>
        </is>
      </c>
      <c r="X665" t="inlineStr">
        <is>
          <t>High</t>
        </is>
      </c>
    </row>
    <row r="666">
      <c r="A666" t="inlineStr">
        <is>
          <t>ORD-00665</t>
        </is>
      </c>
      <c r="B666" s="2" t="n">
        <v>45086</v>
      </c>
      <c r="C666" s="2" t="n">
        <v>45087</v>
      </c>
      <c r="D666" t="inlineStr">
        <is>
          <t>CUST-00665</t>
        </is>
      </c>
      <c r="E666" t="inlineStr">
        <is>
          <t>Customer 665</t>
        </is>
      </c>
      <c r="F666" t="inlineStr">
        <is>
          <t>Corporate</t>
        </is>
      </c>
      <c r="G666" t="inlineStr">
        <is>
          <t>P1017</t>
        </is>
      </c>
      <c r="H666" t="inlineStr">
        <is>
          <t>ProClip Binder</t>
        </is>
      </c>
      <c r="I666" t="inlineStr">
        <is>
          <t>Outdoor</t>
        </is>
      </c>
      <c r="J666" t="inlineStr">
        <is>
          <t>Decor</t>
        </is>
      </c>
      <c r="K666" t="inlineStr">
        <is>
          <t>West</t>
        </is>
      </c>
      <c r="L666" t="inlineStr">
        <is>
          <t>California</t>
        </is>
      </c>
      <c r="M666" t="inlineStr">
        <is>
          <t>San Francisco</t>
        </is>
      </c>
      <c r="N666" t="inlineStr">
        <is>
          <t>Sophia Singh</t>
        </is>
      </c>
      <c r="O666" t="n">
        <v>3</v>
      </c>
      <c r="P666" s="3" t="n">
        <v>617.0700000000001</v>
      </c>
      <c r="Q666" s="4" t="n">
        <v>0.031</v>
      </c>
      <c r="R666" s="3" t="n">
        <v>1793.82</v>
      </c>
      <c r="S666" s="3" t="n">
        <v>1188.57</v>
      </c>
      <c r="T666" s="3" t="n">
        <v>595.85</v>
      </c>
      <c r="U666" s="4" t="n">
        <v>0.3322</v>
      </c>
      <c r="V666" s="3" t="n">
        <v>9.4</v>
      </c>
      <c r="W666" t="inlineStr">
        <is>
          <t>Bank Transfer</t>
        </is>
      </c>
      <c r="X666" t="inlineStr">
        <is>
          <t>Low</t>
        </is>
      </c>
    </row>
    <row r="667">
      <c r="A667" t="inlineStr">
        <is>
          <t>ORD-00666</t>
        </is>
      </c>
      <c r="B667" s="2" t="n">
        <v>45078</v>
      </c>
      <c r="C667" s="2" t="n">
        <v>45081</v>
      </c>
      <c r="D667" t="inlineStr">
        <is>
          <t>CUST-00666</t>
        </is>
      </c>
      <c r="E667" t="inlineStr">
        <is>
          <t>Customer 666</t>
        </is>
      </c>
      <c r="F667" t="inlineStr">
        <is>
          <t>Consumer</t>
        </is>
      </c>
      <c r="G667" t="inlineStr">
        <is>
          <t>P1009</t>
        </is>
      </c>
      <c r="H667" t="inlineStr">
        <is>
          <t>Orbit Wireless Mouse</t>
        </is>
      </c>
      <c r="I667" t="inlineStr">
        <is>
          <t>Outdoor</t>
        </is>
      </c>
      <c r="J667" t="inlineStr">
        <is>
          <t>Storage</t>
        </is>
      </c>
      <c r="K667" t="inlineStr">
        <is>
          <t>Central</t>
        </is>
      </c>
      <c r="L667" t="inlineStr">
        <is>
          <t>Minnesota</t>
        </is>
      </c>
      <c r="M667" t="inlineStr">
        <is>
          <t>Kansas City</t>
        </is>
      </c>
      <c r="N667" t="inlineStr">
        <is>
          <t>Sophia Singh</t>
        </is>
      </c>
      <c r="O667" t="n">
        <v>2</v>
      </c>
      <c r="P667" s="3" t="n">
        <v>94.59999999999999</v>
      </c>
      <c r="Q667" s="4" t="n">
        <v>0.024</v>
      </c>
      <c r="R667" s="3" t="n">
        <v>184.66</v>
      </c>
      <c r="S667" s="3" t="n">
        <v>98.59</v>
      </c>
      <c r="T667" s="3" t="n">
        <v>78.47</v>
      </c>
      <c r="U667" s="4" t="n">
        <v>0.4249</v>
      </c>
      <c r="V667" s="3" t="n">
        <v>7.6</v>
      </c>
      <c r="W667" t="inlineStr">
        <is>
          <t>Cash on Delivery</t>
        </is>
      </c>
      <c r="X667" t="inlineStr">
        <is>
          <t>High</t>
        </is>
      </c>
    </row>
    <row r="668">
      <c r="A668" t="inlineStr">
        <is>
          <t>ORD-00667</t>
        </is>
      </c>
      <c r="B668" s="2" t="n">
        <v>44954</v>
      </c>
      <c r="C668" s="2" t="n">
        <v>44958</v>
      </c>
      <c r="D668" t="inlineStr">
        <is>
          <t>CUST-00667</t>
        </is>
      </c>
      <c r="E668" t="inlineStr">
        <is>
          <t>Customer 667</t>
        </is>
      </c>
      <c r="F668" t="inlineStr">
        <is>
          <t>Home Office</t>
        </is>
      </c>
      <c r="G668" t="inlineStr">
        <is>
          <t>P1008</t>
        </is>
      </c>
      <c r="H668" t="inlineStr">
        <is>
          <t>Aero Standing Desk</t>
        </is>
      </c>
      <c r="I668" t="inlineStr">
        <is>
          <t>Office Supplies</t>
        </is>
      </c>
      <c r="J668" t="inlineStr">
        <is>
          <t>Coolers</t>
        </is>
      </c>
      <c r="K668" t="inlineStr">
        <is>
          <t>Central</t>
        </is>
      </c>
      <c r="L668" t="inlineStr">
        <is>
          <t>Kansas</t>
        </is>
      </c>
      <c r="M668" t="inlineStr">
        <is>
          <t>Minneapolis</t>
        </is>
      </c>
      <c r="N668" t="inlineStr">
        <is>
          <t>James Carter</t>
        </is>
      </c>
      <c r="O668" t="n">
        <v>3</v>
      </c>
      <c r="P668" s="3" t="n">
        <v>36.46</v>
      </c>
      <c r="Q668" s="4" t="n">
        <v>0.062</v>
      </c>
      <c r="R668" s="3" t="n">
        <v>102.6</v>
      </c>
      <c r="S668" s="3" t="n">
        <v>44.03</v>
      </c>
      <c r="T668" s="3" t="n">
        <v>50.17</v>
      </c>
      <c r="U668" s="4" t="n">
        <v>0.489</v>
      </c>
      <c r="V668" s="3" t="n">
        <v>8.4</v>
      </c>
      <c r="W668" t="inlineStr">
        <is>
          <t>Credit Card</t>
        </is>
      </c>
      <c r="X668" t="inlineStr">
        <is>
          <t>Critical</t>
        </is>
      </c>
    </row>
    <row r="669">
      <c r="A669" t="inlineStr">
        <is>
          <t>ORD-00668</t>
        </is>
      </c>
      <c r="B669" s="2" t="n">
        <v>45224</v>
      </c>
      <c r="C669" s="2" t="n">
        <v>45226</v>
      </c>
      <c r="D669" t="inlineStr">
        <is>
          <t>CUST-00668</t>
        </is>
      </c>
      <c r="E669" t="inlineStr">
        <is>
          <t>Customer 668</t>
        </is>
      </c>
      <c r="F669" t="inlineStr">
        <is>
          <t>Home Office</t>
        </is>
      </c>
      <c r="G669" t="inlineStr">
        <is>
          <t>P1007</t>
        </is>
      </c>
      <c r="H669" t="inlineStr">
        <is>
          <t>Atlas Throw Pillow</t>
        </is>
      </c>
      <c r="I669" t="inlineStr">
        <is>
          <t>Technology</t>
        </is>
      </c>
      <c r="J669" t="inlineStr">
        <is>
          <t>Video</t>
        </is>
      </c>
      <c r="K669" t="inlineStr">
        <is>
          <t>West</t>
        </is>
      </c>
      <c r="L669" t="inlineStr">
        <is>
          <t>Oregon</t>
        </is>
      </c>
      <c r="M669" t="inlineStr">
        <is>
          <t>San Francisco</t>
        </is>
      </c>
      <c r="N669" t="inlineStr">
        <is>
          <t>Mia Rodriguez</t>
        </is>
      </c>
      <c r="O669" t="n">
        <v>2</v>
      </c>
      <c r="P669" s="3" t="n">
        <v>27.01</v>
      </c>
      <c r="Q669" s="4" t="n">
        <v>0.018</v>
      </c>
      <c r="R669" s="3" t="n">
        <v>53.05</v>
      </c>
      <c r="S669" s="3" t="n">
        <v>25.61</v>
      </c>
      <c r="T669" s="3" t="n">
        <v>18.84</v>
      </c>
      <c r="U669" s="4" t="n">
        <v>0.3551</v>
      </c>
      <c r="V669" s="3" t="n">
        <v>8.6</v>
      </c>
      <c r="W669" t="inlineStr">
        <is>
          <t>Credit Card</t>
        </is>
      </c>
      <c r="X669" t="inlineStr">
        <is>
          <t>Medium</t>
        </is>
      </c>
    </row>
    <row r="670">
      <c r="A670" t="inlineStr">
        <is>
          <t>ORD-00669</t>
        </is>
      </c>
      <c r="B670" s="2" t="n">
        <v>45093</v>
      </c>
      <c r="C670" s="2" t="n">
        <v>45097</v>
      </c>
      <c r="D670" t="inlineStr">
        <is>
          <t>CUST-00669</t>
        </is>
      </c>
      <c r="E670" t="inlineStr">
        <is>
          <t>Customer 669</t>
        </is>
      </c>
      <c r="F670" t="inlineStr">
        <is>
          <t>Corporate</t>
        </is>
      </c>
      <c r="G670" t="inlineStr">
        <is>
          <t>P1005</t>
        </is>
      </c>
      <c r="H670" t="inlineStr">
        <is>
          <t>ErgoMesh Chair</t>
        </is>
      </c>
      <c r="I670" t="inlineStr">
        <is>
          <t>Furniture</t>
        </is>
      </c>
      <c r="J670" t="inlineStr">
        <is>
          <t>Video</t>
        </is>
      </c>
      <c r="K670" t="inlineStr">
        <is>
          <t>Central</t>
        </is>
      </c>
      <c r="L670" t="inlineStr">
        <is>
          <t>Illinois</t>
        </is>
      </c>
      <c r="M670" t="inlineStr">
        <is>
          <t>St. Louis</t>
        </is>
      </c>
      <c r="N670" t="inlineStr">
        <is>
          <t>Ethan Brooks</t>
        </is>
      </c>
      <c r="O670" t="n">
        <v>2</v>
      </c>
      <c r="P670" s="3" t="n">
        <v>12.46</v>
      </c>
      <c r="Q670" s="4" t="n">
        <v>0.035</v>
      </c>
      <c r="R670" s="3" t="n">
        <v>24.05</v>
      </c>
      <c r="S670" s="3" t="n">
        <v>19</v>
      </c>
      <c r="T670" s="3" t="n">
        <v>-2.55</v>
      </c>
      <c r="U670" s="4" t="n">
        <v>-0.106</v>
      </c>
      <c r="V670" s="3" t="n">
        <v>7.6</v>
      </c>
      <c r="W670" t="inlineStr">
        <is>
          <t>Debit Card</t>
        </is>
      </c>
      <c r="X670" t="inlineStr">
        <is>
          <t>Medium</t>
        </is>
      </c>
    </row>
    <row r="671">
      <c r="A671" t="inlineStr">
        <is>
          <t>ORD-00670</t>
        </is>
      </c>
      <c r="B671" s="2" t="n">
        <v>45025</v>
      </c>
      <c r="C671" s="2" t="n">
        <v>45027</v>
      </c>
      <c r="D671" t="inlineStr">
        <is>
          <t>CUST-00670</t>
        </is>
      </c>
      <c r="E671" t="inlineStr">
        <is>
          <t>Customer 670</t>
        </is>
      </c>
      <c r="F671" t="inlineStr">
        <is>
          <t>Home Office</t>
        </is>
      </c>
      <c r="G671" t="inlineStr">
        <is>
          <t>P1004</t>
        </is>
      </c>
      <c r="H671" t="inlineStr">
        <is>
          <t>Nimbus Monitor Arm</t>
        </is>
      </c>
      <c r="I671" t="inlineStr">
        <is>
          <t>Technology</t>
        </is>
      </c>
      <c r="J671" t="inlineStr">
        <is>
          <t>Peripherals</t>
        </is>
      </c>
      <c r="K671" t="inlineStr">
        <is>
          <t>West</t>
        </is>
      </c>
      <c r="L671" t="inlineStr">
        <is>
          <t>California</t>
        </is>
      </c>
      <c r="M671" t="inlineStr">
        <is>
          <t>Seattle</t>
        </is>
      </c>
      <c r="N671" t="inlineStr">
        <is>
          <t>Ethan Brooks</t>
        </is>
      </c>
      <c r="O671" t="n">
        <v>1</v>
      </c>
      <c r="P671" s="3" t="n">
        <v>611.33</v>
      </c>
      <c r="Q671" s="4" t="n">
        <v>0.011</v>
      </c>
      <c r="R671" s="3" t="n">
        <v>604.61</v>
      </c>
      <c r="S671" s="3" t="n">
        <v>390.79</v>
      </c>
      <c r="T671" s="3" t="n">
        <v>206.02</v>
      </c>
      <c r="U671" s="4" t="n">
        <v>0.3407</v>
      </c>
      <c r="V671" s="3" t="n">
        <v>7.8</v>
      </c>
      <c r="W671" t="inlineStr">
        <is>
          <t>Cash on Delivery</t>
        </is>
      </c>
      <c r="X671" t="inlineStr">
        <is>
          <t>Low</t>
        </is>
      </c>
    </row>
    <row r="672">
      <c r="A672" t="inlineStr">
        <is>
          <t>ORD-00671</t>
        </is>
      </c>
      <c r="B672" s="2" t="n">
        <v>45241</v>
      </c>
      <c r="C672" s="2" t="n">
        <v>45242</v>
      </c>
      <c r="D672" t="inlineStr">
        <is>
          <t>CUST-00671</t>
        </is>
      </c>
      <c r="E672" t="inlineStr">
        <is>
          <t>Customer 671</t>
        </is>
      </c>
      <c r="F672" t="inlineStr">
        <is>
          <t>Consumer</t>
        </is>
      </c>
      <c r="G672" t="inlineStr">
        <is>
          <t>P1003</t>
        </is>
      </c>
      <c r="H672" t="inlineStr">
        <is>
          <t>SmartInk Pen Set</t>
        </is>
      </c>
      <c r="I672" t="inlineStr">
        <is>
          <t>Home Decor</t>
        </is>
      </c>
      <c r="J672" t="inlineStr">
        <is>
          <t>Desks</t>
        </is>
      </c>
      <c r="K672" t="inlineStr">
        <is>
          <t>Central</t>
        </is>
      </c>
      <c r="L672" t="inlineStr">
        <is>
          <t>Missouri</t>
        </is>
      </c>
      <c r="M672" t="inlineStr">
        <is>
          <t>Chicago</t>
        </is>
      </c>
      <c r="N672" t="inlineStr">
        <is>
          <t>Olivia Martin</t>
        </is>
      </c>
      <c r="O672" t="n">
        <v>6</v>
      </c>
      <c r="P672" s="3" t="n">
        <v>160.07</v>
      </c>
      <c r="Q672" s="4" t="n">
        <v>0.04</v>
      </c>
      <c r="R672" s="3" t="n">
        <v>922</v>
      </c>
      <c r="S672" s="3" t="n">
        <v>474.49</v>
      </c>
      <c r="T672" s="3" t="n">
        <v>436.71</v>
      </c>
      <c r="U672" s="4" t="n">
        <v>0.4737</v>
      </c>
      <c r="V672" s="3" t="n">
        <v>10.8</v>
      </c>
      <c r="W672" t="inlineStr">
        <is>
          <t>Credit Card</t>
        </is>
      </c>
      <c r="X672" t="inlineStr">
        <is>
          <t>High</t>
        </is>
      </c>
    </row>
    <row r="673">
      <c r="A673" t="inlineStr">
        <is>
          <t>ORD-00672</t>
        </is>
      </c>
      <c r="B673" s="2" t="n">
        <v>45967</v>
      </c>
      <c r="C673" s="2" t="n">
        <v>45970</v>
      </c>
      <c r="D673" t="inlineStr">
        <is>
          <t>CUST-00672</t>
        </is>
      </c>
      <c r="E673" t="inlineStr">
        <is>
          <t>Customer 672</t>
        </is>
      </c>
      <c r="F673" t="inlineStr">
        <is>
          <t>Home Office</t>
        </is>
      </c>
      <c r="G673" t="inlineStr">
        <is>
          <t>P1008</t>
        </is>
      </c>
      <c r="H673" t="inlineStr">
        <is>
          <t>Nimbus Monitor Arm</t>
        </is>
      </c>
      <c r="I673" t="inlineStr">
        <is>
          <t>Technology</t>
        </is>
      </c>
      <c r="J673" t="inlineStr">
        <is>
          <t>Bags</t>
        </is>
      </c>
      <c r="K673" t="inlineStr">
        <is>
          <t>South</t>
        </is>
      </c>
      <c r="L673" t="inlineStr">
        <is>
          <t>Texas</t>
        </is>
      </c>
      <c r="M673" t="inlineStr">
        <is>
          <t>Miami</t>
        </is>
      </c>
      <c r="N673" t="inlineStr">
        <is>
          <t>Liam Chen</t>
        </is>
      </c>
      <c r="O673" t="n">
        <v>2</v>
      </c>
      <c r="P673" s="3" t="n">
        <v>35.41</v>
      </c>
      <c r="Q673" s="4" t="n">
        <v>0.004</v>
      </c>
      <c r="R673" s="3" t="n">
        <v>70.54000000000001</v>
      </c>
      <c r="S673" s="3" t="n">
        <v>38.66</v>
      </c>
      <c r="T673" s="3" t="n">
        <v>24.28</v>
      </c>
      <c r="U673" s="4" t="n">
        <v>0.3442</v>
      </c>
      <c r="V673" s="3" t="n">
        <v>7.6</v>
      </c>
      <c r="W673" t="inlineStr">
        <is>
          <t>Debit Card</t>
        </is>
      </c>
      <c r="X673" t="inlineStr">
        <is>
          <t>Low</t>
        </is>
      </c>
    </row>
    <row r="674">
      <c r="A674" t="inlineStr">
        <is>
          <t>ORD-00673</t>
        </is>
      </c>
      <c r="B674" s="2" t="n">
        <v>45134</v>
      </c>
      <c r="C674" s="2" t="n">
        <v>45140</v>
      </c>
      <c r="D674" t="inlineStr">
        <is>
          <t>CUST-00673</t>
        </is>
      </c>
      <c r="E674" t="inlineStr">
        <is>
          <t>Customer 673</t>
        </is>
      </c>
      <c r="F674" t="inlineStr">
        <is>
          <t>Consumer</t>
        </is>
      </c>
      <c r="G674" t="inlineStr">
        <is>
          <t>P1005</t>
        </is>
      </c>
      <c r="H674" t="inlineStr">
        <is>
          <t>Halo Planter</t>
        </is>
      </c>
      <c r="I674" t="inlineStr">
        <is>
          <t>Technology</t>
        </is>
      </c>
      <c r="J674" t="inlineStr">
        <is>
          <t>Paper</t>
        </is>
      </c>
      <c r="K674" t="inlineStr">
        <is>
          <t>East</t>
        </is>
      </c>
      <c r="L674" t="inlineStr">
        <is>
          <t>Massachusetts</t>
        </is>
      </c>
      <c r="M674" t="inlineStr">
        <is>
          <t>New York</t>
        </is>
      </c>
      <c r="N674" t="inlineStr">
        <is>
          <t>Noah Kim</t>
        </is>
      </c>
      <c r="O674" t="n">
        <v>4</v>
      </c>
      <c r="P674" s="3" t="n">
        <v>13.77</v>
      </c>
      <c r="Q674" s="4" t="n">
        <v>0.002</v>
      </c>
      <c r="R674" s="3" t="n">
        <v>54.97</v>
      </c>
      <c r="S674" s="3" t="n">
        <v>28.58</v>
      </c>
      <c r="T674" s="3" t="n">
        <v>16.19</v>
      </c>
      <c r="U674" s="4" t="n">
        <v>0.2945</v>
      </c>
      <c r="V674" s="3" t="n">
        <v>10.2</v>
      </c>
      <c r="W674" t="inlineStr">
        <is>
          <t>Credit Card</t>
        </is>
      </c>
      <c r="X674" t="inlineStr">
        <is>
          <t>Low</t>
        </is>
      </c>
    </row>
    <row r="675">
      <c r="A675" t="inlineStr">
        <is>
          <t>ORD-00674</t>
        </is>
      </c>
      <c r="B675" s="2" t="n">
        <v>45429</v>
      </c>
      <c r="C675" s="2" t="n">
        <v>45436</v>
      </c>
      <c r="D675" t="inlineStr">
        <is>
          <t>CUST-00674</t>
        </is>
      </c>
      <c r="E675" t="inlineStr">
        <is>
          <t>Customer 674</t>
        </is>
      </c>
      <c r="F675" t="inlineStr">
        <is>
          <t>Consumer</t>
        </is>
      </c>
      <c r="G675" t="inlineStr">
        <is>
          <t>P1005</t>
        </is>
      </c>
      <c r="H675" t="inlineStr">
        <is>
          <t>ProClip Binder</t>
        </is>
      </c>
      <c r="I675" t="inlineStr">
        <is>
          <t>Home Decor</t>
        </is>
      </c>
      <c r="J675" t="inlineStr">
        <is>
          <t>Storage</t>
        </is>
      </c>
      <c r="K675" t="inlineStr">
        <is>
          <t>Central</t>
        </is>
      </c>
      <c r="L675" t="inlineStr">
        <is>
          <t>Illinois</t>
        </is>
      </c>
      <c r="M675" t="inlineStr">
        <is>
          <t>Kansas City</t>
        </is>
      </c>
      <c r="N675" t="inlineStr">
        <is>
          <t>Ethan Brooks</t>
        </is>
      </c>
      <c r="O675" t="n">
        <v>2</v>
      </c>
      <c r="P675" s="3" t="n">
        <v>12.79</v>
      </c>
      <c r="Q675" s="4" t="n">
        <v>0.003</v>
      </c>
      <c r="R675" s="3" t="n">
        <v>25.5</v>
      </c>
      <c r="S675" s="3" t="n">
        <v>18.68</v>
      </c>
      <c r="T675" s="3" t="n">
        <v>-0.78</v>
      </c>
      <c r="U675" s="4" t="n">
        <v>-0.0306</v>
      </c>
      <c r="V675" s="3" t="n">
        <v>7.6</v>
      </c>
      <c r="W675" t="inlineStr">
        <is>
          <t>Debit Card</t>
        </is>
      </c>
      <c r="X675" t="inlineStr">
        <is>
          <t>Medium</t>
        </is>
      </c>
    </row>
    <row r="676">
      <c r="A676" t="inlineStr">
        <is>
          <t>ORD-00675</t>
        </is>
      </c>
      <c r="B676" s="2" t="n">
        <v>45562</v>
      </c>
      <c r="C676" s="2" t="n">
        <v>45569</v>
      </c>
      <c r="D676" t="inlineStr">
        <is>
          <t>CUST-00675</t>
        </is>
      </c>
      <c r="E676" t="inlineStr">
        <is>
          <t>Customer 675</t>
        </is>
      </c>
      <c r="F676" t="inlineStr">
        <is>
          <t>Corporate</t>
        </is>
      </c>
      <c r="G676" t="inlineStr">
        <is>
          <t>P1017</t>
        </is>
      </c>
      <c r="H676" t="inlineStr">
        <is>
          <t>Atlas Throw Pillow</t>
        </is>
      </c>
      <c r="I676" t="inlineStr">
        <is>
          <t>Furniture</t>
        </is>
      </c>
      <c r="J676" t="inlineStr">
        <is>
          <t>Lighting</t>
        </is>
      </c>
      <c r="K676" t="inlineStr">
        <is>
          <t>North</t>
        </is>
      </c>
      <c r="L676" t="inlineStr">
        <is>
          <t>Ontario</t>
        </is>
      </c>
      <c r="M676" t="inlineStr">
        <is>
          <t>Montreal</t>
        </is>
      </c>
      <c r="N676" t="inlineStr">
        <is>
          <t>Ava Patel</t>
        </is>
      </c>
      <c r="O676" t="n">
        <v>3</v>
      </c>
      <c r="P676" s="3" t="n">
        <v>540.73</v>
      </c>
      <c r="Q676" s="4" t="n">
        <v>0.029</v>
      </c>
      <c r="R676" s="3" t="n">
        <v>1575.15</v>
      </c>
      <c r="S676" s="3" t="n">
        <v>1044.4</v>
      </c>
      <c r="T676" s="3" t="n">
        <v>522.35</v>
      </c>
      <c r="U676" s="4" t="n">
        <v>0.3316</v>
      </c>
      <c r="V676" s="3" t="n">
        <v>8.4</v>
      </c>
      <c r="W676" t="inlineStr">
        <is>
          <t>Debit Card</t>
        </is>
      </c>
      <c r="X676" t="inlineStr">
        <is>
          <t>Medium</t>
        </is>
      </c>
    </row>
    <row r="677">
      <c r="A677" t="inlineStr">
        <is>
          <t>ORD-00676</t>
        </is>
      </c>
      <c r="B677" s="2" t="n">
        <v>45789</v>
      </c>
      <c r="C677" s="2" t="n">
        <v>45792</v>
      </c>
      <c r="D677" t="inlineStr">
        <is>
          <t>CUST-00676</t>
        </is>
      </c>
      <c r="E677" t="inlineStr">
        <is>
          <t>Customer 676</t>
        </is>
      </c>
      <c r="F677" t="inlineStr">
        <is>
          <t>Corporate</t>
        </is>
      </c>
      <c r="G677" t="inlineStr">
        <is>
          <t>P1015</t>
        </is>
      </c>
      <c r="H677" t="inlineStr">
        <is>
          <t>Summit Patio Set</t>
        </is>
      </c>
      <c r="I677" t="inlineStr">
        <is>
          <t>Furniture</t>
        </is>
      </c>
      <c r="J677" t="inlineStr">
        <is>
          <t>Binders</t>
        </is>
      </c>
      <c r="K677" t="inlineStr">
        <is>
          <t>South</t>
        </is>
      </c>
      <c r="L677" t="inlineStr">
        <is>
          <t>North Carolina</t>
        </is>
      </c>
      <c r="M677" t="inlineStr">
        <is>
          <t>Houston</t>
        </is>
      </c>
      <c r="N677" t="inlineStr">
        <is>
          <t>Mia Rodriguez</t>
        </is>
      </c>
      <c r="O677" t="n">
        <v>4</v>
      </c>
      <c r="P677" s="3" t="n">
        <v>66.01000000000001</v>
      </c>
      <c r="Q677" s="4" t="n">
        <v>0.077</v>
      </c>
      <c r="R677" s="3" t="n">
        <v>243.71</v>
      </c>
      <c r="S677" s="3" t="n">
        <v>113.31</v>
      </c>
      <c r="T677" s="3" t="n">
        <v>121.2</v>
      </c>
      <c r="U677" s="4" t="n">
        <v>0.4973</v>
      </c>
      <c r="V677" s="3" t="n">
        <v>9.199999999999999</v>
      </c>
      <c r="W677" t="inlineStr">
        <is>
          <t>PayPal</t>
        </is>
      </c>
      <c r="X677" t="inlineStr">
        <is>
          <t>Critical</t>
        </is>
      </c>
    </row>
    <row r="678">
      <c r="A678" t="inlineStr">
        <is>
          <t>ORD-00677</t>
        </is>
      </c>
      <c r="B678" s="2" t="n">
        <v>45038</v>
      </c>
      <c r="C678" s="2" t="n">
        <v>45040</v>
      </c>
      <c r="D678" t="inlineStr">
        <is>
          <t>CUST-00677</t>
        </is>
      </c>
      <c r="E678" t="inlineStr">
        <is>
          <t>Customer 677</t>
        </is>
      </c>
      <c r="F678" t="inlineStr">
        <is>
          <t>Consumer</t>
        </is>
      </c>
      <c r="G678" t="inlineStr">
        <is>
          <t>P1008</t>
        </is>
      </c>
      <c r="H678" t="inlineStr">
        <is>
          <t>Lumen Desk Lamp</t>
        </is>
      </c>
      <c r="I678" t="inlineStr">
        <is>
          <t>Technology</t>
        </is>
      </c>
      <c r="J678" t="inlineStr">
        <is>
          <t>Textiles</t>
        </is>
      </c>
      <c r="K678" t="inlineStr">
        <is>
          <t>Central</t>
        </is>
      </c>
      <c r="L678" t="inlineStr">
        <is>
          <t>Missouri</t>
        </is>
      </c>
      <c r="M678" t="inlineStr">
        <is>
          <t>Kansas City</t>
        </is>
      </c>
      <c r="N678" t="inlineStr">
        <is>
          <t>Olivia Martin</t>
        </is>
      </c>
      <c r="O678" t="n">
        <v>3</v>
      </c>
      <c r="P678" s="3" t="n">
        <v>36.67</v>
      </c>
      <c r="Q678" s="4" t="n">
        <v>0.023</v>
      </c>
      <c r="R678" s="3" t="n">
        <v>107.48</v>
      </c>
      <c r="S678" s="3" t="n">
        <v>48.06</v>
      </c>
      <c r="T678" s="3" t="n">
        <v>51.02</v>
      </c>
      <c r="U678" s="4" t="n">
        <v>0.4747</v>
      </c>
      <c r="V678" s="3" t="n">
        <v>8.4</v>
      </c>
      <c r="W678" t="inlineStr">
        <is>
          <t>Credit Card</t>
        </is>
      </c>
      <c r="X678" t="inlineStr">
        <is>
          <t>Medium</t>
        </is>
      </c>
    </row>
    <row r="679">
      <c r="A679" t="inlineStr">
        <is>
          <t>ORD-00678</t>
        </is>
      </c>
      <c r="B679" s="2" t="n">
        <v>45573</v>
      </c>
      <c r="C679" s="2" t="n">
        <v>45580</v>
      </c>
      <c r="D679" t="inlineStr">
        <is>
          <t>CUST-00678</t>
        </is>
      </c>
      <c r="E679" t="inlineStr">
        <is>
          <t>Customer 678</t>
        </is>
      </c>
      <c r="F679" t="inlineStr">
        <is>
          <t>Consumer</t>
        </is>
      </c>
      <c r="G679" t="inlineStr">
        <is>
          <t>P1007</t>
        </is>
      </c>
      <c r="H679" t="inlineStr">
        <is>
          <t>Orbit Wireless Mouse</t>
        </is>
      </c>
      <c r="I679" t="inlineStr">
        <is>
          <t>Furniture</t>
        </is>
      </c>
      <c r="J679" t="inlineStr">
        <is>
          <t>Accessories</t>
        </is>
      </c>
      <c r="K679" t="inlineStr">
        <is>
          <t>Central</t>
        </is>
      </c>
      <c r="L679" t="inlineStr">
        <is>
          <t>Illinois</t>
        </is>
      </c>
      <c r="M679" t="inlineStr">
        <is>
          <t>St. Louis</t>
        </is>
      </c>
      <c r="N679" t="inlineStr">
        <is>
          <t>Ava Patel</t>
        </is>
      </c>
      <c r="O679" t="n">
        <v>1</v>
      </c>
      <c r="P679" s="3" t="n">
        <v>25.76</v>
      </c>
      <c r="Q679" s="4" t="n">
        <v>0.047</v>
      </c>
      <c r="R679" s="3" t="n">
        <v>24.55</v>
      </c>
      <c r="S679" s="3" t="n">
        <v>14.17</v>
      </c>
      <c r="T679" s="3" t="n">
        <v>3.58</v>
      </c>
      <c r="U679" s="4" t="n">
        <v>0.1458</v>
      </c>
      <c r="V679" s="3" t="n">
        <v>6.8</v>
      </c>
      <c r="W679" t="inlineStr">
        <is>
          <t>Bank Transfer</t>
        </is>
      </c>
      <c r="X679" t="inlineStr">
        <is>
          <t>High</t>
        </is>
      </c>
    </row>
    <row r="680">
      <c r="A680" t="inlineStr">
        <is>
          <t>ORD-00679</t>
        </is>
      </c>
      <c r="B680" s="2" t="n">
        <v>45673</v>
      </c>
      <c r="C680" s="2" t="n">
        <v>45678</v>
      </c>
      <c r="D680" t="inlineStr">
        <is>
          <t>CUST-00679</t>
        </is>
      </c>
      <c r="E680" t="inlineStr">
        <is>
          <t>Customer 679</t>
        </is>
      </c>
      <c r="F680" t="inlineStr">
        <is>
          <t>Consumer</t>
        </is>
      </c>
      <c r="G680" t="inlineStr">
        <is>
          <t>P1017</t>
        </is>
      </c>
      <c r="H680" t="inlineStr">
        <is>
          <t>Pulse Keyboard</t>
        </is>
      </c>
      <c r="I680" t="inlineStr">
        <is>
          <t>Outdoor</t>
        </is>
      </c>
      <c r="J680" t="inlineStr">
        <is>
          <t>Peripherals</t>
        </is>
      </c>
      <c r="K680" t="inlineStr">
        <is>
          <t>Central</t>
        </is>
      </c>
      <c r="L680" t="inlineStr">
        <is>
          <t>Illinois</t>
        </is>
      </c>
      <c r="M680" t="inlineStr">
        <is>
          <t>St. Louis</t>
        </is>
      </c>
      <c r="N680" t="inlineStr">
        <is>
          <t>Ava Patel</t>
        </is>
      </c>
      <c r="O680" t="n">
        <v>2</v>
      </c>
      <c r="P680" s="3" t="n">
        <v>552.45</v>
      </c>
      <c r="Q680" s="4" t="n">
        <v>0.057</v>
      </c>
      <c r="R680" s="3" t="n">
        <v>1041.92</v>
      </c>
      <c r="S680" s="3" t="n">
        <v>699.1900000000001</v>
      </c>
      <c r="T680" s="3" t="n">
        <v>335.13</v>
      </c>
      <c r="U680" s="4" t="n">
        <v>0.3216</v>
      </c>
      <c r="V680" s="3" t="n">
        <v>7.6</v>
      </c>
      <c r="W680" t="inlineStr">
        <is>
          <t>Bank Transfer</t>
        </is>
      </c>
      <c r="X680" t="inlineStr">
        <is>
          <t>Critical</t>
        </is>
      </c>
    </row>
    <row r="681">
      <c r="A681" t="inlineStr">
        <is>
          <t>ORD-00680</t>
        </is>
      </c>
      <c r="B681" s="2" t="n">
        <v>45693</v>
      </c>
      <c r="C681" s="2" t="n">
        <v>45697</v>
      </c>
      <c r="D681" t="inlineStr">
        <is>
          <t>CUST-00680</t>
        </is>
      </c>
      <c r="E681" t="inlineStr">
        <is>
          <t>Customer 680</t>
        </is>
      </c>
      <c r="F681" t="inlineStr">
        <is>
          <t>Consumer</t>
        </is>
      </c>
      <c r="G681" t="inlineStr">
        <is>
          <t>P1012</t>
        </is>
      </c>
      <c r="H681" t="inlineStr">
        <is>
          <t>ProClip Binder</t>
        </is>
      </c>
      <c r="I681" t="inlineStr">
        <is>
          <t>Furniture</t>
        </is>
      </c>
      <c r="J681" t="inlineStr">
        <is>
          <t>Accessories</t>
        </is>
      </c>
      <c r="K681" t="inlineStr">
        <is>
          <t>West</t>
        </is>
      </c>
      <c r="L681" t="inlineStr">
        <is>
          <t>Colorado</t>
        </is>
      </c>
      <c r="M681" t="inlineStr">
        <is>
          <t>Denver</t>
        </is>
      </c>
      <c r="N681" t="inlineStr">
        <is>
          <t>Olivia Martin</t>
        </is>
      </c>
      <c r="O681" t="n">
        <v>4</v>
      </c>
      <c r="P681" s="3" t="n">
        <v>135.9</v>
      </c>
      <c r="Q681" s="4" t="n">
        <v>0.009000000000000001</v>
      </c>
      <c r="R681" s="3" t="n">
        <v>538.71</v>
      </c>
      <c r="S681" s="3" t="n">
        <v>274.02</v>
      </c>
      <c r="T681" s="3" t="n">
        <v>254.49</v>
      </c>
      <c r="U681" s="4" t="n">
        <v>0.4724</v>
      </c>
      <c r="V681" s="3" t="n">
        <v>10.2</v>
      </c>
      <c r="W681" t="inlineStr">
        <is>
          <t>Cash on Delivery</t>
        </is>
      </c>
      <c r="X681" t="inlineStr">
        <is>
          <t>Low</t>
        </is>
      </c>
    </row>
    <row r="682">
      <c r="A682" t="inlineStr">
        <is>
          <t>ORD-00681</t>
        </is>
      </c>
      <c r="B682" s="2" t="n">
        <v>45678</v>
      </c>
      <c r="C682" s="2" t="n">
        <v>45684</v>
      </c>
      <c r="D682" t="inlineStr">
        <is>
          <t>CUST-00681</t>
        </is>
      </c>
      <c r="E682" t="inlineStr">
        <is>
          <t>Customer 681</t>
        </is>
      </c>
      <c r="F682" t="inlineStr">
        <is>
          <t>Consumer</t>
        </is>
      </c>
      <c r="G682" t="inlineStr">
        <is>
          <t>P1004</t>
        </is>
      </c>
      <c r="H682" t="inlineStr">
        <is>
          <t>Tide Cooler</t>
        </is>
      </c>
      <c r="I682" t="inlineStr">
        <is>
          <t>Furniture</t>
        </is>
      </c>
      <c r="J682" t="inlineStr">
        <is>
          <t>Decor</t>
        </is>
      </c>
      <c r="K682" t="inlineStr">
        <is>
          <t>Central</t>
        </is>
      </c>
      <c r="L682" t="inlineStr">
        <is>
          <t>Illinois</t>
        </is>
      </c>
      <c r="M682" t="inlineStr">
        <is>
          <t>Minneapolis</t>
        </is>
      </c>
      <c r="N682" t="inlineStr">
        <is>
          <t>Mia Rodriguez</t>
        </is>
      </c>
      <c r="O682" t="n">
        <v>3</v>
      </c>
      <c r="P682" s="3" t="n">
        <v>607.26</v>
      </c>
      <c r="Q682" s="4" t="n">
        <v>0.005</v>
      </c>
      <c r="R682" s="3" t="n">
        <v>1812.67</v>
      </c>
      <c r="S682" s="3" t="n">
        <v>1150.63</v>
      </c>
      <c r="T682" s="3" t="n">
        <v>653.64</v>
      </c>
      <c r="U682" s="4" t="n">
        <v>0.3606</v>
      </c>
      <c r="V682" s="3" t="n">
        <v>8.4</v>
      </c>
      <c r="W682" t="inlineStr">
        <is>
          <t>Credit Card</t>
        </is>
      </c>
      <c r="X682" t="inlineStr">
        <is>
          <t>Medium</t>
        </is>
      </c>
    </row>
    <row r="683">
      <c r="A683" t="inlineStr">
        <is>
          <t>ORD-00682</t>
        </is>
      </c>
      <c r="B683" s="2" t="n">
        <v>44986</v>
      </c>
      <c r="C683" s="2" t="n">
        <v>44992</v>
      </c>
      <c r="D683" t="inlineStr">
        <is>
          <t>CUST-00682</t>
        </is>
      </c>
      <c r="E683" t="inlineStr">
        <is>
          <t>Customer 682</t>
        </is>
      </c>
      <c r="F683" t="inlineStr">
        <is>
          <t>Consumer</t>
        </is>
      </c>
      <c r="G683" t="inlineStr">
        <is>
          <t>P1020</t>
        </is>
      </c>
      <c r="H683" t="inlineStr">
        <is>
          <t>Halo Planter</t>
        </is>
      </c>
      <c r="I683" t="inlineStr">
        <is>
          <t>Furniture</t>
        </is>
      </c>
      <c r="J683" t="inlineStr">
        <is>
          <t>Paper</t>
        </is>
      </c>
      <c r="K683" t="inlineStr">
        <is>
          <t>South</t>
        </is>
      </c>
      <c r="L683" t="inlineStr">
        <is>
          <t>Florida</t>
        </is>
      </c>
      <c r="M683" t="inlineStr">
        <is>
          <t>Miami</t>
        </is>
      </c>
      <c r="N683" t="inlineStr">
        <is>
          <t>Sophia Singh</t>
        </is>
      </c>
      <c r="O683" t="n">
        <v>3</v>
      </c>
      <c r="P683" s="3" t="n">
        <v>72.95999999999999</v>
      </c>
      <c r="Q683" s="4" t="n">
        <v>0.055</v>
      </c>
      <c r="R683" s="3" t="n">
        <v>206.84</v>
      </c>
      <c r="S683" s="3" t="n">
        <v>98.84</v>
      </c>
      <c r="T683" s="3" t="n">
        <v>99.59999999999999</v>
      </c>
      <c r="U683" s="4" t="n">
        <v>0.4815</v>
      </c>
      <c r="V683" s="3" t="n">
        <v>8.4</v>
      </c>
      <c r="W683" t="inlineStr">
        <is>
          <t>Bank Transfer</t>
        </is>
      </c>
      <c r="X683" t="inlineStr">
        <is>
          <t>Critical</t>
        </is>
      </c>
    </row>
    <row r="684">
      <c r="A684" t="inlineStr">
        <is>
          <t>ORD-00683</t>
        </is>
      </c>
      <c r="B684" s="2" t="n">
        <v>44974</v>
      </c>
      <c r="C684" s="2" t="n">
        <v>44981</v>
      </c>
      <c r="D684" t="inlineStr">
        <is>
          <t>CUST-00683</t>
        </is>
      </c>
      <c r="E684" t="inlineStr">
        <is>
          <t>Customer 683</t>
        </is>
      </c>
      <c r="F684" t="inlineStr">
        <is>
          <t>Consumer</t>
        </is>
      </c>
      <c r="G684" t="inlineStr">
        <is>
          <t>P1018</t>
        </is>
      </c>
      <c r="H684" t="inlineStr">
        <is>
          <t>Atlas Throw Pillow</t>
        </is>
      </c>
      <c r="I684" t="inlineStr">
        <is>
          <t>Office Supplies</t>
        </is>
      </c>
      <c r="J684" t="inlineStr">
        <is>
          <t>Binders</t>
        </is>
      </c>
      <c r="K684" t="inlineStr">
        <is>
          <t>West</t>
        </is>
      </c>
      <c r="L684" t="inlineStr">
        <is>
          <t>Colorado</t>
        </is>
      </c>
      <c r="M684" t="inlineStr">
        <is>
          <t>Denver</t>
        </is>
      </c>
      <c r="N684" t="inlineStr">
        <is>
          <t>Liam Chen</t>
        </is>
      </c>
      <c r="O684" t="n">
        <v>1</v>
      </c>
      <c r="P684" s="3" t="n">
        <v>89.17</v>
      </c>
      <c r="Q684" s="4" t="n">
        <v>0.025</v>
      </c>
      <c r="R684" s="3" t="n">
        <v>86.94</v>
      </c>
      <c r="S684" s="3" t="n">
        <v>44.38</v>
      </c>
      <c r="T684" s="3" t="n">
        <v>34.76</v>
      </c>
      <c r="U684" s="4" t="n">
        <v>0.3998</v>
      </c>
      <c r="V684" s="3" t="n">
        <v>7.8</v>
      </c>
      <c r="W684" t="inlineStr">
        <is>
          <t>PayPal</t>
        </is>
      </c>
      <c r="X684" t="inlineStr">
        <is>
          <t>Medium</t>
        </is>
      </c>
    </row>
    <row r="685">
      <c r="A685" t="inlineStr">
        <is>
          <t>ORD-00684</t>
        </is>
      </c>
      <c r="B685" s="2" t="n">
        <v>46015</v>
      </c>
      <c r="C685" s="2" t="n">
        <v>46018</v>
      </c>
      <c r="D685" t="inlineStr">
        <is>
          <t>CUST-00684</t>
        </is>
      </c>
      <c r="E685" t="inlineStr">
        <is>
          <t>Customer 684</t>
        </is>
      </c>
      <c r="F685" t="inlineStr">
        <is>
          <t>Home Office</t>
        </is>
      </c>
      <c r="G685" t="inlineStr">
        <is>
          <t>P1004</t>
        </is>
      </c>
      <c r="H685" t="inlineStr">
        <is>
          <t>Harbor Rug</t>
        </is>
      </c>
      <c r="I685" t="inlineStr">
        <is>
          <t>Office Supplies</t>
        </is>
      </c>
      <c r="J685" t="inlineStr">
        <is>
          <t>Chairs</t>
        </is>
      </c>
      <c r="K685" t="inlineStr">
        <is>
          <t>East</t>
        </is>
      </c>
      <c r="L685" t="inlineStr">
        <is>
          <t>Massachusetts</t>
        </is>
      </c>
      <c r="M685" t="inlineStr">
        <is>
          <t>Philadelphia</t>
        </is>
      </c>
      <c r="N685" t="inlineStr">
        <is>
          <t>James Carter</t>
        </is>
      </c>
      <c r="O685" t="n">
        <v>3</v>
      </c>
      <c r="P685" s="3" t="n">
        <v>685.9</v>
      </c>
      <c r="Q685" s="4" t="n">
        <v>0.024</v>
      </c>
      <c r="R685" s="3" t="n">
        <v>2008.32</v>
      </c>
      <c r="S685" s="3" t="n">
        <v>1271.36</v>
      </c>
      <c r="T685" s="3" t="n">
        <v>727.5599999999999</v>
      </c>
      <c r="U685" s="4" t="n">
        <v>0.3623</v>
      </c>
      <c r="V685" s="3" t="n">
        <v>9.4</v>
      </c>
      <c r="W685" t="inlineStr">
        <is>
          <t>Credit Card</t>
        </is>
      </c>
      <c r="X685" t="inlineStr">
        <is>
          <t>Medium</t>
        </is>
      </c>
    </row>
    <row r="686">
      <c r="A686" t="inlineStr">
        <is>
          <t>ORD-00685</t>
        </is>
      </c>
      <c r="B686" s="2" t="n">
        <v>45798</v>
      </c>
      <c r="C686" s="2" t="n">
        <v>45801</v>
      </c>
      <c r="D686" t="inlineStr">
        <is>
          <t>CUST-00685</t>
        </is>
      </c>
      <c r="E686" t="inlineStr">
        <is>
          <t>Customer 685</t>
        </is>
      </c>
      <c r="F686" t="inlineStr">
        <is>
          <t>Corporate</t>
        </is>
      </c>
      <c r="G686" t="inlineStr">
        <is>
          <t>P1010</t>
        </is>
      </c>
      <c r="H686" t="inlineStr">
        <is>
          <t>Atlas Throw Pillow</t>
        </is>
      </c>
      <c r="I686" t="inlineStr">
        <is>
          <t>Outdoor</t>
        </is>
      </c>
      <c r="J686" t="inlineStr">
        <is>
          <t>Flooring</t>
        </is>
      </c>
      <c r="K686" t="inlineStr">
        <is>
          <t>North</t>
        </is>
      </c>
      <c r="L686" t="inlineStr">
        <is>
          <t>British Columbia</t>
        </is>
      </c>
      <c r="M686" t="inlineStr">
        <is>
          <t>Vancouver</t>
        </is>
      </c>
      <c r="N686" t="inlineStr">
        <is>
          <t>Sophia Singh</t>
        </is>
      </c>
      <c r="O686" t="n">
        <v>3</v>
      </c>
      <c r="P686" s="3" t="n">
        <v>54.04</v>
      </c>
      <c r="Q686" s="4" t="n">
        <v>0.038</v>
      </c>
      <c r="R686" s="3" t="n">
        <v>155.96</v>
      </c>
      <c r="S686" s="3" t="n">
        <v>71.73</v>
      </c>
      <c r="T686" s="3" t="n">
        <v>75.83</v>
      </c>
      <c r="U686" s="4" t="n">
        <v>0.4862</v>
      </c>
      <c r="V686" s="3" t="n">
        <v>8.4</v>
      </c>
      <c r="W686" t="inlineStr">
        <is>
          <t>Credit Card</t>
        </is>
      </c>
      <c r="X686" t="inlineStr">
        <is>
          <t>Medium</t>
        </is>
      </c>
    </row>
    <row r="687">
      <c r="A687" t="inlineStr">
        <is>
          <t>ORD-00686</t>
        </is>
      </c>
      <c r="B687" s="2" t="n">
        <v>45359</v>
      </c>
      <c r="C687" s="2" t="n">
        <v>45361</v>
      </c>
      <c r="D687" t="inlineStr">
        <is>
          <t>CUST-00686</t>
        </is>
      </c>
      <c r="E687" t="inlineStr">
        <is>
          <t>Customer 686</t>
        </is>
      </c>
      <c r="F687" t="inlineStr">
        <is>
          <t>Consumer</t>
        </is>
      </c>
      <c r="G687" t="inlineStr">
        <is>
          <t>P1003</t>
        </is>
      </c>
      <c r="H687" t="inlineStr">
        <is>
          <t>Lumen Desk Lamp</t>
        </is>
      </c>
      <c r="I687" t="inlineStr">
        <is>
          <t>Furniture</t>
        </is>
      </c>
      <c r="J687" t="inlineStr">
        <is>
          <t>Accessories</t>
        </is>
      </c>
      <c r="K687" t="inlineStr">
        <is>
          <t>West</t>
        </is>
      </c>
      <c r="L687" t="inlineStr">
        <is>
          <t>Colorado</t>
        </is>
      </c>
      <c r="M687" t="inlineStr">
        <is>
          <t>Los Angeles</t>
        </is>
      </c>
      <c r="N687" t="inlineStr">
        <is>
          <t>Noah Kim</t>
        </is>
      </c>
      <c r="O687" t="n">
        <v>3</v>
      </c>
      <c r="P687" s="3" t="n">
        <v>152.28</v>
      </c>
      <c r="Q687" s="4" t="n">
        <v>0.017</v>
      </c>
      <c r="R687" s="3" t="n">
        <v>449.07</v>
      </c>
      <c r="S687" s="3" t="n">
        <v>233.49</v>
      </c>
      <c r="T687" s="3" t="n">
        <v>206.18</v>
      </c>
      <c r="U687" s="4" t="n">
        <v>0.4591</v>
      </c>
      <c r="V687" s="3" t="n">
        <v>9.4</v>
      </c>
      <c r="W687" t="inlineStr">
        <is>
          <t>Credit Card</t>
        </is>
      </c>
      <c r="X687" t="inlineStr">
        <is>
          <t>High</t>
        </is>
      </c>
    </row>
    <row r="688">
      <c r="A688" t="inlineStr">
        <is>
          <t>ORD-00687</t>
        </is>
      </c>
      <c r="B688" s="2" t="n">
        <v>45392</v>
      </c>
      <c r="C688" s="2" t="n">
        <v>45397</v>
      </c>
      <c r="D688" t="inlineStr">
        <is>
          <t>CUST-00687</t>
        </is>
      </c>
      <c r="E688" t="inlineStr">
        <is>
          <t>Customer 687</t>
        </is>
      </c>
      <c r="F688" t="inlineStr">
        <is>
          <t>Home Office</t>
        </is>
      </c>
      <c r="G688" t="inlineStr">
        <is>
          <t>P1005</t>
        </is>
      </c>
      <c r="H688" t="inlineStr">
        <is>
          <t>Trail Tote</t>
        </is>
      </c>
      <c r="I688" t="inlineStr">
        <is>
          <t>Furniture</t>
        </is>
      </c>
      <c r="J688" t="inlineStr">
        <is>
          <t>Accessories</t>
        </is>
      </c>
      <c r="K688" t="inlineStr">
        <is>
          <t>East</t>
        </is>
      </c>
      <c r="L688" t="inlineStr">
        <is>
          <t>Virginia</t>
        </is>
      </c>
      <c r="M688" t="inlineStr">
        <is>
          <t>Boston</t>
        </is>
      </c>
      <c r="N688" t="inlineStr">
        <is>
          <t>Liam Chen</t>
        </is>
      </c>
      <c r="O688" t="n">
        <v>2</v>
      </c>
      <c r="P688" s="3" t="n">
        <v>12.9</v>
      </c>
      <c r="Q688" s="4" t="n">
        <v>0.015</v>
      </c>
      <c r="R688" s="3" t="n">
        <v>25.41</v>
      </c>
      <c r="S688" s="3" t="n">
        <v>17.31</v>
      </c>
      <c r="T688" s="3" t="n">
        <v>-0.5</v>
      </c>
      <c r="U688" s="4" t="n">
        <v>-0.0197</v>
      </c>
      <c r="V688" s="3" t="n">
        <v>8.6</v>
      </c>
      <c r="W688" t="inlineStr">
        <is>
          <t>Credit Card</t>
        </is>
      </c>
      <c r="X688" t="inlineStr">
        <is>
          <t>High</t>
        </is>
      </c>
    </row>
    <row r="689">
      <c r="A689" t="inlineStr">
        <is>
          <t>ORD-00688</t>
        </is>
      </c>
      <c r="B689" s="2" t="n">
        <v>45278</v>
      </c>
      <c r="C689" s="2" t="n">
        <v>45282</v>
      </c>
      <c r="D689" t="inlineStr">
        <is>
          <t>CUST-00688</t>
        </is>
      </c>
      <c r="E689" t="inlineStr">
        <is>
          <t>Customer 688</t>
        </is>
      </c>
      <c r="F689" t="inlineStr">
        <is>
          <t>Corporate</t>
        </is>
      </c>
      <c r="G689" t="inlineStr">
        <is>
          <t>P1012</t>
        </is>
      </c>
      <c r="H689" t="inlineStr">
        <is>
          <t>Echo Web Camera</t>
        </is>
      </c>
      <c r="I689" t="inlineStr">
        <is>
          <t>Office Supplies</t>
        </is>
      </c>
      <c r="J689" t="inlineStr">
        <is>
          <t>Binders</t>
        </is>
      </c>
      <c r="K689" t="inlineStr">
        <is>
          <t>East</t>
        </is>
      </c>
      <c r="L689" t="inlineStr">
        <is>
          <t>New York</t>
        </is>
      </c>
      <c r="M689" t="inlineStr">
        <is>
          <t>Boston</t>
        </is>
      </c>
      <c r="N689" t="inlineStr">
        <is>
          <t>Olivia Martin</t>
        </is>
      </c>
      <c r="O689" t="n">
        <v>4</v>
      </c>
      <c r="P689" s="3" t="n">
        <v>135.22</v>
      </c>
      <c r="Q689" s="4" t="n">
        <v>0.075</v>
      </c>
      <c r="R689" s="3" t="n">
        <v>500.31</v>
      </c>
      <c r="S689" s="3" t="n">
        <v>250.56</v>
      </c>
      <c r="T689" s="3" t="n">
        <v>239.55</v>
      </c>
      <c r="U689" s="4" t="n">
        <v>0.4788</v>
      </c>
      <c r="V689" s="3" t="n">
        <v>10.2</v>
      </c>
      <c r="W689" t="inlineStr">
        <is>
          <t>Bank Transfer</t>
        </is>
      </c>
      <c r="X689" t="inlineStr">
        <is>
          <t>Critical</t>
        </is>
      </c>
    </row>
    <row r="690">
      <c r="A690" t="inlineStr">
        <is>
          <t>ORD-00689</t>
        </is>
      </c>
      <c r="B690" s="2" t="n">
        <v>45853</v>
      </c>
      <c r="C690" s="2" t="n">
        <v>45858</v>
      </c>
      <c r="D690" t="inlineStr">
        <is>
          <t>CUST-00689</t>
        </is>
      </c>
      <c r="E690" t="inlineStr">
        <is>
          <t>Customer 689</t>
        </is>
      </c>
      <c r="F690" t="inlineStr">
        <is>
          <t>Consumer</t>
        </is>
      </c>
      <c r="G690" t="inlineStr">
        <is>
          <t>P1005</t>
        </is>
      </c>
      <c r="H690" t="inlineStr">
        <is>
          <t>Cove Wall Clock</t>
        </is>
      </c>
      <c r="I690" t="inlineStr">
        <is>
          <t>Technology</t>
        </is>
      </c>
      <c r="J690" t="inlineStr">
        <is>
          <t>Bags</t>
        </is>
      </c>
      <c r="K690" t="inlineStr">
        <is>
          <t>East</t>
        </is>
      </c>
      <c r="L690" t="inlineStr">
        <is>
          <t>Virginia</t>
        </is>
      </c>
      <c r="M690" t="inlineStr">
        <is>
          <t>Boston</t>
        </is>
      </c>
      <c r="N690" t="inlineStr">
        <is>
          <t>Mia Rodriguez</t>
        </is>
      </c>
      <c r="O690" t="n">
        <v>3</v>
      </c>
      <c r="P690" s="3" t="n">
        <v>12.75</v>
      </c>
      <c r="Q690" s="4" t="n">
        <v>0.02</v>
      </c>
      <c r="R690" s="3" t="n">
        <v>37.48</v>
      </c>
      <c r="S690" s="3" t="n">
        <v>17.55</v>
      </c>
      <c r="T690" s="3" t="n">
        <v>10.53</v>
      </c>
      <c r="U690" s="4" t="n">
        <v>0.2809</v>
      </c>
      <c r="V690" s="3" t="n">
        <v>9.4</v>
      </c>
      <c r="W690" t="inlineStr">
        <is>
          <t>Credit Card</t>
        </is>
      </c>
      <c r="X690" t="inlineStr">
        <is>
          <t>Critical</t>
        </is>
      </c>
    </row>
    <row r="691">
      <c r="A691" t="inlineStr">
        <is>
          <t>ORD-00690</t>
        </is>
      </c>
      <c r="B691" s="2" t="n">
        <v>45097</v>
      </c>
      <c r="C691" s="2" t="n">
        <v>45103</v>
      </c>
      <c r="D691" t="inlineStr">
        <is>
          <t>CUST-00690</t>
        </is>
      </c>
      <c r="E691" t="inlineStr">
        <is>
          <t>Customer 690</t>
        </is>
      </c>
      <c r="F691" t="inlineStr">
        <is>
          <t>Consumer</t>
        </is>
      </c>
      <c r="G691" t="inlineStr">
        <is>
          <t>P1005</t>
        </is>
      </c>
      <c r="H691" t="inlineStr">
        <is>
          <t>CloudDrive File Box</t>
        </is>
      </c>
      <c r="I691" t="inlineStr">
        <is>
          <t>Home Decor</t>
        </is>
      </c>
      <c r="J691" t="inlineStr">
        <is>
          <t>Storage</t>
        </is>
      </c>
      <c r="K691" t="inlineStr">
        <is>
          <t>East</t>
        </is>
      </c>
      <c r="L691" t="inlineStr">
        <is>
          <t>Massachusetts</t>
        </is>
      </c>
      <c r="M691" t="inlineStr">
        <is>
          <t>Philadelphia</t>
        </is>
      </c>
      <c r="N691" t="inlineStr">
        <is>
          <t>Olivia Martin</t>
        </is>
      </c>
      <c r="O691" t="n">
        <v>3</v>
      </c>
      <c r="P691" s="3" t="n">
        <v>13.79</v>
      </c>
      <c r="Q691" s="4" t="n">
        <v>0.011</v>
      </c>
      <c r="R691" s="3" t="n">
        <v>40.91</v>
      </c>
      <c r="S691" s="3" t="n">
        <v>18.41</v>
      </c>
      <c r="T691" s="3" t="n">
        <v>13.1</v>
      </c>
      <c r="U691" s="4" t="n">
        <v>0.3202</v>
      </c>
      <c r="V691" s="3" t="n">
        <v>9.4</v>
      </c>
      <c r="W691" t="inlineStr">
        <is>
          <t>Cash on Delivery</t>
        </is>
      </c>
      <c r="X691" t="inlineStr">
        <is>
          <t>High</t>
        </is>
      </c>
    </row>
    <row r="692">
      <c r="A692" t="inlineStr">
        <is>
          <t>ORD-00691</t>
        </is>
      </c>
      <c r="B692" s="2" t="n">
        <v>45609</v>
      </c>
      <c r="C692" s="2" t="n">
        <v>45614</v>
      </c>
      <c r="D692" t="inlineStr">
        <is>
          <t>CUST-00691</t>
        </is>
      </c>
      <c r="E692" t="inlineStr">
        <is>
          <t>Customer 691</t>
        </is>
      </c>
      <c r="F692" t="inlineStr">
        <is>
          <t>Consumer</t>
        </is>
      </c>
      <c r="G692" t="inlineStr">
        <is>
          <t>P1004</t>
        </is>
      </c>
      <c r="H692" t="inlineStr">
        <is>
          <t>ProClip Binder</t>
        </is>
      </c>
      <c r="I692" t="inlineStr">
        <is>
          <t>Office Supplies</t>
        </is>
      </c>
      <c r="J692" t="inlineStr">
        <is>
          <t>Desks</t>
        </is>
      </c>
      <c r="K692" t="inlineStr">
        <is>
          <t>West</t>
        </is>
      </c>
      <c r="L692" t="inlineStr">
        <is>
          <t>Colorado</t>
        </is>
      </c>
      <c r="M692" t="inlineStr">
        <is>
          <t>Los Angeles</t>
        </is>
      </c>
      <c r="N692" t="inlineStr">
        <is>
          <t>Mia Rodriguez</t>
        </is>
      </c>
      <c r="O692" t="n">
        <v>2</v>
      </c>
      <c r="P692" s="3" t="n">
        <v>711.4</v>
      </c>
      <c r="Q692" s="4" t="n">
        <v>0.024</v>
      </c>
      <c r="R692" s="3" t="n">
        <v>1388.65</v>
      </c>
      <c r="S692" s="3" t="n">
        <v>882.6</v>
      </c>
      <c r="T692" s="3" t="n">
        <v>497.45</v>
      </c>
      <c r="U692" s="4" t="n">
        <v>0.3582</v>
      </c>
      <c r="V692" s="3" t="n">
        <v>8.6</v>
      </c>
      <c r="W692" t="inlineStr">
        <is>
          <t>Debit Card</t>
        </is>
      </c>
      <c r="X692" t="inlineStr">
        <is>
          <t>High</t>
        </is>
      </c>
    </row>
    <row r="693">
      <c r="A693" t="inlineStr">
        <is>
          <t>ORD-00692</t>
        </is>
      </c>
      <c r="B693" s="2" t="n">
        <v>45470</v>
      </c>
      <c r="C693" s="2" t="n">
        <v>45477</v>
      </c>
      <c r="D693" t="inlineStr">
        <is>
          <t>CUST-00692</t>
        </is>
      </c>
      <c r="E693" t="inlineStr">
        <is>
          <t>Customer 692</t>
        </is>
      </c>
      <c r="F693" t="inlineStr">
        <is>
          <t>Consumer</t>
        </is>
      </c>
      <c r="G693" t="inlineStr">
        <is>
          <t>P1006</t>
        </is>
      </c>
      <c r="H693" t="inlineStr">
        <is>
          <t>Cove Wall Clock</t>
        </is>
      </c>
      <c r="I693" t="inlineStr">
        <is>
          <t>Technology</t>
        </is>
      </c>
      <c r="J693" t="inlineStr">
        <is>
          <t>Binders</t>
        </is>
      </c>
      <c r="K693" t="inlineStr">
        <is>
          <t>Central</t>
        </is>
      </c>
      <c r="L693" t="inlineStr">
        <is>
          <t>Kansas</t>
        </is>
      </c>
      <c r="M693" t="inlineStr">
        <is>
          <t>Kansas City</t>
        </is>
      </c>
      <c r="N693" t="inlineStr">
        <is>
          <t>Mia Rodriguez</t>
        </is>
      </c>
      <c r="O693" t="n">
        <v>2</v>
      </c>
      <c r="P693" s="3" t="n">
        <v>19.38</v>
      </c>
      <c r="Q693" s="4" t="n">
        <v>0.019</v>
      </c>
      <c r="R693" s="3" t="n">
        <v>38.02</v>
      </c>
      <c r="S693" s="3" t="n">
        <v>21.08</v>
      </c>
      <c r="T693" s="3" t="n">
        <v>9.34</v>
      </c>
      <c r="U693" s="4" t="n">
        <v>0.2457</v>
      </c>
      <c r="V693" s="3" t="n">
        <v>7.6</v>
      </c>
      <c r="W693" t="inlineStr">
        <is>
          <t>Bank Transfer</t>
        </is>
      </c>
      <c r="X693" t="inlineStr">
        <is>
          <t>Low</t>
        </is>
      </c>
    </row>
    <row r="694">
      <c r="A694" t="inlineStr">
        <is>
          <t>ORD-00693</t>
        </is>
      </c>
      <c r="B694" s="2" t="n">
        <v>45422</v>
      </c>
      <c r="C694" s="2" t="n">
        <v>45424</v>
      </c>
      <c r="D694" t="inlineStr">
        <is>
          <t>CUST-00693</t>
        </is>
      </c>
      <c r="E694" t="inlineStr">
        <is>
          <t>Customer 693</t>
        </is>
      </c>
      <c r="F694" t="inlineStr">
        <is>
          <t>Consumer</t>
        </is>
      </c>
      <c r="G694" t="inlineStr">
        <is>
          <t>P1010</t>
        </is>
      </c>
      <c r="H694" t="inlineStr">
        <is>
          <t>Halo Planter</t>
        </is>
      </c>
      <c r="I694" t="inlineStr">
        <is>
          <t>Home Decor</t>
        </is>
      </c>
      <c r="J694" t="inlineStr">
        <is>
          <t>Video</t>
        </is>
      </c>
      <c r="K694" t="inlineStr">
        <is>
          <t>East</t>
        </is>
      </c>
      <c r="L694" t="inlineStr">
        <is>
          <t>Virginia</t>
        </is>
      </c>
      <c r="M694" t="inlineStr">
        <is>
          <t>New York</t>
        </is>
      </c>
      <c r="N694" t="inlineStr">
        <is>
          <t>Ava Patel</t>
        </is>
      </c>
      <c r="O694" t="n">
        <v>3</v>
      </c>
      <c r="P694" s="3" t="n">
        <v>53.7</v>
      </c>
      <c r="Q694" s="4" t="n">
        <v>0.019</v>
      </c>
      <c r="R694" s="3" t="n">
        <v>158.04</v>
      </c>
      <c r="S694" s="3" t="n">
        <v>72.92</v>
      </c>
      <c r="T694" s="3" t="n">
        <v>75.72</v>
      </c>
      <c r="U694" s="4" t="n">
        <v>0.4791</v>
      </c>
      <c r="V694" s="3" t="n">
        <v>9.4</v>
      </c>
      <c r="W694" t="inlineStr">
        <is>
          <t>PayPal</t>
        </is>
      </c>
      <c r="X694" t="inlineStr">
        <is>
          <t>High</t>
        </is>
      </c>
    </row>
    <row r="695">
      <c r="A695" t="inlineStr">
        <is>
          <t>ORD-00694</t>
        </is>
      </c>
      <c r="B695" s="2" t="n">
        <v>45025</v>
      </c>
      <c r="C695" s="2" t="n">
        <v>45030</v>
      </c>
      <c r="D695" t="inlineStr">
        <is>
          <t>CUST-00694</t>
        </is>
      </c>
      <c r="E695" t="inlineStr">
        <is>
          <t>Customer 694</t>
        </is>
      </c>
      <c r="F695" t="inlineStr">
        <is>
          <t>Corporate</t>
        </is>
      </c>
      <c r="G695" t="inlineStr">
        <is>
          <t>P1006</t>
        </is>
      </c>
      <c r="H695" t="inlineStr">
        <is>
          <t>Trail Tote</t>
        </is>
      </c>
      <c r="I695" t="inlineStr">
        <is>
          <t>Home Decor</t>
        </is>
      </c>
      <c r="J695" t="inlineStr">
        <is>
          <t>Video</t>
        </is>
      </c>
      <c r="K695" t="inlineStr">
        <is>
          <t>North</t>
        </is>
      </c>
      <c r="L695" t="inlineStr">
        <is>
          <t>Alberta</t>
        </is>
      </c>
      <c r="M695" t="inlineStr">
        <is>
          <t>Toronto</t>
        </is>
      </c>
      <c r="N695" t="inlineStr">
        <is>
          <t>Olivia Martin</t>
        </is>
      </c>
      <c r="O695" t="n">
        <v>3</v>
      </c>
      <c r="P695" s="3" t="n">
        <v>18.49</v>
      </c>
      <c r="Q695" s="4" t="n">
        <v>0.018</v>
      </c>
      <c r="R695" s="3" t="n">
        <v>54.47</v>
      </c>
      <c r="S695" s="3" t="n">
        <v>21.16</v>
      </c>
      <c r="T695" s="3" t="n">
        <v>24.91</v>
      </c>
      <c r="U695" s="4" t="n">
        <v>0.4573</v>
      </c>
      <c r="V695" s="3" t="n">
        <v>8.4</v>
      </c>
      <c r="W695" t="inlineStr">
        <is>
          <t>PayPal</t>
        </is>
      </c>
      <c r="X695" t="inlineStr">
        <is>
          <t>Medium</t>
        </is>
      </c>
    </row>
    <row r="696">
      <c r="A696" t="inlineStr">
        <is>
          <t>ORD-00695</t>
        </is>
      </c>
      <c r="B696" s="2" t="n">
        <v>45090</v>
      </c>
      <c r="C696" s="2" t="n">
        <v>45094</v>
      </c>
      <c r="D696" t="inlineStr">
        <is>
          <t>CUST-00695</t>
        </is>
      </c>
      <c r="E696" t="inlineStr">
        <is>
          <t>Customer 695</t>
        </is>
      </c>
      <c r="F696" t="inlineStr">
        <is>
          <t>Corporate</t>
        </is>
      </c>
      <c r="G696" t="inlineStr">
        <is>
          <t>P1001</t>
        </is>
      </c>
      <c r="H696" t="inlineStr">
        <is>
          <t>Nimbus Monitor Arm</t>
        </is>
      </c>
      <c r="I696" t="inlineStr">
        <is>
          <t>Outdoor</t>
        </is>
      </c>
      <c r="J696" t="inlineStr">
        <is>
          <t>Writing</t>
        </is>
      </c>
      <c r="K696" t="inlineStr">
        <is>
          <t>East</t>
        </is>
      </c>
      <c r="L696" t="inlineStr">
        <is>
          <t>Virginia</t>
        </is>
      </c>
      <c r="M696" t="inlineStr">
        <is>
          <t>Boston</t>
        </is>
      </c>
      <c r="N696" t="inlineStr">
        <is>
          <t>James Carter</t>
        </is>
      </c>
      <c r="O696" t="n">
        <v>3</v>
      </c>
      <c r="P696" s="3" t="n">
        <v>314.57</v>
      </c>
      <c r="Q696" s="4" t="n">
        <v>0.024</v>
      </c>
      <c r="R696" s="3" t="n">
        <v>921.0599999999999</v>
      </c>
      <c r="S696" s="3" t="n">
        <v>543.17</v>
      </c>
      <c r="T696" s="3" t="n">
        <v>368.49</v>
      </c>
      <c r="U696" s="4" t="n">
        <v>0.4001</v>
      </c>
      <c r="V696" s="3" t="n">
        <v>9.4</v>
      </c>
      <c r="W696" t="inlineStr">
        <is>
          <t>Debit Card</t>
        </is>
      </c>
      <c r="X696" t="inlineStr">
        <is>
          <t>High</t>
        </is>
      </c>
    </row>
    <row r="697">
      <c r="A697" t="inlineStr">
        <is>
          <t>ORD-00696</t>
        </is>
      </c>
      <c r="B697" s="2" t="n">
        <v>45415</v>
      </c>
      <c r="C697" s="2" t="n">
        <v>45421</v>
      </c>
      <c r="D697" t="inlineStr">
        <is>
          <t>CUST-00696</t>
        </is>
      </c>
      <c r="E697" t="inlineStr">
        <is>
          <t>Customer 696</t>
        </is>
      </c>
      <c r="F697" t="inlineStr">
        <is>
          <t>Corporate</t>
        </is>
      </c>
      <c r="G697" t="inlineStr">
        <is>
          <t>P1016</t>
        </is>
      </c>
      <c r="H697" t="inlineStr">
        <is>
          <t>SmartInk Pen Set</t>
        </is>
      </c>
      <c r="I697" t="inlineStr">
        <is>
          <t>Office Supplies</t>
        </is>
      </c>
      <c r="J697" t="inlineStr">
        <is>
          <t>Textiles</t>
        </is>
      </c>
      <c r="K697" t="inlineStr">
        <is>
          <t>Central</t>
        </is>
      </c>
      <c r="L697" t="inlineStr">
        <is>
          <t>Illinois</t>
        </is>
      </c>
      <c r="M697" t="inlineStr">
        <is>
          <t>St. Louis</t>
        </is>
      </c>
      <c r="N697" t="inlineStr">
        <is>
          <t>Mia Rodriguez</t>
        </is>
      </c>
      <c r="O697" t="n">
        <v>2</v>
      </c>
      <c r="P697" s="3" t="n">
        <v>36.12</v>
      </c>
      <c r="Q697" s="4" t="n">
        <v>0.043</v>
      </c>
      <c r="R697" s="3" t="n">
        <v>69.13</v>
      </c>
      <c r="S697" s="3" t="n">
        <v>31.28</v>
      </c>
      <c r="T697" s="3" t="n">
        <v>30.25</v>
      </c>
      <c r="U697" s="4" t="n">
        <v>0.4376</v>
      </c>
      <c r="V697" s="3" t="n">
        <v>7.6</v>
      </c>
      <c r="W697" t="inlineStr">
        <is>
          <t>Debit Card</t>
        </is>
      </c>
      <c r="X697" t="inlineStr">
        <is>
          <t>Critical</t>
        </is>
      </c>
    </row>
    <row r="698">
      <c r="A698" t="inlineStr">
        <is>
          <t>ORD-00697</t>
        </is>
      </c>
      <c r="B698" s="2" t="n">
        <v>45191</v>
      </c>
      <c r="C698" s="2" t="n">
        <v>45192</v>
      </c>
      <c r="D698" t="inlineStr">
        <is>
          <t>CUST-00697</t>
        </is>
      </c>
      <c r="E698" t="inlineStr">
        <is>
          <t>Customer 697</t>
        </is>
      </c>
      <c r="F698" t="inlineStr">
        <is>
          <t>Consumer</t>
        </is>
      </c>
      <c r="G698" t="inlineStr">
        <is>
          <t>P1011</t>
        </is>
      </c>
      <c r="H698" t="inlineStr">
        <is>
          <t>Atlas Throw Pillow</t>
        </is>
      </c>
      <c r="I698" t="inlineStr">
        <is>
          <t>Furniture</t>
        </is>
      </c>
      <c r="J698" t="inlineStr">
        <is>
          <t>Writing</t>
        </is>
      </c>
      <c r="K698" t="inlineStr">
        <is>
          <t>Central</t>
        </is>
      </c>
      <c r="L698" t="inlineStr">
        <is>
          <t>Missouri</t>
        </is>
      </c>
      <c r="M698" t="inlineStr">
        <is>
          <t>Kansas City</t>
        </is>
      </c>
      <c r="N698" t="inlineStr">
        <is>
          <t>Noah Kim</t>
        </is>
      </c>
      <c r="O698" t="n">
        <v>4</v>
      </c>
      <c r="P698" s="3" t="n">
        <v>88.55</v>
      </c>
      <c r="Q698" s="4" t="n">
        <v>0.013</v>
      </c>
      <c r="R698" s="3" t="n">
        <v>349.6</v>
      </c>
      <c r="S698" s="3" t="n">
        <v>170</v>
      </c>
      <c r="T698" s="3" t="n">
        <v>170.4</v>
      </c>
      <c r="U698" s="4" t="n">
        <v>0.4874</v>
      </c>
      <c r="V698" s="3" t="n">
        <v>9.199999999999999</v>
      </c>
      <c r="W698" t="inlineStr">
        <is>
          <t>Cash on Delivery</t>
        </is>
      </c>
      <c r="X698" t="inlineStr">
        <is>
          <t>Medium</t>
        </is>
      </c>
    </row>
    <row r="699">
      <c r="A699" t="inlineStr">
        <is>
          <t>ORD-00698</t>
        </is>
      </c>
      <c r="B699" s="2" t="n">
        <v>45439</v>
      </c>
      <c r="C699" s="2" t="n">
        <v>45445</v>
      </c>
      <c r="D699" t="inlineStr">
        <is>
          <t>CUST-00698</t>
        </is>
      </c>
      <c r="E699" t="inlineStr">
        <is>
          <t>Customer 698</t>
        </is>
      </c>
      <c r="F699" t="inlineStr">
        <is>
          <t>Corporate</t>
        </is>
      </c>
      <c r="G699" t="inlineStr">
        <is>
          <t>P1006</t>
        </is>
      </c>
      <c r="H699" t="inlineStr">
        <is>
          <t>Lumen Desk Lamp</t>
        </is>
      </c>
      <c r="I699" t="inlineStr">
        <is>
          <t>Furniture</t>
        </is>
      </c>
      <c r="J699" t="inlineStr">
        <is>
          <t>Accessories</t>
        </is>
      </c>
      <c r="K699" t="inlineStr">
        <is>
          <t>Central</t>
        </is>
      </c>
      <c r="L699" t="inlineStr">
        <is>
          <t>Kansas</t>
        </is>
      </c>
      <c r="M699" t="inlineStr">
        <is>
          <t>Kansas City</t>
        </is>
      </c>
      <c r="N699" t="inlineStr">
        <is>
          <t>Noah Kim</t>
        </is>
      </c>
      <c r="O699" t="n">
        <v>2</v>
      </c>
      <c r="P699" s="3" t="n">
        <v>17.41</v>
      </c>
      <c r="Q699" s="4" t="n">
        <v>0.061</v>
      </c>
      <c r="R699" s="3" t="n">
        <v>32.7</v>
      </c>
      <c r="S699" s="3" t="n">
        <v>19.27</v>
      </c>
      <c r="T699" s="3" t="n">
        <v>5.83</v>
      </c>
      <c r="U699" s="4" t="n">
        <v>0.1783</v>
      </c>
      <c r="V699" s="3" t="n">
        <v>7.6</v>
      </c>
      <c r="W699" t="inlineStr">
        <is>
          <t>PayPal</t>
        </is>
      </c>
      <c r="X699" t="inlineStr">
        <is>
          <t>Critical</t>
        </is>
      </c>
    </row>
    <row r="700">
      <c r="A700" t="inlineStr">
        <is>
          <t>ORD-00699</t>
        </is>
      </c>
      <c r="B700" s="2" t="n">
        <v>45161</v>
      </c>
      <c r="C700" s="2" t="n">
        <v>45162</v>
      </c>
      <c r="D700" t="inlineStr">
        <is>
          <t>CUST-00699</t>
        </is>
      </c>
      <c r="E700" t="inlineStr">
        <is>
          <t>Customer 699</t>
        </is>
      </c>
      <c r="F700" t="inlineStr">
        <is>
          <t>Corporate</t>
        </is>
      </c>
      <c r="G700" t="inlineStr">
        <is>
          <t>P1020</t>
        </is>
      </c>
      <c r="H700" t="inlineStr">
        <is>
          <t>Summit Patio Set</t>
        </is>
      </c>
      <c r="I700" t="inlineStr">
        <is>
          <t>Outdoor</t>
        </is>
      </c>
      <c r="J700" t="inlineStr">
        <is>
          <t>Flooring</t>
        </is>
      </c>
      <c r="K700" t="inlineStr">
        <is>
          <t>West</t>
        </is>
      </c>
      <c r="L700" t="inlineStr">
        <is>
          <t>Washington</t>
        </is>
      </c>
      <c r="M700" t="inlineStr">
        <is>
          <t>Seattle</t>
        </is>
      </c>
      <c r="N700" t="inlineStr">
        <is>
          <t>Mia Rodriguez</t>
        </is>
      </c>
      <c r="O700" t="n">
        <v>3</v>
      </c>
      <c r="P700" s="3" t="n">
        <v>77.47</v>
      </c>
      <c r="Q700" s="4" t="n">
        <v>0.062</v>
      </c>
      <c r="R700" s="3" t="n">
        <v>218</v>
      </c>
      <c r="S700" s="3" t="n">
        <v>107.35</v>
      </c>
      <c r="T700" s="3" t="n">
        <v>101.25</v>
      </c>
      <c r="U700" s="4" t="n">
        <v>0.4644</v>
      </c>
      <c r="V700" s="3" t="n">
        <v>9.4</v>
      </c>
      <c r="W700" t="inlineStr">
        <is>
          <t>PayPal</t>
        </is>
      </c>
      <c r="X700" t="inlineStr">
        <is>
          <t>High</t>
        </is>
      </c>
    </row>
    <row r="701">
      <c r="A701" t="inlineStr">
        <is>
          <t>ORD-00700</t>
        </is>
      </c>
      <c r="B701" s="2" t="n">
        <v>45325</v>
      </c>
      <c r="C701" s="2" t="n">
        <v>45329</v>
      </c>
      <c r="D701" t="inlineStr">
        <is>
          <t>CUST-00700</t>
        </is>
      </c>
      <c r="E701" t="inlineStr">
        <is>
          <t>Customer 700</t>
        </is>
      </c>
      <c r="F701" t="inlineStr">
        <is>
          <t>Home Office</t>
        </is>
      </c>
      <c r="G701" t="inlineStr">
        <is>
          <t>P1018</t>
        </is>
      </c>
      <c r="H701" t="inlineStr">
        <is>
          <t>Pulse Keyboard</t>
        </is>
      </c>
      <c r="I701" t="inlineStr">
        <is>
          <t>Outdoor</t>
        </is>
      </c>
      <c r="J701" t="inlineStr">
        <is>
          <t>Bags</t>
        </is>
      </c>
      <c r="K701" t="inlineStr">
        <is>
          <t>Central</t>
        </is>
      </c>
      <c r="L701" t="inlineStr">
        <is>
          <t>Illinois</t>
        </is>
      </c>
      <c r="M701" t="inlineStr">
        <is>
          <t>Minneapolis</t>
        </is>
      </c>
      <c r="N701" t="inlineStr">
        <is>
          <t>Olivia Martin</t>
        </is>
      </c>
      <c r="O701" t="n">
        <v>5</v>
      </c>
      <c r="P701" s="3" t="n">
        <v>85.13</v>
      </c>
      <c r="Q701" s="4" t="n">
        <v>0.01</v>
      </c>
      <c r="R701" s="3" t="n">
        <v>421.39</v>
      </c>
      <c r="S701" s="3" t="n">
        <v>186.78</v>
      </c>
      <c r="T701" s="3" t="n">
        <v>224.61</v>
      </c>
      <c r="U701" s="4" t="n">
        <v>0.533</v>
      </c>
      <c r="V701" s="3" t="n">
        <v>10</v>
      </c>
      <c r="W701" t="inlineStr">
        <is>
          <t>Debit Card</t>
        </is>
      </c>
      <c r="X701" t="inlineStr">
        <is>
          <t>Medium</t>
        </is>
      </c>
    </row>
    <row r="702">
      <c r="A702" t="inlineStr">
        <is>
          <t>ORD-00701</t>
        </is>
      </c>
      <c r="B702" s="2" t="n">
        <v>45383</v>
      </c>
      <c r="C702" s="2" t="n">
        <v>45389</v>
      </c>
      <c r="D702" t="inlineStr">
        <is>
          <t>CUST-00701</t>
        </is>
      </c>
      <c r="E702" t="inlineStr">
        <is>
          <t>Customer 701</t>
        </is>
      </c>
      <c r="F702" t="inlineStr">
        <is>
          <t>Consumer</t>
        </is>
      </c>
      <c r="G702" t="inlineStr">
        <is>
          <t>P1006</t>
        </is>
      </c>
      <c r="H702" t="inlineStr">
        <is>
          <t>Nimbus Monitor Arm</t>
        </is>
      </c>
      <c r="I702" t="inlineStr">
        <is>
          <t>Office Supplies</t>
        </is>
      </c>
      <c r="J702" t="inlineStr">
        <is>
          <t>Accessories</t>
        </is>
      </c>
      <c r="K702" t="inlineStr">
        <is>
          <t>West</t>
        </is>
      </c>
      <c r="L702" t="inlineStr">
        <is>
          <t>Oregon</t>
        </is>
      </c>
      <c r="M702" t="inlineStr">
        <is>
          <t>Denver</t>
        </is>
      </c>
      <c r="N702" t="inlineStr">
        <is>
          <t>Liam Chen</t>
        </is>
      </c>
      <c r="O702" t="n">
        <v>3</v>
      </c>
      <c r="P702" s="3" t="n">
        <v>18.32</v>
      </c>
      <c r="Q702" s="4" t="n">
        <v>0.025</v>
      </c>
      <c r="R702" s="3" t="n">
        <v>53.59</v>
      </c>
      <c r="S702" s="3" t="n">
        <v>24.71</v>
      </c>
      <c r="T702" s="3" t="n">
        <v>19.48</v>
      </c>
      <c r="U702" s="4" t="n">
        <v>0.3635</v>
      </c>
      <c r="V702" s="3" t="n">
        <v>9.4</v>
      </c>
      <c r="W702" t="inlineStr">
        <is>
          <t>Credit Card</t>
        </is>
      </c>
      <c r="X702" t="inlineStr">
        <is>
          <t>Low</t>
        </is>
      </c>
    </row>
    <row r="703">
      <c r="A703" t="inlineStr">
        <is>
          <t>ORD-00702</t>
        </is>
      </c>
      <c r="B703" s="2" t="n">
        <v>45079</v>
      </c>
      <c r="C703" s="2" t="n">
        <v>45085</v>
      </c>
      <c r="D703" t="inlineStr">
        <is>
          <t>CUST-00702</t>
        </is>
      </c>
      <c r="E703" t="inlineStr">
        <is>
          <t>Customer 702</t>
        </is>
      </c>
      <c r="F703" t="inlineStr">
        <is>
          <t>Home Office</t>
        </is>
      </c>
      <c r="G703" t="inlineStr">
        <is>
          <t>P1017</t>
        </is>
      </c>
      <c r="H703" t="inlineStr">
        <is>
          <t>CloudDrive File Box</t>
        </is>
      </c>
      <c r="I703" t="inlineStr">
        <is>
          <t>Office Supplies</t>
        </is>
      </c>
      <c r="J703" t="inlineStr">
        <is>
          <t>Peripherals</t>
        </is>
      </c>
      <c r="K703" t="inlineStr">
        <is>
          <t>East</t>
        </is>
      </c>
      <c r="L703" t="inlineStr">
        <is>
          <t>New York</t>
        </is>
      </c>
      <c r="M703" t="inlineStr">
        <is>
          <t>Philadelphia</t>
        </is>
      </c>
      <c r="N703" t="inlineStr">
        <is>
          <t>Olivia Martin</t>
        </is>
      </c>
      <c r="O703" t="n">
        <v>2</v>
      </c>
      <c r="P703" s="3" t="n">
        <v>583.58</v>
      </c>
      <c r="Q703" s="4" t="n">
        <v>0.014</v>
      </c>
      <c r="R703" s="3" t="n">
        <v>1150.82</v>
      </c>
      <c r="S703" s="3" t="n">
        <v>766.67</v>
      </c>
      <c r="T703" s="3" t="n">
        <v>375.55</v>
      </c>
      <c r="U703" s="4" t="n">
        <v>0.3263</v>
      </c>
      <c r="V703" s="3" t="n">
        <v>8.6</v>
      </c>
      <c r="W703" t="inlineStr">
        <is>
          <t>Credit Card</t>
        </is>
      </c>
      <c r="X703" t="inlineStr">
        <is>
          <t>High</t>
        </is>
      </c>
    </row>
    <row r="704">
      <c r="A704" t="inlineStr">
        <is>
          <t>ORD-00703</t>
        </is>
      </c>
      <c r="B704" s="2" t="n">
        <v>45637</v>
      </c>
      <c r="C704" s="2" t="n">
        <v>45643</v>
      </c>
      <c r="D704" t="inlineStr">
        <is>
          <t>CUST-00703</t>
        </is>
      </c>
      <c r="E704" t="inlineStr">
        <is>
          <t>Customer 703</t>
        </is>
      </c>
      <c r="F704" t="inlineStr">
        <is>
          <t>Home Office</t>
        </is>
      </c>
      <c r="G704" t="inlineStr">
        <is>
          <t>P1012</t>
        </is>
      </c>
      <c r="H704" t="inlineStr">
        <is>
          <t>Northstar Lantern</t>
        </is>
      </c>
      <c r="I704" t="inlineStr">
        <is>
          <t>Home Decor</t>
        </is>
      </c>
      <c r="J704" t="inlineStr">
        <is>
          <t>Writing</t>
        </is>
      </c>
      <c r="K704" t="inlineStr">
        <is>
          <t>East</t>
        </is>
      </c>
      <c r="L704" t="inlineStr">
        <is>
          <t>Virginia</t>
        </is>
      </c>
      <c r="M704" t="inlineStr">
        <is>
          <t>Washington</t>
        </is>
      </c>
      <c r="N704" t="inlineStr">
        <is>
          <t>Noah Kim</t>
        </is>
      </c>
      <c r="O704" t="n">
        <v>2</v>
      </c>
      <c r="P704" s="3" t="n">
        <v>135.68</v>
      </c>
      <c r="Q704" s="4" t="n">
        <v>0.012</v>
      </c>
      <c r="R704" s="3" t="n">
        <v>268.1</v>
      </c>
      <c r="S704" s="3" t="n">
        <v>137.37</v>
      </c>
      <c r="T704" s="3" t="n">
        <v>122.13</v>
      </c>
      <c r="U704" s="4" t="n">
        <v>0.4555</v>
      </c>
      <c r="V704" s="3" t="n">
        <v>8.6</v>
      </c>
      <c r="W704" t="inlineStr">
        <is>
          <t>Cash on Delivery</t>
        </is>
      </c>
      <c r="X704" t="inlineStr">
        <is>
          <t>High</t>
        </is>
      </c>
    </row>
    <row r="705">
      <c r="A705" t="inlineStr">
        <is>
          <t>ORD-00704</t>
        </is>
      </c>
      <c r="B705" s="2" t="n">
        <v>45091</v>
      </c>
      <c r="C705" s="2" t="n">
        <v>45097</v>
      </c>
      <c r="D705" t="inlineStr">
        <is>
          <t>CUST-00704</t>
        </is>
      </c>
      <c r="E705" t="inlineStr">
        <is>
          <t>Customer 704</t>
        </is>
      </c>
      <c r="F705" t="inlineStr">
        <is>
          <t>Corporate</t>
        </is>
      </c>
      <c r="G705" t="inlineStr">
        <is>
          <t>P1017</t>
        </is>
      </c>
      <c r="H705" t="inlineStr">
        <is>
          <t>Tide Cooler</t>
        </is>
      </c>
      <c r="I705" t="inlineStr">
        <is>
          <t>Outdoor</t>
        </is>
      </c>
      <c r="J705" t="inlineStr">
        <is>
          <t>Plants</t>
        </is>
      </c>
      <c r="K705" t="inlineStr">
        <is>
          <t>East</t>
        </is>
      </c>
      <c r="L705" t="inlineStr">
        <is>
          <t>Massachusetts</t>
        </is>
      </c>
      <c r="M705" t="inlineStr">
        <is>
          <t>New York</t>
        </is>
      </c>
      <c r="N705" t="inlineStr">
        <is>
          <t>Liam Chen</t>
        </is>
      </c>
      <c r="O705" t="n">
        <v>4</v>
      </c>
      <c r="P705" s="3" t="n">
        <v>607.11</v>
      </c>
      <c r="Q705" s="4" t="n">
        <v>0.018</v>
      </c>
      <c r="R705" s="3" t="n">
        <v>2384.73</v>
      </c>
      <c r="S705" s="3" t="n">
        <v>1585.57</v>
      </c>
      <c r="T705" s="3" t="n">
        <v>788.96</v>
      </c>
      <c r="U705" s="4" t="n">
        <v>0.3308</v>
      </c>
      <c r="V705" s="3" t="n">
        <v>10.2</v>
      </c>
      <c r="W705" t="inlineStr">
        <is>
          <t>Bank Transfer</t>
        </is>
      </c>
      <c r="X705" t="inlineStr">
        <is>
          <t>Medium</t>
        </is>
      </c>
    </row>
    <row r="706">
      <c r="A706" t="inlineStr">
        <is>
          <t>ORD-00705</t>
        </is>
      </c>
      <c r="B706" s="2" t="n">
        <v>45179</v>
      </c>
      <c r="C706" s="2" t="n">
        <v>45181</v>
      </c>
      <c r="D706" t="inlineStr">
        <is>
          <t>CUST-00705</t>
        </is>
      </c>
      <c r="E706" t="inlineStr">
        <is>
          <t>Customer 705</t>
        </is>
      </c>
      <c r="F706" t="inlineStr">
        <is>
          <t>Corporate</t>
        </is>
      </c>
      <c r="G706" t="inlineStr">
        <is>
          <t>P1018</t>
        </is>
      </c>
      <c r="H706" t="inlineStr">
        <is>
          <t>SmartInk Pen Set</t>
        </is>
      </c>
      <c r="I706" t="inlineStr">
        <is>
          <t>Home Decor</t>
        </is>
      </c>
      <c r="J706" t="inlineStr">
        <is>
          <t>Chairs</t>
        </is>
      </c>
      <c r="K706" t="inlineStr">
        <is>
          <t>West</t>
        </is>
      </c>
      <c r="L706" t="inlineStr">
        <is>
          <t>Washington</t>
        </is>
      </c>
      <c r="M706" t="inlineStr">
        <is>
          <t>Denver</t>
        </is>
      </c>
      <c r="N706" t="inlineStr">
        <is>
          <t>James Carter</t>
        </is>
      </c>
      <c r="O706" t="n">
        <v>3</v>
      </c>
      <c r="P706" s="3" t="n">
        <v>92.43000000000001</v>
      </c>
      <c r="Q706" s="4" t="n">
        <v>0.018</v>
      </c>
      <c r="R706" s="3" t="n">
        <v>272.3</v>
      </c>
      <c r="S706" s="3" t="n">
        <v>128.73</v>
      </c>
      <c r="T706" s="3" t="n">
        <v>134.17</v>
      </c>
      <c r="U706" s="4" t="n">
        <v>0.4927</v>
      </c>
      <c r="V706" s="3" t="n">
        <v>9.4</v>
      </c>
      <c r="W706" t="inlineStr">
        <is>
          <t>Cash on Delivery</t>
        </is>
      </c>
      <c r="X706" t="inlineStr">
        <is>
          <t>Medium</t>
        </is>
      </c>
    </row>
    <row r="707">
      <c r="A707" t="inlineStr">
        <is>
          <t>ORD-00706</t>
        </is>
      </c>
      <c r="B707" s="2" t="n">
        <v>45754</v>
      </c>
      <c r="C707" s="2" t="n">
        <v>45757</v>
      </c>
      <c r="D707" t="inlineStr">
        <is>
          <t>CUST-00706</t>
        </is>
      </c>
      <c r="E707" t="inlineStr">
        <is>
          <t>Customer 706</t>
        </is>
      </c>
      <c r="F707" t="inlineStr">
        <is>
          <t>Consumer</t>
        </is>
      </c>
      <c r="G707" t="inlineStr">
        <is>
          <t>P1010</t>
        </is>
      </c>
      <c r="H707" t="inlineStr">
        <is>
          <t>Atlas Throw Pillow</t>
        </is>
      </c>
      <c r="I707" t="inlineStr">
        <is>
          <t>Furniture</t>
        </is>
      </c>
      <c r="J707" t="inlineStr">
        <is>
          <t>Lighting</t>
        </is>
      </c>
      <c r="K707" t="inlineStr">
        <is>
          <t>Central</t>
        </is>
      </c>
      <c r="L707" t="inlineStr">
        <is>
          <t>Minnesota</t>
        </is>
      </c>
      <c r="M707" t="inlineStr">
        <is>
          <t>Chicago</t>
        </is>
      </c>
      <c r="N707" t="inlineStr">
        <is>
          <t>Liam Chen</t>
        </is>
      </c>
      <c r="O707" t="n">
        <v>3</v>
      </c>
      <c r="P707" s="3" t="n">
        <v>51.32</v>
      </c>
      <c r="Q707" s="4" t="n">
        <v>0.024</v>
      </c>
      <c r="R707" s="3" t="n">
        <v>150.26</v>
      </c>
      <c r="S707" s="3" t="n">
        <v>70.03</v>
      </c>
      <c r="T707" s="3" t="n">
        <v>71.83</v>
      </c>
      <c r="U707" s="4" t="n">
        <v>0.478</v>
      </c>
      <c r="V707" s="3" t="n">
        <v>8.4</v>
      </c>
      <c r="W707" t="inlineStr">
        <is>
          <t>Bank Transfer</t>
        </is>
      </c>
      <c r="X707" t="inlineStr">
        <is>
          <t>Medium</t>
        </is>
      </c>
    </row>
    <row r="708">
      <c r="A708" t="inlineStr">
        <is>
          <t>ORD-00707</t>
        </is>
      </c>
      <c r="B708" s="2" t="n">
        <v>45374</v>
      </c>
      <c r="C708" s="2" t="n">
        <v>45380</v>
      </c>
      <c r="D708" t="inlineStr">
        <is>
          <t>CUST-00707</t>
        </is>
      </c>
      <c r="E708" t="inlineStr">
        <is>
          <t>Customer 707</t>
        </is>
      </c>
      <c r="F708" t="inlineStr">
        <is>
          <t>Home Office</t>
        </is>
      </c>
      <c r="G708" t="inlineStr">
        <is>
          <t>P1020</t>
        </is>
      </c>
      <c r="H708" t="inlineStr">
        <is>
          <t>Cove Wall Clock</t>
        </is>
      </c>
      <c r="I708" t="inlineStr">
        <is>
          <t>Technology</t>
        </is>
      </c>
      <c r="J708" t="inlineStr">
        <is>
          <t>Chairs</t>
        </is>
      </c>
      <c r="K708" t="inlineStr">
        <is>
          <t>North</t>
        </is>
      </c>
      <c r="L708" t="inlineStr">
        <is>
          <t>British Columbia</t>
        </is>
      </c>
      <c r="M708" t="inlineStr">
        <is>
          <t>Calgary</t>
        </is>
      </c>
      <c r="N708" t="inlineStr">
        <is>
          <t>James Carter</t>
        </is>
      </c>
      <c r="O708" t="n">
        <v>3</v>
      </c>
      <c r="P708" s="3" t="n">
        <v>74.18000000000001</v>
      </c>
      <c r="Q708" s="4" t="n">
        <v>0.043</v>
      </c>
      <c r="R708" s="3" t="n">
        <v>212.97</v>
      </c>
      <c r="S708" s="3" t="n">
        <v>105.29</v>
      </c>
      <c r="T708" s="3" t="n">
        <v>99.28</v>
      </c>
      <c r="U708" s="4" t="n">
        <v>0.4662</v>
      </c>
      <c r="V708" s="3" t="n">
        <v>8.4</v>
      </c>
      <c r="W708" t="inlineStr">
        <is>
          <t>Credit Card</t>
        </is>
      </c>
      <c r="X708" t="inlineStr">
        <is>
          <t>High</t>
        </is>
      </c>
    </row>
    <row r="709">
      <c r="A709" t="inlineStr">
        <is>
          <t>ORD-00708</t>
        </is>
      </c>
      <c r="B709" s="2" t="n">
        <v>45716</v>
      </c>
      <c r="C709" s="2" t="n">
        <v>45718</v>
      </c>
      <c r="D709" t="inlineStr">
        <is>
          <t>CUST-00708</t>
        </is>
      </c>
      <c r="E709" t="inlineStr">
        <is>
          <t>Customer 708</t>
        </is>
      </c>
      <c r="F709" t="inlineStr">
        <is>
          <t>Consumer</t>
        </is>
      </c>
      <c r="G709" t="inlineStr">
        <is>
          <t>P1012</t>
        </is>
      </c>
      <c r="H709" t="inlineStr">
        <is>
          <t>CloudDrive File Box</t>
        </is>
      </c>
      <c r="I709" t="inlineStr">
        <is>
          <t>Office Supplies</t>
        </is>
      </c>
      <c r="J709" t="inlineStr">
        <is>
          <t>Plants</t>
        </is>
      </c>
      <c r="K709" t="inlineStr">
        <is>
          <t>East</t>
        </is>
      </c>
      <c r="L709" t="inlineStr">
        <is>
          <t>Massachusetts</t>
        </is>
      </c>
      <c r="M709" t="inlineStr">
        <is>
          <t>New York</t>
        </is>
      </c>
      <c r="N709" t="inlineStr">
        <is>
          <t>Olivia Martin</t>
        </is>
      </c>
      <c r="O709" t="n">
        <v>3</v>
      </c>
      <c r="P709" s="3" t="n">
        <v>135</v>
      </c>
      <c r="Q709" s="4" t="n">
        <v>0.018</v>
      </c>
      <c r="R709" s="3" t="n">
        <v>397.71</v>
      </c>
      <c r="S709" s="3" t="n">
        <v>201.93</v>
      </c>
      <c r="T709" s="3" t="n">
        <v>186.38</v>
      </c>
      <c r="U709" s="4" t="n">
        <v>0.4686</v>
      </c>
      <c r="V709" s="3" t="n">
        <v>9.4</v>
      </c>
      <c r="W709" t="inlineStr">
        <is>
          <t>Debit Card</t>
        </is>
      </c>
      <c r="X709" t="inlineStr">
        <is>
          <t>Low</t>
        </is>
      </c>
    </row>
    <row r="710">
      <c r="A710" t="inlineStr">
        <is>
          <t>ORD-00709</t>
        </is>
      </c>
      <c r="B710" s="2" t="n">
        <v>45047</v>
      </c>
      <c r="C710" s="2" t="n">
        <v>45051</v>
      </c>
      <c r="D710" t="inlineStr">
        <is>
          <t>CUST-00709</t>
        </is>
      </c>
      <c r="E710" t="inlineStr">
        <is>
          <t>Customer 709</t>
        </is>
      </c>
      <c r="F710" t="inlineStr">
        <is>
          <t>Corporate</t>
        </is>
      </c>
      <c r="G710" t="inlineStr">
        <is>
          <t>P1004</t>
        </is>
      </c>
      <c r="H710" t="inlineStr">
        <is>
          <t>Harbor Rug</t>
        </is>
      </c>
      <c r="I710" t="inlineStr">
        <is>
          <t>Outdoor</t>
        </is>
      </c>
      <c r="J710" t="inlineStr">
        <is>
          <t>Desks</t>
        </is>
      </c>
      <c r="K710" t="inlineStr">
        <is>
          <t>West</t>
        </is>
      </c>
      <c r="L710" t="inlineStr">
        <is>
          <t>Oregon</t>
        </is>
      </c>
      <c r="M710" t="inlineStr">
        <is>
          <t>San Francisco</t>
        </is>
      </c>
      <c r="N710" t="inlineStr">
        <is>
          <t>Liam Chen</t>
        </is>
      </c>
      <c r="O710" t="n">
        <v>5</v>
      </c>
      <c r="P710" s="3" t="n">
        <v>659.5</v>
      </c>
      <c r="Q710" s="4" t="n">
        <v>0.03299999999999999</v>
      </c>
      <c r="R710" s="3" t="n">
        <v>3188.68</v>
      </c>
      <c r="S710" s="3" t="n">
        <v>2016.25</v>
      </c>
      <c r="T710" s="3" t="n">
        <v>1161.43</v>
      </c>
      <c r="U710" s="4" t="n">
        <v>0.3642</v>
      </c>
      <c r="V710" s="3" t="n">
        <v>11</v>
      </c>
      <c r="W710" t="inlineStr">
        <is>
          <t>Credit Card</t>
        </is>
      </c>
      <c r="X710" t="inlineStr">
        <is>
          <t>Medium</t>
        </is>
      </c>
    </row>
    <row r="711">
      <c r="A711" t="inlineStr">
        <is>
          <t>ORD-00710</t>
        </is>
      </c>
      <c r="B711" s="2" t="n">
        <v>45742</v>
      </c>
      <c r="C711" s="2" t="n">
        <v>45748</v>
      </c>
      <c r="D711" t="inlineStr">
        <is>
          <t>CUST-00710</t>
        </is>
      </c>
      <c r="E711" t="inlineStr">
        <is>
          <t>Customer 710</t>
        </is>
      </c>
      <c r="F711" t="inlineStr">
        <is>
          <t>Consumer</t>
        </is>
      </c>
      <c r="G711" t="inlineStr">
        <is>
          <t>P1010</t>
        </is>
      </c>
      <c r="H711" t="inlineStr">
        <is>
          <t>Nimbus Monitor Arm</t>
        </is>
      </c>
      <c r="I711" t="inlineStr">
        <is>
          <t>Outdoor</t>
        </is>
      </c>
      <c r="J711" t="inlineStr">
        <is>
          <t>Desks</t>
        </is>
      </c>
      <c r="K711" t="inlineStr">
        <is>
          <t>East</t>
        </is>
      </c>
      <c r="L711" t="inlineStr">
        <is>
          <t>Massachusetts</t>
        </is>
      </c>
      <c r="M711" t="inlineStr">
        <is>
          <t>Philadelphia</t>
        </is>
      </c>
      <c r="N711" t="inlineStr">
        <is>
          <t>James Carter</t>
        </is>
      </c>
      <c r="O711" t="n">
        <v>5</v>
      </c>
      <c r="P711" s="3" t="n">
        <v>56.39</v>
      </c>
      <c r="Q711" s="4" t="n">
        <v>0.011</v>
      </c>
      <c r="R711" s="3" t="n">
        <v>278.85</v>
      </c>
      <c r="S711" s="3" t="n">
        <v>118.71</v>
      </c>
      <c r="T711" s="3" t="n">
        <v>149.14</v>
      </c>
      <c r="U711" s="4" t="n">
        <v>0.5348000000000001</v>
      </c>
      <c r="V711" s="3" t="n">
        <v>11</v>
      </c>
      <c r="W711" t="inlineStr">
        <is>
          <t>Bank Transfer</t>
        </is>
      </c>
      <c r="X711" t="inlineStr">
        <is>
          <t>Medium</t>
        </is>
      </c>
    </row>
    <row r="712">
      <c r="A712" t="inlineStr">
        <is>
          <t>ORD-00711</t>
        </is>
      </c>
      <c r="B712" s="2" t="n">
        <v>45723</v>
      </c>
      <c r="C712" s="2" t="n">
        <v>45728</v>
      </c>
      <c r="D712" t="inlineStr">
        <is>
          <t>CUST-00711</t>
        </is>
      </c>
      <c r="E712" t="inlineStr">
        <is>
          <t>Customer 711</t>
        </is>
      </c>
      <c r="F712" t="inlineStr">
        <is>
          <t>Consumer</t>
        </is>
      </c>
      <c r="G712" t="inlineStr">
        <is>
          <t>P1005</t>
        </is>
      </c>
      <c r="H712" t="inlineStr">
        <is>
          <t>Lumen Desk Lamp</t>
        </is>
      </c>
      <c r="I712" t="inlineStr">
        <is>
          <t>Technology</t>
        </is>
      </c>
      <c r="J712" t="inlineStr">
        <is>
          <t>Decor</t>
        </is>
      </c>
      <c r="K712" t="inlineStr">
        <is>
          <t>Central</t>
        </is>
      </c>
      <c r="L712" t="inlineStr">
        <is>
          <t>Illinois</t>
        </is>
      </c>
      <c r="M712" t="inlineStr">
        <is>
          <t>Minneapolis</t>
        </is>
      </c>
      <c r="N712" t="inlineStr">
        <is>
          <t>Mia Rodriguez</t>
        </is>
      </c>
      <c r="O712" t="n">
        <v>1</v>
      </c>
      <c r="P712" s="3" t="n">
        <v>12.48</v>
      </c>
      <c r="Q712" s="4" t="n">
        <v>0.01</v>
      </c>
      <c r="R712" s="3" t="n">
        <v>12.36</v>
      </c>
      <c r="S712" s="3" t="n">
        <v>11.1</v>
      </c>
      <c r="T712" s="3" t="n">
        <v>-5.54</v>
      </c>
      <c r="U712" s="4" t="n">
        <v>-0.4482</v>
      </c>
      <c r="V712" s="3" t="n">
        <v>6.8</v>
      </c>
      <c r="W712" t="inlineStr">
        <is>
          <t>Credit Card</t>
        </is>
      </c>
      <c r="X712" t="inlineStr">
        <is>
          <t>Low</t>
        </is>
      </c>
    </row>
    <row r="713">
      <c r="A713" t="inlineStr">
        <is>
          <t>ORD-00712</t>
        </is>
      </c>
      <c r="B713" s="2" t="n">
        <v>45580</v>
      </c>
      <c r="C713" s="2" t="n">
        <v>45586</v>
      </c>
      <c r="D713" t="inlineStr">
        <is>
          <t>CUST-00712</t>
        </is>
      </c>
      <c r="E713" t="inlineStr">
        <is>
          <t>Customer 712</t>
        </is>
      </c>
      <c r="F713" t="inlineStr">
        <is>
          <t>Corporate</t>
        </is>
      </c>
      <c r="G713" t="inlineStr">
        <is>
          <t>P1004</t>
        </is>
      </c>
      <c r="H713" t="inlineStr">
        <is>
          <t>Harbor Rug</t>
        </is>
      </c>
      <c r="I713" t="inlineStr">
        <is>
          <t>Office Supplies</t>
        </is>
      </c>
      <c r="J713" t="inlineStr">
        <is>
          <t>Paper</t>
        </is>
      </c>
      <c r="K713" t="inlineStr">
        <is>
          <t>North</t>
        </is>
      </c>
      <c r="L713" t="inlineStr">
        <is>
          <t>Ontario</t>
        </is>
      </c>
      <c r="M713" t="inlineStr">
        <is>
          <t>Montreal</t>
        </is>
      </c>
      <c r="N713" t="inlineStr">
        <is>
          <t>Ethan Brooks</t>
        </is>
      </c>
      <c r="O713" t="n">
        <v>3</v>
      </c>
      <c r="P713" s="3" t="n">
        <v>632.78</v>
      </c>
      <c r="Q713" s="4" t="n">
        <v>0.04</v>
      </c>
      <c r="R713" s="3" t="n">
        <v>1822.41</v>
      </c>
      <c r="S713" s="3" t="n">
        <v>1155.15</v>
      </c>
      <c r="T713" s="3" t="n">
        <v>658.86</v>
      </c>
      <c r="U713" s="4" t="n">
        <v>0.3615</v>
      </c>
      <c r="V713" s="3" t="n">
        <v>8.4</v>
      </c>
      <c r="W713" t="inlineStr">
        <is>
          <t>PayPal</t>
        </is>
      </c>
      <c r="X713" t="inlineStr">
        <is>
          <t>High</t>
        </is>
      </c>
    </row>
    <row r="714">
      <c r="A714" t="inlineStr">
        <is>
          <t>ORD-00713</t>
        </is>
      </c>
      <c r="B714" s="2" t="n">
        <v>45317</v>
      </c>
      <c r="C714" s="2" t="n">
        <v>45324</v>
      </c>
      <c r="D714" t="inlineStr">
        <is>
          <t>CUST-00713</t>
        </is>
      </c>
      <c r="E714" t="inlineStr">
        <is>
          <t>Customer 713</t>
        </is>
      </c>
      <c r="F714" t="inlineStr">
        <is>
          <t>Home Office</t>
        </is>
      </c>
      <c r="G714" t="inlineStr">
        <is>
          <t>P1016</t>
        </is>
      </c>
      <c r="H714" t="inlineStr">
        <is>
          <t>Nimbus Monitor Arm</t>
        </is>
      </c>
      <c r="I714" t="inlineStr">
        <is>
          <t>Technology</t>
        </is>
      </c>
      <c r="J714" t="inlineStr">
        <is>
          <t>Chairs</t>
        </is>
      </c>
      <c r="K714" t="inlineStr">
        <is>
          <t>East</t>
        </is>
      </c>
      <c r="L714" t="inlineStr">
        <is>
          <t>New Jersey</t>
        </is>
      </c>
      <c r="M714" t="inlineStr">
        <is>
          <t>Philadelphia</t>
        </is>
      </c>
      <c r="N714" t="inlineStr">
        <is>
          <t>Ava Patel</t>
        </is>
      </c>
      <c r="O714" t="n">
        <v>3</v>
      </c>
      <c r="P714" s="3" t="n">
        <v>40.58</v>
      </c>
      <c r="Q714" s="4" t="n">
        <v>0.006</v>
      </c>
      <c r="R714" s="3" t="n">
        <v>121.01</v>
      </c>
      <c r="S714" s="3" t="n">
        <v>52.64</v>
      </c>
      <c r="T714" s="3" t="n">
        <v>58.97</v>
      </c>
      <c r="U714" s="4" t="n">
        <v>0.4873</v>
      </c>
      <c r="V714" s="3" t="n">
        <v>9.4</v>
      </c>
      <c r="W714" t="inlineStr">
        <is>
          <t>PayPal</t>
        </is>
      </c>
      <c r="X714" t="inlineStr">
        <is>
          <t>Medium</t>
        </is>
      </c>
    </row>
    <row r="715">
      <c r="A715" t="inlineStr">
        <is>
          <t>ORD-00714</t>
        </is>
      </c>
      <c r="B715" s="2" t="n">
        <v>45515</v>
      </c>
      <c r="C715" s="2" t="n">
        <v>45521</v>
      </c>
      <c r="D715" t="inlineStr">
        <is>
          <t>CUST-00714</t>
        </is>
      </c>
      <c r="E715" t="inlineStr">
        <is>
          <t>Customer 714</t>
        </is>
      </c>
      <c r="F715" t="inlineStr">
        <is>
          <t>Consumer</t>
        </is>
      </c>
      <c r="G715" t="inlineStr">
        <is>
          <t>P1005</t>
        </is>
      </c>
      <c r="H715" t="inlineStr">
        <is>
          <t>ErgoMesh Chair</t>
        </is>
      </c>
      <c r="I715" t="inlineStr">
        <is>
          <t>Outdoor</t>
        </is>
      </c>
      <c r="J715" t="inlineStr">
        <is>
          <t>Plants</t>
        </is>
      </c>
      <c r="K715" t="inlineStr">
        <is>
          <t>North</t>
        </is>
      </c>
      <c r="L715" t="inlineStr">
        <is>
          <t>Ontario</t>
        </is>
      </c>
      <c r="M715" t="inlineStr">
        <is>
          <t>Calgary</t>
        </is>
      </c>
      <c r="N715" t="inlineStr">
        <is>
          <t>Olivia Martin</t>
        </is>
      </c>
      <c r="O715" t="n">
        <v>5</v>
      </c>
      <c r="P715" s="3" t="n">
        <v>12.82</v>
      </c>
      <c r="Q715" s="4" t="n">
        <v>0.031</v>
      </c>
      <c r="R715" s="3" t="n">
        <v>62.11</v>
      </c>
      <c r="S715" s="3" t="n">
        <v>28.5</v>
      </c>
      <c r="T715" s="3" t="n">
        <v>23.61</v>
      </c>
      <c r="U715" s="4" t="n">
        <v>0.3801</v>
      </c>
      <c r="V715" s="3" t="n">
        <v>10</v>
      </c>
      <c r="W715" t="inlineStr">
        <is>
          <t>PayPal</t>
        </is>
      </c>
      <c r="X715" t="inlineStr">
        <is>
          <t>High</t>
        </is>
      </c>
    </row>
    <row r="716">
      <c r="A716" t="inlineStr">
        <is>
          <t>ORD-00715</t>
        </is>
      </c>
      <c r="B716" s="2" t="n">
        <v>45449</v>
      </c>
      <c r="C716" s="2" t="n">
        <v>45450</v>
      </c>
      <c r="D716" t="inlineStr">
        <is>
          <t>CUST-00715</t>
        </is>
      </c>
      <c r="E716" t="inlineStr">
        <is>
          <t>Customer 715</t>
        </is>
      </c>
      <c r="F716" t="inlineStr">
        <is>
          <t>Home Office</t>
        </is>
      </c>
      <c r="G716" t="inlineStr">
        <is>
          <t>P1019</t>
        </is>
      </c>
      <c r="H716" t="inlineStr">
        <is>
          <t>Lumen Desk Lamp</t>
        </is>
      </c>
      <c r="I716" t="inlineStr">
        <is>
          <t>Outdoor</t>
        </is>
      </c>
      <c r="J716" t="inlineStr">
        <is>
          <t>Writing</t>
        </is>
      </c>
      <c r="K716" t="inlineStr">
        <is>
          <t>West</t>
        </is>
      </c>
      <c r="L716" t="inlineStr">
        <is>
          <t>Colorado</t>
        </is>
      </c>
      <c r="M716" t="inlineStr">
        <is>
          <t>Los Angeles</t>
        </is>
      </c>
      <c r="N716" t="inlineStr">
        <is>
          <t>James Carter</t>
        </is>
      </c>
      <c r="O716" t="n">
        <v>1</v>
      </c>
      <c r="P716" s="3" t="n">
        <v>61.06</v>
      </c>
      <c r="Q716" s="4" t="n">
        <v>0.024</v>
      </c>
      <c r="R716" s="3" t="n">
        <v>59.59</v>
      </c>
      <c r="S716" s="3" t="n">
        <v>29.49</v>
      </c>
      <c r="T716" s="3" t="n">
        <v>22.3</v>
      </c>
      <c r="U716" s="4" t="n">
        <v>0.3742</v>
      </c>
      <c r="V716" s="3" t="n">
        <v>7.8</v>
      </c>
      <c r="W716" t="inlineStr">
        <is>
          <t>Bank Transfer</t>
        </is>
      </c>
      <c r="X716" t="inlineStr">
        <is>
          <t>High</t>
        </is>
      </c>
    </row>
    <row r="717">
      <c r="A717" t="inlineStr">
        <is>
          <t>ORD-00716</t>
        </is>
      </c>
      <c r="B717" s="2" t="n">
        <v>45865</v>
      </c>
      <c r="C717" s="2" t="n">
        <v>45870</v>
      </c>
      <c r="D717" t="inlineStr">
        <is>
          <t>CUST-00716</t>
        </is>
      </c>
      <c r="E717" t="inlineStr">
        <is>
          <t>Customer 716</t>
        </is>
      </c>
      <c r="F717" t="inlineStr">
        <is>
          <t>Corporate</t>
        </is>
      </c>
      <c r="G717" t="inlineStr">
        <is>
          <t>P1006</t>
        </is>
      </c>
      <c r="H717" t="inlineStr">
        <is>
          <t>Orbit Wireless Mouse</t>
        </is>
      </c>
      <c r="I717" t="inlineStr">
        <is>
          <t>Outdoor</t>
        </is>
      </c>
      <c r="J717" t="inlineStr">
        <is>
          <t>Textiles</t>
        </is>
      </c>
      <c r="K717" t="inlineStr">
        <is>
          <t>East</t>
        </is>
      </c>
      <c r="L717" t="inlineStr">
        <is>
          <t>New Jersey</t>
        </is>
      </c>
      <c r="M717" t="inlineStr">
        <is>
          <t>Philadelphia</t>
        </is>
      </c>
      <c r="N717" t="inlineStr">
        <is>
          <t>Mia Rodriguez</t>
        </is>
      </c>
      <c r="O717" t="n">
        <v>4</v>
      </c>
      <c r="P717" s="3" t="n">
        <v>19.92</v>
      </c>
      <c r="Q717" s="4" t="n">
        <v>0.039</v>
      </c>
      <c r="R717" s="3" t="n">
        <v>76.56999999999999</v>
      </c>
      <c r="S717" s="3" t="n">
        <v>26.29</v>
      </c>
      <c r="T717" s="3" t="n">
        <v>40.08</v>
      </c>
      <c r="U717" s="4" t="n">
        <v>0.5234</v>
      </c>
      <c r="V717" s="3" t="n">
        <v>10.2</v>
      </c>
      <c r="W717" t="inlineStr">
        <is>
          <t>Bank Transfer</t>
        </is>
      </c>
      <c r="X717" t="inlineStr">
        <is>
          <t>High</t>
        </is>
      </c>
    </row>
    <row r="718">
      <c r="A718" t="inlineStr">
        <is>
          <t>ORD-00717</t>
        </is>
      </c>
      <c r="B718" s="2" t="n">
        <v>45891</v>
      </c>
      <c r="C718" s="2" t="n">
        <v>45897</v>
      </c>
      <c r="D718" t="inlineStr">
        <is>
          <t>CUST-00717</t>
        </is>
      </c>
      <c r="E718" t="inlineStr">
        <is>
          <t>Customer 717</t>
        </is>
      </c>
      <c r="F718" t="inlineStr">
        <is>
          <t>Consumer</t>
        </is>
      </c>
      <c r="G718" t="inlineStr">
        <is>
          <t>P1007</t>
        </is>
      </c>
      <c r="H718" t="inlineStr">
        <is>
          <t>Pulse Keyboard</t>
        </is>
      </c>
      <c r="I718" t="inlineStr">
        <is>
          <t>Furniture</t>
        </is>
      </c>
      <c r="J718" t="inlineStr">
        <is>
          <t>Decor</t>
        </is>
      </c>
      <c r="K718" t="inlineStr">
        <is>
          <t>East</t>
        </is>
      </c>
      <c r="L718" t="inlineStr">
        <is>
          <t>Massachusetts</t>
        </is>
      </c>
      <c r="M718" t="inlineStr">
        <is>
          <t>Washington</t>
        </is>
      </c>
      <c r="N718" t="inlineStr">
        <is>
          <t>Noah Kim</t>
        </is>
      </c>
      <c r="O718" t="n">
        <v>3</v>
      </c>
      <c r="P718" s="3" t="n">
        <v>26.2</v>
      </c>
      <c r="Q718" s="4" t="n">
        <v>0.031</v>
      </c>
      <c r="R718" s="3" t="n">
        <v>76.16</v>
      </c>
      <c r="S718" s="3" t="n">
        <v>32.57</v>
      </c>
      <c r="T718" s="3" t="n">
        <v>34.19</v>
      </c>
      <c r="U718" s="4" t="n">
        <v>0.4489</v>
      </c>
      <c r="V718" s="3" t="n">
        <v>9.4</v>
      </c>
      <c r="W718" t="inlineStr">
        <is>
          <t>Credit Card</t>
        </is>
      </c>
      <c r="X718" t="inlineStr">
        <is>
          <t>High</t>
        </is>
      </c>
    </row>
    <row r="719">
      <c r="A719" t="inlineStr">
        <is>
          <t>ORD-00718</t>
        </is>
      </c>
      <c r="B719" s="2" t="n">
        <v>45784</v>
      </c>
      <c r="C719" s="2" t="n">
        <v>45790</v>
      </c>
      <c r="D719" t="inlineStr">
        <is>
          <t>CUST-00718</t>
        </is>
      </c>
      <c r="E719" t="inlineStr">
        <is>
          <t>Customer 718</t>
        </is>
      </c>
      <c r="F719" t="inlineStr">
        <is>
          <t>Consumer</t>
        </is>
      </c>
      <c r="G719" t="inlineStr">
        <is>
          <t>P1010</t>
        </is>
      </c>
      <c r="H719" t="inlineStr">
        <is>
          <t>Nimbus Monitor Arm</t>
        </is>
      </c>
      <c r="I719" t="inlineStr">
        <is>
          <t>Furniture</t>
        </is>
      </c>
      <c r="J719" t="inlineStr">
        <is>
          <t>Plants</t>
        </is>
      </c>
      <c r="K719" t="inlineStr">
        <is>
          <t>East</t>
        </is>
      </c>
      <c r="L719" t="inlineStr">
        <is>
          <t>New Jersey</t>
        </is>
      </c>
      <c r="M719" t="inlineStr">
        <is>
          <t>Washington</t>
        </is>
      </c>
      <c r="N719" t="inlineStr">
        <is>
          <t>Noah Kim</t>
        </is>
      </c>
      <c r="O719" t="n">
        <v>4</v>
      </c>
      <c r="P719" s="3" t="n">
        <v>57.77</v>
      </c>
      <c r="Q719" s="4" t="n">
        <v>0.014</v>
      </c>
      <c r="R719" s="3" t="n">
        <v>227.84</v>
      </c>
      <c r="S719" s="3" t="n">
        <v>101.17</v>
      </c>
      <c r="T719" s="3" t="n">
        <v>116.47</v>
      </c>
      <c r="U719" s="4" t="n">
        <v>0.5112</v>
      </c>
      <c r="V719" s="3" t="n">
        <v>10.2</v>
      </c>
      <c r="W719" t="inlineStr">
        <is>
          <t>Credit Card</t>
        </is>
      </c>
      <c r="X719" t="inlineStr">
        <is>
          <t>Medium</t>
        </is>
      </c>
    </row>
    <row r="720">
      <c r="A720" t="inlineStr">
        <is>
          <t>ORD-00719</t>
        </is>
      </c>
      <c r="B720" s="2" t="n">
        <v>45053</v>
      </c>
      <c r="C720" s="2" t="n">
        <v>45059</v>
      </c>
      <c r="D720" t="inlineStr">
        <is>
          <t>CUST-00719</t>
        </is>
      </c>
      <c r="E720" t="inlineStr">
        <is>
          <t>Customer 719</t>
        </is>
      </c>
      <c r="F720" t="inlineStr">
        <is>
          <t>Corporate</t>
        </is>
      </c>
      <c r="G720" t="inlineStr">
        <is>
          <t>P1007</t>
        </is>
      </c>
      <c r="H720" t="inlineStr">
        <is>
          <t>CloudDrive File Box</t>
        </is>
      </c>
      <c r="I720" t="inlineStr">
        <is>
          <t>Technology</t>
        </is>
      </c>
      <c r="J720" t="inlineStr">
        <is>
          <t>Plants</t>
        </is>
      </c>
      <c r="K720" t="inlineStr">
        <is>
          <t>East</t>
        </is>
      </c>
      <c r="L720" t="inlineStr">
        <is>
          <t>New Jersey</t>
        </is>
      </c>
      <c r="M720" t="inlineStr">
        <is>
          <t>New York</t>
        </is>
      </c>
      <c r="N720" t="inlineStr">
        <is>
          <t>Noah Kim</t>
        </is>
      </c>
      <c r="O720" t="n">
        <v>2</v>
      </c>
      <c r="P720" s="3" t="n">
        <v>25.08</v>
      </c>
      <c r="Q720" s="4" t="n">
        <v>0.078</v>
      </c>
      <c r="R720" s="3" t="n">
        <v>46.25</v>
      </c>
      <c r="S720" s="3" t="n">
        <v>23.29</v>
      </c>
      <c r="T720" s="3" t="n">
        <v>14.36</v>
      </c>
      <c r="U720" s="4" t="n">
        <v>0.3105</v>
      </c>
      <c r="V720" s="3" t="n">
        <v>8.6</v>
      </c>
      <c r="W720" t="inlineStr">
        <is>
          <t>Credit Card</t>
        </is>
      </c>
      <c r="X720" t="inlineStr">
        <is>
          <t>Critical</t>
        </is>
      </c>
    </row>
    <row r="721">
      <c r="A721" t="inlineStr">
        <is>
          <t>ORD-00720</t>
        </is>
      </c>
      <c r="B721" s="2" t="n">
        <v>45931</v>
      </c>
      <c r="C721" s="2" t="n">
        <v>45933</v>
      </c>
      <c r="D721" t="inlineStr">
        <is>
          <t>CUST-00720</t>
        </is>
      </c>
      <c r="E721" t="inlineStr">
        <is>
          <t>Customer 720</t>
        </is>
      </c>
      <c r="F721" t="inlineStr">
        <is>
          <t>Consumer</t>
        </is>
      </c>
      <c r="G721" t="inlineStr">
        <is>
          <t>P1014</t>
        </is>
      </c>
      <c r="H721" t="inlineStr">
        <is>
          <t>Halo Planter</t>
        </is>
      </c>
      <c r="I721" t="inlineStr">
        <is>
          <t>Technology</t>
        </is>
      </c>
      <c r="J721" t="inlineStr">
        <is>
          <t>Bags</t>
        </is>
      </c>
      <c r="K721" t="inlineStr">
        <is>
          <t>West</t>
        </is>
      </c>
      <c r="L721" t="inlineStr">
        <is>
          <t>Oregon</t>
        </is>
      </c>
      <c r="M721" t="inlineStr">
        <is>
          <t>Los Angeles</t>
        </is>
      </c>
      <c r="N721" t="inlineStr">
        <is>
          <t>Noah Kim</t>
        </is>
      </c>
      <c r="O721" t="n">
        <v>4</v>
      </c>
      <c r="P721" s="3" t="n">
        <v>46.16</v>
      </c>
      <c r="Q721" s="4" t="n">
        <v>0.082</v>
      </c>
      <c r="R721" s="3" t="n">
        <v>169.5</v>
      </c>
      <c r="S721" s="3" t="n">
        <v>71.31999999999999</v>
      </c>
      <c r="T721" s="3" t="n">
        <v>87.98</v>
      </c>
      <c r="U721" s="4" t="n">
        <v>0.5191</v>
      </c>
      <c r="V721" s="3" t="n">
        <v>10.2</v>
      </c>
      <c r="W721" t="inlineStr">
        <is>
          <t>Cash on Delivery</t>
        </is>
      </c>
      <c r="X721" t="inlineStr">
        <is>
          <t>Critical</t>
        </is>
      </c>
    </row>
    <row r="722">
      <c r="A722" t="inlineStr">
        <is>
          <t>ORD-00721</t>
        </is>
      </c>
      <c r="B722" s="2" t="n">
        <v>45971</v>
      </c>
      <c r="C722" s="2" t="n">
        <v>45975</v>
      </c>
      <c r="D722" t="inlineStr">
        <is>
          <t>CUST-00721</t>
        </is>
      </c>
      <c r="E722" t="inlineStr">
        <is>
          <t>Customer 721</t>
        </is>
      </c>
      <c r="F722" t="inlineStr">
        <is>
          <t>Consumer</t>
        </is>
      </c>
      <c r="G722" t="inlineStr">
        <is>
          <t>P1010</t>
        </is>
      </c>
      <c r="H722" t="inlineStr">
        <is>
          <t>FlexNote Notebook</t>
        </is>
      </c>
      <c r="I722" t="inlineStr">
        <is>
          <t>Technology</t>
        </is>
      </c>
      <c r="J722" t="inlineStr">
        <is>
          <t>Chairs</t>
        </is>
      </c>
      <c r="K722" t="inlineStr">
        <is>
          <t>South</t>
        </is>
      </c>
      <c r="L722" t="inlineStr">
        <is>
          <t>Georgia</t>
        </is>
      </c>
      <c r="M722" t="inlineStr">
        <is>
          <t>Miami</t>
        </is>
      </c>
      <c r="N722" t="inlineStr">
        <is>
          <t>Ethan Brooks</t>
        </is>
      </c>
      <c r="O722" t="n">
        <v>2</v>
      </c>
      <c r="P722" s="3" t="n">
        <v>57.03</v>
      </c>
      <c r="Q722" s="4" t="n">
        <v>0.027</v>
      </c>
      <c r="R722" s="3" t="n">
        <v>110.98</v>
      </c>
      <c r="S722" s="3" t="n">
        <v>55.18</v>
      </c>
      <c r="T722" s="3" t="n">
        <v>48.2</v>
      </c>
      <c r="U722" s="4" t="n">
        <v>0.4343</v>
      </c>
      <c r="V722" s="3" t="n">
        <v>7.6</v>
      </c>
      <c r="W722" t="inlineStr">
        <is>
          <t>Credit Card</t>
        </is>
      </c>
      <c r="X722" t="inlineStr">
        <is>
          <t>Medium</t>
        </is>
      </c>
    </row>
    <row r="723">
      <c r="A723" t="inlineStr">
        <is>
          <t>ORD-00722</t>
        </is>
      </c>
      <c r="B723" s="2" t="n">
        <v>45037</v>
      </c>
      <c r="C723" s="2" t="n">
        <v>45038</v>
      </c>
      <c r="D723" t="inlineStr">
        <is>
          <t>CUST-00722</t>
        </is>
      </c>
      <c r="E723" t="inlineStr">
        <is>
          <t>Customer 722</t>
        </is>
      </c>
      <c r="F723" t="inlineStr">
        <is>
          <t>Consumer</t>
        </is>
      </c>
      <c r="G723" t="inlineStr">
        <is>
          <t>P1020</t>
        </is>
      </c>
      <c r="H723" t="inlineStr">
        <is>
          <t>CloudDrive File Box</t>
        </is>
      </c>
      <c r="I723" t="inlineStr">
        <is>
          <t>Furniture</t>
        </is>
      </c>
      <c r="J723" t="inlineStr">
        <is>
          <t>Lighting</t>
        </is>
      </c>
      <c r="K723" t="inlineStr">
        <is>
          <t>East</t>
        </is>
      </c>
      <c r="L723" t="inlineStr">
        <is>
          <t>Massachusetts</t>
        </is>
      </c>
      <c r="M723" t="inlineStr">
        <is>
          <t>Washington</t>
        </is>
      </c>
      <c r="N723" t="inlineStr">
        <is>
          <t>Ava Patel</t>
        </is>
      </c>
      <c r="O723" t="n">
        <v>3</v>
      </c>
      <c r="P723" s="3" t="n">
        <v>71.23999999999999</v>
      </c>
      <c r="Q723" s="4" t="n">
        <v>0.057</v>
      </c>
      <c r="R723" s="3" t="n">
        <v>201.54</v>
      </c>
      <c r="S723" s="3" t="n">
        <v>95.04000000000001</v>
      </c>
      <c r="T723" s="3" t="n">
        <v>97.09999999999999</v>
      </c>
      <c r="U723" s="4" t="n">
        <v>0.4818</v>
      </c>
      <c r="V723" s="3" t="n">
        <v>9.4</v>
      </c>
      <c r="W723" t="inlineStr">
        <is>
          <t>Debit Card</t>
        </is>
      </c>
      <c r="X723" t="inlineStr">
        <is>
          <t>High</t>
        </is>
      </c>
    </row>
    <row r="724">
      <c r="A724" t="inlineStr">
        <is>
          <t>ORD-00723</t>
        </is>
      </c>
      <c r="B724" s="2" t="n">
        <v>44972</v>
      </c>
      <c r="C724" s="2" t="n">
        <v>44978</v>
      </c>
      <c r="D724" t="inlineStr">
        <is>
          <t>CUST-00723</t>
        </is>
      </c>
      <c r="E724" t="inlineStr">
        <is>
          <t>Customer 723</t>
        </is>
      </c>
      <c r="F724" t="inlineStr">
        <is>
          <t>Consumer</t>
        </is>
      </c>
      <c r="G724" t="inlineStr">
        <is>
          <t>P1011</t>
        </is>
      </c>
      <c r="H724" t="inlineStr">
        <is>
          <t>Tide Cooler</t>
        </is>
      </c>
      <c r="I724" t="inlineStr">
        <is>
          <t>Office Supplies</t>
        </is>
      </c>
      <c r="J724" t="inlineStr">
        <is>
          <t>Writing</t>
        </is>
      </c>
      <c r="K724" t="inlineStr">
        <is>
          <t>East</t>
        </is>
      </c>
      <c r="L724" t="inlineStr">
        <is>
          <t>New Jersey</t>
        </is>
      </c>
      <c r="M724" t="inlineStr">
        <is>
          <t>Washington</t>
        </is>
      </c>
      <c r="N724" t="inlineStr">
        <is>
          <t>Olivia Martin</t>
        </is>
      </c>
      <c r="O724" t="n">
        <v>4</v>
      </c>
      <c r="P724" s="3" t="n">
        <v>86.23999999999999</v>
      </c>
      <c r="Q724" s="4" t="n">
        <v>0.025</v>
      </c>
      <c r="R724" s="3" t="n">
        <v>336.34</v>
      </c>
      <c r="S724" s="3" t="n">
        <v>160.99</v>
      </c>
      <c r="T724" s="3" t="n">
        <v>165.15</v>
      </c>
      <c r="U724" s="4" t="n">
        <v>0.491</v>
      </c>
      <c r="V724" s="3" t="n">
        <v>10.2</v>
      </c>
      <c r="W724" t="inlineStr">
        <is>
          <t>Debit Card</t>
        </is>
      </c>
      <c r="X724" t="inlineStr">
        <is>
          <t>Critical</t>
        </is>
      </c>
    </row>
    <row r="725">
      <c r="A725" t="inlineStr">
        <is>
          <t>ORD-00724</t>
        </is>
      </c>
      <c r="B725" s="2" t="n">
        <v>45999</v>
      </c>
      <c r="C725" s="2" t="n">
        <v>46003</v>
      </c>
      <c r="D725" t="inlineStr">
        <is>
          <t>CUST-00724</t>
        </is>
      </c>
      <c r="E725" t="inlineStr">
        <is>
          <t>Customer 724</t>
        </is>
      </c>
      <c r="F725" t="inlineStr">
        <is>
          <t>Corporate</t>
        </is>
      </c>
      <c r="G725" t="inlineStr">
        <is>
          <t>P1014</t>
        </is>
      </c>
      <c r="H725" t="inlineStr">
        <is>
          <t>Tide Cooler</t>
        </is>
      </c>
      <c r="I725" t="inlineStr">
        <is>
          <t>Office Supplies</t>
        </is>
      </c>
      <c r="J725" t="inlineStr">
        <is>
          <t>Coolers</t>
        </is>
      </c>
      <c r="K725" t="inlineStr">
        <is>
          <t>East</t>
        </is>
      </c>
      <c r="L725" t="inlineStr">
        <is>
          <t>Virginia</t>
        </is>
      </c>
      <c r="M725" t="inlineStr">
        <is>
          <t>Washington</t>
        </is>
      </c>
      <c r="N725" t="inlineStr">
        <is>
          <t>James Carter</t>
        </is>
      </c>
      <c r="O725" t="n">
        <v>4</v>
      </c>
      <c r="P725" s="3" t="n">
        <v>47.94</v>
      </c>
      <c r="Q725" s="4" t="n">
        <v>0.03</v>
      </c>
      <c r="R725" s="3" t="n">
        <v>186.01</v>
      </c>
      <c r="S725" s="3" t="n">
        <v>82.73</v>
      </c>
      <c r="T725" s="3" t="n">
        <v>93.08</v>
      </c>
      <c r="U725" s="4" t="n">
        <v>0.5004</v>
      </c>
      <c r="V725" s="3" t="n">
        <v>10.2</v>
      </c>
      <c r="W725" t="inlineStr">
        <is>
          <t>Debit Card</t>
        </is>
      </c>
      <c r="X725" t="inlineStr">
        <is>
          <t>Medium</t>
        </is>
      </c>
    </row>
    <row r="726">
      <c r="A726" t="inlineStr">
        <is>
          <t>ORD-00725</t>
        </is>
      </c>
      <c r="B726" s="2" t="n">
        <v>45467</v>
      </c>
      <c r="C726" s="2" t="n">
        <v>45468</v>
      </c>
      <c r="D726" t="inlineStr">
        <is>
          <t>CUST-00725</t>
        </is>
      </c>
      <c r="E726" t="inlineStr">
        <is>
          <t>Customer 725</t>
        </is>
      </c>
      <c r="F726" t="inlineStr">
        <is>
          <t>Consumer</t>
        </is>
      </c>
      <c r="G726" t="inlineStr">
        <is>
          <t>P1012</t>
        </is>
      </c>
      <c r="H726" t="inlineStr">
        <is>
          <t>Echo Web Camera</t>
        </is>
      </c>
      <c r="I726" t="inlineStr">
        <is>
          <t>Technology</t>
        </is>
      </c>
      <c r="J726" t="inlineStr">
        <is>
          <t>Plants</t>
        </is>
      </c>
      <c r="K726" t="inlineStr">
        <is>
          <t>Central</t>
        </is>
      </c>
      <c r="L726" t="inlineStr">
        <is>
          <t>Illinois</t>
        </is>
      </c>
      <c r="M726" t="inlineStr">
        <is>
          <t>St. Louis</t>
        </is>
      </c>
      <c r="N726" t="inlineStr">
        <is>
          <t>Ethan Brooks</t>
        </is>
      </c>
      <c r="O726" t="n">
        <v>3</v>
      </c>
      <c r="P726" s="3" t="n">
        <v>127.53</v>
      </c>
      <c r="Q726" s="4" t="n">
        <v>0.043</v>
      </c>
      <c r="R726" s="3" t="n">
        <v>366.14</v>
      </c>
      <c r="S726" s="3" t="n">
        <v>186.49</v>
      </c>
      <c r="T726" s="3" t="n">
        <v>171.25</v>
      </c>
      <c r="U726" s="4" t="n">
        <v>0.4677</v>
      </c>
      <c r="V726" s="3" t="n">
        <v>8.4</v>
      </c>
      <c r="W726" t="inlineStr">
        <is>
          <t>PayPal</t>
        </is>
      </c>
      <c r="X726" t="inlineStr">
        <is>
          <t>High</t>
        </is>
      </c>
    </row>
    <row r="727">
      <c r="A727" t="inlineStr">
        <is>
          <t>ORD-00726</t>
        </is>
      </c>
      <c r="B727" s="2" t="n">
        <v>45888</v>
      </c>
      <c r="C727" s="2" t="n">
        <v>45889</v>
      </c>
      <c r="D727" t="inlineStr">
        <is>
          <t>CUST-00726</t>
        </is>
      </c>
      <c r="E727" t="inlineStr">
        <is>
          <t>Customer 726</t>
        </is>
      </c>
      <c r="F727" t="inlineStr">
        <is>
          <t>Consumer</t>
        </is>
      </c>
      <c r="G727" t="inlineStr">
        <is>
          <t>P1004</t>
        </is>
      </c>
      <c r="H727" t="inlineStr">
        <is>
          <t>Aero Standing Desk</t>
        </is>
      </c>
      <c r="I727" t="inlineStr">
        <is>
          <t>Technology</t>
        </is>
      </c>
      <c r="J727" t="inlineStr">
        <is>
          <t>Flooring</t>
        </is>
      </c>
      <c r="K727" t="inlineStr">
        <is>
          <t>East</t>
        </is>
      </c>
      <c r="L727" t="inlineStr">
        <is>
          <t>Massachusetts</t>
        </is>
      </c>
      <c r="M727" t="inlineStr">
        <is>
          <t>Washington</t>
        </is>
      </c>
      <c r="N727" t="inlineStr">
        <is>
          <t>Liam Chen</t>
        </is>
      </c>
      <c r="O727" t="n">
        <v>3</v>
      </c>
      <c r="P727" s="3" t="n">
        <v>607.01</v>
      </c>
      <c r="Q727" s="4" t="n">
        <v>0.005</v>
      </c>
      <c r="R727" s="3" t="n">
        <v>1811.92</v>
      </c>
      <c r="S727" s="3" t="n">
        <v>1151.25</v>
      </c>
      <c r="T727" s="3" t="n">
        <v>651.27</v>
      </c>
      <c r="U727" s="4" t="n">
        <v>0.3594</v>
      </c>
      <c r="V727" s="3" t="n">
        <v>9.4</v>
      </c>
      <c r="W727" t="inlineStr">
        <is>
          <t>Bank Transfer</t>
        </is>
      </c>
      <c r="X727" t="inlineStr">
        <is>
          <t>Medium</t>
        </is>
      </c>
    </row>
    <row r="728">
      <c r="A728" t="inlineStr">
        <is>
          <t>ORD-00727</t>
        </is>
      </c>
      <c r="B728" s="2" t="n">
        <v>45080</v>
      </c>
      <c r="C728" s="2" t="n">
        <v>45087</v>
      </c>
      <c r="D728" t="inlineStr">
        <is>
          <t>CUST-00727</t>
        </is>
      </c>
      <c r="E728" t="inlineStr">
        <is>
          <t>Customer 727</t>
        </is>
      </c>
      <c r="F728" t="inlineStr">
        <is>
          <t>Consumer</t>
        </is>
      </c>
      <c r="G728" t="inlineStr">
        <is>
          <t>P1013</t>
        </is>
      </c>
      <c r="H728" t="inlineStr">
        <is>
          <t>CloudDrive File Box</t>
        </is>
      </c>
      <c r="I728" t="inlineStr">
        <is>
          <t>Outdoor</t>
        </is>
      </c>
      <c r="J728" t="inlineStr">
        <is>
          <t>Lighting</t>
        </is>
      </c>
      <c r="K728" t="inlineStr">
        <is>
          <t>East</t>
        </is>
      </c>
      <c r="L728" t="inlineStr">
        <is>
          <t>Virginia</t>
        </is>
      </c>
      <c r="M728" t="inlineStr">
        <is>
          <t>Philadelphia</t>
        </is>
      </c>
      <c r="N728" t="inlineStr">
        <is>
          <t>James Carter</t>
        </is>
      </c>
      <c r="O728" t="n">
        <v>2</v>
      </c>
      <c r="P728" s="3" t="n">
        <v>168.63</v>
      </c>
      <c r="Q728" s="4" t="n">
        <v>0.006</v>
      </c>
      <c r="R728" s="3" t="n">
        <v>335.24</v>
      </c>
      <c r="S728" s="3" t="n">
        <v>197.63</v>
      </c>
      <c r="T728" s="3" t="n">
        <v>129.01</v>
      </c>
      <c r="U728" s="4" t="n">
        <v>0.3848</v>
      </c>
      <c r="V728" s="3" t="n">
        <v>8.6</v>
      </c>
      <c r="W728" t="inlineStr">
        <is>
          <t>Credit Card</t>
        </is>
      </c>
      <c r="X728" t="inlineStr">
        <is>
          <t>Medium</t>
        </is>
      </c>
    </row>
    <row r="729">
      <c r="A729" t="inlineStr">
        <is>
          <t>ORD-00728</t>
        </is>
      </c>
      <c r="B729" s="2" t="n">
        <v>45739</v>
      </c>
      <c r="C729" s="2" t="n">
        <v>45740</v>
      </c>
      <c r="D729" t="inlineStr">
        <is>
          <t>CUST-00728</t>
        </is>
      </c>
      <c r="E729" t="inlineStr">
        <is>
          <t>Customer 728</t>
        </is>
      </c>
      <c r="F729" t="inlineStr">
        <is>
          <t>Consumer</t>
        </is>
      </c>
      <c r="G729" t="inlineStr">
        <is>
          <t>P1003</t>
        </is>
      </c>
      <c r="H729" t="inlineStr">
        <is>
          <t>Lumen Desk Lamp</t>
        </is>
      </c>
      <c r="I729" t="inlineStr">
        <is>
          <t>Home Decor</t>
        </is>
      </c>
      <c r="J729" t="inlineStr">
        <is>
          <t>Coolers</t>
        </is>
      </c>
      <c r="K729" t="inlineStr">
        <is>
          <t>East</t>
        </is>
      </c>
      <c r="L729" t="inlineStr">
        <is>
          <t>Virginia</t>
        </is>
      </c>
      <c r="M729" t="inlineStr">
        <is>
          <t>Washington</t>
        </is>
      </c>
      <c r="N729" t="inlineStr">
        <is>
          <t>Mia Rodriguez</t>
        </is>
      </c>
      <c r="O729" t="n">
        <v>1</v>
      </c>
      <c r="P729" s="3" t="n">
        <v>155.46</v>
      </c>
      <c r="Q729" s="4" t="n">
        <v>0.06900000000000001</v>
      </c>
      <c r="R729" s="3" t="n">
        <v>144.73</v>
      </c>
      <c r="S729" s="3" t="n">
        <v>78.3</v>
      </c>
      <c r="T729" s="3" t="n">
        <v>58.63</v>
      </c>
      <c r="U729" s="4" t="n">
        <v>0.4051</v>
      </c>
      <c r="V729" s="3" t="n">
        <v>7.8</v>
      </c>
      <c r="W729" t="inlineStr">
        <is>
          <t>Credit Card</t>
        </is>
      </c>
      <c r="X729" t="inlineStr">
        <is>
          <t>Critical</t>
        </is>
      </c>
    </row>
    <row r="730">
      <c r="A730" t="inlineStr">
        <is>
          <t>ORD-00729</t>
        </is>
      </c>
      <c r="B730" s="2" t="n">
        <v>45153</v>
      </c>
      <c r="C730" s="2" t="n">
        <v>45159</v>
      </c>
      <c r="D730" t="inlineStr">
        <is>
          <t>CUST-00729</t>
        </is>
      </c>
      <c r="E730" t="inlineStr">
        <is>
          <t>Customer 729</t>
        </is>
      </c>
      <c r="F730" t="inlineStr">
        <is>
          <t>Consumer</t>
        </is>
      </c>
      <c r="G730" t="inlineStr">
        <is>
          <t>P1013</t>
        </is>
      </c>
      <c r="H730" t="inlineStr">
        <is>
          <t>Trail Tote</t>
        </is>
      </c>
      <c r="I730" t="inlineStr">
        <is>
          <t>Furniture</t>
        </is>
      </c>
      <c r="J730" t="inlineStr">
        <is>
          <t>Desks</t>
        </is>
      </c>
      <c r="K730" t="inlineStr">
        <is>
          <t>East</t>
        </is>
      </c>
      <c r="L730" t="inlineStr">
        <is>
          <t>Virginia</t>
        </is>
      </c>
      <c r="M730" t="inlineStr">
        <is>
          <t>Philadelphia</t>
        </is>
      </c>
      <c r="N730" t="inlineStr">
        <is>
          <t>Noah Kim</t>
        </is>
      </c>
      <c r="O730" t="n">
        <v>1</v>
      </c>
      <c r="P730" s="3" t="n">
        <v>162.3</v>
      </c>
      <c r="Q730" s="4" t="n">
        <v>0.016</v>
      </c>
      <c r="R730" s="3" t="n">
        <v>159.7</v>
      </c>
      <c r="S730" s="3" t="n">
        <v>100</v>
      </c>
      <c r="T730" s="3" t="n">
        <v>51.9</v>
      </c>
      <c r="U730" s="4" t="n">
        <v>0.325</v>
      </c>
      <c r="V730" s="3" t="n">
        <v>7.8</v>
      </c>
      <c r="W730" t="inlineStr">
        <is>
          <t>Bank Transfer</t>
        </is>
      </c>
      <c r="X730" t="inlineStr">
        <is>
          <t>Low</t>
        </is>
      </c>
    </row>
    <row r="731">
      <c r="A731" t="inlineStr">
        <is>
          <t>ORD-00730</t>
        </is>
      </c>
      <c r="B731" s="2" t="n">
        <v>45111</v>
      </c>
      <c r="C731" s="2" t="n">
        <v>45113</v>
      </c>
      <c r="D731" t="inlineStr">
        <is>
          <t>CUST-00730</t>
        </is>
      </c>
      <c r="E731" t="inlineStr">
        <is>
          <t>Customer 730</t>
        </is>
      </c>
      <c r="F731" t="inlineStr">
        <is>
          <t>Corporate</t>
        </is>
      </c>
      <c r="G731" t="inlineStr">
        <is>
          <t>P1020</t>
        </is>
      </c>
      <c r="H731" t="inlineStr">
        <is>
          <t>Nimbus Monitor Arm</t>
        </is>
      </c>
      <c r="I731" t="inlineStr">
        <is>
          <t>Technology</t>
        </is>
      </c>
      <c r="J731" t="inlineStr">
        <is>
          <t>Coolers</t>
        </is>
      </c>
      <c r="K731" t="inlineStr">
        <is>
          <t>South</t>
        </is>
      </c>
      <c r="L731" t="inlineStr">
        <is>
          <t>Texas</t>
        </is>
      </c>
      <c r="M731" t="inlineStr">
        <is>
          <t>Miami</t>
        </is>
      </c>
      <c r="N731" t="inlineStr">
        <is>
          <t>Liam Chen</t>
        </is>
      </c>
      <c r="O731" t="n">
        <v>3</v>
      </c>
      <c r="P731" s="3" t="n">
        <v>70.68000000000001</v>
      </c>
      <c r="Q731" s="4" t="n">
        <v>0.032</v>
      </c>
      <c r="R731" s="3" t="n">
        <v>205.25</v>
      </c>
      <c r="S731" s="3" t="n">
        <v>103.48</v>
      </c>
      <c r="T731" s="3" t="n">
        <v>93.37</v>
      </c>
      <c r="U731" s="4" t="n">
        <v>0.4549</v>
      </c>
      <c r="V731" s="3" t="n">
        <v>8.4</v>
      </c>
      <c r="W731" t="inlineStr">
        <is>
          <t>Debit Card</t>
        </is>
      </c>
      <c r="X731" t="inlineStr">
        <is>
          <t>Medium</t>
        </is>
      </c>
    </row>
    <row r="732">
      <c r="A732" t="inlineStr">
        <is>
          <t>ORD-00731</t>
        </is>
      </c>
      <c r="B732" s="2" t="n">
        <v>45022</v>
      </c>
      <c r="C732" s="2" t="n">
        <v>45028</v>
      </c>
      <c r="D732" t="inlineStr">
        <is>
          <t>CUST-00731</t>
        </is>
      </c>
      <c r="E732" t="inlineStr">
        <is>
          <t>Customer 731</t>
        </is>
      </c>
      <c r="F732" t="inlineStr">
        <is>
          <t>Corporate</t>
        </is>
      </c>
      <c r="G732" t="inlineStr">
        <is>
          <t>P1019</t>
        </is>
      </c>
      <c r="H732" t="inlineStr">
        <is>
          <t>CloudDrive File Box</t>
        </is>
      </c>
      <c r="I732" t="inlineStr">
        <is>
          <t>Office Supplies</t>
        </is>
      </c>
      <c r="J732" t="inlineStr">
        <is>
          <t>Desks</t>
        </is>
      </c>
      <c r="K732" t="inlineStr">
        <is>
          <t>East</t>
        </is>
      </c>
      <c r="L732" t="inlineStr">
        <is>
          <t>Massachusetts</t>
        </is>
      </c>
      <c r="M732" t="inlineStr">
        <is>
          <t>Boston</t>
        </is>
      </c>
      <c r="N732" t="inlineStr">
        <is>
          <t>Mia Rodriguez</t>
        </is>
      </c>
      <c r="O732" t="n">
        <v>1</v>
      </c>
      <c r="P732" s="3" t="n">
        <v>56.14</v>
      </c>
      <c r="Q732" s="4" t="n">
        <v>0.024</v>
      </c>
      <c r="R732" s="3" t="n">
        <v>54.79</v>
      </c>
      <c r="S732" s="3" t="n">
        <v>29.17</v>
      </c>
      <c r="T732" s="3" t="n">
        <v>17.82</v>
      </c>
      <c r="U732" s="4" t="n">
        <v>0.3252</v>
      </c>
      <c r="V732" s="3" t="n">
        <v>7.8</v>
      </c>
      <c r="W732" t="inlineStr">
        <is>
          <t>Credit Card</t>
        </is>
      </c>
      <c r="X732" t="inlineStr">
        <is>
          <t>Low</t>
        </is>
      </c>
    </row>
    <row r="733">
      <c r="A733" t="inlineStr">
        <is>
          <t>ORD-00732</t>
        </is>
      </c>
      <c r="B733" s="2" t="n">
        <v>45863</v>
      </c>
      <c r="C733" s="2" t="n">
        <v>45869</v>
      </c>
      <c r="D733" t="inlineStr">
        <is>
          <t>CUST-00732</t>
        </is>
      </c>
      <c r="E733" t="inlineStr">
        <is>
          <t>Customer 732</t>
        </is>
      </c>
      <c r="F733" t="inlineStr">
        <is>
          <t>Consumer</t>
        </is>
      </c>
      <c r="G733" t="inlineStr">
        <is>
          <t>P1015</t>
        </is>
      </c>
      <c r="H733" t="inlineStr">
        <is>
          <t>Echo Web Camera</t>
        </is>
      </c>
      <c r="I733" t="inlineStr">
        <is>
          <t>Furniture</t>
        </is>
      </c>
      <c r="J733" t="inlineStr">
        <is>
          <t>Textiles</t>
        </is>
      </c>
      <c r="K733" t="inlineStr">
        <is>
          <t>East</t>
        </is>
      </c>
      <c r="L733" t="inlineStr">
        <is>
          <t>New Jersey</t>
        </is>
      </c>
      <c r="M733" t="inlineStr">
        <is>
          <t>New York</t>
        </is>
      </c>
      <c r="N733" t="inlineStr">
        <is>
          <t>Ava Patel</t>
        </is>
      </c>
      <c r="O733" t="n">
        <v>1</v>
      </c>
      <c r="P733" s="3" t="n">
        <v>72.65000000000001</v>
      </c>
      <c r="Q733" s="4" t="n">
        <v>0.014</v>
      </c>
      <c r="R733" s="3" t="n">
        <v>71.63</v>
      </c>
      <c r="S733" s="3" t="n">
        <v>40.68</v>
      </c>
      <c r="T733" s="3" t="n">
        <v>23.15</v>
      </c>
      <c r="U733" s="4" t="n">
        <v>0.3232</v>
      </c>
      <c r="V733" s="3" t="n">
        <v>7.8</v>
      </c>
      <c r="W733" t="inlineStr">
        <is>
          <t>PayPal</t>
        </is>
      </c>
      <c r="X733" t="inlineStr">
        <is>
          <t>Medium</t>
        </is>
      </c>
    </row>
    <row r="734">
      <c r="A734" t="inlineStr">
        <is>
          <t>ORD-00733</t>
        </is>
      </c>
      <c r="B734" s="2" t="n">
        <v>45971</v>
      </c>
      <c r="C734" s="2" t="n">
        <v>45975</v>
      </c>
      <c r="D734" t="inlineStr">
        <is>
          <t>CUST-00733</t>
        </is>
      </c>
      <c r="E734" t="inlineStr">
        <is>
          <t>Customer 733</t>
        </is>
      </c>
      <c r="F734" t="inlineStr">
        <is>
          <t>Consumer</t>
        </is>
      </c>
      <c r="G734" t="inlineStr">
        <is>
          <t>P1019</t>
        </is>
      </c>
      <c r="H734" t="inlineStr">
        <is>
          <t>Lumen Desk Lamp</t>
        </is>
      </c>
      <c r="I734" t="inlineStr">
        <is>
          <t>Outdoor</t>
        </is>
      </c>
      <c r="J734" t="inlineStr">
        <is>
          <t>Decor</t>
        </is>
      </c>
      <c r="K734" t="inlineStr">
        <is>
          <t>Central</t>
        </is>
      </c>
      <c r="L734" t="inlineStr">
        <is>
          <t>Minnesota</t>
        </is>
      </c>
      <c r="M734" t="inlineStr">
        <is>
          <t>Kansas City</t>
        </is>
      </c>
      <c r="N734" t="inlineStr">
        <is>
          <t>Sophia Singh</t>
        </is>
      </c>
      <c r="O734" t="n">
        <v>2</v>
      </c>
      <c r="P734" s="3" t="n">
        <v>63.18</v>
      </c>
      <c r="Q734" s="4" t="n">
        <v>0.037</v>
      </c>
      <c r="R734" s="3" t="n">
        <v>121.68</v>
      </c>
      <c r="S734" s="3" t="n">
        <v>57.94</v>
      </c>
      <c r="T734" s="3" t="n">
        <v>56.14</v>
      </c>
      <c r="U734" s="4" t="n">
        <v>0.4614</v>
      </c>
      <c r="V734" s="3" t="n">
        <v>7.6</v>
      </c>
      <c r="W734" t="inlineStr">
        <is>
          <t>Credit Card</t>
        </is>
      </c>
      <c r="X734" t="inlineStr">
        <is>
          <t>High</t>
        </is>
      </c>
    </row>
    <row r="735">
      <c r="A735" t="inlineStr">
        <is>
          <t>ORD-00734</t>
        </is>
      </c>
      <c r="B735" s="2" t="n">
        <v>45522</v>
      </c>
      <c r="C735" s="2" t="n">
        <v>45525</v>
      </c>
      <c r="D735" t="inlineStr">
        <is>
          <t>CUST-00734</t>
        </is>
      </c>
      <c r="E735" t="inlineStr">
        <is>
          <t>Customer 734</t>
        </is>
      </c>
      <c r="F735" t="inlineStr">
        <is>
          <t>Consumer</t>
        </is>
      </c>
      <c r="G735" t="inlineStr">
        <is>
          <t>P1020</t>
        </is>
      </c>
      <c r="H735" t="inlineStr">
        <is>
          <t>Summit Patio Set</t>
        </is>
      </c>
      <c r="I735" t="inlineStr">
        <is>
          <t>Technology</t>
        </is>
      </c>
      <c r="J735" t="inlineStr">
        <is>
          <t>Decor</t>
        </is>
      </c>
      <c r="K735" t="inlineStr">
        <is>
          <t>North</t>
        </is>
      </c>
      <c r="L735" t="inlineStr">
        <is>
          <t>Ontario</t>
        </is>
      </c>
      <c r="M735" t="inlineStr">
        <is>
          <t>Vancouver</t>
        </is>
      </c>
      <c r="N735" t="inlineStr">
        <is>
          <t>Ava Patel</t>
        </is>
      </c>
      <c r="O735" t="n">
        <v>3</v>
      </c>
      <c r="P735" s="3" t="n">
        <v>77.69</v>
      </c>
      <c r="Q735" s="4" t="n">
        <v>0.041</v>
      </c>
      <c r="R735" s="3" t="n">
        <v>223.51</v>
      </c>
      <c r="S735" s="3" t="n">
        <v>108.43</v>
      </c>
      <c r="T735" s="3" t="n">
        <v>106.68</v>
      </c>
      <c r="U735" s="4" t="n">
        <v>0.4773</v>
      </c>
      <c r="V735" s="3" t="n">
        <v>8.4</v>
      </c>
      <c r="W735" t="inlineStr">
        <is>
          <t>Credit Card</t>
        </is>
      </c>
      <c r="X735" t="inlineStr">
        <is>
          <t>High</t>
        </is>
      </c>
    </row>
    <row r="736">
      <c r="A736" t="inlineStr">
        <is>
          <t>ORD-00735</t>
        </is>
      </c>
      <c r="B736" s="2" t="n">
        <v>45338</v>
      </c>
      <c r="C736" s="2" t="n">
        <v>45341</v>
      </c>
      <c r="D736" t="inlineStr">
        <is>
          <t>CUST-00735</t>
        </is>
      </c>
      <c r="E736" t="inlineStr">
        <is>
          <t>Customer 735</t>
        </is>
      </c>
      <c r="F736" t="inlineStr">
        <is>
          <t>Consumer</t>
        </is>
      </c>
      <c r="G736" t="inlineStr">
        <is>
          <t>P1004</t>
        </is>
      </c>
      <c r="H736" t="inlineStr">
        <is>
          <t>Cove Wall Clock</t>
        </is>
      </c>
      <c r="I736" t="inlineStr">
        <is>
          <t>Technology</t>
        </is>
      </c>
      <c r="J736" t="inlineStr">
        <is>
          <t>Writing</t>
        </is>
      </c>
      <c r="K736" t="inlineStr">
        <is>
          <t>Central</t>
        </is>
      </c>
      <c r="L736" t="inlineStr">
        <is>
          <t>Illinois</t>
        </is>
      </c>
      <c r="M736" t="inlineStr">
        <is>
          <t>Chicago</t>
        </is>
      </c>
      <c r="N736" t="inlineStr">
        <is>
          <t>Sophia Singh</t>
        </is>
      </c>
      <c r="O736" t="n">
        <v>3</v>
      </c>
      <c r="P736" s="3" t="n">
        <v>592.74</v>
      </c>
      <c r="Q736" s="4" t="n">
        <v>0.017</v>
      </c>
      <c r="R736" s="3" t="n">
        <v>1747.99</v>
      </c>
      <c r="S736" s="3" t="n">
        <v>1107.47</v>
      </c>
      <c r="T736" s="3" t="n">
        <v>632.12</v>
      </c>
      <c r="U736" s="4" t="n">
        <v>0.3616</v>
      </c>
      <c r="V736" s="3" t="n">
        <v>8.4</v>
      </c>
      <c r="W736" t="inlineStr">
        <is>
          <t>Credit Card</t>
        </is>
      </c>
      <c r="X736" t="inlineStr">
        <is>
          <t>High</t>
        </is>
      </c>
    </row>
    <row r="737">
      <c r="A737" t="inlineStr">
        <is>
          <t>ORD-00736</t>
        </is>
      </c>
      <c r="B737" s="2" t="n">
        <v>45887</v>
      </c>
      <c r="C737" s="2" t="n">
        <v>45894</v>
      </c>
      <c r="D737" t="inlineStr">
        <is>
          <t>CUST-00736</t>
        </is>
      </c>
      <c r="E737" t="inlineStr">
        <is>
          <t>Customer 736</t>
        </is>
      </c>
      <c r="F737" t="inlineStr">
        <is>
          <t>Corporate</t>
        </is>
      </c>
      <c r="G737" t="inlineStr">
        <is>
          <t>P1006</t>
        </is>
      </c>
      <c r="H737" t="inlineStr">
        <is>
          <t>Cove Wall Clock</t>
        </is>
      </c>
      <c r="I737" t="inlineStr">
        <is>
          <t>Home Decor</t>
        </is>
      </c>
      <c r="J737" t="inlineStr">
        <is>
          <t>Flooring</t>
        </is>
      </c>
      <c r="K737" t="inlineStr">
        <is>
          <t>North</t>
        </is>
      </c>
      <c r="L737" t="inlineStr">
        <is>
          <t>British Columbia</t>
        </is>
      </c>
      <c r="M737" t="inlineStr">
        <is>
          <t>Calgary</t>
        </is>
      </c>
      <c r="N737" t="inlineStr">
        <is>
          <t>Noah Kim</t>
        </is>
      </c>
      <c r="O737" t="n">
        <v>3</v>
      </c>
      <c r="P737" s="3" t="n">
        <v>18.36</v>
      </c>
      <c r="Q737" s="4" t="n">
        <v>0.029</v>
      </c>
      <c r="R737" s="3" t="n">
        <v>53.48</v>
      </c>
      <c r="S737" s="3" t="n">
        <v>24.95</v>
      </c>
      <c r="T737" s="3" t="n">
        <v>20.13</v>
      </c>
      <c r="U737" s="4" t="n">
        <v>0.3764</v>
      </c>
      <c r="V737" s="3" t="n">
        <v>8.4</v>
      </c>
      <c r="W737" t="inlineStr">
        <is>
          <t>Credit Card</t>
        </is>
      </c>
      <c r="X737" t="inlineStr">
        <is>
          <t>Low</t>
        </is>
      </c>
    </row>
    <row r="738">
      <c r="A738" t="inlineStr">
        <is>
          <t>ORD-00737</t>
        </is>
      </c>
      <c r="B738" s="2" t="n">
        <v>45571</v>
      </c>
      <c r="C738" s="2" t="n">
        <v>45574</v>
      </c>
      <c r="D738" t="inlineStr">
        <is>
          <t>CUST-00737</t>
        </is>
      </c>
      <c r="E738" t="inlineStr">
        <is>
          <t>Customer 737</t>
        </is>
      </c>
      <c r="F738" t="inlineStr">
        <is>
          <t>Consumer</t>
        </is>
      </c>
      <c r="G738" t="inlineStr">
        <is>
          <t>P1015</t>
        </is>
      </c>
      <c r="H738" t="inlineStr">
        <is>
          <t>ProClip Binder</t>
        </is>
      </c>
      <c r="I738" t="inlineStr">
        <is>
          <t>Home Decor</t>
        </is>
      </c>
      <c r="J738" t="inlineStr">
        <is>
          <t>Decor</t>
        </is>
      </c>
      <c r="K738" t="inlineStr">
        <is>
          <t>South</t>
        </is>
      </c>
      <c r="L738" t="inlineStr">
        <is>
          <t>Georgia</t>
        </is>
      </c>
      <c r="M738" t="inlineStr">
        <is>
          <t>Houston</t>
        </is>
      </c>
      <c r="N738" t="inlineStr">
        <is>
          <t>Liam Chen</t>
        </is>
      </c>
      <c r="O738" t="n">
        <v>3</v>
      </c>
      <c r="P738" s="3" t="n">
        <v>67.84</v>
      </c>
      <c r="Q738" s="4" t="n">
        <v>0.008999999999999999</v>
      </c>
      <c r="R738" s="3" t="n">
        <v>201.69</v>
      </c>
      <c r="S738" s="3" t="n">
        <v>92.73</v>
      </c>
      <c r="T738" s="3" t="n">
        <v>100.56</v>
      </c>
      <c r="U738" s="4" t="n">
        <v>0.4986</v>
      </c>
      <c r="V738" s="3" t="n">
        <v>8.4</v>
      </c>
      <c r="W738" t="inlineStr">
        <is>
          <t>Bank Transfer</t>
        </is>
      </c>
      <c r="X738" t="inlineStr">
        <is>
          <t>Low</t>
        </is>
      </c>
    </row>
    <row r="739">
      <c r="A739" t="inlineStr">
        <is>
          <t>ORD-00738</t>
        </is>
      </c>
      <c r="B739" s="2" t="n">
        <v>45980</v>
      </c>
      <c r="C739" s="2" t="n">
        <v>45984</v>
      </c>
      <c r="D739" t="inlineStr">
        <is>
          <t>CUST-00738</t>
        </is>
      </c>
      <c r="E739" t="inlineStr">
        <is>
          <t>Customer 738</t>
        </is>
      </c>
      <c r="F739" t="inlineStr">
        <is>
          <t>Consumer</t>
        </is>
      </c>
      <c r="G739" t="inlineStr">
        <is>
          <t>P1004</t>
        </is>
      </c>
      <c r="H739" t="inlineStr">
        <is>
          <t>CloudDrive File Box</t>
        </is>
      </c>
      <c r="I739" t="inlineStr">
        <is>
          <t>Office Supplies</t>
        </is>
      </c>
      <c r="J739" t="inlineStr">
        <is>
          <t>Peripherals</t>
        </is>
      </c>
      <c r="K739" t="inlineStr">
        <is>
          <t>North</t>
        </is>
      </c>
      <c r="L739" t="inlineStr">
        <is>
          <t>Alberta</t>
        </is>
      </c>
      <c r="M739" t="inlineStr">
        <is>
          <t>Vancouver</t>
        </is>
      </c>
      <c r="N739" t="inlineStr">
        <is>
          <t>Ethan Brooks</t>
        </is>
      </c>
      <c r="O739" t="n">
        <v>3</v>
      </c>
      <c r="P739" s="3" t="n">
        <v>623.6799999999999</v>
      </c>
      <c r="Q739" s="4" t="n">
        <v>0.028</v>
      </c>
      <c r="R739" s="3" t="n">
        <v>1818.65</v>
      </c>
      <c r="S739" s="3" t="n">
        <v>1154.54</v>
      </c>
      <c r="T739" s="3" t="n">
        <v>655.71</v>
      </c>
      <c r="U739" s="4" t="n">
        <v>0.3605</v>
      </c>
      <c r="V739" s="3" t="n">
        <v>8.4</v>
      </c>
      <c r="W739" t="inlineStr">
        <is>
          <t>Credit Card</t>
        </is>
      </c>
      <c r="X739" t="inlineStr">
        <is>
          <t>Medium</t>
        </is>
      </c>
    </row>
    <row r="740">
      <c r="A740" t="inlineStr">
        <is>
          <t>ORD-00739</t>
        </is>
      </c>
      <c r="B740" s="2" t="n">
        <v>45552</v>
      </c>
      <c r="C740" s="2" t="n">
        <v>45557</v>
      </c>
      <c r="D740" t="inlineStr">
        <is>
          <t>CUST-00739</t>
        </is>
      </c>
      <c r="E740" t="inlineStr">
        <is>
          <t>Customer 739</t>
        </is>
      </c>
      <c r="F740" t="inlineStr">
        <is>
          <t>Corporate</t>
        </is>
      </c>
      <c r="G740" t="inlineStr">
        <is>
          <t>P1006</t>
        </is>
      </c>
      <c r="H740" t="inlineStr">
        <is>
          <t>Orbit Wireless Mouse</t>
        </is>
      </c>
      <c r="I740" t="inlineStr">
        <is>
          <t>Home Decor</t>
        </is>
      </c>
      <c r="J740" t="inlineStr">
        <is>
          <t>Flooring</t>
        </is>
      </c>
      <c r="K740" t="inlineStr">
        <is>
          <t>West</t>
        </is>
      </c>
      <c r="L740" t="inlineStr">
        <is>
          <t>Washington</t>
        </is>
      </c>
      <c r="M740" t="inlineStr">
        <is>
          <t>Seattle</t>
        </is>
      </c>
      <c r="N740" t="inlineStr">
        <is>
          <t>Liam Chen</t>
        </is>
      </c>
      <c r="O740" t="n">
        <v>4</v>
      </c>
      <c r="P740" s="3" t="n">
        <v>18.63</v>
      </c>
      <c r="Q740" s="4" t="n">
        <v>0.035</v>
      </c>
      <c r="R740" s="3" t="n">
        <v>71.91</v>
      </c>
      <c r="S740" s="3" t="n">
        <v>29.08</v>
      </c>
      <c r="T740" s="3" t="n">
        <v>32.63</v>
      </c>
      <c r="U740" s="4" t="n">
        <v>0.4538</v>
      </c>
      <c r="V740" s="3" t="n">
        <v>10.2</v>
      </c>
      <c r="W740" t="inlineStr">
        <is>
          <t>Bank Transfer</t>
        </is>
      </c>
      <c r="X740" t="inlineStr">
        <is>
          <t>Medium</t>
        </is>
      </c>
    </row>
    <row r="741">
      <c r="A741" t="inlineStr">
        <is>
          <t>ORD-00740</t>
        </is>
      </c>
      <c r="B741" s="2" t="n">
        <v>45369</v>
      </c>
      <c r="C741" s="2" t="n">
        <v>45376</v>
      </c>
      <c r="D741" t="inlineStr">
        <is>
          <t>CUST-00740</t>
        </is>
      </c>
      <c r="E741" t="inlineStr">
        <is>
          <t>Customer 740</t>
        </is>
      </c>
      <c r="F741" t="inlineStr">
        <is>
          <t>Consumer</t>
        </is>
      </c>
      <c r="G741" t="inlineStr">
        <is>
          <t>P1002</t>
        </is>
      </c>
      <c r="H741" t="inlineStr">
        <is>
          <t>Tide Cooler</t>
        </is>
      </c>
      <c r="I741" t="inlineStr">
        <is>
          <t>Office Supplies</t>
        </is>
      </c>
      <c r="J741" t="inlineStr">
        <is>
          <t>Binders</t>
        </is>
      </c>
      <c r="K741" t="inlineStr">
        <is>
          <t>Central</t>
        </is>
      </c>
      <c r="L741" t="inlineStr">
        <is>
          <t>Minnesota</t>
        </is>
      </c>
      <c r="M741" t="inlineStr">
        <is>
          <t>Chicago</t>
        </is>
      </c>
      <c r="N741" t="inlineStr">
        <is>
          <t>Mia Rodriguez</t>
        </is>
      </c>
      <c r="O741" t="n">
        <v>2</v>
      </c>
      <c r="P741" s="3" t="n">
        <v>79.45</v>
      </c>
      <c r="Q741" s="4" t="n">
        <v>0.016</v>
      </c>
      <c r="R741" s="3" t="n">
        <v>156.36</v>
      </c>
      <c r="S741" s="3" t="n">
        <v>74.39</v>
      </c>
      <c r="T741" s="3" t="n">
        <v>74.37</v>
      </c>
      <c r="U741" s="4" t="n">
        <v>0.4756</v>
      </c>
      <c r="V741" s="3" t="n">
        <v>7.6</v>
      </c>
      <c r="W741" t="inlineStr">
        <is>
          <t>PayPal</t>
        </is>
      </c>
      <c r="X741" t="inlineStr">
        <is>
          <t>Medium</t>
        </is>
      </c>
    </row>
    <row r="742">
      <c r="A742" t="inlineStr">
        <is>
          <t>ORD-00741</t>
        </is>
      </c>
      <c r="B742" s="2" t="n">
        <v>45578</v>
      </c>
      <c r="C742" s="2" t="n">
        <v>45582</v>
      </c>
      <c r="D742" t="inlineStr">
        <is>
          <t>CUST-00741</t>
        </is>
      </c>
      <c r="E742" t="inlineStr">
        <is>
          <t>Customer 741</t>
        </is>
      </c>
      <c r="F742" t="inlineStr">
        <is>
          <t>Corporate</t>
        </is>
      </c>
      <c r="G742" t="inlineStr">
        <is>
          <t>P1004</t>
        </is>
      </c>
      <c r="H742" t="inlineStr">
        <is>
          <t>ErgoMesh Chair</t>
        </is>
      </c>
      <c r="I742" t="inlineStr">
        <is>
          <t>Outdoor</t>
        </is>
      </c>
      <c r="J742" t="inlineStr">
        <is>
          <t>Peripherals</t>
        </is>
      </c>
      <c r="K742" t="inlineStr">
        <is>
          <t>North</t>
        </is>
      </c>
      <c r="L742" t="inlineStr">
        <is>
          <t>Ontario</t>
        </is>
      </c>
      <c r="M742" t="inlineStr">
        <is>
          <t>Calgary</t>
        </is>
      </c>
      <c r="N742" t="inlineStr">
        <is>
          <t>Sophia Singh</t>
        </is>
      </c>
      <c r="O742" t="n">
        <v>3</v>
      </c>
      <c r="P742" s="3" t="n">
        <v>634.51</v>
      </c>
      <c r="Q742" s="4" t="n">
        <v>0.04</v>
      </c>
      <c r="R742" s="3" t="n">
        <v>1827.39</v>
      </c>
      <c r="S742" s="3" t="n">
        <v>1161.05</v>
      </c>
      <c r="T742" s="3" t="n">
        <v>657.9400000000001</v>
      </c>
      <c r="U742" s="4" t="n">
        <v>0.36</v>
      </c>
      <c r="V742" s="3" t="n">
        <v>8.4</v>
      </c>
      <c r="W742" t="inlineStr">
        <is>
          <t>Credit Card</t>
        </is>
      </c>
      <c r="X742" t="inlineStr">
        <is>
          <t>Critical</t>
        </is>
      </c>
    </row>
    <row r="743">
      <c r="A743" t="inlineStr">
        <is>
          <t>ORD-00742</t>
        </is>
      </c>
      <c r="B743" s="2" t="n">
        <v>45542</v>
      </c>
      <c r="C743" s="2" t="n">
        <v>45543</v>
      </c>
      <c r="D743" t="inlineStr">
        <is>
          <t>CUST-00742</t>
        </is>
      </c>
      <c r="E743" t="inlineStr">
        <is>
          <t>Customer 742</t>
        </is>
      </c>
      <c r="F743" t="inlineStr">
        <is>
          <t>Corporate</t>
        </is>
      </c>
      <c r="G743" t="inlineStr">
        <is>
          <t>P1018</t>
        </is>
      </c>
      <c r="H743" t="inlineStr">
        <is>
          <t>SmartInk Pen Set</t>
        </is>
      </c>
      <c r="I743" t="inlineStr">
        <is>
          <t>Technology</t>
        </is>
      </c>
      <c r="J743" t="inlineStr">
        <is>
          <t>Binders</t>
        </is>
      </c>
      <c r="K743" t="inlineStr">
        <is>
          <t>Central</t>
        </is>
      </c>
      <c r="L743" t="inlineStr">
        <is>
          <t>Missouri</t>
        </is>
      </c>
      <c r="M743" t="inlineStr">
        <is>
          <t>Kansas City</t>
        </is>
      </c>
      <c r="N743" t="inlineStr">
        <is>
          <t>Olivia Martin</t>
        </is>
      </c>
      <c r="O743" t="n">
        <v>3</v>
      </c>
      <c r="P743" s="3" t="n">
        <v>89.55</v>
      </c>
      <c r="Q743" s="4" t="n">
        <v>0.027</v>
      </c>
      <c r="R743" s="3" t="n">
        <v>261.4</v>
      </c>
      <c r="S743" s="3" t="n">
        <v>118.41</v>
      </c>
      <c r="T743" s="3" t="n">
        <v>134.59</v>
      </c>
      <c r="U743" s="4" t="n">
        <v>0.5149</v>
      </c>
      <c r="V743" s="3" t="n">
        <v>8.4</v>
      </c>
      <c r="W743" t="inlineStr">
        <is>
          <t>Credit Card</t>
        </is>
      </c>
      <c r="X743" t="inlineStr">
        <is>
          <t>Medium</t>
        </is>
      </c>
    </row>
    <row r="744">
      <c r="A744" t="inlineStr">
        <is>
          <t>ORD-00743</t>
        </is>
      </c>
      <c r="B744" s="2" t="n">
        <v>45677</v>
      </c>
      <c r="C744" s="2" t="n">
        <v>45683</v>
      </c>
      <c r="D744" t="inlineStr">
        <is>
          <t>CUST-00743</t>
        </is>
      </c>
      <c r="E744" t="inlineStr">
        <is>
          <t>Customer 743</t>
        </is>
      </c>
      <c r="F744" t="inlineStr">
        <is>
          <t>Consumer</t>
        </is>
      </c>
      <c r="G744" t="inlineStr">
        <is>
          <t>P1015</t>
        </is>
      </c>
      <c r="H744" t="inlineStr">
        <is>
          <t>SmartInk Pen Set</t>
        </is>
      </c>
      <c r="I744" t="inlineStr">
        <is>
          <t>Furniture</t>
        </is>
      </c>
      <c r="J744" t="inlineStr">
        <is>
          <t>Peripherals</t>
        </is>
      </c>
      <c r="K744" t="inlineStr">
        <is>
          <t>North</t>
        </is>
      </c>
      <c r="L744" t="inlineStr">
        <is>
          <t>British Columbia</t>
        </is>
      </c>
      <c r="M744" t="inlineStr">
        <is>
          <t>Toronto</t>
        </is>
      </c>
      <c r="N744" t="inlineStr">
        <is>
          <t>Sophia Singh</t>
        </is>
      </c>
      <c r="O744" t="n">
        <v>3</v>
      </c>
      <c r="P744" s="3" t="n">
        <v>68.98999999999999</v>
      </c>
      <c r="Q744" s="4" t="n">
        <v>0.011</v>
      </c>
      <c r="R744" s="3" t="n">
        <v>204.69</v>
      </c>
      <c r="S744" s="3" t="n">
        <v>94.44</v>
      </c>
      <c r="T744" s="3" t="n">
        <v>101.85</v>
      </c>
      <c r="U744" s="4" t="n">
        <v>0.4976</v>
      </c>
      <c r="V744" s="3" t="n">
        <v>8.4</v>
      </c>
      <c r="W744" t="inlineStr">
        <is>
          <t>Credit Card</t>
        </is>
      </c>
      <c r="X744" t="inlineStr">
        <is>
          <t>High</t>
        </is>
      </c>
    </row>
    <row r="745">
      <c r="A745" t="inlineStr">
        <is>
          <t>ORD-00744</t>
        </is>
      </c>
      <c r="B745" s="2" t="n">
        <v>45455</v>
      </c>
      <c r="C745" s="2" t="n">
        <v>45460</v>
      </c>
      <c r="D745" t="inlineStr">
        <is>
          <t>CUST-00744</t>
        </is>
      </c>
      <c r="E745" t="inlineStr">
        <is>
          <t>Customer 744</t>
        </is>
      </c>
      <c r="F745" t="inlineStr">
        <is>
          <t>Corporate</t>
        </is>
      </c>
      <c r="G745" t="inlineStr">
        <is>
          <t>P1012</t>
        </is>
      </c>
      <c r="H745" t="inlineStr">
        <is>
          <t>Harbor Rug</t>
        </is>
      </c>
      <c r="I745" t="inlineStr">
        <is>
          <t>Office Supplies</t>
        </is>
      </c>
      <c r="J745" t="inlineStr">
        <is>
          <t>Lighting</t>
        </is>
      </c>
      <c r="K745" t="inlineStr">
        <is>
          <t>West</t>
        </is>
      </c>
      <c r="L745" t="inlineStr">
        <is>
          <t>California</t>
        </is>
      </c>
      <c r="M745" t="inlineStr">
        <is>
          <t>Los Angeles</t>
        </is>
      </c>
      <c r="N745" t="inlineStr">
        <is>
          <t>Mia Rodriguez</t>
        </is>
      </c>
      <c r="O745" t="n">
        <v>3</v>
      </c>
      <c r="P745" s="3" t="n">
        <v>135.43</v>
      </c>
      <c r="Q745" s="4" t="n">
        <v>0.045</v>
      </c>
      <c r="R745" s="3" t="n">
        <v>388.01</v>
      </c>
      <c r="S745" s="3" t="n">
        <v>196.49</v>
      </c>
      <c r="T745" s="3" t="n">
        <v>182.12</v>
      </c>
      <c r="U745" s="4" t="n">
        <v>0.4694</v>
      </c>
      <c r="V745" s="3" t="n">
        <v>9.4</v>
      </c>
      <c r="W745" t="inlineStr">
        <is>
          <t>Debit Card</t>
        </is>
      </c>
      <c r="X745" t="inlineStr">
        <is>
          <t>High</t>
        </is>
      </c>
    </row>
    <row r="746">
      <c r="A746" t="inlineStr">
        <is>
          <t>ORD-00745</t>
        </is>
      </c>
      <c r="B746" s="2" t="n">
        <v>45048</v>
      </c>
      <c r="C746" s="2" t="n">
        <v>45049</v>
      </c>
      <c r="D746" t="inlineStr">
        <is>
          <t>CUST-00745</t>
        </is>
      </c>
      <c r="E746" t="inlineStr">
        <is>
          <t>Customer 745</t>
        </is>
      </c>
      <c r="F746" t="inlineStr">
        <is>
          <t>Corporate</t>
        </is>
      </c>
      <c r="G746" t="inlineStr">
        <is>
          <t>P1008</t>
        </is>
      </c>
      <c r="H746" t="inlineStr">
        <is>
          <t>Atlas Throw Pillow</t>
        </is>
      </c>
      <c r="I746" t="inlineStr">
        <is>
          <t>Home Decor</t>
        </is>
      </c>
      <c r="J746" t="inlineStr">
        <is>
          <t>Furniture</t>
        </is>
      </c>
      <c r="K746" t="inlineStr">
        <is>
          <t>West</t>
        </is>
      </c>
      <c r="L746" t="inlineStr">
        <is>
          <t>Colorado</t>
        </is>
      </c>
      <c r="M746" t="inlineStr">
        <is>
          <t>Denver</t>
        </is>
      </c>
      <c r="N746" t="inlineStr">
        <is>
          <t>Liam Chen</t>
        </is>
      </c>
      <c r="O746" t="n">
        <v>4</v>
      </c>
      <c r="P746" s="3" t="n">
        <v>37.71</v>
      </c>
      <c r="Q746" s="4" t="n">
        <v>0.044</v>
      </c>
      <c r="R746" s="3" t="n">
        <v>144.2</v>
      </c>
      <c r="S746" s="3" t="n">
        <v>62.78</v>
      </c>
      <c r="T746" s="3" t="n">
        <v>71.22</v>
      </c>
      <c r="U746" s="4" t="n">
        <v>0.4939</v>
      </c>
      <c r="V746" s="3" t="n">
        <v>10.2</v>
      </c>
      <c r="W746" t="inlineStr">
        <is>
          <t>Cash on Delivery</t>
        </is>
      </c>
      <c r="X746" t="inlineStr">
        <is>
          <t>Medium</t>
        </is>
      </c>
    </row>
    <row r="747">
      <c r="A747" t="inlineStr">
        <is>
          <t>ORD-00746</t>
        </is>
      </c>
      <c r="B747" s="2" t="n">
        <v>45927</v>
      </c>
      <c r="C747" s="2" t="n">
        <v>45934</v>
      </c>
      <c r="D747" t="inlineStr">
        <is>
          <t>CUST-00746</t>
        </is>
      </c>
      <c r="E747" t="inlineStr">
        <is>
          <t>Customer 746</t>
        </is>
      </c>
      <c r="F747" t="inlineStr">
        <is>
          <t>Consumer</t>
        </is>
      </c>
      <c r="G747" t="inlineStr">
        <is>
          <t>P1012</t>
        </is>
      </c>
      <c r="H747" t="inlineStr">
        <is>
          <t>Echo Web Camera</t>
        </is>
      </c>
      <c r="I747" t="inlineStr">
        <is>
          <t>Outdoor</t>
        </is>
      </c>
      <c r="J747" t="inlineStr">
        <is>
          <t>Accessories</t>
        </is>
      </c>
      <c r="K747" t="inlineStr">
        <is>
          <t>West</t>
        </is>
      </c>
      <c r="L747" t="inlineStr">
        <is>
          <t>Oregon</t>
        </is>
      </c>
      <c r="M747" t="inlineStr">
        <is>
          <t>Seattle</t>
        </is>
      </c>
      <c r="N747" t="inlineStr">
        <is>
          <t>Ethan Brooks</t>
        </is>
      </c>
      <c r="O747" t="n">
        <v>4</v>
      </c>
      <c r="P747" s="3" t="n">
        <v>135.77</v>
      </c>
      <c r="Q747" s="4" t="n">
        <v>0.033</v>
      </c>
      <c r="R747" s="3" t="n">
        <v>525.16</v>
      </c>
      <c r="S747" s="3" t="n">
        <v>262.96</v>
      </c>
      <c r="T747" s="3" t="n">
        <v>252</v>
      </c>
      <c r="U747" s="4" t="n">
        <v>0.4799</v>
      </c>
      <c r="V747" s="3" t="n">
        <v>10.2</v>
      </c>
      <c r="W747" t="inlineStr">
        <is>
          <t>Credit Card</t>
        </is>
      </c>
      <c r="X747" t="inlineStr">
        <is>
          <t>High</t>
        </is>
      </c>
    </row>
    <row r="748">
      <c r="A748" t="inlineStr">
        <is>
          <t>ORD-00747</t>
        </is>
      </c>
      <c r="B748" s="2" t="n">
        <v>45394</v>
      </c>
      <c r="C748" s="2" t="n">
        <v>45400</v>
      </c>
      <c r="D748" t="inlineStr">
        <is>
          <t>CUST-00747</t>
        </is>
      </c>
      <c r="E748" t="inlineStr">
        <is>
          <t>Customer 747</t>
        </is>
      </c>
      <c r="F748" t="inlineStr">
        <is>
          <t>Corporate</t>
        </is>
      </c>
      <c r="G748" t="inlineStr">
        <is>
          <t>P1009</t>
        </is>
      </c>
      <c r="H748" t="inlineStr">
        <is>
          <t>Northstar Lantern</t>
        </is>
      </c>
      <c r="I748" t="inlineStr">
        <is>
          <t>Technology</t>
        </is>
      </c>
      <c r="J748" t="inlineStr">
        <is>
          <t>Chairs</t>
        </is>
      </c>
      <c r="K748" t="inlineStr">
        <is>
          <t>West</t>
        </is>
      </c>
      <c r="L748" t="inlineStr">
        <is>
          <t>Washington</t>
        </is>
      </c>
      <c r="M748" t="inlineStr">
        <is>
          <t>Los Angeles</t>
        </is>
      </c>
      <c r="N748" t="inlineStr">
        <is>
          <t>Liam Chen</t>
        </is>
      </c>
      <c r="O748" t="n">
        <v>2</v>
      </c>
      <c r="P748" s="3" t="n">
        <v>94.23999999999999</v>
      </c>
      <c r="Q748" s="4" t="n">
        <v>0.07300000000000001</v>
      </c>
      <c r="R748" s="3" t="n">
        <v>174.72</v>
      </c>
      <c r="S748" s="3" t="n">
        <v>91.05</v>
      </c>
      <c r="T748" s="3" t="n">
        <v>75.06999999999999</v>
      </c>
      <c r="U748" s="4" t="n">
        <v>0.4297</v>
      </c>
      <c r="V748" s="3" t="n">
        <v>8.6</v>
      </c>
      <c r="W748" t="inlineStr">
        <is>
          <t>Credit Card</t>
        </is>
      </c>
      <c r="X748" t="inlineStr">
        <is>
          <t>Critical</t>
        </is>
      </c>
    </row>
    <row r="749">
      <c r="A749" t="inlineStr">
        <is>
          <t>ORD-00748</t>
        </is>
      </c>
      <c r="B749" s="2" t="n">
        <v>45516</v>
      </c>
      <c r="C749" s="2" t="n">
        <v>45522</v>
      </c>
      <c r="D749" t="inlineStr">
        <is>
          <t>CUST-00748</t>
        </is>
      </c>
      <c r="E749" t="inlineStr">
        <is>
          <t>Customer 748</t>
        </is>
      </c>
      <c r="F749" t="inlineStr">
        <is>
          <t>Home Office</t>
        </is>
      </c>
      <c r="G749" t="inlineStr">
        <is>
          <t>P1007</t>
        </is>
      </c>
      <c r="H749" t="inlineStr">
        <is>
          <t>ProClip Binder</t>
        </is>
      </c>
      <c r="I749" t="inlineStr">
        <is>
          <t>Home Decor</t>
        </is>
      </c>
      <c r="J749" t="inlineStr">
        <is>
          <t>Textiles</t>
        </is>
      </c>
      <c r="K749" t="inlineStr">
        <is>
          <t>Central</t>
        </is>
      </c>
      <c r="L749" t="inlineStr">
        <is>
          <t>Illinois</t>
        </is>
      </c>
      <c r="M749" t="inlineStr">
        <is>
          <t>St. Louis</t>
        </is>
      </c>
      <c r="N749" t="inlineStr">
        <is>
          <t>Mia Rodriguez</t>
        </is>
      </c>
      <c r="O749" t="n">
        <v>3</v>
      </c>
      <c r="P749" s="3" t="n">
        <v>24.52</v>
      </c>
      <c r="Q749" s="4" t="n">
        <v>0.025</v>
      </c>
      <c r="R749" s="3" t="n">
        <v>71.72</v>
      </c>
      <c r="S749" s="3" t="n">
        <v>29.83</v>
      </c>
      <c r="T749" s="3" t="n">
        <v>33.49</v>
      </c>
      <c r="U749" s="4" t="n">
        <v>0.467</v>
      </c>
      <c r="V749" s="3" t="n">
        <v>8.4</v>
      </c>
      <c r="W749" t="inlineStr">
        <is>
          <t>Bank Transfer</t>
        </is>
      </c>
      <c r="X749" t="inlineStr">
        <is>
          <t>Medium</t>
        </is>
      </c>
    </row>
    <row r="750">
      <c r="A750" t="inlineStr">
        <is>
          <t>ORD-00749</t>
        </is>
      </c>
      <c r="B750" s="2" t="n">
        <v>46015</v>
      </c>
      <c r="C750" s="2" t="n">
        <v>46022</v>
      </c>
      <c r="D750" t="inlineStr">
        <is>
          <t>CUST-00749</t>
        </is>
      </c>
      <c r="E750" t="inlineStr">
        <is>
          <t>Customer 749</t>
        </is>
      </c>
      <c r="F750" t="inlineStr">
        <is>
          <t>Home Office</t>
        </is>
      </c>
      <c r="G750" t="inlineStr">
        <is>
          <t>P1008</t>
        </is>
      </c>
      <c r="H750" t="inlineStr">
        <is>
          <t>SmartInk Pen Set</t>
        </is>
      </c>
      <c r="I750" t="inlineStr">
        <is>
          <t>Technology</t>
        </is>
      </c>
      <c r="J750" t="inlineStr">
        <is>
          <t>Video</t>
        </is>
      </c>
      <c r="K750" t="inlineStr">
        <is>
          <t>Central</t>
        </is>
      </c>
      <c r="L750" t="inlineStr">
        <is>
          <t>Kansas</t>
        </is>
      </c>
      <c r="M750" t="inlineStr">
        <is>
          <t>Kansas City</t>
        </is>
      </c>
      <c r="N750" t="inlineStr">
        <is>
          <t>James Carter</t>
        </is>
      </c>
      <c r="O750" t="n">
        <v>2</v>
      </c>
      <c r="P750" s="3" t="n">
        <v>37.56</v>
      </c>
      <c r="Q750" s="4" t="n">
        <v>0.022</v>
      </c>
      <c r="R750" s="3" t="n">
        <v>73.47</v>
      </c>
      <c r="S750" s="3" t="n">
        <v>38.82</v>
      </c>
      <c r="T750" s="3" t="n">
        <v>27.05</v>
      </c>
      <c r="U750" s="4" t="n">
        <v>0.3682</v>
      </c>
      <c r="V750" s="3" t="n">
        <v>7.6</v>
      </c>
      <c r="W750" t="inlineStr">
        <is>
          <t>Bank Transfer</t>
        </is>
      </c>
      <c r="X750" t="inlineStr">
        <is>
          <t>High</t>
        </is>
      </c>
    </row>
    <row r="751">
      <c r="A751" t="inlineStr">
        <is>
          <t>ORD-00750</t>
        </is>
      </c>
      <c r="B751" s="2" t="n">
        <v>45600</v>
      </c>
      <c r="C751" s="2" t="n">
        <v>45601</v>
      </c>
      <c r="D751" t="inlineStr">
        <is>
          <t>CUST-00750</t>
        </is>
      </c>
      <c r="E751" t="inlineStr">
        <is>
          <t>Customer 750</t>
        </is>
      </c>
      <c r="F751" t="inlineStr">
        <is>
          <t>Corporate</t>
        </is>
      </c>
      <c r="G751" t="inlineStr">
        <is>
          <t>P1020</t>
        </is>
      </c>
      <c r="H751" t="inlineStr">
        <is>
          <t>Summit Patio Set</t>
        </is>
      </c>
      <c r="I751" t="inlineStr">
        <is>
          <t>Home Decor</t>
        </is>
      </c>
      <c r="J751" t="inlineStr">
        <is>
          <t>Decor</t>
        </is>
      </c>
      <c r="K751" t="inlineStr">
        <is>
          <t>South</t>
        </is>
      </c>
      <c r="L751" t="inlineStr">
        <is>
          <t>Texas</t>
        </is>
      </c>
      <c r="M751" t="inlineStr">
        <is>
          <t>Dallas</t>
        </is>
      </c>
      <c r="N751" t="inlineStr">
        <is>
          <t>Ethan Brooks</t>
        </is>
      </c>
      <c r="O751" t="n">
        <v>4</v>
      </c>
      <c r="P751" s="3" t="n">
        <v>79.97</v>
      </c>
      <c r="Q751" s="4" t="n">
        <v>0.011</v>
      </c>
      <c r="R751" s="3" t="n">
        <v>316.36</v>
      </c>
      <c r="S751" s="3" t="n">
        <v>150.78</v>
      </c>
      <c r="T751" s="3" t="n">
        <v>156.38</v>
      </c>
      <c r="U751" s="4" t="n">
        <v>0.4943</v>
      </c>
      <c r="V751" s="3" t="n">
        <v>9.199999999999999</v>
      </c>
      <c r="W751" t="inlineStr">
        <is>
          <t>Bank Transfer</t>
        </is>
      </c>
      <c r="X751" t="inlineStr">
        <is>
          <t>Medium</t>
        </is>
      </c>
    </row>
    <row r="752">
      <c r="A752" t="inlineStr">
        <is>
          <t>ORD-00751</t>
        </is>
      </c>
      <c r="B752" s="2" t="n">
        <v>45264</v>
      </c>
      <c r="C752" s="2" t="n">
        <v>45268</v>
      </c>
      <c r="D752" t="inlineStr">
        <is>
          <t>CUST-00751</t>
        </is>
      </c>
      <c r="E752" t="inlineStr">
        <is>
          <t>Customer 751</t>
        </is>
      </c>
      <c r="F752" t="inlineStr">
        <is>
          <t>Home Office</t>
        </is>
      </c>
      <c r="G752" t="inlineStr">
        <is>
          <t>P1010</t>
        </is>
      </c>
      <c r="H752" t="inlineStr">
        <is>
          <t>Northstar Lantern</t>
        </is>
      </c>
      <c r="I752" t="inlineStr">
        <is>
          <t>Furniture</t>
        </is>
      </c>
      <c r="J752" t="inlineStr">
        <is>
          <t>Coolers</t>
        </is>
      </c>
      <c r="K752" t="inlineStr">
        <is>
          <t>East</t>
        </is>
      </c>
      <c r="L752" t="inlineStr">
        <is>
          <t>New York</t>
        </is>
      </c>
      <c r="M752" t="inlineStr">
        <is>
          <t>Washington</t>
        </is>
      </c>
      <c r="N752" t="inlineStr">
        <is>
          <t>Ethan Brooks</t>
        </is>
      </c>
      <c r="O752" t="n">
        <v>4</v>
      </c>
      <c r="P752" s="3" t="n">
        <v>58.2</v>
      </c>
      <c r="Q752" s="4" t="n">
        <v>0.005</v>
      </c>
      <c r="R752" s="3" t="n">
        <v>231.64</v>
      </c>
      <c r="S752" s="3" t="n">
        <v>101.23</v>
      </c>
      <c r="T752" s="3" t="n">
        <v>120.21</v>
      </c>
      <c r="U752" s="4" t="n">
        <v>0.519</v>
      </c>
      <c r="V752" s="3" t="n">
        <v>10.2</v>
      </c>
      <c r="W752" t="inlineStr">
        <is>
          <t>Debit Card</t>
        </is>
      </c>
      <c r="X752" t="inlineStr">
        <is>
          <t>Low</t>
        </is>
      </c>
    </row>
    <row r="753">
      <c r="A753" t="inlineStr">
        <is>
          <t>ORD-00752</t>
        </is>
      </c>
      <c r="B753" s="2" t="n">
        <v>46009</v>
      </c>
      <c r="C753" s="2" t="n">
        <v>46012</v>
      </c>
      <c r="D753" t="inlineStr">
        <is>
          <t>CUST-00752</t>
        </is>
      </c>
      <c r="E753" t="inlineStr">
        <is>
          <t>Customer 752</t>
        </is>
      </c>
      <c r="F753" t="inlineStr">
        <is>
          <t>Consumer</t>
        </is>
      </c>
      <c r="G753" t="inlineStr">
        <is>
          <t>P1011</t>
        </is>
      </c>
      <c r="H753" t="inlineStr">
        <is>
          <t>FlexNote Notebook</t>
        </is>
      </c>
      <c r="I753" t="inlineStr">
        <is>
          <t>Furniture</t>
        </is>
      </c>
      <c r="J753" t="inlineStr">
        <is>
          <t>Accessories</t>
        </is>
      </c>
      <c r="K753" t="inlineStr">
        <is>
          <t>East</t>
        </is>
      </c>
      <c r="L753" t="inlineStr">
        <is>
          <t>New Jersey</t>
        </is>
      </c>
      <c r="M753" t="inlineStr">
        <is>
          <t>New York</t>
        </is>
      </c>
      <c r="N753" t="inlineStr">
        <is>
          <t>Sophia Singh</t>
        </is>
      </c>
      <c r="O753" t="n">
        <v>4</v>
      </c>
      <c r="P753" s="3" t="n">
        <v>93.72</v>
      </c>
      <c r="Q753" s="4" t="n">
        <v>0.003</v>
      </c>
      <c r="R753" s="3" t="n">
        <v>373.76</v>
      </c>
      <c r="S753" s="3" t="n">
        <v>183.54</v>
      </c>
      <c r="T753" s="3" t="n">
        <v>180.02</v>
      </c>
      <c r="U753" s="4" t="n">
        <v>0.4816</v>
      </c>
      <c r="V753" s="3" t="n">
        <v>10.2</v>
      </c>
      <c r="W753" t="inlineStr">
        <is>
          <t>PayPal</t>
        </is>
      </c>
      <c r="X753" t="inlineStr">
        <is>
          <t>Low</t>
        </is>
      </c>
    </row>
    <row r="754">
      <c r="A754" t="inlineStr">
        <is>
          <t>ORD-00753</t>
        </is>
      </c>
      <c r="B754" s="2" t="n">
        <v>45307</v>
      </c>
      <c r="C754" s="2" t="n">
        <v>45312</v>
      </c>
      <c r="D754" t="inlineStr">
        <is>
          <t>CUST-00753</t>
        </is>
      </c>
      <c r="E754" t="inlineStr">
        <is>
          <t>Customer 753</t>
        </is>
      </c>
      <c r="F754" t="inlineStr">
        <is>
          <t>Corporate</t>
        </is>
      </c>
      <c r="G754" t="inlineStr">
        <is>
          <t>P1002</t>
        </is>
      </c>
      <c r="H754" t="inlineStr">
        <is>
          <t>Nimbus Monitor Arm</t>
        </is>
      </c>
      <c r="I754" t="inlineStr">
        <is>
          <t>Outdoor</t>
        </is>
      </c>
      <c r="J754" t="inlineStr">
        <is>
          <t>Storage</t>
        </is>
      </c>
      <c r="K754" t="inlineStr">
        <is>
          <t>South</t>
        </is>
      </c>
      <c r="L754" t="inlineStr">
        <is>
          <t>Georgia</t>
        </is>
      </c>
      <c r="M754" t="inlineStr">
        <is>
          <t>Houston</t>
        </is>
      </c>
      <c r="N754" t="inlineStr">
        <is>
          <t>Olivia Martin</t>
        </is>
      </c>
      <c r="O754" t="n">
        <v>3</v>
      </c>
      <c r="P754" s="3" t="n">
        <v>75.77</v>
      </c>
      <c r="Q754" s="4" t="n">
        <v>0.03</v>
      </c>
      <c r="R754" s="3" t="n">
        <v>220.49</v>
      </c>
      <c r="S754" s="3" t="n">
        <v>107.33</v>
      </c>
      <c r="T754" s="3" t="n">
        <v>104.76</v>
      </c>
      <c r="U754" s="4" t="n">
        <v>0.4751</v>
      </c>
      <c r="V754" s="3" t="n">
        <v>8.4</v>
      </c>
      <c r="W754" t="inlineStr">
        <is>
          <t>Debit Card</t>
        </is>
      </c>
      <c r="X754" t="inlineStr">
        <is>
          <t>Medium</t>
        </is>
      </c>
    </row>
    <row r="755">
      <c r="A755" t="inlineStr">
        <is>
          <t>ORD-00754</t>
        </is>
      </c>
      <c r="B755" s="2" t="n">
        <v>45549</v>
      </c>
      <c r="C755" s="2" t="n">
        <v>45556</v>
      </c>
      <c r="D755" t="inlineStr">
        <is>
          <t>CUST-00754</t>
        </is>
      </c>
      <c r="E755" t="inlineStr">
        <is>
          <t>Customer 754</t>
        </is>
      </c>
      <c r="F755" t="inlineStr">
        <is>
          <t>Consumer</t>
        </is>
      </c>
      <c r="G755" t="inlineStr">
        <is>
          <t>P1004</t>
        </is>
      </c>
      <c r="H755" t="inlineStr">
        <is>
          <t>Tide Cooler</t>
        </is>
      </c>
      <c r="I755" t="inlineStr">
        <is>
          <t>Office Supplies</t>
        </is>
      </c>
      <c r="J755" t="inlineStr">
        <is>
          <t>Coolers</t>
        </is>
      </c>
      <c r="K755" t="inlineStr">
        <is>
          <t>South</t>
        </is>
      </c>
      <c r="L755" t="inlineStr">
        <is>
          <t>Texas</t>
        </is>
      </c>
      <c r="M755" t="inlineStr">
        <is>
          <t>Miami</t>
        </is>
      </c>
      <c r="N755" t="inlineStr">
        <is>
          <t>Olivia Martin</t>
        </is>
      </c>
      <c r="O755" t="n">
        <v>1</v>
      </c>
      <c r="P755" s="3" t="n">
        <v>571.46</v>
      </c>
      <c r="Q755" s="4" t="n">
        <v>0.011</v>
      </c>
      <c r="R755" s="3" t="n">
        <v>565.17</v>
      </c>
      <c r="S755" s="3" t="n">
        <v>364.14</v>
      </c>
      <c r="T755" s="3" t="n">
        <v>194.23</v>
      </c>
      <c r="U755" s="4" t="n">
        <v>0.3437</v>
      </c>
      <c r="V755" s="3" t="n">
        <v>6.8</v>
      </c>
      <c r="W755" t="inlineStr">
        <is>
          <t>Bank Transfer</t>
        </is>
      </c>
      <c r="X755" t="inlineStr">
        <is>
          <t>Low</t>
        </is>
      </c>
    </row>
    <row r="756">
      <c r="A756" t="inlineStr">
        <is>
          <t>ORD-00755</t>
        </is>
      </c>
      <c r="B756" s="2" t="n">
        <v>45094</v>
      </c>
      <c r="C756" s="2" t="n">
        <v>45101</v>
      </c>
      <c r="D756" t="inlineStr">
        <is>
          <t>CUST-00755</t>
        </is>
      </c>
      <c r="E756" t="inlineStr">
        <is>
          <t>Customer 755</t>
        </is>
      </c>
      <c r="F756" t="inlineStr">
        <is>
          <t>Consumer</t>
        </is>
      </c>
      <c r="G756" t="inlineStr">
        <is>
          <t>P1009</t>
        </is>
      </c>
      <c r="H756" t="inlineStr">
        <is>
          <t>Summit Patio Set</t>
        </is>
      </c>
      <c r="I756" t="inlineStr">
        <is>
          <t>Home Decor</t>
        </is>
      </c>
      <c r="J756" t="inlineStr">
        <is>
          <t>Textiles</t>
        </is>
      </c>
      <c r="K756" t="inlineStr">
        <is>
          <t>West</t>
        </is>
      </c>
      <c r="L756" t="inlineStr">
        <is>
          <t>Oregon</t>
        </is>
      </c>
      <c r="M756" t="inlineStr">
        <is>
          <t>Los Angeles</t>
        </is>
      </c>
      <c r="N756" t="inlineStr">
        <is>
          <t>Ethan Brooks</t>
        </is>
      </c>
      <c r="O756" t="n">
        <v>4</v>
      </c>
      <c r="P756" s="3" t="n">
        <v>92.63</v>
      </c>
      <c r="Q756" s="4" t="n">
        <v>0.063</v>
      </c>
      <c r="R756" s="3" t="n">
        <v>347.18</v>
      </c>
      <c r="S756" s="3" t="n">
        <v>172.9</v>
      </c>
      <c r="T756" s="3" t="n">
        <v>164.08</v>
      </c>
      <c r="U756" s="4" t="n">
        <v>0.4726</v>
      </c>
      <c r="V756" s="3" t="n">
        <v>10.2</v>
      </c>
      <c r="W756" t="inlineStr">
        <is>
          <t>Debit Card</t>
        </is>
      </c>
      <c r="X756" t="inlineStr">
        <is>
          <t>High</t>
        </is>
      </c>
    </row>
    <row r="757">
      <c r="A757" t="inlineStr">
        <is>
          <t>ORD-00756</t>
        </is>
      </c>
      <c r="B757" s="2" t="n">
        <v>45978</v>
      </c>
      <c r="C757" s="2" t="n">
        <v>45984</v>
      </c>
      <c r="D757" t="inlineStr">
        <is>
          <t>CUST-00756</t>
        </is>
      </c>
      <c r="E757" t="inlineStr">
        <is>
          <t>Customer 756</t>
        </is>
      </c>
      <c r="F757" t="inlineStr">
        <is>
          <t>Corporate</t>
        </is>
      </c>
      <c r="G757" t="inlineStr">
        <is>
          <t>P1008</t>
        </is>
      </c>
      <c r="H757" t="inlineStr">
        <is>
          <t>Pulse Keyboard</t>
        </is>
      </c>
      <c r="I757" t="inlineStr">
        <is>
          <t>Home Decor</t>
        </is>
      </c>
      <c r="J757" t="inlineStr">
        <is>
          <t>Plants</t>
        </is>
      </c>
      <c r="K757" t="inlineStr">
        <is>
          <t>East</t>
        </is>
      </c>
      <c r="L757" t="inlineStr">
        <is>
          <t>New York</t>
        </is>
      </c>
      <c r="M757" t="inlineStr">
        <is>
          <t>New York</t>
        </is>
      </c>
      <c r="N757" t="inlineStr">
        <is>
          <t>Noah Kim</t>
        </is>
      </c>
      <c r="O757" t="n">
        <v>4</v>
      </c>
      <c r="P757" s="3" t="n">
        <v>40</v>
      </c>
      <c r="Q757" s="4" t="n">
        <v>0.027</v>
      </c>
      <c r="R757" s="3" t="n">
        <v>155.68</v>
      </c>
      <c r="S757" s="3" t="n">
        <v>65.98</v>
      </c>
      <c r="T757" s="3" t="n">
        <v>79.5</v>
      </c>
      <c r="U757" s="4" t="n">
        <v>0.5107</v>
      </c>
      <c r="V757" s="3" t="n">
        <v>10.2</v>
      </c>
      <c r="W757" t="inlineStr">
        <is>
          <t>Bank Transfer</t>
        </is>
      </c>
      <c r="X757" t="inlineStr">
        <is>
          <t>Medium</t>
        </is>
      </c>
    </row>
    <row r="758">
      <c r="A758" t="inlineStr">
        <is>
          <t>ORD-00757</t>
        </is>
      </c>
      <c r="B758" s="2" t="n">
        <v>45385</v>
      </c>
      <c r="C758" s="2" t="n">
        <v>45387</v>
      </c>
      <c r="D758" t="inlineStr">
        <is>
          <t>CUST-00757</t>
        </is>
      </c>
      <c r="E758" t="inlineStr">
        <is>
          <t>Customer 757</t>
        </is>
      </c>
      <c r="F758" t="inlineStr">
        <is>
          <t>Corporate</t>
        </is>
      </c>
      <c r="G758" t="inlineStr">
        <is>
          <t>P1005</t>
        </is>
      </c>
      <c r="H758" t="inlineStr">
        <is>
          <t>Nova Laptop Stand</t>
        </is>
      </c>
      <c r="I758" t="inlineStr">
        <is>
          <t>Office Supplies</t>
        </is>
      </c>
      <c r="J758" t="inlineStr">
        <is>
          <t>Lighting</t>
        </is>
      </c>
      <c r="K758" t="inlineStr">
        <is>
          <t>Central</t>
        </is>
      </c>
      <c r="L758" t="inlineStr">
        <is>
          <t>Kansas</t>
        </is>
      </c>
      <c r="M758" t="inlineStr">
        <is>
          <t>Minneapolis</t>
        </is>
      </c>
      <c r="N758" t="inlineStr">
        <is>
          <t>Mia Rodriguez</t>
        </is>
      </c>
      <c r="O758" t="n">
        <v>3</v>
      </c>
      <c r="P758" s="3" t="n">
        <v>12.14</v>
      </c>
      <c r="Q758" s="4" t="n">
        <v>0.036</v>
      </c>
      <c r="R758" s="3" t="n">
        <v>35.11</v>
      </c>
      <c r="S758" s="3" t="n">
        <v>22.83</v>
      </c>
      <c r="T758" s="3" t="n">
        <v>3.88</v>
      </c>
      <c r="U758" s="4" t="n">
        <v>0.1105</v>
      </c>
      <c r="V758" s="3" t="n">
        <v>8.4</v>
      </c>
      <c r="W758" t="inlineStr">
        <is>
          <t>PayPal</t>
        </is>
      </c>
      <c r="X758" t="inlineStr">
        <is>
          <t>Medium</t>
        </is>
      </c>
    </row>
    <row r="759">
      <c r="A759" t="inlineStr">
        <is>
          <t>ORD-00758</t>
        </is>
      </c>
      <c r="B759" s="2" t="n">
        <v>45632</v>
      </c>
      <c r="C759" s="2" t="n">
        <v>45638</v>
      </c>
      <c r="D759" t="inlineStr">
        <is>
          <t>CUST-00758</t>
        </is>
      </c>
      <c r="E759" t="inlineStr">
        <is>
          <t>Customer 758</t>
        </is>
      </c>
      <c r="F759" t="inlineStr">
        <is>
          <t>Consumer</t>
        </is>
      </c>
      <c r="G759" t="inlineStr">
        <is>
          <t>P1014</t>
        </is>
      </c>
      <c r="H759" t="inlineStr">
        <is>
          <t>Summit Patio Set</t>
        </is>
      </c>
      <c r="I759" t="inlineStr">
        <is>
          <t>Furniture</t>
        </is>
      </c>
      <c r="J759" t="inlineStr">
        <is>
          <t>Textiles</t>
        </is>
      </c>
      <c r="K759" t="inlineStr">
        <is>
          <t>Central</t>
        </is>
      </c>
      <c r="L759" t="inlineStr">
        <is>
          <t>Kansas</t>
        </is>
      </c>
      <c r="M759" t="inlineStr">
        <is>
          <t>Kansas City</t>
        </is>
      </c>
      <c r="N759" t="inlineStr">
        <is>
          <t>James Carter</t>
        </is>
      </c>
      <c r="O759" t="n">
        <v>4</v>
      </c>
      <c r="P759" s="3" t="n">
        <v>47</v>
      </c>
      <c r="Q759" s="4" t="n">
        <v>0.004</v>
      </c>
      <c r="R759" s="3" t="n">
        <v>187.25</v>
      </c>
      <c r="S759" s="3" t="n">
        <v>83.86</v>
      </c>
      <c r="T759" s="3" t="n">
        <v>94.19</v>
      </c>
      <c r="U759" s="4" t="n">
        <v>0.503</v>
      </c>
      <c r="V759" s="3" t="n">
        <v>9.199999999999999</v>
      </c>
      <c r="W759" t="inlineStr">
        <is>
          <t>Debit Card</t>
        </is>
      </c>
      <c r="X759" t="inlineStr">
        <is>
          <t>Low</t>
        </is>
      </c>
    </row>
    <row r="760">
      <c r="A760" t="inlineStr">
        <is>
          <t>ORD-00759</t>
        </is>
      </c>
      <c r="B760" s="2" t="n">
        <v>45923</v>
      </c>
      <c r="C760" s="2" t="n">
        <v>45926</v>
      </c>
      <c r="D760" t="inlineStr">
        <is>
          <t>CUST-00759</t>
        </is>
      </c>
      <c r="E760" t="inlineStr">
        <is>
          <t>Customer 759</t>
        </is>
      </c>
      <c r="F760" t="inlineStr">
        <is>
          <t>Corporate</t>
        </is>
      </c>
      <c r="G760" t="inlineStr">
        <is>
          <t>P1002</t>
        </is>
      </c>
      <c r="H760" t="inlineStr">
        <is>
          <t>Northstar Lantern</t>
        </is>
      </c>
      <c r="I760" t="inlineStr">
        <is>
          <t>Home Decor</t>
        </is>
      </c>
      <c r="J760" t="inlineStr">
        <is>
          <t>Peripherals</t>
        </is>
      </c>
      <c r="K760" t="inlineStr">
        <is>
          <t>West</t>
        </is>
      </c>
      <c r="L760" t="inlineStr">
        <is>
          <t>Oregon</t>
        </is>
      </c>
      <c r="M760" t="inlineStr">
        <is>
          <t>San Francisco</t>
        </is>
      </c>
      <c r="N760" t="inlineStr">
        <is>
          <t>James Carter</t>
        </is>
      </c>
      <c r="O760" t="n">
        <v>3</v>
      </c>
      <c r="P760" s="3" t="n">
        <v>82.23999999999999</v>
      </c>
      <c r="Q760" s="4" t="n">
        <v>0.035</v>
      </c>
      <c r="R760" s="3" t="n">
        <v>238.08</v>
      </c>
      <c r="S760" s="3" t="n">
        <v>114.34</v>
      </c>
      <c r="T760" s="3" t="n">
        <v>114.34</v>
      </c>
      <c r="U760" s="4" t="n">
        <v>0.4803</v>
      </c>
      <c r="V760" s="3" t="n">
        <v>9.4</v>
      </c>
      <c r="W760" t="inlineStr">
        <is>
          <t>PayPal</t>
        </is>
      </c>
      <c r="X760" t="inlineStr">
        <is>
          <t>Low</t>
        </is>
      </c>
    </row>
    <row r="761">
      <c r="A761" t="inlineStr">
        <is>
          <t>ORD-00760</t>
        </is>
      </c>
      <c r="B761" s="2" t="n">
        <v>45974</v>
      </c>
      <c r="C761" s="2" t="n">
        <v>45980</v>
      </c>
      <c r="D761" t="inlineStr">
        <is>
          <t>CUST-00760</t>
        </is>
      </c>
      <c r="E761" t="inlineStr">
        <is>
          <t>Customer 760</t>
        </is>
      </c>
      <c r="F761" t="inlineStr">
        <is>
          <t>Consumer</t>
        </is>
      </c>
      <c r="G761" t="inlineStr">
        <is>
          <t>P1017</t>
        </is>
      </c>
      <c r="H761" t="inlineStr">
        <is>
          <t>Harbor Rug</t>
        </is>
      </c>
      <c r="I761" t="inlineStr">
        <is>
          <t>Office Supplies</t>
        </is>
      </c>
      <c r="J761" t="inlineStr">
        <is>
          <t>Peripherals</t>
        </is>
      </c>
      <c r="K761" t="inlineStr">
        <is>
          <t>West</t>
        </is>
      </c>
      <c r="L761" t="inlineStr">
        <is>
          <t>Colorado</t>
        </is>
      </c>
      <c r="M761" t="inlineStr">
        <is>
          <t>Seattle</t>
        </is>
      </c>
      <c r="N761" t="inlineStr">
        <is>
          <t>Liam Chen</t>
        </is>
      </c>
      <c r="O761" t="n">
        <v>6</v>
      </c>
      <c r="P761" s="3" t="n">
        <v>605.5700000000001</v>
      </c>
      <c r="Q761" s="4" t="n">
        <v>0.027</v>
      </c>
      <c r="R761" s="3" t="n">
        <v>3535.32</v>
      </c>
      <c r="S761" s="3" t="n">
        <v>2341.69</v>
      </c>
      <c r="T761" s="3" t="n">
        <v>1181.83</v>
      </c>
      <c r="U761" s="4" t="n">
        <v>0.3343</v>
      </c>
      <c r="V761" s="3" t="n">
        <v>11.8</v>
      </c>
      <c r="W761" t="inlineStr">
        <is>
          <t>Credit Card</t>
        </is>
      </c>
      <c r="X761" t="inlineStr">
        <is>
          <t>Medium</t>
        </is>
      </c>
    </row>
    <row r="762">
      <c r="A762" t="inlineStr">
        <is>
          <t>ORD-00761</t>
        </is>
      </c>
      <c r="B762" s="2" t="n">
        <v>44966</v>
      </c>
      <c r="C762" s="2" t="n">
        <v>44968</v>
      </c>
      <c r="D762" t="inlineStr">
        <is>
          <t>CUST-00761</t>
        </is>
      </c>
      <c r="E762" t="inlineStr">
        <is>
          <t>Customer 761</t>
        </is>
      </c>
      <c r="F762" t="inlineStr">
        <is>
          <t>Consumer</t>
        </is>
      </c>
      <c r="G762" t="inlineStr">
        <is>
          <t>P1008</t>
        </is>
      </c>
      <c r="H762" t="inlineStr">
        <is>
          <t>ProClip Binder</t>
        </is>
      </c>
      <c r="I762" t="inlineStr">
        <is>
          <t>Technology</t>
        </is>
      </c>
      <c r="J762" t="inlineStr">
        <is>
          <t>Lighting</t>
        </is>
      </c>
      <c r="K762" t="inlineStr">
        <is>
          <t>Central</t>
        </is>
      </c>
      <c r="L762" t="inlineStr">
        <is>
          <t>Kansas</t>
        </is>
      </c>
      <c r="M762" t="inlineStr">
        <is>
          <t>St. Louis</t>
        </is>
      </c>
      <c r="N762" t="inlineStr">
        <is>
          <t>Noah Kim</t>
        </is>
      </c>
      <c r="O762" t="n">
        <v>4</v>
      </c>
      <c r="P762" s="3" t="n">
        <v>34.07</v>
      </c>
      <c r="Q762" s="4" t="n">
        <v>0.004</v>
      </c>
      <c r="R762" s="3" t="n">
        <v>135.73</v>
      </c>
      <c r="S762" s="3" t="n">
        <v>57.41</v>
      </c>
      <c r="T762" s="3" t="n">
        <v>69.12</v>
      </c>
      <c r="U762" s="4" t="n">
        <v>0.5092</v>
      </c>
      <c r="V762" s="3" t="n">
        <v>9.199999999999999</v>
      </c>
      <c r="W762" t="inlineStr">
        <is>
          <t>Debit Card</t>
        </is>
      </c>
      <c r="X762" t="inlineStr">
        <is>
          <t>Medium</t>
        </is>
      </c>
    </row>
    <row r="763">
      <c r="A763" t="inlineStr">
        <is>
          <t>ORD-00762</t>
        </is>
      </c>
      <c r="B763" s="2" t="n">
        <v>45372</v>
      </c>
      <c r="C763" s="2" t="n">
        <v>45379</v>
      </c>
      <c r="D763" t="inlineStr">
        <is>
          <t>CUST-00762</t>
        </is>
      </c>
      <c r="E763" t="inlineStr">
        <is>
          <t>Customer 762</t>
        </is>
      </c>
      <c r="F763" t="inlineStr">
        <is>
          <t>Consumer</t>
        </is>
      </c>
      <c r="G763" t="inlineStr">
        <is>
          <t>P1002</t>
        </is>
      </c>
      <c r="H763" t="inlineStr">
        <is>
          <t>Aero Standing Desk</t>
        </is>
      </c>
      <c r="I763" t="inlineStr">
        <is>
          <t>Office Supplies</t>
        </is>
      </c>
      <c r="J763" t="inlineStr">
        <is>
          <t>Lighting</t>
        </is>
      </c>
      <c r="K763" t="inlineStr">
        <is>
          <t>West</t>
        </is>
      </c>
      <c r="L763" t="inlineStr">
        <is>
          <t>Washington</t>
        </is>
      </c>
      <c r="M763" t="inlineStr">
        <is>
          <t>Denver</t>
        </is>
      </c>
      <c r="N763" t="inlineStr">
        <is>
          <t>Olivia Martin</t>
        </is>
      </c>
      <c r="O763" t="n">
        <v>2</v>
      </c>
      <c r="P763" s="3" t="n">
        <v>86.8</v>
      </c>
      <c r="Q763" s="4" t="n">
        <v>0.028</v>
      </c>
      <c r="R763" s="3" t="n">
        <v>168.74</v>
      </c>
      <c r="S763" s="3" t="n">
        <v>83.67</v>
      </c>
      <c r="T763" s="3" t="n">
        <v>76.47</v>
      </c>
      <c r="U763" s="4" t="n">
        <v>0.4532</v>
      </c>
      <c r="V763" s="3" t="n">
        <v>8.6</v>
      </c>
      <c r="W763" t="inlineStr">
        <is>
          <t>Bank Transfer</t>
        </is>
      </c>
      <c r="X763" t="inlineStr">
        <is>
          <t>High</t>
        </is>
      </c>
    </row>
    <row r="764">
      <c r="A764" t="inlineStr">
        <is>
          <t>ORD-00763</t>
        </is>
      </c>
      <c r="B764" s="2" t="n">
        <v>45208</v>
      </c>
      <c r="C764" s="2" t="n">
        <v>45212</v>
      </c>
      <c r="D764" t="inlineStr">
        <is>
          <t>CUST-00763</t>
        </is>
      </c>
      <c r="E764" t="inlineStr">
        <is>
          <t>Customer 763</t>
        </is>
      </c>
      <c r="F764" t="inlineStr">
        <is>
          <t>Consumer</t>
        </is>
      </c>
      <c r="G764" t="inlineStr">
        <is>
          <t>P1015</t>
        </is>
      </c>
      <c r="H764" t="inlineStr">
        <is>
          <t>Tide Cooler</t>
        </is>
      </c>
      <c r="I764" t="inlineStr">
        <is>
          <t>Home Decor</t>
        </is>
      </c>
      <c r="J764" t="inlineStr">
        <is>
          <t>Peripherals</t>
        </is>
      </c>
      <c r="K764" t="inlineStr">
        <is>
          <t>North</t>
        </is>
      </c>
      <c r="L764" t="inlineStr">
        <is>
          <t>Ontario</t>
        </is>
      </c>
      <c r="M764" t="inlineStr">
        <is>
          <t>Toronto</t>
        </is>
      </c>
      <c r="N764" t="inlineStr">
        <is>
          <t>Noah Kim</t>
        </is>
      </c>
      <c r="O764" t="n">
        <v>3</v>
      </c>
      <c r="P764" s="3" t="n">
        <v>72.41</v>
      </c>
      <c r="Q764" s="4" t="n">
        <v>0.008</v>
      </c>
      <c r="R764" s="3" t="n">
        <v>215.49</v>
      </c>
      <c r="S764" s="3" t="n">
        <v>97.27</v>
      </c>
      <c r="T764" s="3" t="n">
        <v>109.82</v>
      </c>
      <c r="U764" s="4" t="n">
        <v>0.5096000000000001</v>
      </c>
      <c r="V764" s="3" t="n">
        <v>8.4</v>
      </c>
      <c r="W764" t="inlineStr">
        <is>
          <t>Debit Card</t>
        </is>
      </c>
      <c r="X764" t="inlineStr">
        <is>
          <t>Medium</t>
        </is>
      </c>
    </row>
    <row r="765">
      <c r="A765" t="inlineStr">
        <is>
          <t>ORD-00764</t>
        </is>
      </c>
      <c r="B765" s="2" t="n">
        <v>45665</v>
      </c>
      <c r="C765" s="2" t="n">
        <v>45671</v>
      </c>
      <c r="D765" t="inlineStr">
        <is>
          <t>CUST-00764</t>
        </is>
      </c>
      <c r="E765" t="inlineStr">
        <is>
          <t>Customer 764</t>
        </is>
      </c>
      <c r="F765" t="inlineStr">
        <is>
          <t>Consumer</t>
        </is>
      </c>
      <c r="G765" t="inlineStr">
        <is>
          <t>P1002</t>
        </is>
      </c>
      <c r="H765" t="inlineStr">
        <is>
          <t>Echo Web Camera</t>
        </is>
      </c>
      <c r="I765" t="inlineStr">
        <is>
          <t>Outdoor</t>
        </is>
      </c>
      <c r="J765" t="inlineStr">
        <is>
          <t>Furniture</t>
        </is>
      </c>
      <c r="K765" t="inlineStr">
        <is>
          <t>East</t>
        </is>
      </c>
      <c r="L765" t="inlineStr">
        <is>
          <t>Virginia</t>
        </is>
      </c>
      <c r="M765" t="inlineStr">
        <is>
          <t>Washington</t>
        </is>
      </c>
      <c r="N765" t="inlineStr">
        <is>
          <t>Sophia Singh</t>
        </is>
      </c>
      <c r="O765" t="n">
        <v>2</v>
      </c>
      <c r="P765" s="3" t="n">
        <v>84.39</v>
      </c>
      <c r="Q765" s="4" t="n">
        <v>0.027</v>
      </c>
      <c r="R765" s="3" t="n">
        <v>164.22</v>
      </c>
      <c r="S765" s="3" t="n">
        <v>83.23999999999999</v>
      </c>
      <c r="T765" s="3" t="n">
        <v>72.38</v>
      </c>
      <c r="U765" s="4" t="n">
        <v>0.4408</v>
      </c>
      <c r="V765" s="3" t="n">
        <v>8.6</v>
      </c>
      <c r="W765" t="inlineStr">
        <is>
          <t>PayPal</t>
        </is>
      </c>
      <c r="X765" t="inlineStr">
        <is>
          <t>High</t>
        </is>
      </c>
    </row>
    <row r="766">
      <c r="A766" t="inlineStr">
        <is>
          <t>ORD-00765</t>
        </is>
      </c>
      <c r="B766" s="2" t="n">
        <v>45247</v>
      </c>
      <c r="C766" s="2" t="n">
        <v>45252</v>
      </c>
      <c r="D766" t="inlineStr">
        <is>
          <t>CUST-00765</t>
        </is>
      </c>
      <c r="E766" t="inlineStr">
        <is>
          <t>Customer 765</t>
        </is>
      </c>
      <c r="F766" t="inlineStr">
        <is>
          <t>Corporate</t>
        </is>
      </c>
      <c r="G766" t="inlineStr">
        <is>
          <t>P1011</t>
        </is>
      </c>
      <c r="H766" t="inlineStr">
        <is>
          <t>Aero Standing Desk</t>
        </is>
      </c>
      <c r="I766" t="inlineStr">
        <is>
          <t>Office Supplies</t>
        </is>
      </c>
      <c r="J766" t="inlineStr">
        <is>
          <t>Chairs</t>
        </is>
      </c>
      <c r="K766" t="inlineStr">
        <is>
          <t>Central</t>
        </is>
      </c>
      <c r="L766" t="inlineStr">
        <is>
          <t>Kansas</t>
        </is>
      </c>
      <c r="M766" t="inlineStr">
        <is>
          <t>St. Louis</t>
        </is>
      </c>
      <c r="N766" t="inlineStr">
        <is>
          <t>Olivia Martin</t>
        </is>
      </c>
      <c r="O766" t="n">
        <v>2</v>
      </c>
      <c r="P766" s="3" t="n">
        <v>94.08</v>
      </c>
      <c r="Q766" s="4" t="n">
        <v>0.066</v>
      </c>
      <c r="R766" s="3" t="n">
        <v>175.74</v>
      </c>
      <c r="S766" s="3" t="n">
        <v>86.59</v>
      </c>
      <c r="T766" s="3" t="n">
        <v>81.55</v>
      </c>
      <c r="U766" s="4" t="n">
        <v>0.464</v>
      </c>
      <c r="V766" s="3" t="n">
        <v>7.6</v>
      </c>
      <c r="W766" t="inlineStr">
        <is>
          <t>PayPal</t>
        </is>
      </c>
      <c r="X766" t="inlineStr">
        <is>
          <t>High</t>
        </is>
      </c>
    </row>
    <row r="767">
      <c r="A767" t="inlineStr">
        <is>
          <t>ORD-00766</t>
        </is>
      </c>
      <c r="B767" s="2" t="n">
        <v>45307</v>
      </c>
      <c r="C767" s="2" t="n">
        <v>45311</v>
      </c>
      <c r="D767" t="inlineStr">
        <is>
          <t>CUST-00766</t>
        </is>
      </c>
      <c r="E767" t="inlineStr">
        <is>
          <t>Customer 766</t>
        </is>
      </c>
      <c r="F767" t="inlineStr">
        <is>
          <t>Consumer</t>
        </is>
      </c>
      <c r="G767" t="inlineStr">
        <is>
          <t>P1014</t>
        </is>
      </c>
      <c r="H767" t="inlineStr">
        <is>
          <t>FlexNote Notebook</t>
        </is>
      </c>
      <c r="I767" t="inlineStr">
        <is>
          <t>Outdoor</t>
        </is>
      </c>
      <c r="J767" t="inlineStr">
        <is>
          <t>Writing</t>
        </is>
      </c>
      <c r="K767" t="inlineStr">
        <is>
          <t>West</t>
        </is>
      </c>
      <c r="L767" t="inlineStr">
        <is>
          <t>Washington</t>
        </is>
      </c>
      <c r="M767" t="inlineStr">
        <is>
          <t>Seattle</t>
        </is>
      </c>
      <c r="N767" t="inlineStr">
        <is>
          <t>Ethan Brooks</t>
        </is>
      </c>
      <c r="O767" t="n">
        <v>3</v>
      </c>
      <c r="P767" s="3" t="n">
        <v>46.08</v>
      </c>
      <c r="Q767" s="4" t="n">
        <v>0.031</v>
      </c>
      <c r="R767" s="3" t="n">
        <v>133.95</v>
      </c>
      <c r="S767" s="3" t="n">
        <v>60.56</v>
      </c>
      <c r="T767" s="3" t="n">
        <v>63.99</v>
      </c>
      <c r="U767" s="4" t="n">
        <v>0.4777</v>
      </c>
      <c r="V767" s="3" t="n">
        <v>9.4</v>
      </c>
      <c r="W767" t="inlineStr">
        <is>
          <t>Bank Transfer</t>
        </is>
      </c>
      <c r="X767" t="inlineStr">
        <is>
          <t>Medium</t>
        </is>
      </c>
    </row>
    <row r="768">
      <c r="A768" t="inlineStr">
        <is>
          <t>ORD-00767</t>
        </is>
      </c>
      <c r="B768" s="2" t="n">
        <v>45916</v>
      </c>
      <c r="C768" s="2" t="n">
        <v>45918</v>
      </c>
      <c r="D768" t="inlineStr">
        <is>
          <t>CUST-00767</t>
        </is>
      </c>
      <c r="E768" t="inlineStr">
        <is>
          <t>Customer 767</t>
        </is>
      </c>
      <c r="F768" t="inlineStr">
        <is>
          <t>Consumer</t>
        </is>
      </c>
      <c r="G768" t="inlineStr">
        <is>
          <t>P1010</t>
        </is>
      </c>
      <c r="H768" t="inlineStr">
        <is>
          <t>Echo Web Camera</t>
        </is>
      </c>
      <c r="I768" t="inlineStr">
        <is>
          <t>Office Supplies</t>
        </is>
      </c>
      <c r="J768" t="inlineStr">
        <is>
          <t>Textiles</t>
        </is>
      </c>
      <c r="K768" t="inlineStr">
        <is>
          <t>South</t>
        </is>
      </c>
      <c r="L768" t="inlineStr">
        <is>
          <t>Florida</t>
        </is>
      </c>
      <c r="M768" t="inlineStr">
        <is>
          <t>Houston</t>
        </is>
      </c>
      <c r="N768" t="inlineStr">
        <is>
          <t>Olivia Martin</t>
        </is>
      </c>
      <c r="O768" t="n">
        <v>2</v>
      </c>
      <c r="P768" s="3" t="n">
        <v>53.16</v>
      </c>
      <c r="Q768" s="4" t="n">
        <v>0.07000000000000001</v>
      </c>
      <c r="R768" s="3" t="n">
        <v>98.88</v>
      </c>
      <c r="S768" s="3" t="n">
        <v>49.99</v>
      </c>
      <c r="T768" s="3" t="n">
        <v>41.29</v>
      </c>
      <c r="U768" s="4" t="n">
        <v>0.4176</v>
      </c>
      <c r="V768" s="3" t="n">
        <v>7.6</v>
      </c>
      <c r="W768" t="inlineStr">
        <is>
          <t>Debit Card</t>
        </is>
      </c>
      <c r="X768" t="inlineStr">
        <is>
          <t>Critical</t>
        </is>
      </c>
    </row>
    <row r="769">
      <c r="A769" t="inlineStr">
        <is>
          <t>ORD-00768</t>
        </is>
      </c>
      <c r="B769" s="2" t="n">
        <v>45835</v>
      </c>
      <c r="C769" s="2" t="n">
        <v>45836</v>
      </c>
      <c r="D769" t="inlineStr">
        <is>
          <t>CUST-00768</t>
        </is>
      </c>
      <c r="E769" t="inlineStr">
        <is>
          <t>Customer 768</t>
        </is>
      </c>
      <c r="F769" t="inlineStr">
        <is>
          <t>Corporate</t>
        </is>
      </c>
      <c r="G769" t="inlineStr">
        <is>
          <t>P1007</t>
        </is>
      </c>
      <c r="H769" t="inlineStr">
        <is>
          <t>Tide Cooler</t>
        </is>
      </c>
      <c r="I769" t="inlineStr">
        <is>
          <t>Technology</t>
        </is>
      </c>
      <c r="J769" t="inlineStr">
        <is>
          <t>Peripherals</t>
        </is>
      </c>
      <c r="K769" t="inlineStr">
        <is>
          <t>West</t>
        </is>
      </c>
      <c r="L769" t="inlineStr">
        <is>
          <t>Colorado</t>
        </is>
      </c>
      <c r="M769" t="inlineStr">
        <is>
          <t>Los Angeles</t>
        </is>
      </c>
      <c r="N769" t="inlineStr">
        <is>
          <t>Mia Rodriguez</t>
        </is>
      </c>
      <c r="O769" t="n">
        <v>5</v>
      </c>
      <c r="P769" s="3" t="n">
        <v>25.54</v>
      </c>
      <c r="Q769" s="4" t="n">
        <v>0.07300000000000001</v>
      </c>
      <c r="R769" s="3" t="n">
        <v>118.38</v>
      </c>
      <c r="S769" s="3" t="n">
        <v>43.08</v>
      </c>
      <c r="T769" s="3" t="n">
        <v>64.3</v>
      </c>
      <c r="U769" s="4" t="n">
        <v>0.5432</v>
      </c>
      <c r="V769" s="3" t="n">
        <v>11</v>
      </c>
      <c r="W769" t="inlineStr">
        <is>
          <t>Cash on Delivery</t>
        </is>
      </c>
      <c r="X769" t="inlineStr">
        <is>
          <t>Critical</t>
        </is>
      </c>
    </row>
    <row r="770">
      <c r="A770" t="inlineStr">
        <is>
          <t>ORD-00769</t>
        </is>
      </c>
      <c r="B770" s="2" t="n">
        <v>45563</v>
      </c>
      <c r="C770" s="2" t="n">
        <v>45569</v>
      </c>
      <c r="D770" t="inlineStr">
        <is>
          <t>CUST-00769</t>
        </is>
      </c>
      <c r="E770" t="inlineStr">
        <is>
          <t>Customer 769</t>
        </is>
      </c>
      <c r="F770" t="inlineStr">
        <is>
          <t>Corporate</t>
        </is>
      </c>
      <c r="G770" t="inlineStr">
        <is>
          <t>P1014</t>
        </is>
      </c>
      <c r="H770" t="inlineStr">
        <is>
          <t>Summit Patio Set</t>
        </is>
      </c>
      <c r="I770" t="inlineStr">
        <is>
          <t>Outdoor</t>
        </is>
      </c>
      <c r="J770" t="inlineStr">
        <is>
          <t>Coolers</t>
        </is>
      </c>
      <c r="K770" t="inlineStr">
        <is>
          <t>North</t>
        </is>
      </c>
      <c r="L770" t="inlineStr">
        <is>
          <t>Alberta</t>
        </is>
      </c>
      <c r="M770" t="inlineStr">
        <is>
          <t>Montreal</t>
        </is>
      </c>
      <c r="N770" t="inlineStr">
        <is>
          <t>Noah Kim</t>
        </is>
      </c>
      <c r="O770" t="n">
        <v>1</v>
      </c>
      <c r="P770" s="3" t="n">
        <v>41.91</v>
      </c>
      <c r="Q770" s="4" t="n">
        <v>0.016</v>
      </c>
      <c r="R770" s="3" t="n">
        <v>41.24</v>
      </c>
      <c r="S770" s="3" t="n">
        <v>27.23</v>
      </c>
      <c r="T770" s="3" t="n">
        <v>7.21</v>
      </c>
      <c r="U770" s="4" t="n">
        <v>0.1748</v>
      </c>
      <c r="V770" s="3" t="n">
        <v>6.8</v>
      </c>
      <c r="W770" t="inlineStr">
        <is>
          <t>Cash on Delivery</t>
        </is>
      </c>
      <c r="X770" t="inlineStr">
        <is>
          <t>Medium</t>
        </is>
      </c>
    </row>
    <row r="771">
      <c r="A771" t="inlineStr">
        <is>
          <t>ORD-00770</t>
        </is>
      </c>
      <c r="B771" s="2" t="n">
        <v>45949</v>
      </c>
      <c r="C771" s="2" t="n">
        <v>45956</v>
      </c>
      <c r="D771" t="inlineStr">
        <is>
          <t>CUST-00770</t>
        </is>
      </c>
      <c r="E771" t="inlineStr">
        <is>
          <t>Customer 770</t>
        </is>
      </c>
      <c r="F771" t="inlineStr">
        <is>
          <t>Consumer</t>
        </is>
      </c>
      <c r="G771" t="inlineStr">
        <is>
          <t>P1013</t>
        </is>
      </c>
      <c r="H771" t="inlineStr">
        <is>
          <t>Orbit Wireless Mouse</t>
        </is>
      </c>
      <c r="I771" t="inlineStr">
        <is>
          <t>Furniture</t>
        </is>
      </c>
      <c r="J771" t="inlineStr">
        <is>
          <t>Chairs</t>
        </is>
      </c>
      <c r="K771" t="inlineStr">
        <is>
          <t>East</t>
        </is>
      </c>
      <c r="L771" t="inlineStr">
        <is>
          <t>Massachusetts</t>
        </is>
      </c>
      <c r="M771" t="inlineStr">
        <is>
          <t>New York</t>
        </is>
      </c>
      <c r="N771" t="inlineStr">
        <is>
          <t>Ava Patel</t>
        </is>
      </c>
      <c r="O771" t="n">
        <v>1</v>
      </c>
      <c r="P771" s="3" t="n">
        <v>172.34</v>
      </c>
      <c r="Q771" s="4" t="n">
        <v>0.033</v>
      </c>
      <c r="R771" s="3" t="n">
        <v>166.65</v>
      </c>
      <c r="S771" s="3" t="n">
        <v>98.67</v>
      </c>
      <c r="T771" s="3" t="n">
        <v>60.18</v>
      </c>
      <c r="U771" s="4" t="n">
        <v>0.3611</v>
      </c>
      <c r="V771" s="3" t="n">
        <v>7.8</v>
      </c>
      <c r="W771" t="inlineStr">
        <is>
          <t>Credit Card</t>
        </is>
      </c>
      <c r="X771" t="inlineStr">
        <is>
          <t>Critical</t>
        </is>
      </c>
    </row>
    <row r="772">
      <c r="A772" t="inlineStr">
        <is>
          <t>ORD-00771</t>
        </is>
      </c>
      <c r="B772" s="2" t="n">
        <v>45070</v>
      </c>
      <c r="C772" s="2" t="n">
        <v>45077</v>
      </c>
      <c r="D772" t="inlineStr">
        <is>
          <t>CUST-00771</t>
        </is>
      </c>
      <c r="E772" t="inlineStr">
        <is>
          <t>Customer 771</t>
        </is>
      </c>
      <c r="F772" t="inlineStr">
        <is>
          <t>Consumer</t>
        </is>
      </c>
      <c r="G772" t="inlineStr">
        <is>
          <t>P1002</t>
        </is>
      </c>
      <c r="H772" t="inlineStr">
        <is>
          <t>ProClip Binder</t>
        </is>
      </c>
      <c r="I772" t="inlineStr">
        <is>
          <t>Outdoor</t>
        </is>
      </c>
      <c r="J772" t="inlineStr">
        <is>
          <t>Lighting</t>
        </is>
      </c>
      <c r="K772" t="inlineStr">
        <is>
          <t>South</t>
        </is>
      </c>
      <c r="L772" t="inlineStr">
        <is>
          <t>Florida</t>
        </is>
      </c>
      <c r="M772" t="inlineStr">
        <is>
          <t>Houston</t>
        </is>
      </c>
      <c r="N772" t="inlineStr">
        <is>
          <t>James Carter</t>
        </is>
      </c>
      <c r="O772" t="n">
        <v>5</v>
      </c>
      <c r="P772" s="3" t="n">
        <v>81.14</v>
      </c>
      <c r="Q772" s="4" t="n">
        <v>0.043</v>
      </c>
      <c r="R772" s="3" t="n">
        <v>388.25</v>
      </c>
      <c r="S772" s="3" t="n">
        <v>178.74</v>
      </c>
      <c r="T772" s="3" t="n">
        <v>199.51</v>
      </c>
      <c r="U772" s="4" t="n">
        <v>0.5139</v>
      </c>
      <c r="V772" s="3" t="n">
        <v>10</v>
      </c>
      <c r="W772" t="inlineStr">
        <is>
          <t>Bank Transfer</t>
        </is>
      </c>
      <c r="X772" t="inlineStr">
        <is>
          <t>Critical</t>
        </is>
      </c>
    </row>
    <row r="773">
      <c r="A773" t="inlineStr">
        <is>
          <t>ORD-00772</t>
        </is>
      </c>
      <c r="B773" s="2" t="n">
        <v>45704</v>
      </c>
      <c r="C773" s="2" t="n">
        <v>45708</v>
      </c>
      <c r="D773" t="inlineStr">
        <is>
          <t>CUST-00772</t>
        </is>
      </c>
      <c r="E773" t="inlineStr">
        <is>
          <t>Customer 772</t>
        </is>
      </c>
      <c r="F773" t="inlineStr">
        <is>
          <t>Consumer</t>
        </is>
      </c>
      <c r="G773" t="inlineStr">
        <is>
          <t>P1010</t>
        </is>
      </c>
      <c r="H773" t="inlineStr">
        <is>
          <t>Summit Patio Set</t>
        </is>
      </c>
      <c r="I773" t="inlineStr">
        <is>
          <t>Office Supplies</t>
        </is>
      </c>
      <c r="J773" t="inlineStr">
        <is>
          <t>Lighting</t>
        </is>
      </c>
      <c r="K773" t="inlineStr">
        <is>
          <t>North</t>
        </is>
      </c>
      <c r="L773" t="inlineStr">
        <is>
          <t>Quebec</t>
        </is>
      </c>
      <c r="M773" t="inlineStr">
        <is>
          <t>Toronto</t>
        </is>
      </c>
      <c r="N773" t="inlineStr">
        <is>
          <t>James Carter</t>
        </is>
      </c>
      <c r="O773" t="n">
        <v>2</v>
      </c>
      <c r="P773" s="3" t="n">
        <v>55.59</v>
      </c>
      <c r="Q773" s="4" t="n">
        <v>0.008999999999999999</v>
      </c>
      <c r="R773" s="3" t="n">
        <v>110.18</v>
      </c>
      <c r="S773" s="3" t="n">
        <v>49.81</v>
      </c>
      <c r="T773" s="3" t="n">
        <v>52.77</v>
      </c>
      <c r="U773" s="4" t="n">
        <v>0.4789</v>
      </c>
      <c r="V773" s="3" t="n">
        <v>7.6</v>
      </c>
      <c r="W773" t="inlineStr">
        <is>
          <t>PayPal</t>
        </is>
      </c>
      <c r="X773" t="inlineStr">
        <is>
          <t>Low</t>
        </is>
      </c>
    </row>
    <row r="774">
      <c r="A774" t="inlineStr">
        <is>
          <t>ORD-00773</t>
        </is>
      </c>
      <c r="B774" s="2" t="n">
        <v>44982</v>
      </c>
      <c r="C774" s="2" t="n">
        <v>44988</v>
      </c>
      <c r="D774" t="inlineStr">
        <is>
          <t>CUST-00773</t>
        </is>
      </c>
      <c r="E774" t="inlineStr">
        <is>
          <t>Customer 773</t>
        </is>
      </c>
      <c r="F774" t="inlineStr">
        <is>
          <t>Corporate</t>
        </is>
      </c>
      <c r="G774" t="inlineStr">
        <is>
          <t>P1001</t>
        </is>
      </c>
      <c r="H774" t="inlineStr">
        <is>
          <t>CloudDrive File Box</t>
        </is>
      </c>
      <c r="I774" t="inlineStr">
        <is>
          <t>Technology</t>
        </is>
      </c>
      <c r="J774" t="inlineStr">
        <is>
          <t>Binders</t>
        </is>
      </c>
      <c r="K774" t="inlineStr">
        <is>
          <t>West</t>
        </is>
      </c>
      <c r="L774" t="inlineStr">
        <is>
          <t>Colorado</t>
        </is>
      </c>
      <c r="M774" t="inlineStr">
        <is>
          <t>San Francisco</t>
        </is>
      </c>
      <c r="N774" t="inlineStr">
        <is>
          <t>Noah Kim</t>
        </is>
      </c>
      <c r="O774" t="n">
        <v>1</v>
      </c>
      <c r="P774" s="3" t="n">
        <v>305.03</v>
      </c>
      <c r="Q774" s="4" t="n">
        <v>0.024</v>
      </c>
      <c r="R774" s="3" t="n">
        <v>297.71</v>
      </c>
      <c r="S774" s="3" t="n">
        <v>183.4</v>
      </c>
      <c r="T774" s="3" t="n">
        <v>106.51</v>
      </c>
      <c r="U774" s="4" t="n">
        <v>0.3578</v>
      </c>
      <c r="V774" s="3" t="n">
        <v>7.8</v>
      </c>
      <c r="W774" t="inlineStr">
        <is>
          <t>Debit Card</t>
        </is>
      </c>
      <c r="X774" t="inlineStr">
        <is>
          <t>Low</t>
        </is>
      </c>
    </row>
    <row r="775">
      <c r="A775" t="inlineStr">
        <is>
          <t>ORD-00774</t>
        </is>
      </c>
      <c r="B775" s="2" t="n">
        <v>45518</v>
      </c>
      <c r="C775" s="2" t="n">
        <v>45523</v>
      </c>
      <c r="D775" t="inlineStr">
        <is>
          <t>CUST-00774</t>
        </is>
      </c>
      <c r="E775" t="inlineStr">
        <is>
          <t>Customer 774</t>
        </is>
      </c>
      <c r="F775" t="inlineStr">
        <is>
          <t>Home Office</t>
        </is>
      </c>
      <c r="G775" t="inlineStr">
        <is>
          <t>P1001</t>
        </is>
      </c>
      <c r="H775" t="inlineStr">
        <is>
          <t>Lumen Desk Lamp</t>
        </is>
      </c>
      <c r="I775" t="inlineStr">
        <is>
          <t>Technology</t>
        </is>
      </c>
      <c r="J775" t="inlineStr">
        <is>
          <t>Storage</t>
        </is>
      </c>
      <c r="K775" t="inlineStr">
        <is>
          <t>Central</t>
        </is>
      </c>
      <c r="L775" t="inlineStr">
        <is>
          <t>Minnesota</t>
        </is>
      </c>
      <c r="M775" t="inlineStr">
        <is>
          <t>Chicago</t>
        </is>
      </c>
      <c r="N775" t="inlineStr">
        <is>
          <t>Noah Kim</t>
        </is>
      </c>
      <c r="O775" t="n">
        <v>3</v>
      </c>
      <c r="P775" s="3" t="n">
        <v>291.92</v>
      </c>
      <c r="Q775" s="4" t="n">
        <v>0.008</v>
      </c>
      <c r="R775" s="3" t="n">
        <v>868.75</v>
      </c>
      <c r="S775" s="3" t="n">
        <v>513.38</v>
      </c>
      <c r="T775" s="3" t="n">
        <v>346.97</v>
      </c>
      <c r="U775" s="4" t="n">
        <v>0.3994</v>
      </c>
      <c r="V775" s="3" t="n">
        <v>8.4</v>
      </c>
      <c r="W775" t="inlineStr">
        <is>
          <t>Credit Card</t>
        </is>
      </c>
      <c r="X775" t="inlineStr">
        <is>
          <t>Low</t>
        </is>
      </c>
    </row>
    <row r="776">
      <c r="A776" t="inlineStr">
        <is>
          <t>ORD-00775</t>
        </is>
      </c>
      <c r="B776" s="2" t="n">
        <v>45858</v>
      </c>
      <c r="C776" s="2" t="n">
        <v>45864</v>
      </c>
      <c r="D776" t="inlineStr">
        <is>
          <t>CUST-00775</t>
        </is>
      </c>
      <c r="E776" t="inlineStr">
        <is>
          <t>Customer 775</t>
        </is>
      </c>
      <c r="F776" t="inlineStr">
        <is>
          <t>Corporate</t>
        </is>
      </c>
      <c r="G776" t="inlineStr">
        <is>
          <t>P1003</t>
        </is>
      </c>
      <c r="H776" t="inlineStr">
        <is>
          <t>Echo Web Camera</t>
        </is>
      </c>
      <c r="I776" t="inlineStr">
        <is>
          <t>Technology</t>
        </is>
      </c>
      <c r="J776" t="inlineStr">
        <is>
          <t>Bags</t>
        </is>
      </c>
      <c r="K776" t="inlineStr">
        <is>
          <t>North</t>
        </is>
      </c>
      <c r="L776" t="inlineStr">
        <is>
          <t>British Columbia</t>
        </is>
      </c>
      <c r="M776" t="inlineStr">
        <is>
          <t>Calgary</t>
        </is>
      </c>
      <c r="N776" t="inlineStr">
        <is>
          <t>Noah Kim</t>
        </is>
      </c>
      <c r="O776" t="n">
        <v>2</v>
      </c>
      <c r="P776" s="3" t="n">
        <v>158.27</v>
      </c>
      <c r="Q776" s="4" t="n">
        <v>0.016</v>
      </c>
      <c r="R776" s="3" t="n">
        <v>311.48</v>
      </c>
      <c r="S776" s="3" t="n">
        <v>162.99</v>
      </c>
      <c r="T776" s="3" t="n">
        <v>140.89</v>
      </c>
      <c r="U776" s="4" t="n">
        <v>0.4523</v>
      </c>
      <c r="V776" s="3" t="n">
        <v>7.6</v>
      </c>
      <c r="W776" t="inlineStr">
        <is>
          <t>Credit Card</t>
        </is>
      </c>
      <c r="X776" t="inlineStr">
        <is>
          <t>Medium</t>
        </is>
      </c>
    </row>
    <row r="777">
      <c r="A777" t="inlineStr">
        <is>
          <t>ORD-00776</t>
        </is>
      </c>
      <c r="B777" s="2" t="n">
        <v>45213</v>
      </c>
      <c r="C777" s="2" t="n">
        <v>45217</v>
      </c>
      <c r="D777" t="inlineStr">
        <is>
          <t>CUST-00776</t>
        </is>
      </c>
      <c r="E777" t="inlineStr">
        <is>
          <t>Customer 776</t>
        </is>
      </c>
      <c r="F777" t="inlineStr">
        <is>
          <t>Consumer</t>
        </is>
      </c>
      <c r="G777" t="inlineStr">
        <is>
          <t>P1011</t>
        </is>
      </c>
      <c r="H777" t="inlineStr">
        <is>
          <t>Nimbus Monitor Arm</t>
        </is>
      </c>
      <c r="I777" t="inlineStr">
        <is>
          <t>Office Supplies</t>
        </is>
      </c>
      <c r="J777" t="inlineStr">
        <is>
          <t>Decor</t>
        </is>
      </c>
      <c r="K777" t="inlineStr">
        <is>
          <t>East</t>
        </is>
      </c>
      <c r="L777" t="inlineStr">
        <is>
          <t>Virginia</t>
        </is>
      </c>
      <c r="M777" t="inlineStr">
        <is>
          <t>Washington</t>
        </is>
      </c>
      <c r="N777" t="inlineStr">
        <is>
          <t>Mia Rodriguez</t>
        </is>
      </c>
      <c r="O777" t="n">
        <v>1</v>
      </c>
      <c r="P777" s="3" t="n">
        <v>95.15000000000001</v>
      </c>
      <c r="Q777" s="4" t="n">
        <v>0.041</v>
      </c>
      <c r="R777" s="3" t="n">
        <v>91.25</v>
      </c>
      <c r="S777" s="3" t="n">
        <v>47.53</v>
      </c>
      <c r="T777" s="3" t="n">
        <v>35.92</v>
      </c>
      <c r="U777" s="4" t="n">
        <v>0.3936</v>
      </c>
      <c r="V777" s="3" t="n">
        <v>7.8</v>
      </c>
      <c r="W777" t="inlineStr">
        <is>
          <t>PayPal</t>
        </is>
      </c>
      <c r="X777" t="inlineStr">
        <is>
          <t>High</t>
        </is>
      </c>
    </row>
    <row r="778">
      <c r="A778" t="inlineStr">
        <is>
          <t>ORD-00777</t>
        </is>
      </c>
      <c r="B778" s="2" t="n">
        <v>45121</v>
      </c>
      <c r="C778" s="2" t="n">
        <v>45124</v>
      </c>
      <c r="D778" t="inlineStr">
        <is>
          <t>CUST-00777</t>
        </is>
      </c>
      <c r="E778" t="inlineStr">
        <is>
          <t>Customer 777</t>
        </is>
      </c>
      <c r="F778" t="inlineStr">
        <is>
          <t>Corporate</t>
        </is>
      </c>
      <c r="G778" t="inlineStr">
        <is>
          <t>P1019</t>
        </is>
      </c>
      <c r="H778" t="inlineStr">
        <is>
          <t>Trail Tote</t>
        </is>
      </c>
      <c r="I778" t="inlineStr">
        <is>
          <t>Furniture</t>
        </is>
      </c>
      <c r="J778" t="inlineStr">
        <is>
          <t>Bags</t>
        </is>
      </c>
      <c r="K778" t="inlineStr">
        <is>
          <t>West</t>
        </is>
      </c>
      <c r="L778" t="inlineStr">
        <is>
          <t>Washington</t>
        </is>
      </c>
      <c r="M778" t="inlineStr">
        <is>
          <t>Seattle</t>
        </is>
      </c>
      <c r="N778" t="inlineStr">
        <is>
          <t>Sophia Singh</t>
        </is>
      </c>
      <c r="O778" t="n">
        <v>3</v>
      </c>
      <c r="P778" s="3" t="n">
        <v>59.46</v>
      </c>
      <c r="Q778" s="4" t="n">
        <v>0.031</v>
      </c>
      <c r="R778" s="3" t="n">
        <v>172.85</v>
      </c>
      <c r="S778" s="3" t="n">
        <v>74.18000000000001</v>
      </c>
      <c r="T778" s="3" t="n">
        <v>89.27</v>
      </c>
      <c r="U778" s="4" t="n">
        <v>0.5165</v>
      </c>
      <c r="V778" s="3" t="n">
        <v>9.4</v>
      </c>
      <c r="W778" t="inlineStr">
        <is>
          <t>Credit Card</t>
        </is>
      </c>
      <c r="X778" t="inlineStr">
        <is>
          <t>Medium</t>
        </is>
      </c>
    </row>
    <row r="779">
      <c r="A779" t="inlineStr">
        <is>
          <t>ORD-00778</t>
        </is>
      </c>
      <c r="B779" s="2" t="n">
        <v>45822</v>
      </c>
      <c r="C779" s="2" t="n">
        <v>45826</v>
      </c>
      <c r="D779" t="inlineStr">
        <is>
          <t>CUST-00778</t>
        </is>
      </c>
      <c r="E779" t="inlineStr">
        <is>
          <t>Customer 778</t>
        </is>
      </c>
      <c r="F779" t="inlineStr">
        <is>
          <t>Consumer</t>
        </is>
      </c>
      <c r="G779" t="inlineStr">
        <is>
          <t>P1009</t>
        </is>
      </c>
      <c r="H779" t="inlineStr">
        <is>
          <t>SmartInk Pen Set</t>
        </is>
      </c>
      <c r="I779" t="inlineStr">
        <is>
          <t>Furniture</t>
        </is>
      </c>
      <c r="J779" t="inlineStr">
        <is>
          <t>Storage</t>
        </is>
      </c>
      <c r="K779" t="inlineStr">
        <is>
          <t>South</t>
        </is>
      </c>
      <c r="L779" t="inlineStr">
        <is>
          <t>Florida</t>
        </is>
      </c>
      <c r="M779" t="inlineStr">
        <is>
          <t>Atlanta</t>
        </is>
      </c>
      <c r="N779" t="inlineStr">
        <is>
          <t>Sophia Singh</t>
        </is>
      </c>
      <c r="O779" t="n">
        <v>1</v>
      </c>
      <c r="P779" s="3" t="n">
        <v>94.3</v>
      </c>
      <c r="Q779" s="4" t="n">
        <v>0.003</v>
      </c>
      <c r="R779" s="3" t="n">
        <v>94.02</v>
      </c>
      <c r="S779" s="3" t="n">
        <v>53.78</v>
      </c>
      <c r="T779" s="3" t="n">
        <v>33.44</v>
      </c>
      <c r="U779" s="4" t="n">
        <v>0.3557</v>
      </c>
      <c r="V779" s="3" t="n">
        <v>6.8</v>
      </c>
      <c r="W779" t="inlineStr">
        <is>
          <t>PayPal</t>
        </is>
      </c>
      <c r="X779" t="inlineStr">
        <is>
          <t>Medium</t>
        </is>
      </c>
    </row>
    <row r="780">
      <c r="A780" t="inlineStr">
        <is>
          <t>ORD-00779</t>
        </is>
      </c>
      <c r="B780" s="2" t="n">
        <v>45820</v>
      </c>
      <c r="C780" s="2" t="n">
        <v>45822</v>
      </c>
      <c r="D780" t="inlineStr">
        <is>
          <t>CUST-00779</t>
        </is>
      </c>
      <c r="E780" t="inlineStr">
        <is>
          <t>Customer 779</t>
        </is>
      </c>
      <c r="F780" t="inlineStr">
        <is>
          <t>Consumer</t>
        </is>
      </c>
      <c r="G780" t="inlineStr">
        <is>
          <t>P1013</t>
        </is>
      </c>
      <c r="H780" t="inlineStr">
        <is>
          <t>ErgoMesh Chair</t>
        </is>
      </c>
      <c r="I780" t="inlineStr">
        <is>
          <t>Outdoor</t>
        </is>
      </c>
      <c r="J780" t="inlineStr">
        <is>
          <t>Furniture</t>
        </is>
      </c>
      <c r="K780" t="inlineStr">
        <is>
          <t>Central</t>
        </is>
      </c>
      <c r="L780" t="inlineStr">
        <is>
          <t>Minnesota</t>
        </is>
      </c>
      <c r="M780" t="inlineStr">
        <is>
          <t>Kansas City</t>
        </is>
      </c>
      <c r="N780" t="inlineStr">
        <is>
          <t>Ava Patel</t>
        </is>
      </c>
      <c r="O780" t="n">
        <v>4</v>
      </c>
      <c r="P780" s="3" t="n">
        <v>166.8</v>
      </c>
      <c r="Q780" s="4" t="n">
        <v>0.016</v>
      </c>
      <c r="R780" s="3" t="n">
        <v>656.52</v>
      </c>
      <c r="S780" s="3" t="n">
        <v>375.93</v>
      </c>
      <c r="T780" s="3" t="n">
        <v>271.39</v>
      </c>
      <c r="U780" s="4" t="n">
        <v>0.4134</v>
      </c>
      <c r="V780" s="3" t="n">
        <v>9.199999999999999</v>
      </c>
      <c r="W780" t="inlineStr">
        <is>
          <t>Credit Card</t>
        </is>
      </c>
      <c r="X780" t="inlineStr">
        <is>
          <t>Low</t>
        </is>
      </c>
    </row>
    <row r="781">
      <c r="A781" t="inlineStr">
        <is>
          <t>ORD-00780</t>
        </is>
      </c>
      <c r="B781" s="2" t="n">
        <v>45297</v>
      </c>
      <c r="C781" s="2" t="n">
        <v>45301</v>
      </c>
      <c r="D781" t="inlineStr">
        <is>
          <t>CUST-00780</t>
        </is>
      </c>
      <c r="E781" t="inlineStr">
        <is>
          <t>Customer 780</t>
        </is>
      </c>
      <c r="F781" t="inlineStr">
        <is>
          <t>Consumer</t>
        </is>
      </c>
      <c r="G781" t="inlineStr">
        <is>
          <t>P1004</t>
        </is>
      </c>
      <c r="H781" t="inlineStr">
        <is>
          <t>Summit Patio Set</t>
        </is>
      </c>
      <c r="I781" t="inlineStr">
        <is>
          <t>Furniture</t>
        </is>
      </c>
      <c r="J781" t="inlineStr">
        <is>
          <t>Paper</t>
        </is>
      </c>
      <c r="K781" t="inlineStr">
        <is>
          <t>East</t>
        </is>
      </c>
      <c r="L781" t="inlineStr">
        <is>
          <t>New York</t>
        </is>
      </c>
      <c r="M781" t="inlineStr">
        <is>
          <t>New York</t>
        </is>
      </c>
      <c r="N781" t="inlineStr">
        <is>
          <t>Ethan Brooks</t>
        </is>
      </c>
      <c r="O781" t="n">
        <v>2</v>
      </c>
      <c r="P781" s="3" t="n">
        <v>581.67</v>
      </c>
      <c r="Q781" s="4" t="n">
        <v>0</v>
      </c>
      <c r="R781" s="3" t="n">
        <v>1163.34</v>
      </c>
      <c r="S781" s="3" t="n">
        <v>743.47</v>
      </c>
      <c r="T781" s="3" t="n">
        <v>411.27</v>
      </c>
      <c r="U781" s="4" t="n">
        <v>0.3535</v>
      </c>
      <c r="V781" s="3" t="n">
        <v>8.6</v>
      </c>
      <c r="W781" t="inlineStr">
        <is>
          <t>Credit Card</t>
        </is>
      </c>
      <c r="X781" t="inlineStr">
        <is>
          <t>Medium</t>
        </is>
      </c>
    </row>
    <row r="782">
      <c r="A782" t="inlineStr">
        <is>
          <t>ORD-00781</t>
        </is>
      </c>
      <c r="B782" s="2" t="n">
        <v>45797</v>
      </c>
      <c r="C782" s="2" t="n">
        <v>45804</v>
      </c>
      <c r="D782" t="inlineStr">
        <is>
          <t>CUST-00781</t>
        </is>
      </c>
      <c r="E782" t="inlineStr">
        <is>
          <t>Customer 781</t>
        </is>
      </c>
      <c r="F782" t="inlineStr">
        <is>
          <t>Corporate</t>
        </is>
      </c>
      <c r="G782" t="inlineStr">
        <is>
          <t>P1020</t>
        </is>
      </c>
      <c r="H782" t="inlineStr">
        <is>
          <t>CloudDrive File Box</t>
        </is>
      </c>
      <c r="I782" t="inlineStr">
        <is>
          <t>Technology</t>
        </is>
      </c>
      <c r="J782" t="inlineStr">
        <is>
          <t>Accessories</t>
        </is>
      </c>
      <c r="K782" t="inlineStr">
        <is>
          <t>South</t>
        </is>
      </c>
      <c r="L782" t="inlineStr">
        <is>
          <t>Georgia</t>
        </is>
      </c>
      <c r="M782" t="inlineStr">
        <is>
          <t>Miami</t>
        </is>
      </c>
      <c r="N782" t="inlineStr">
        <is>
          <t>Ava Patel</t>
        </is>
      </c>
      <c r="O782" t="n">
        <v>2</v>
      </c>
      <c r="P782" s="3" t="n">
        <v>70.23999999999999</v>
      </c>
      <c r="Q782" s="4" t="n">
        <v>0.02</v>
      </c>
      <c r="R782" s="3" t="n">
        <v>137.67</v>
      </c>
      <c r="S782" s="3" t="n">
        <v>70.2</v>
      </c>
      <c r="T782" s="3" t="n">
        <v>59.87</v>
      </c>
      <c r="U782" s="4" t="n">
        <v>0.4349</v>
      </c>
      <c r="V782" s="3" t="n">
        <v>7.6</v>
      </c>
      <c r="W782" t="inlineStr">
        <is>
          <t>Bank Transfer</t>
        </is>
      </c>
      <c r="X782" t="inlineStr">
        <is>
          <t>Low</t>
        </is>
      </c>
    </row>
    <row r="783">
      <c r="A783" t="inlineStr">
        <is>
          <t>ORD-00782</t>
        </is>
      </c>
      <c r="B783" s="2" t="n">
        <v>45639</v>
      </c>
      <c r="C783" s="2" t="n">
        <v>45644</v>
      </c>
      <c r="D783" t="inlineStr">
        <is>
          <t>CUST-00782</t>
        </is>
      </c>
      <c r="E783" t="inlineStr">
        <is>
          <t>Customer 782</t>
        </is>
      </c>
      <c r="F783" t="inlineStr">
        <is>
          <t>Corporate</t>
        </is>
      </c>
      <c r="G783" t="inlineStr">
        <is>
          <t>P1006</t>
        </is>
      </c>
      <c r="H783" t="inlineStr">
        <is>
          <t>Orbit Wireless Mouse</t>
        </is>
      </c>
      <c r="I783" t="inlineStr">
        <is>
          <t>Office Supplies</t>
        </is>
      </c>
      <c r="J783" t="inlineStr">
        <is>
          <t>Coolers</t>
        </is>
      </c>
      <c r="K783" t="inlineStr">
        <is>
          <t>East</t>
        </is>
      </c>
      <c r="L783" t="inlineStr">
        <is>
          <t>New Jersey</t>
        </is>
      </c>
      <c r="M783" t="inlineStr">
        <is>
          <t>Philadelphia</t>
        </is>
      </c>
      <c r="N783" t="inlineStr">
        <is>
          <t>Olivia Martin</t>
        </is>
      </c>
      <c r="O783" t="n">
        <v>4</v>
      </c>
      <c r="P783" s="3" t="n">
        <v>20.48</v>
      </c>
      <c r="Q783" s="4" t="n">
        <v>0.03</v>
      </c>
      <c r="R783" s="3" t="n">
        <v>79.45999999999999</v>
      </c>
      <c r="S783" s="3" t="n">
        <v>31.13</v>
      </c>
      <c r="T783" s="3" t="n">
        <v>38.13</v>
      </c>
      <c r="U783" s="4" t="n">
        <v>0.4799</v>
      </c>
      <c r="V783" s="3" t="n">
        <v>10.2</v>
      </c>
      <c r="W783" t="inlineStr">
        <is>
          <t>Credit Card</t>
        </is>
      </c>
      <c r="X783" t="inlineStr">
        <is>
          <t>Low</t>
        </is>
      </c>
    </row>
    <row r="784">
      <c r="A784" t="inlineStr">
        <is>
          <t>ORD-00783</t>
        </is>
      </c>
      <c r="B784" s="2" t="n">
        <v>45246</v>
      </c>
      <c r="C784" s="2" t="n">
        <v>45250</v>
      </c>
      <c r="D784" t="inlineStr">
        <is>
          <t>CUST-00783</t>
        </is>
      </c>
      <c r="E784" t="inlineStr">
        <is>
          <t>Customer 783</t>
        </is>
      </c>
      <c r="F784" t="inlineStr">
        <is>
          <t>Corporate</t>
        </is>
      </c>
      <c r="G784" t="inlineStr">
        <is>
          <t>P1002</t>
        </is>
      </c>
      <c r="H784" t="inlineStr">
        <is>
          <t>Summit Patio Set</t>
        </is>
      </c>
      <c r="I784" t="inlineStr">
        <is>
          <t>Furniture</t>
        </is>
      </c>
      <c r="J784" t="inlineStr">
        <is>
          <t>Peripherals</t>
        </is>
      </c>
      <c r="K784" t="inlineStr">
        <is>
          <t>Central</t>
        </is>
      </c>
      <c r="L784" t="inlineStr">
        <is>
          <t>Minnesota</t>
        </is>
      </c>
      <c r="M784" t="inlineStr">
        <is>
          <t>Minneapolis</t>
        </is>
      </c>
      <c r="N784" t="inlineStr">
        <is>
          <t>Noah Kim</t>
        </is>
      </c>
      <c r="O784" t="n">
        <v>4</v>
      </c>
      <c r="P784" s="3" t="n">
        <v>88.95999999999999</v>
      </c>
      <c r="Q784" s="4" t="n">
        <v>0.053</v>
      </c>
      <c r="R784" s="3" t="n">
        <v>336.98</v>
      </c>
      <c r="S784" s="3" t="n">
        <v>157.38</v>
      </c>
      <c r="T784" s="3" t="n">
        <v>170.4</v>
      </c>
      <c r="U784" s="4" t="n">
        <v>0.5057</v>
      </c>
      <c r="V784" s="3" t="n">
        <v>9.199999999999999</v>
      </c>
      <c r="W784" t="inlineStr">
        <is>
          <t>Credit Card</t>
        </is>
      </c>
      <c r="X784" t="inlineStr">
        <is>
          <t>High</t>
        </is>
      </c>
    </row>
    <row r="785">
      <c r="A785" t="inlineStr">
        <is>
          <t>ORD-00784</t>
        </is>
      </c>
      <c r="B785" s="2" t="n">
        <v>45421</v>
      </c>
      <c r="C785" s="2" t="n">
        <v>45425</v>
      </c>
      <c r="D785" t="inlineStr">
        <is>
          <t>CUST-00784</t>
        </is>
      </c>
      <c r="E785" t="inlineStr">
        <is>
          <t>Customer 784</t>
        </is>
      </c>
      <c r="F785" t="inlineStr">
        <is>
          <t>Corporate</t>
        </is>
      </c>
      <c r="G785" t="inlineStr">
        <is>
          <t>P1009</t>
        </is>
      </c>
      <c r="H785" t="inlineStr">
        <is>
          <t>Atlas Throw Pillow</t>
        </is>
      </c>
      <c r="I785" t="inlineStr">
        <is>
          <t>Home Decor</t>
        </is>
      </c>
      <c r="J785" t="inlineStr">
        <is>
          <t>Desks</t>
        </is>
      </c>
      <c r="K785" t="inlineStr">
        <is>
          <t>West</t>
        </is>
      </c>
      <c r="L785" t="inlineStr">
        <is>
          <t>Washington</t>
        </is>
      </c>
      <c r="M785" t="inlineStr">
        <is>
          <t>Seattle</t>
        </is>
      </c>
      <c r="N785" t="inlineStr">
        <is>
          <t>James Carter</t>
        </is>
      </c>
      <c r="O785" t="n">
        <v>1</v>
      </c>
      <c r="P785" s="3" t="n">
        <v>93.34999999999999</v>
      </c>
      <c r="Q785" s="4" t="n">
        <v>0.055</v>
      </c>
      <c r="R785" s="3" t="n">
        <v>88.22</v>
      </c>
      <c r="S785" s="3" t="n">
        <v>52.01</v>
      </c>
      <c r="T785" s="3" t="n">
        <v>28.41</v>
      </c>
      <c r="U785" s="4" t="n">
        <v>0.322</v>
      </c>
      <c r="V785" s="3" t="n">
        <v>7.8</v>
      </c>
      <c r="W785" t="inlineStr">
        <is>
          <t>PayPal</t>
        </is>
      </c>
      <c r="X785" t="inlineStr">
        <is>
          <t>High</t>
        </is>
      </c>
    </row>
    <row r="786">
      <c r="A786" t="inlineStr">
        <is>
          <t>ORD-00785</t>
        </is>
      </c>
      <c r="B786" s="2" t="n">
        <v>45140</v>
      </c>
      <c r="C786" s="2" t="n">
        <v>45145</v>
      </c>
      <c r="D786" t="inlineStr">
        <is>
          <t>CUST-00785</t>
        </is>
      </c>
      <c r="E786" t="inlineStr">
        <is>
          <t>Customer 785</t>
        </is>
      </c>
      <c r="F786" t="inlineStr">
        <is>
          <t>Consumer</t>
        </is>
      </c>
      <c r="G786" t="inlineStr">
        <is>
          <t>P1018</t>
        </is>
      </c>
      <c r="H786" t="inlineStr">
        <is>
          <t>Orbit Wireless Mouse</t>
        </is>
      </c>
      <c r="I786" t="inlineStr">
        <is>
          <t>Home Decor</t>
        </is>
      </c>
      <c r="J786" t="inlineStr">
        <is>
          <t>Peripherals</t>
        </is>
      </c>
      <c r="K786" t="inlineStr">
        <is>
          <t>West</t>
        </is>
      </c>
      <c r="L786" t="inlineStr">
        <is>
          <t>Oregon</t>
        </is>
      </c>
      <c r="M786" t="inlineStr">
        <is>
          <t>Denver</t>
        </is>
      </c>
      <c r="N786" t="inlineStr">
        <is>
          <t>Olivia Martin</t>
        </is>
      </c>
      <c r="O786" t="n">
        <v>2</v>
      </c>
      <c r="P786" s="3" t="n">
        <v>100.81</v>
      </c>
      <c r="Q786" s="4" t="n">
        <v>0.03</v>
      </c>
      <c r="R786" s="3" t="n">
        <v>195.57</v>
      </c>
      <c r="S786" s="3" t="n">
        <v>92.47</v>
      </c>
      <c r="T786" s="3" t="n">
        <v>94.5</v>
      </c>
      <c r="U786" s="4" t="n">
        <v>0.4832</v>
      </c>
      <c r="V786" s="3" t="n">
        <v>8.6</v>
      </c>
      <c r="W786" t="inlineStr">
        <is>
          <t>Bank Transfer</t>
        </is>
      </c>
      <c r="X786" t="inlineStr">
        <is>
          <t>Critical</t>
        </is>
      </c>
    </row>
    <row r="787">
      <c r="A787" t="inlineStr">
        <is>
          <t>ORD-00786</t>
        </is>
      </c>
      <c r="B787" s="2" t="n">
        <v>45983</v>
      </c>
      <c r="C787" s="2" t="n">
        <v>45987</v>
      </c>
      <c r="D787" t="inlineStr">
        <is>
          <t>CUST-00786</t>
        </is>
      </c>
      <c r="E787" t="inlineStr">
        <is>
          <t>Customer 786</t>
        </is>
      </c>
      <c r="F787" t="inlineStr">
        <is>
          <t>Consumer</t>
        </is>
      </c>
      <c r="G787" t="inlineStr">
        <is>
          <t>P1004</t>
        </is>
      </c>
      <c r="H787" t="inlineStr">
        <is>
          <t>Halo Planter</t>
        </is>
      </c>
      <c r="I787" t="inlineStr">
        <is>
          <t>Furniture</t>
        </is>
      </c>
      <c r="J787" t="inlineStr">
        <is>
          <t>Coolers</t>
        </is>
      </c>
      <c r="K787" t="inlineStr">
        <is>
          <t>Central</t>
        </is>
      </c>
      <c r="L787" t="inlineStr">
        <is>
          <t>Minnesota</t>
        </is>
      </c>
      <c r="M787" t="inlineStr">
        <is>
          <t>Chicago</t>
        </is>
      </c>
      <c r="N787" t="inlineStr">
        <is>
          <t>Noah Kim</t>
        </is>
      </c>
      <c r="O787" t="n">
        <v>3</v>
      </c>
      <c r="P787" s="3" t="n">
        <v>666.58</v>
      </c>
      <c r="Q787" s="4" t="n">
        <v>0.039</v>
      </c>
      <c r="R787" s="3" t="n">
        <v>1921.75</v>
      </c>
      <c r="S787" s="3" t="n">
        <v>1216.89</v>
      </c>
      <c r="T787" s="3" t="n">
        <v>696.46</v>
      </c>
      <c r="U787" s="4" t="n">
        <v>0.3624</v>
      </c>
      <c r="V787" s="3" t="n">
        <v>8.4</v>
      </c>
      <c r="W787" t="inlineStr">
        <is>
          <t>Credit Card</t>
        </is>
      </c>
      <c r="X787" t="inlineStr">
        <is>
          <t>High</t>
        </is>
      </c>
    </row>
    <row r="788">
      <c r="A788" t="inlineStr">
        <is>
          <t>ORD-00787</t>
        </is>
      </c>
      <c r="B788" s="2" t="n">
        <v>45470</v>
      </c>
      <c r="C788" s="2" t="n">
        <v>45477</v>
      </c>
      <c r="D788" t="inlineStr">
        <is>
          <t>CUST-00787</t>
        </is>
      </c>
      <c r="E788" t="inlineStr">
        <is>
          <t>Customer 787</t>
        </is>
      </c>
      <c r="F788" t="inlineStr">
        <is>
          <t>Corporate</t>
        </is>
      </c>
      <c r="G788" t="inlineStr">
        <is>
          <t>P1001</t>
        </is>
      </c>
      <c r="H788" t="inlineStr">
        <is>
          <t>Atlas Throw Pillow</t>
        </is>
      </c>
      <c r="I788" t="inlineStr">
        <is>
          <t>Office Supplies</t>
        </is>
      </c>
      <c r="J788" t="inlineStr">
        <is>
          <t>Flooring</t>
        </is>
      </c>
      <c r="K788" t="inlineStr">
        <is>
          <t>Central</t>
        </is>
      </c>
      <c r="L788" t="inlineStr">
        <is>
          <t>Minnesota</t>
        </is>
      </c>
      <c r="M788" t="inlineStr">
        <is>
          <t>Kansas City</t>
        </is>
      </c>
      <c r="N788" t="inlineStr">
        <is>
          <t>Noah Kim</t>
        </is>
      </c>
      <c r="O788" t="n">
        <v>3</v>
      </c>
      <c r="P788" s="3" t="n">
        <v>313.52</v>
      </c>
      <c r="Q788" s="4" t="n">
        <v>0.059</v>
      </c>
      <c r="R788" s="3" t="n">
        <v>885.0700000000001</v>
      </c>
      <c r="S788" s="3" t="n">
        <v>521.6</v>
      </c>
      <c r="T788" s="3" t="n">
        <v>355.07</v>
      </c>
      <c r="U788" s="4" t="n">
        <v>0.4012</v>
      </c>
      <c r="V788" s="3" t="n">
        <v>8.4</v>
      </c>
      <c r="W788" t="inlineStr">
        <is>
          <t>Debit Card</t>
        </is>
      </c>
      <c r="X788" t="inlineStr">
        <is>
          <t>High</t>
        </is>
      </c>
    </row>
    <row r="789">
      <c r="A789" t="inlineStr">
        <is>
          <t>ORD-00788</t>
        </is>
      </c>
      <c r="B789" s="2" t="n">
        <v>45294</v>
      </c>
      <c r="C789" s="2" t="n">
        <v>45299</v>
      </c>
      <c r="D789" t="inlineStr">
        <is>
          <t>CUST-00788</t>
        </is>
      </c>
      <c r="E789" t="inlineStr">
        <is>
          <t>Customer 788</t>
        </is>
      </c>
      <c r="F789" t="inlineStr">
        <is>
          <t>Corporate</t>
        </is>
      </c>
      <c r="G789" t="inlineStr">
        <is>
          <t>P1001</t>
        </is>
      </c>
      <c r="H789" t="inlineStr">
        <is>
          <t>Tide Cooler</t>
        </is>
      </c>
      <c r="I789" t="inlineStr">
        <is>
          <t>Technology</t>
        </is>
      </c>
      <c r="J789" t="inlineStr">
        <is>
          <t>Furniture</t>
        </is>
      </c>
      <c r="K789" t="inlineStr">
        <is>
          <t>West</t>
        </is>
      </c>
      <c r="L789" t="inlineStr">
        <is>
          <t>Washington</t>
        </is>
      </c>
      <c r="M789" t="inlineStr">
        <is>
          <t>Denver</t>
        </is>
      </c>
      <c r="N789" t="inlineStr">
        <is>
          <t>Ava Patel</t>
        </is>
      </c>
      <c r="O789" t="n">
        <v>1</v>
      </c>
      <c r="P789" s="3" t="n">
        <v>289.21</v>
      </c>
      <c r="Q789" s="4" t="n">
        <v>0.03299999999999999</v>
      </c>
      <c r="R789" s="3" t="n">
        <v>279.67</v>
      </c>
      <c r="S789" s="3" t="n">
        <v>172.22</v>
      </c>
      <c r="T789" s="3" t="n">
        <v>99.65000000000001</v>
      </c>
      <c r="U789" s="4" t="n">
        <v>0.3563</v>
      </c>
      <c r="V789" s="3" t="n">
        <v>7.8</v>
      </c>
      <c r="W789" t="inlineStr">
        <is>
          <t>PayPal</t>
        </is>
      </c>
      <c r="X789" t="inlineStr">
        <is>
          <t>Low</t>
        </is>
      </c>
    </row>
    <row r="790">
      <c r="A790" t="inlineStr">
        <is>
          <t>ORD-00789</t>
        </is>
      </c>
      <c r="B790" s="2" t="n">
        <v>45332</v>
      </c>
      <c r="C790" s="2" t="n">
        <v>45339</v>
      </c>
      <c r="D790" t="inlineStr">
        <is>
          <t>CUST-00789</t>
        </is>
      </c>
      <c r="E790" t="inlineStr">
        <is>
          <t>Customer 789</t>
        </is>
      </c>
      <c r="F790" t="inlineStr">
        <is>
          <t>Corporate</t>
        </is>
      </c>
      <c r="G790" t="inlineStr">
        <is>
          <t>P1020</t>
        </is>
      </c>
      <c r="H790" t="inlineStr">
        <is>
          <t>Aero Standing Desk</t>
        </is>
      </c>
      <c r="I790" t="inlineStr">
        <is>
          <t>Technology</t>
        </is>
      </c>
      <c r="J790" t="inlineStr">
        <is>
          <t>Decor</t>
        </is>
      </c>
      <c r="K790" t="inlineStr">
        <is>
          <t>South</t>
        </is>
      </c>
      <c r="L790" t="inlineStr">
        <is>
          <t>Texas</t>
        </is>
      </c>
      <c r="M790" t="inlineStr">
        <is>
          <t>Atlanta</t>
        </is>
      </c>
      <c r="N790" t="inlineStr">
        <is>
          <t>Sophia Singh</t>
        </is>
      </c>
      <c r="O790" t="n">
        <v>2</v>
      </c>
      <c r="P790" s="3" t="n">
        <v>70.81999999999999</v>
      </c>
      <c r="Q790" s="4" t="n">
        <v>0.055</v>
      </c>
      <c r="R790" s="3" t="n">
        <v>133.85</v>
      </c>
      <c r="S790" s="3" t="n">
        <v>69.37</v>
      </c>
      <c r="T790" s="3" t="n">
        <v>56.88</v>
      </c>
      <c r="U790" s="4" t="n">
        <v>0.425</v>
      </c>
      <c r="V790" s="3" t="n">
        <v>7.6</v>
      </c>
      <c r="W790" t="inlineStr">
        <is>
          <t>Bank Transfer</t>
        </is>
      </c>
      <c r="X790" t="inlineStr">
        <is>
          <t>High</t>
        </is>
      </c>
    </row>
    <row r="791">
      <c r="A791" t="inlineStr">
        <is>
          <t>ORD-00790</t>
        </is>
      </c>
      <c r="B791" s="2" t="n">
        <v>45858</v>
      </c>
      <c r="C791" s="2" t="n">
        <v>45865</v>
      </c>
      <c r="D791" t="inlineStr">
        <is>
          <t>CUST-00790</t>
        </is>
      </c>
      <c r="E791" t="inlineStr">
        <is>
          <t>Customer 790</t>
        </is>
      </c>
      <c r="F791" t="inlineStr">
        <is>
          <t>Consumer</t>
        </is>
      </c>
      <c r="G791" t="inlineStr">
        <is>
          <t>P1017</t>
        </is>
      </c>
      <c r="H791" t="inlineStr">
        <is>
          <t>SmartInk Pen Set</t>
        </is>
      </c>
      <c r="I791" t="inlineStr">
        <is>
          <t>Office Supplies</t>
        </is>
      </c>
      <c r="J791" t="inlineStr">
        <is>
          <t>Lighting</t>
        </is>
      </c>
      <c r="K791" t="inlineStr">
        <is>
          <t>South</t>
        </is>
      </c>
      <c r="L791" t="inlineStr">
        <is>
          <t>Texas</t>
        </is>
      </c>
      <c r="M791" t="inlineStr">
        <is>
          <t>Miami</t>
        </is>
      </c>
      <c r="N791" t="inlineStr">
        <is>
          <t>Ava Patel</t>
        </is>
      </c>
      <c r="O791" t="n">
        <v>4</v>
      </c>
      <c r="P791" s="3" t="n">
        <v>570.99</v>
      </c>
      <c r="Q791" s="4" t="n">
        <v>0.035</v>
      </c>
      <c r="R791" s="3" t="n">
        <v>2204.02</v>
      </c>
      <c r="S791" s="3" t="n">
        <v>1459.33</v>
      </c>
      <c r="T791" s="3" t="n">
        <v>735.49</v>
      </c>
      <c r="U791" s="4" t="n">
        <v>0.3337</v>
      </c>
      <c r="V791" s="3" t="n">
        <v>9.199999999999999</v>
      </c>
      <c r="W791" t="inlineStr">
        <is>
          <t>Cash on Delivery</t>
        </is>
      </c>
      <c r="X791" t="inlineStr">
        <is>
          <t>High</t>
        </is>
      </c>
    </row>
    <row r="792">
      <c r="A792" t="inlineStr">
        <is>
          <t>ORD-00791</t>
        </is>
      </c>
      <c r="B792" s="2" t="n">
        <v>45262</v>
      </c>
      <c r="C792" s="2" t="n">
        <v>45269</v>
      </c>
      <c r="D792" t="inlineStr">
        <is>
          <t>CUST-00791</t>
        </is>
      </c>
      <c r="E792" t="inlineStr">
        <is>
          <t>Customer 791</t>
        </is>
      </c>
      <c r="F792" t="inlineStr">
        <is>
          <t>Corporate</t>
        </is>
      </c>
      <c r="G792" t="inlineStr">
        <is>
          <t>P1019</t>
        </is>
      </c>
      <c r="H792" t="inlineStr">
        <is>
          <t>Echo Web Camera</t>
        </is>
      </c>
      <c r="I792" t="inlineStr">
        <is>
          <t>Home Decor</t>
        </is>
      </c>
      <c r="J792" t="inlineStr">
        <is>
          <t>Coolers</t>
        </is>
      </c>
      <c r="K792" t="inlineStr">
        <is>
          <t>Central</t>
        </is>
      </c>
      <c r="L792" t="inlineStr">
        <is>
          <t>Minnesota</t>
        </is>
      </c>
      <c r="M792" t="inlineStr">
        <is>
          <t>Kansas City</t>
        </is>
      </c>
      <c r="N792" t="inlineStr">
        <is>
          <t>Ethan Brooks</t>
        </is>
      </c>
      <c r="O792" t="n">
        <v>4</v>
      </c>
      <c r="P792" s="3" t="n">
        <v>59.59</v>
      </c>
      <c r="Q792" s="4" t="n">
        <v>0.076</v>
      </c>
      <c r="R792" s="3" t="n">
        <v>220.24</v>
      </c>
      <c r="S792" s="3" t="n">
        <v>96.98999999999999</v>
      </c>
      <c r="T792" s="3" t="n">
        <v>114.05</v>
      </c>
      <c r="U792" s="4" t="n">
        <v>0.5178</v>
      </c>
      <c r="V792" s="3" t="n">
        <v>9.199999999999999</v>
      </c>
      <c r="W792" t="inlineStr">
        <is>
          <t>Credit Card</t>
        </is>
      </c>
      <c r="X792" t="inlineStr">
        <is>
          <t>Critical</t>
        </is>
      </c>
    </row>
    <row r="793">
      <c r="A793" t="inlineStr">
        <is>
          <t>ORD-00792</t>
        </is>
      </c>
      <c r="B793" s="2" t="n">
        <v>45592</v>
      </c>
      <c r="C793" s="2" t="n">
        <v>45594</v>
      </c>
      <c r="D793" t="inlineStr">
        <is>
          <t>CUST-00792</t>
        </is>
      </c>
      <c r="E793" t="inlineStr">
        <is>
          <t>Customer 792</t>
        </is>
      </c>
      <c r="F793" t="inlineStr">
        <is>
          <t>Consumer</t>
        </is>
      </c>
      <c r="G793" t="inlineStr">
        <is>
          <t>P1003</t>
        </is>
      </c>
      <c r="H793" t="inlineStr">
        <is>
          <t>Echo Web Camera</t>
        </is>
      </c>
      <c r="I793" t="inlineStr">
        <is>
          <t>Office Supplies</t>
        </is>
      </c>
      <c r="J793" t="inlineStr">
        <is>
          <t>Storage</t>
        </is>
      </c>
      <c r="K793" t="inlineStr">
        <is>
          <t>Central</t>
        </is>
      </c>
      <c r="L793" t="inlineStr">
        <is>
          <t>Minnesota</t>
        </is>
      </c>
      <c r="M793" t="inlineStr">
        <is>
          <t>Chicago</t>
        </is>
      </c>
      <c r="N793" t="inlineStr">
        <is>
          <t>Sophia Singh</t>
        </is>
      </c>
      <c r="O793" t="n">
        <v>2</v>
      </c>
      <c r="P793" s="3" t="n">
        <v>168.38</v>
      </c>
      <c r="Q793" s="4" t="n">
        <v>0.032</v>
      </c>
      <c r="R793" s="3" t="n">
        <v>325.98</v>
      </c>
      <c r="S793" s="3" t="n">
        <v>177.07</v>
      </c>
      <c r="T793" s="3" t="n">
        <v>141.31</v>
      </c>
      <c r="U793" s="4" t="n">
        <v>0.4335</v>
      </c>
      <c r="V793" s="3" t="n">
        <v>7.6</v>
      </c>
      <c r="W793" t="inlineStr">
        <is>
          <t>Bank Transfer</t>
        </is>
      </c>
      <c r="X793" t="inlineStr">
        <is>
          <t>High</t>
        </is>
      </c>
    </row>
    <row r="794">
      <c r="A794" t="inlineStr">
        <is>
          <t>ORD-00793</t>
        </is>
      </c>
      <c r="B794" s="2" t="n">
        <v>45346</v>
      </c>
      <c r="C794" s="2" t="n">
        <v>45351</v>
      </c>
      <c r="D794" t="inlineStr">
        <is>
          <t>CUST-00793</t>
        </is>
      </c>
      <c r="E794" t="inlineStr">
        <is>
          <t>Customer 793</t>
        </is>
      </c>
      <c r="F794" t="inlineStr">
        <is>
          <t>Corporate</t>
        </is>
      </c>
      <c r="G794" t="inlineStr">
        <is>
          <t>P1017</t>
        </is>
      </c>
      <c r="H794" t="inlineStr">
        <is>
          <t>ErgoMesh Chair</t>
        </is>
      </c>
      <c r="I794" t="inlineStr">
        <is>
          <t>Office Supplies</t>
        </is>
      </c>
      <c r="J794" t="inlineStr">
        <is>
          <t>Coolers</t>
        </is>
      </c>
      <c r="K794" t="inlineStr">
        <is>
          <t>West</t>
        </is>
      </c>
      <c r="L794" t="inlineStr">
        <is>
          <t>Oregon</t>
        </is>
      </c>
      <c r="M794" t="inlineStr">
        <is>
          <t>Denver</t>
        </is>
      </c>
      <c r="N794" t="inlineStr">
        <is>
          <t>Ava Patel</t>
        </is>
      </c>
      <c r="O794" t="n">
        <v>2</v>
      </c>
      <c r="P794" s="3" t="n">
        <v>559.8200000000001</v>
      </c>
      <c r="Q794" s="4" t="n">
        <v>0.054</v>
      </c>
      <c r="R794" s="3" t="n">
        <v>1059.18</v>
      </c>
      <c r="S794" s="3" t="n">
        <v>704.75</v>
      </c>
      <c r="T794" s="3" t="n">
        <v>345.83</v>
      </c>
      <c r="U794" s="4" t="n">
        <v>0.3265</v>
      </c>
      <c r="V794" s="3" t="n">
        <v>8.6</v>
      </c>
      <c r="W794" t="inlineStr">
        <is>
          <t>Cash on Delivery</t>
        </is>
      </c>
      <c r="X794" t="inlineStr">
        <is>
          <t>High</t>
        </is>
      </c>
    </row>
    <row r="795">
      <c r="A795" t="inlineStr">
        <is>
          <t>ORD-00794</t>
        </is>
      </c>
      <c r="B795" s="2" t="n">
        <v>45392</v>
      </c>
      <c r="C795" s="2" t="n">
        <v>45394</v>
      </c>
      <c r="D795" t="inlineStr">
        <is>
          <t>CUST-00794</t>
        </is>
      </c>
      <c r="E795" t="inlineStr">
        <is>
          <t>Customer 794</t>
        </is>
      </c>
      <c r="F795" t="inlineStr">
        <is>
          <t>Consumer</t>
        </is>
      </c>
      <c r="G795" t="inlineStr">
        <is>
          <t>P1003</t>
        </is>
      </c>
      <c r="H795" t="inlineStr">
        <is>
          <t>Echo Web Camera</t>
        </is>
      </c>
      <c r="I795" t="inlineStr">
        <is>
          <t>Furniture</t>
        </is>
      </c>
      <c r="J795" t="inlineStr">
        <is>
          <t>Textiles</t>
        </is>
      </c>
      <c r="K795" t="inlineStr">
        <is>
          <t>South</t>
        </is>
      </c>
      <c r="L795" t="inlineStr">
        <is>
          <t>Texas</t>
        </is>
      </c>
      <c r="M795" t="inlineStr">
        <is>
          <t>Miami</t>
        </is>
      </c>
      <c r="N795" t="inlineStr">
        <is>
          <t>Sophia Singh</t>
        </is>
      </c>
      <c r="O795" t="n">
        <v>3</v>
      </c>
      <c r="P795" s="3" t="n">
        <v>141.68</v>
      </c>
      <c r="Q795" s="4" t="n">
        <v>0.01</v>
      </c>
      <c r="R795" s="3" t="n">
        <v>420.79</v>
      </c>
      <c r="S795" s="3" t="n">
        <v>226.46</v>
      </c>
      <c r="T795" s="3" t="n">
        <v>185.93</v>
      </c>
      <c r="U795" s="4" t="n">
        <v>0.4419</v>
      </c>
      <c r="V795" s="3" t="n">
        <v>8.4</v>
      </c>
      <c r="W795" t="inlineStr">
        <is>
          <t>Bank Transfer</t>
        </is>
      </c>
      <c r="X795" t="inlineStr">
        <is>
          <t>Medium</t>
        </is>
      </c>
    </row>
    <row r="796">
      <c r="A796" t="inlineStr">
        <is>
          <t>ORD-00795</t>
        </is>
      </c>
      <c r="B796" s="2" t="n">
        <v>45207</v>
      </c>
      <c r="C796" s="2" t="n">
        <v>45209</v>
      </c>
      <c r="D796" t="inlineStr">
        <is>
          <t>CUST-00795</t>
        </is>
      </c>
      <c r="E796" t="inlineStr">
        <is>
          <t>Customer 795</t>
        </is>
      </c>
      <c r="F796" t="inlineStr">
        <is>
          <t>Home Office</t>
        </is>
      </c>
      <c r="G796" t="inlineStr">
        <is>
          <t>P1004</t>
        </is>
      </c>
      <c r="H796" t="inlineStr">
        <is>
          <t>SmartInk Pen Set</t>
        </is>
      </c>
      <c r="I796" t="inlineStr">
        <is>
          <t>Furniture</t>
        </is>
      </c>
      <c r="J796" t="inlineStr">
        <is>
          <t>Peripherals</t>
        </is>
      </c>
      <c r="K796" t="inlineStr">
        <is>
          <t>East</t>
        </is>
      </c>
      <c r="L796" t="inlineStr">
        <is>
          <t>New Jersey</t>
        </is>
      </c>
      <c r="M796" t="inlineStr">
        <is>
          <t>Boston</t>
        </is>
      </c>
      <c r="N796" t="inlineStr">
        <is>
          <t>Ava Patel</t>
        </is>
      </c>
      <c r="O796" t="n">
        <v>1</v>
      </c>
      <c r="P796" s="3" t="n">
        <v>632.5</v>
      </c>
      <c r="Q796" s="4" t="n">
        <v>0.001</v>
      </c>
      <c r="R796" s="3" t="n">
        <v>631.87</v>
      </c>
      <c r="S796" s="3" t="n">
        <v>403.99</v>
      </c>
      <c r="T796" s="3" t="n">
        <v>220.08</v>
      </c>
      <c r="U796" s="4" t="n">
        <v>0.3483</v>
      </c>
      <c r="V796" s="3" t="n">
        <v>7.8</v>
      </c>
      <c r="W796" t="inlineStr">
        <is>
          <t>Cash on Delivery</t>
        </is>
      </c>
      <c r="X796" t="inlineStr">
        <is>
          <t>Low</t>
        </is>
      </c>
    </row>
    <row r="797">
      <c r="A797" t="inlineStr">
        <is>
          <t>ORD-00796</t>
        </is>
      </c>
      <c r="B797" s="2" t="n">
        <v>45978</v>
      </c>
      <c r="C797" s="2" t="n">
        <v>45983</v>
      </c>
      <c r="D797" t="inlineStr">
        <is>
          <t>CUST-00796</t>
        </is>
      </c>
      <c r="E797" t="inlineStr">
        <is>
          <t>Customer 796</t>
        </is>
      </c>
      <c r="F797" t="inlineStr">
        <is>
          <t>Consumer</t>
        </is>
      </c>
      <c r="G797" t="inlineStr">
        <is>
          <t>P1013</t>
        </is>
      </c>
      <c r="H797" t="inlineStr">
        <is>
          <t>Halo Planter</t>
        </is>
      </c>
      <c r="I797" t="inlineStr">
        <is>
          <t>Office Supplies</t>
        </is>
      </c>
      <c r="J797" t="inlineStr">
        <is>
          <t>Furniture</t>
        </is>
      </c>
      <c r="K797" t="inlineStr">
        <is>
          <t>North</t>
        </is>
      </c>
      <c r="L797" t="inlineStr">
        <is>
          <t>British Columbia</t>
        </is>
      </c>
      <c r="M797" t="inlineStr">
        <is>
          <t>Calgary</t>
        </is>
      </c>
      <c r="N797" t="inlineStr">
        <is>
          <t>Sophia Singh</t>
        </is>
      </c>
      <c r="O797" t="n">
        <v>2</v>
      </c>
      <c r="P797" s="3" t="n">
        <v>165.53</v>
      </c>
      <c r="Q797" s="4" t="n">
        <v>0.013</v>
      </c>
      <c r="R797" s="3" t="n">
        <v>326.76</v>
      </c>
      <c r="S797" s="3" t="n">
        <v>193.42</v>
      </c>
      <c r="T797" s="3" t="n">
        <v>125.74</v>
      </c>
      <c r="U797" s="4" t="n">
        <v>0.3848</v>
      </c>
      <c r="V797" s="3" t="n">
        <v>7.6</v>
      </c>
      <c r="W797" t="inlineStr">
        <is>
          <t>Credit Card</t>
        </is>
      </c>
      <c r="X797" t="inlineStr">
        <is>
          <t>Medium</t>
        </is>
      </c>
    </row>
    <row r="798">
      <c r="A798" t="inlineStr">
        <is>
          <t>ORD-00797</t>
        </is>
      </c>
      <c r="B798" s="2" t="n">
        <v>45926</v>
      </c>
      <c r="C798" s="2" t="n">
        <v>45930</v>
      </c>
      <c r="D798" t="inlineStr">
        <is>
          <t>CUST-00797</t>
        </is>
      </c>
      <c r="E798" t="inlineStr">
        <is>
          <t>Customer 797</t>
        </is>
      </c>
      <c r="F798" t="inlineStr">
        <is>
          <t>Corporate</t>
        </is>
      </c>
      <c r="G798" t="inlineStr">
        <is>
          <t>P1015</t>
        </is>
      </c>
      <c r="H798" t="inlineStr">
        <is>
          <t>Lumen Desk Lamp</t>
        </is>
      </c>
      <c r="I798" t="inlineStr">
        <is>
          <t>Furniture</t>
        </is>
      </c>
      <c r="J798" t="inlineStr">
        <is>
          <t>Coolers</t>
        </is>
      </c>
      <c r="K798" t="inlineStr">
        <is>
          <t>Central</t>
        </is>
      </c>
      <c r="L798" t="inlineStr">
        <is>
          <t>Missouri</t>
        </is>
      </c>
      <c r="M798" t="inlineStr">
        <is>
          <t>St. Louis</t>
        </is>
      </c>
      <c r="N798" t="inlineStr">
        <is>
          <t>Olivia Martin</t>
        </is>
      </c>
      <c r="O798" t="n">
        <v>2</v>
      </c>
      <c r="P798" s="3" t="n">
        <v>64.36</v>
      </c>
      <c r="Q798" s="4" t="n">
        <v>0.034</v>
      </c>
      <c r="R798" s="3" t="n">
        <v>124.34</v>
      </c>
      <c r="S798" s="3" t="n">
        <v>58.84</v>
      </c>
      <c r="T798" s="3" t="n">
        <v>57.9</v>
      </c>
      <c r="U798" s="4" t="n">
        <v>0.4657</v>
      </c>
      <c r="V798" s="3" t="n">
        <v>7.6</v>
      </c>
      <c r="W798" t="inlineStr">
        <is>
          <t>Cash on Delivery</t>
        </is>
      </c>
      <c r="X798" t="inlineStr">
        <is>
          <t>Medium</t>
        </is>
      </c>
    </row>
    <row r="799">
      <c r="A799" t="inlineStr">
        <is>
          <t>ORD-00798</t>
        </is>
      </c>
      <c r="B799" s="2" t="n">
        <v>45557</v>
      </c>
      <c r="C799" s="2" t="n">
        <v>45563</v>
      </c>
      <c r="D799" t="inlineStr">
        <is>
          <t>CUST-00798</t>
        </is>
      </c>
      <c r="E799" t="inlineStr">
        <is>
          <t>Customer 798</t>
        </is>
      </c>
      <c r="F799" t="inlineStr">
        <is>
          <t>Corporate</t>
        </is>
      </c>
      <c r="G799" t="inlineStr">
        <is>
          <t>P1012</t>
        </is>
      </c>
      <c r="H799" t="inlineStr">
        <is>
          <t>ErgoMesh Chair</t>
        </is>
      </c>
      <c r="I799" t="inlineStr">
        <is>
          <t>Technology</t>
        </is>
      </c>
      <c r="J799" t="inlineStr">
        <is>
          <t>Lighting</t>
        </is>
      </c>
      <c r="K799" t="inlineStr">
        <is>
          <t>West</t>
        </is>
      </c>
      <c r="L799" t="inlineStr">
        <is>
          <t>California</t>
        </is>
      </c>
      <c r="M799" t="inlineStr">
        <is>
          <t>Denver</t>
        </is>
      </c>
      <c r="N799" t="inlineStr">
        <is>
          <t>Mia Rodriguez</t>
        </is>
      </c>
      <c r="O799" t="n">
        <v>2</v>
      </c>
      <c r="P799" s="3" t="n">
        <v>139.26</v>
      </c>
      <c r="Q799" s="4" t="n">
        <v>0.045</v>
      </c>
      <c r="R799" s="3" t="n">
        <v>265.99</v>
      </c>
      <c r="S799" s="3" t="n">
        <v>134.49</v>
      </c>
      <c r="T799" s="3" t="n">
        <v>122.9</v>
      </c>
      <c r="U799" s="4" t="n">
        <v>0.462</v>
      </c>
      <c r="V799" s="3" t="n">
        <v>8.6</v>
      </c>
      <c r="W799" t="inlineStr">
        <is>
          <t>Bank Transfer</t>
        </is>
      </c>
      <c r="X799" t="inlineStr">
        <is>
          <t>High</t>
        </is>
      </c>
    </row>
    <row r="800">
      <c r="A800" t="inlineStr">
        <is>
          <t>ORD-00799</t>
        </is>
      </c>
      <c r="B800" s="2" t="n">
        <v>45658</v>
      </c>
      <c r="C800" s="2" t="n">
        <v>45661</v>
      </c>
      <c r="D800" t="inlineStr">
        <is>
          <t>CUST-00799</t>
        </is>
      </c>
      <c r="E800" t="inlineStr">
        <is>
          <t>Customer 799</t>
        </is>
      </c>
      <c r="F800" t="inlineStr">
        <is>
          <t>Consumer</t>
        </is>
      </c>
      <c r="G800" t="inlineStr">
        <is>
          <t>P1003</t>
        </is>
      </c>
      <c r="H800" t="inlineStr">
        <is>
          <t>Aero Standing Desk</t>
        </is>
      </c>
      <c r="I800" t="inlineStr">
        <is>
          <t>Office Supplies</t>
        </is>
      </c>
      <c r="J800" t="inlineStr">
        <is>
          <t>Coolers</t>
        </is>
      </c>
      <c r="K800" t="inlineStr">
        <is>
          <t>West</t>
        </is>
      </c>
      <c r="L800" t="inlineStr">
        <is>
          <t>Washington</t>
        </is>
      </c>
      <c r="M800" t="inlineStr">
        <is>
          <t>San Francisco</t>
        </is>
      </c>
      <c r="N800" t="inlineStr">
        <is>
          <t>Mia Rodriguez</t>
        </is>
      </c>
      <c r="O800" t="n">
        <v>2</v>
      </c>
      <c r="P800" s="3" t="n">
        <v>162.5</v>
      </c>
      <c r="Q800" s="4" t="n">
        <v>0.009000000000000001</v>
      </c>
      <c r="R800" s="3" t="n">
        <v>322.07</v>
      </c>
      <c r="S800" s="3" t="n">
        <v>173.67</v>
      </c>
      <c r="T800" s="3" t="n">
        <v>139.8</v>
      </c>
      <c r="U800" s="4" t="n">
        <v>0.4341</v>
      </c>
      <c r="V800" s="3" t="n">
        <v>8.6</v>
      </c>
      <c r="W800" t="inlineStr">
        <is>
          <t>Credit Card</t>
        </is>
      </c>
      <c r="X800" t="inlineStr">
        <is>
          <t>Medium</t>
        </is>
      </c>
    </row>
    <row r="801">
      <c r="A801" t="inlineStr">
        <is>
          <t>ORD-00800</t>
        </is>
      </c>
      <c r="B801" s="2" t="n">
        <v>45967</v>
      </c>
      <c r="C801" s="2" t="n">
        <v>45973</v>
      </c>
      <c r="D801" t="inlineStr">
        <is>
          <t>CUST-00800</t>
        </is>
      </c>
      <c r="E801" t="inlineStr">
        <is>
          <t>Customer 800</t>
        </is>
      </c>
      <c r="F801" t="inlineStr">
        <is>
          <t>Consumer</t>
        </is>
      </c>
      <c r="G801" t="inlineStr">
        <is>
          <t>P1008</t>
        </is>
      </c>
      <c r="H801" t="inlineStr">
        <is>
          <t>CloudDrive File Box</t>
        </is>
      </c>
      <c r="I801" t="inlineStr">
        <is>
          <t>Outdoor</t>
        </is>
      </c>
      <c r="J801" t="inlineStr">
        <is>
          <t>Decor</t>
        </is>
      </c>
      <c r="K801" t="inlineStr">
        <is>
          <t>East</t>
        </is>
      </c>
      <c r="L801" t="inlineStr">
        <is>
          <t>New Jersey</t>
        </is>
      </c>
      <c r="M801" t="inlineStr">
        <is>
          <t>Boston</t>
        </is>
      </c>
      <c r="N801" t="inlineStr">
        <is>
          <t>James Carter</t>
        </is>
      </c>
      <c r="O801" t="n">
        <v>3</v>
      </c>
      <c r="P801" s="3" t="n">
        <v>38.68</v>
      </c>
      <c r="Q801" s="4" t="n">
        <v>0.025</v>
      </c>
      <c r="R801" s="3" t="n">
        <v>113.14</v>
      </c>
      <c r="S801" s="3" t="n">
        <v>53.28</v>
      </c>
      <c r="T801" s="3" t="n">
        <v>50.46</v>
      </c>
      <c r="U801" s="4" t="n">
        <v>0.446</v>
      </c>
      <c r="V801" s="3" t="n">
        <v>9.4</v>
      </c>
      <c r="W801" t="inlineStr">
        <is>
          <t>PayPal</t>
        </is>
      </c>
      <c r="X801" t="inlineStr">
        <is>
          <t>Medium</t>
        </is>
      </c>
    </row>
    <row r="802">
      <c r="A802" t="inlineStr">
        <is>
          <t>ORD-00801</t>
        </is>
      </c>
      <c r="B802" s="2" t="n">
        <v>45968</v>
      </c>
      <c r="C802" s="2" t="n">
        <v>45975</v>
      </c>
      <c r="D802" t="inlineStr">
        <is>
          <t>CUST-00801</t>
        </is>
      </c>
      <c r="E802" t="inlineStr">
        <is>
          <t>Customer 801</t>
        </is>
      </c>
      <c r="F802" t="inlineStr">
        <is>
          <t>Corporate</t>
        </is>
      </c>
      <c r="G802" t="inlineStr">
        <is>
          <t>P1001</t>
        </is>
      </c>
      <c r="H802" t="inlineStr">
        <is>
          <t>Summit Patio Set</t>
        </is>
      </c>
      <c r="I802" t="inlineStr">
        <is>
          <t>Technology</t>
        </is>
      </c>
      <c r="J802" t="inlineStr">
        <is>
          <t>Furniture</t>
        </is>
      </c>
      <c r="K802" t="inlineStr">
        <is>
          <t>West</t>
        </is>
      </c>
      <c r="L802" t="inlineStr">
        <is>
          <t>Colorado</t>
        </is>
      </c>
      <c r="M802" t="inlineStr">
        <is>
          <t>San Francisco</t>
        </is>
      </c>
      <c r="N802" t="inlineStr">
        <is>
          <t>James Carter</t>
        </is>
      </c>
      <c r="O802" t="n">
        <v>3</v>
      </c>
      <c r="P802" s="3" t="n">
        <v>316.85</v>
      </c>
      <c r="Q802" s="4" t="n">
        <v>0.038</v>
      </c>
      <c r="R802" s="3" t="n">
        <v>914.4299999999999</v>
      </c>
      <c r="S802" s="3" t="n">
        <v>540.34</v>
      </c>
      <c r="T802" s="3" t="n">
        <v>364.69</v>
      </c>
      <c r="U802" s="4" t="n">
        <v>0.3988</v>
      </c>
      <c r="V802" s="3" t="n">
        <v>9.4</v>
      </c>
      <c r="W802" t="inlineStr">
        <is>
          <t>Bank Transfer</t>
        </is>
      </c>
      <c r="X802" t="inlineStr">
        <is>
          <t>High</t>
        </is>
      </c>
    </row>
    <row r="803">
      <c r="A803" t="inlineStr">
        <is>
          <t>ORD-00802</t>
        </is>
      </c>
      <c r="B803" s="2" t="n">
        <v>45031</v>
      </c>
      <c r="C803" s="2" t="n">
        <v>45036</v>
      </c>
      <c r="D803" t="inlineStr">
        <is>
          <t>CUST-00802</t>
        </is>
      </c>
      <c r="E803" t="inlineStr">
        <is>
          <t>Customer 802</t>
        </is>
      </c>
      <c r="F803" t="inlineStr">
        <is>
          <t>Consumer</t>
        </is>
      </c>
      <c r="G803" t="inlineStr">
        <is>
          <t>P1018</t>
        </is>
      </c>
      <c r="H803" t="inlineStr">
        <is>
          <t>Tide Cooler</t>
        </is>
      </c>
      <c r="I803" t="inlineStr">
        <is>
          <t>Home Decor</t>
        </is>
      </c>
      <c r="J803" t="inlineStr">
        <is>
          <t>Storage</t>
        </is>
      </c>
      <c r="K803" t="inlineStr">
        <is>
          <t>South</t>
        </is>
      </c>
      <c r="L803" t="inlineStr">
        <is>
          <t>North Carolina</t>
        </is>
      </c>
      <c r="M803" t="inlineStr">
        <is>
          <t>Dallas</t>
        </is>
      </c>
      <c r="N803" t="inlineStr">
        <is>
          <t>Liam Chen</t>
        </is>
      </c>
      <c r="O803" t="n">
        <v>4</v>
      </c>
      <c r="P803" s="3" t="n">
        <v>89.02</v>
      </c>
      <c r="Q803" s="4" t="n">
        <v>0.008999999999999999</v>
      </c>
      <c r="R803" s="3" t="n">
        <v>352.88</v>
      </c>
      <c r="S803" s="3" t="n">
        <v>156.6</v>
      </c>
      <c r="T803" s="3" t="n">
        <v>187.08</v>
      </c>
      <c r="U803" s="4" t="n">
        <v>0.5302</v>
      </c>
      <c r="V803" s="3" t="n">
        <v>9.199999999999999</v>
      </c>
      <c r="W803" t="inlineStr">
        <is>
          <t>PayPal</t>
        </is>
      </c>
      <c r="X803" t="inlineStr">
        <is>
          <t>Low</t>
        </is>
      </c>
    </row>
    <row r="804">
      <c r="A804" t="inlineStr">
        <is>
          <t>ORD-00803</t>
        </is>
      </c>
      <c r="B804" s="2" t="n">
        <v>45583</v>
      </c>
      <c r="C804" s="2" t="n">
        <v>45587</v>
      </c>
      <c r="D804" t="inlineStr">
        <is>
          <t>CUST-00803</t>
        </is>
      </c>
      <c r="E804" t="inlineStr">
        <is>
          <t>Customer 803</t>
        </is>
      </c>
      <c r="F804" t="inlineStr">
        <is>
          <t>Consumer</t>
        </is>
      </c>
      <c r="G804" t="inlineStr">
        <is>
          <t>P1013</t>
        </is>
      </c>
      <c r="H804" t="inlineStr">
        <is>
          <t>FlexNote Notebook</t>
        </is>
      </c>
      <c r="I804" t="inlineStr">
        <is>
          <t>Furniture</t>
        </is>
      </c>
      <c r="J804" t="inlineStr">
        <is>
          <t>Plants</t>
        </is>
      </c>
      <c r="K804" t="inlineStr">
        <is>
          <t>North</t>
        </is>
      </c>
      <c r="L804" t="inlineStr">
        <is>
          <t>Ontario</t>
        </is>
      </c>
      <c r="M804" t="inlineStr">
        <is>
          <t>Toronto</t>
        </is>
      </c>
      <c r="N804" t="inlineStr">
        <is>
          <t>James Carter</t>
        </is>
      </c>
      <c r="O804" t="n">
        <v>4</v>
      </c>
      <c r="P804" s="3" t="n">
        <v>169.63</v>
      </c>
      <c r="Q804" s="4" t="n">
        <v>0.051</v>
      </c>
      <c r="R804" s="3" t="n">
        <v>643.92</v>
      </c>
      <c r="S804" s="3" t="n">
        <v>365.91</v>
      </c>
      <c r="T804" s="3" t="n">
        <v>268.81</v>
      </c>
      <c r="U804" s="4" t="n">
        <v>0.4175</v>
      </c>
      <c r="V804" s="3" t="n">
        <v>9.199999999999999</v>
      </c>
      <c r="W804" t="inlineStr">
        <is>
          <t>Bank Transfer</t>
        </is>
      </c>
      <c r="X804" t="inlineStr">
        <is>
          <t>Critical</t>
        </is>
      </c>
    </row>
    <row r="805">
      <c r="A805" t="inlineStr">
        <is>
          <t>ORD-00804</t>
        </is>
      </c>
      <c r="B805" s="2" t="n">
        <v>45391</v>
      </c>
      <c r="C805" s="2" t="n">
        <v>45393</v>
      </c>
      <c r="D805" t="inlineStr">
        <is>
          <t>CUST-00804</t>
        </is>
      </c>
      <c r="E805" t="inlineStr">
        <is>
          <t>Customer 804</t>
        </is>
      </c>
      <c r="F805" t="inlineStr">
        <is>
          <t>Home Office</t>
        </is>
      </c>
      <c r="G805" t="inlineStr">
        <is>
          <t>P1007</t>
        </is>
      </c>
      <c r="H805" t="inlineStr">
        <is>
          <t>ProClip Binder</t>
        </is>
      </c>
      <c r="I805" t="inlineStr">
        <is>
          <t>Outdoor</t>
        </is>
      </c>
      <c r="J805" t="inlineStr">
        <is>
          <t>Furniture</t>
        </is>
      </c>
      <c r="K805" t="inlineStr">
        <is>
          <t>South</t>
        </is>
      </c>
      <c r="L805" t="inlineStr">
        <is>
          <t>Texas</t>
        </is>
      </c>
      <c r="M805" t="inlineStr">
        <is>
          <t>Atlanta</t>
        </is>
      </c>
      <c r="N805" t="inlineStr">
        <is>
          <t>Ethan Brooks</t>
        </is>
      </c>
      <c r="O805" t="n">
        <v>3</v>
      </c>
      <c r="P805" s="3" t="n">
        <v>24.61</v>
      </c>
      <c r="Q805" s="4" t="n">
        <v>0.022</v>
      </c>
      <c r="R805" s="3" t="n">
        <v>72.20999999999999</v>
      </c>
      <c r="S805" s="3" t="n">
        <v>34.26</v>
      </c>
      <c r="T805" s="3" t="n">
        <v>29.55</v>
      </c>
      <c r="U805" s="4" t="n">
        <v>0.4092</v>
      </c>
      <c r="V805" s="3" t="n">
        <v>8.4</v>
      </c>
      <c r="W805" t="inlineStr">
        <is>
          <t>Bank Transfer</t>
        </is>
      </c>
      <c r="X805" t="inlineStr">
        <is>
          <t>Medium</t>
        </is>
      </c>
    </row>
    <row r="806">
      <c r="A806" t="inlineStr">
        <is>
          <t>ORD-00805</t>
        </is>
      </c>
      <c r="B806" s="2" t="n">
        <v>45299</v>
      </c>
      <c r="C806" s="2" t="n">
        <v>45300</v>
      </c>
      <c r="D806" t="inlineStr">
        <is>
          <t>CUST-00805</t>
        </is>
      </c>
      <c r="E806" t="inlineStr">
        <is>
          <t>Customer 805</t>
        </is>
      </c>
      <c r="F806" t="inlineStr">
        <is>
          <t>Corporate</t>
        </is>
      </c>
      <c r="G806" t="inlineStr">
        <is>
          <t>P1013</t>
        </is>
      </c>
      <c r="H806" t="inlineStr">
        <is>
          <t>Echo Web Camera</t>
        </is>
      </c>
      <c r="I806" t="inlineStr">
        <is>
          <t>Furniture</t>
        </is>
      </c>
      <c r="J806" t="inlineStr">
        <is>
          <t>Peripherals</t>
        </is>
      </c>
      <c r="K806" t="inlineStr">
        <is>
          <t>South</t>
        </is>
      </c>
      <c r="L806" t="inlineStr">
        <is>
          <t>Georgia</t>
        </is>
      </c>
      <c r="M806" t="inlineStr">
        <is>
          <t>Houston</t>
        </is>
      </c>
      <c r="N806" t="inlineStr">
        <is>
          <t>Olivia Martin</t>
        </is>
      </c>
      <c r="O806" t="n">
        <v>2</v>
      </c>
      <c r="P806" s="3" t="n">
        <v>159.58</v>
      </c>
      <c r="Q806" s="4" t="n">
        <v>0.026</v>
      </c>
      <c r="R806" s="3" t="n">
        <v>310.86</v>
      </c>
      <c r="S806" s="3" t="n">
        <v>185.67</v>
      </c>
      <c r="T806" s="3" t="n">
        <v>117.59</v>
      </c>
      <c r="U806" s="4" t="n">
        <v>0.3783</v>
      </c>
      <c r="V806" s="3" t="n">
        <v>7.6</v>
      </c>
      <c r="W806" t="inlineStr">
        <is>
          <t>Credit Card</t>
        </is>
      </c>
      <c r="X806" t="inlineStr">
        <is>
          <t>Medium</t>
        </is>
      </c>
    </row>
    <row r="807">
      <c r="A807" t="inlineStr">
        <is>
          <t>ORD-00806</t>
        </is>
      </c>
      <c r="B807" s="2" t="n">
        <v>45772</v>
      </c>
      <c r="C807" s="2" t="n">
        <v>45775</v>
      </c>
      <c r="D807" t="inlineStr">
        <is>
          <t>CUST-00806</t>
        </is>
      </c>
      <c r="E807" t="inlineStr">
        <is>
          <t>Customer 806</t>
        </is>
      </c>
      <c r="F807" t="inlineStr">
        <is>
          <t>Consumer</t>
        </is>
      </c>
      <c r="G807" t="inlineStr">
        <is>
          <t>P1017</t>
        </is>
      </c>
      <c r="H807" t="inlineStr">
        <is>
          <t>Atlas Throw Pillow</t>
        </is>
      </c>
      <c r="I807" t="inlineStr">
        <is>
          <t>Home Decor</t>
        </is>
      </c>
      <c r="J807" t="inlineStr">
        <is>
          <t>Binders</t>
        </is>
      </c>
      <c r="K807" t="inlineStr">
        <is>
          <t>Central</t>
        </is>
      </c>
      <c r="L807" t="inlineStr">
        <is>
          <t>Minnesota</t>
        </is>
      </c>
      <c r="M807" t="inlineStr">
        <is>
          <t>Chicago</t>
        </is>
      </c>
      <c r="N807" t="inlineStr">
        <is>
          <t>Sophia Singh</t>
        </is>
      </c>
      <c r="O807" t="n">
        <v>4</v>
      </c>
      <c r="P807" s="3" t="n">
        <v>563.5</v>
      </c>
      <c r="Q807" s="4" t="n">
        <v>0</v>
      </c>
      <c r="R807" s="3" t="n">
        <v>2254</v>
      </c>
      <c r="S807" s="3" t="n">
        <v>1498.11</v>
      </c>
      <c r="T807" s="3" t="n">
        <v>746.6900000000001</v>
      </c>
      <c r="U807" s="4" t="n">
        <v>0.3313</v>
      </c>
      <c r="V807" s="3" t="n">
        <v>9.199999999999999</v>
      </c>
      <c r="W807" t="inlineStr">
        <is>
          <t>Credit Card</t>
        </is>
      </c>
      <c r="X807" t="inlineStr">
        <is>
          <t>Medium</t>
        </is>
      </c>
    </row>
    <row r="808">
      <c r="A808" t="inlineStr">
        <is>
          <t>ORD-00807</t>
        </is>
      </c>
      <c r="B808" s="2" t="n">
        <v>45726</v>
      </c>
      <c r="C808" s="2" t="n">
        <v>45732</v>
      </c>
      <c r="D808" t="inlineStr">
        <is>
          <t>CUST-00807</t>
        </is>
      </c>
      <c r="E808" t="inlineStr">
        <is>
          <t>Customer 807</t>
        </is>
      </c>
      <c r="F808" t="inlineStr">
        <is>
          <t>Corporate</t>
        </is>
      </c>
      <c r="G808" t="inlineStr">
        <is>
          <t>P1013</t>
        </is>
      </c>
      <c r="H808" t="inlineStr">
        <is>
          <t>Nova Laptop Stand</t>
        </is>
      </c>
      <c r="I808" t="inlineStr">
        <is>
          <t>Outdoor</t>
        </is>
      </c>
      <c r="J808" t="inlineStr">
        <is>
          <t>Lighting</t>
        </is>
      </c>
      <c r="K808" t="inlineStr">
        <is>
          <t>South</t>
        </is>
      </c>
      <c r="L808" t="inlineStr">
        <is>
          <t>Texas</t>
        </is>
      </c>
      <c r="M808" t="inlineStr">
        <is>
          <t>Dallas</t>
        </is>
      </c>
      <c r="N808" t="inlineStr">
        <is>
          <t>Sophia Singh</t>
        </is>
      </c>
      <c r="O808" t="n">
        <v>1</v>
      </c>
      <c r="P808" s="3" t="n">
        <v>149.34</v>
      </c>
      <c r="Q808" s="4" t="n">
        <v>0.032</v>
      </c>
      <c r="R808" s="3" t="n">
        <v>144.56</v>
      </c>
      <c r="S808" s="3" t="n">
        <v>89.13</v>
      </c>
      <c r="T808" s="3" t="n">
        <v>48.63</v>
      </c>
      <c r="U808" s="4" t="n">
        <v>0.3364</v>
      </c>
      <c r="V808" s="3" t="n">
        <v>6.8</v>
      </c>
      <c r="W808" t="inlineStr">
        <is>
          <t>Debit Card</t>
        </is>
      </c>
      <c r="X808" t="inlineStr">
        <is>
          <t>Medium</t>
        </is>
      </c>
    </row>
    <row r="809">
      <c r="A809" t="inlineStr">
        <is>
          <t>ORD-00808</t>
        </is>
      </c>
      <c r="B809" s="2" t="n">
        <v>45781</v>
      </c>
      <c r="C809" s="2" t="n">
        <v>45785</v>
      </c>
      <c r="D809" t="inlineStr">
        <is>
          <t>CUST-00808</t>
        </is>
      </c>
      <c r="E809" t="inlineStr">
        <is>
          <t>Customer 808</t>
        </is>
      </c>
      <c r="F809" t="inlineStr">
        <is>
          <t>Corporate</t>
        </is>
      </c>
      <c r="G809" t="inlineStr">
        <is>
          <t>P1013</t>
        </is>
      </c>
      <c r="H809" t="inlineStr">
        <is>
          <t>Halo Planter</t>
        </is>
      </c>
      <c r="I809" t="inlineStr">
        <is>
          <t>Office Supplies</t>
        </is>
      </c>
      <c r="J809" t="inlineStr">
        <is>
          <t>Textiles</t>
        </is>
      </c>
      <c r="K809" t="inlineStr">
        <is>
          <t>East</t>
        </is>
      </c>
      <c r="L809" t="inlineStr">
        <is>
          <t>New Jersey</t>
        </is>
      </c>
      <c r="M809" t="inlineStr">
        <is>
          <t>Washington</t>
        </is>
      </c>
      <c r="N809" t="inlineStr">
        <is>
          <t>Ethan Brooks</t>
        </is>
      </c>
      <c r="O809" t="n">
        <v>3</v>
      </c>
      <c r="P809" s="3" t="n">
        <v>166.3</v>
      </c>
      <c r="Q809" s="4" t="n">
        <v>0.023</v>
      </c>
      <c r="R809" s="3" t="n">
        <v>487.43</v>
      </c>
      <c r="S809" s="3" t="n">
        <v>282.16</v>
      </c>
      <c r="T809" s="3" t="n">
        <v>195.87</v>
      </c>
      <c r="U809" s="4" t="n">
        <v>0.4018</v>
      </c>
      <c r="V809" s="3" t="n">
        <v>9.4</v>
      </c>
      <c r="W809" t="inlineStr">
        <is>
          <t>Debit Card</t>
        </is>
      </c>
      <c r="X809" t="inlineStr">
        <is>
          <t>Medium</t>
        </is>
      </c>
    </row>
    <row r="810">
      <c r="A810" t="inlineStr">
        <is>
          <t>ORD-00809</t>
        </is>
      </c>
      <c r="B810" s="2" t="n">
        <v>45463</v>
      </c>
      <c r="C810" s="2" t="n">
        <v>45470</v>
      </c>
      <c r="D810" t="inlineStr">
        <is>
          <t>CUST-00809</t>
        </is>
      </c>
      <c r="E810" t="inlineStr">
        <is>
          <t>Customer 809</t>
        </is>
      </c>
      <c r="F810" t="inlineStr">
        <is>
          <t>Home Office</t>
        </is>
      </c>
      <c r="G810" t="inlineStr">
        <is>
          <t>P1011</t>
        </is>
      </c>
      <c r="H810" t="inlineStr">
        <is>
          <t>CloudDrive File Box</t>
        </is>
      </c>
      <c r="I810" t="inlineStr">
        <is>
          <t>Furniture</t>
        </is>
      </c>
      <c r="J810" t="inlineStr">
        <is>
          <t>Video</t>
        </is>
      </c>
      <c r="K810" t="inlineStr">
        <is>
          <t>Central</t>
        </is>
      </c>
      <c r="L810" t="inlineStr">
        <is>
          <t>Illinois</t>
        </is>
      </c>
      <c r="M810" t="inlineStr">
        <is>
          <t>Minneapolis</t>
        </is>
      </c>
      <c r="N810" t="inlineStr">
        <is>
          <t>Ethan Brooks</t>
        </is>
      </c>
      <c r="O810" t="n">
        <v>1</v>
      </c>
      <c r="P810" s="3" t="n">
        <v>85.98999999999999</v>
      </c>
      <c r="Q810" s="4" t="n">
        <v>0.025</v>
      </c>
      <c r="R810" s="3" t="n">
        <v>83.84</v>
      </c>
      <c r="S810" s="3" t="n">
        <v>47.04</v>
      </c>
      <c r="T810" s="3" t="n">
        <v>30</v>
      </c>
      <c r="U810" s="4" t="n">
        <v>0.3578</v>
      </c>
      <c r="V810" s="3" t="n">
        <v>6.8</v>
      </c>
      <c r="W810" t="inlineStr">
        <is>
          <t>PayPal</t>
        </is>
      </c>
      <c r="X810" t="inlineStr">
        <is>
          <t>Medium</t>
        </is>
      </c>
    </row>
    <row r="811">
      <c r="A811" t="inlineStr">
        <is>
          <t>ORD-00810</t>
        </is>
      </c>
      <c r="B811" s="2" t="n">
        <v>45135</v>
      </c>
      <c r="C811" s="2" t="n">
        <v>45138</v>
      </c>
      <c r="D811" t="inlineStr">
        <is>
          <t>CUST-00810</t>
        </is>
      </c>
      <c r="E811" t="inlineStr">
        <is>
          <t>Customer 810</t>
        </is>
      </c>
      <c r="F811" t="inlineStr">
        <is>
          <t>Corporate</t>
        </is>
      </c>
      <c r="G811" t="inlineStr">
        <is>
          <t>P1014</t>
        </is>
      </c>
      <c r="H811" t="inlineStr">
        <is>
          <t>Echo Web Camera</t>
        </is>
      </c>
      <c r="I811" t="inlineStr">
        <is>
          <t>Outdoor</t>
        </is>
      </c>
      <c r="J811" t="inlineStr">
        <is>
          <t>Plants</t>
        </is>
      </c>
      <c r="K811" t="inlineStr">
        <is>
          <t>West</t>
        </is>
      </c>
      <c r="L811" t="inlineStr">
        <is>
          <t>Washington</t>
        </is>
      </c>
      <c r="M811" t="inlineStr">
        <is>
          <t>Denver</t>
        </is>
      </c>
      <c r="N811" t="inlineStr">
        <is>
          <t>Sophia Singh</t>
        </is>
      </c>
      <c r="O811" t="n">
        <v>3</v>
      </c>
      <c r="P811" s="3" t="n">
        <v>47.93</v>
      </c>
      <c r="Q811" s="4" t="n">
        <v>0.07200000000000001</v>
      </c>
      <c r="R811" s="3" t="n">
        <v>133.44</v>
      </c>
      <c r="S811" s="3" t="n">
        <v>56.53</v>
      </c>
      <c r="T811" s="3" t="n">
        <v>67.51000000000001</v>
      </c>
      <c r="U811" s="4" t="n">
        <v>0.5059</v>
      </c>
      <c r="V811" s="3" t="n">
        <v>9.4</v>
      </c>
      <c r="W811" t="inlineStr">
        <is>
          <t>Credit Card</t>
        </is>
      </c>
      <c r="X811" t="inlineStr">
        <is>
          <t>High</t>
        </is>
      </c>
    </row>
    <row r="812">
      <c r="A812" t="inlineStr">
        <is>
          <t>ORD-00811</t>
        </is>
      </c>
      <c r="B812" s="2" t="n">
        <v>45846</v>
      </c>
      <c r="C812" s="2" t="n">
        <v>45853</v>
      </c>
      <c r="D812" t="inlineStr">
        <is>
          <t>CUST-00811</t>
        </is>
      </c>
      <c r="E812" t="inlineStr">
        <is>
          <t>Customer 811</t>
        </is>
      </c>
      <c r="F812" t="inlineStr">
        <is>
          <t>Home Office</t>
        </is>
      </c>
      <c r="G812" t="inlineStr">
        <is>
          <t>P1010</t>
        </is>
      </c>
      <c r="H812" t="inlineStr">
        <is>
          <t>Cove Wall Clock</t>
        </is>
      </c>
      <c r="I812" t="inlineStr">
        <is>
          <t>Technology</t>
        </is>
      </c>
      <c r="J812" t="inlineStr">
        <is>
          <t>Peripherals</t>
        </is>
      </c>
      <c r="K812" t="inlineStr">
        <is>
          <t>North</t>
        </is>
      </c>
      <c r="L812" t="inlineStr">
        <is>
          <t>Quebec</t>
        </is>
      </c>
      <c r="M812" t="inlineStr">
        <is>
          <t>Calgary</t>
        </is>
      </c>
      <c r="N812" t="inlineStr">
        <is>
          <t>Liam Chen</t>
        </is>
      </c>
      <c r="O812" t="n">
        <v>5</v>
      </c>
      <c r="P812" s="3" t="n">
        <v>57.31</v>
      </c>
      <c r="Q812" s="4" t="n">
        <v>0.014</v>
      </c>
      <c r="R812" s="3" t="n">
        <v>282.54</v>
      </c>
      <c r="S812" s="3" t="n">
        <v>127.43</v>
      </c>
      <c r="T812" s="3" t="n">
        <v>145.11</v>
      </c>
      <c r="U812" s="4" t="n">
        <v>0.5135999999999999</v>
      </c>
      <c r="V812" s="3" t="n">
        <v>10</v>
      </c>
      <c r="W812" t="inlineStr">
        <is>
          <t>Debit Card</t>
        </is>
      </c>
      <c r="X812" t="inlineStr">
        <is>
          <t>Low</t>
        </is>
      </c>
    </row>
    <row r="813">
      <c r="A813" t="inlineStr">
        <is>
          <t>ORD-00812</t>
        </is>
      </c>
      <c r="B813" s="2" t="n">
        <v>45778</v>
      </c>
      <c r="C813" s="2" t="n">
        <v>45779</v>
      </c>
      <c r="D813" t="inlineStr">
        <is>
          <t>CUST-00812</t>
        </is>
      </c>
      <c r="E813" t="inlineStr">
        <is>
          <t>Customer 812</t>
        </is>
      </c>
      <c r="F813" t="inlineStr">
        <is>
          <t>Consumer</t>
        </is>
      </c>
      <c r="G813" t="inlineStr">
        <is>
          <t>P1008</t>
        </is>
      </c>
      <c r="H813" t="inlineStr">
        <is>
          <t>Summit Patio Set</t>
        </is>
      </c>
      <c r="I813" t="inlineStr">
        <is>
          <t>Outdoor</t>
        </is>
      </c>
      <c r="J813" t="inlineStr">
        <is>
          <t>Writing</t>
        </is>
      </c>
      <c r="K813" t="inlineStr">
        <is>
          <t>West</t>
        </is>
      </c>
      <c r="L813" t="inlineStr">
        <is>
          <t>California</t>
        </is>
      </c>
      <c r="M813" t="inlineStr">
        <is>
          <t>Denver</t>
        </is>
      </c>
      <c r="N813" t="inlineStr">
        <is>
          <t>Ava Patel</t>
        </is>
      </c>
      <c r="O813" t="n">
        <v>2</v>
      </c>
      <c r="P813" s="3" t="n">
        <v>35.81</v>
      </c>
      <c r="Q813" s="4" t="n">
        <v>0.014</v>
      </c>
      <c r="R813" s="3" t="n">
        <v>70.62</v>
      </c>
      <c r="S813" s="3" t="n">
        <v>36.71</v>
      </c>
      <c r="T813" s="3" t="n">
        <v>25.31</v>
      </c>
      <c r="U813" s="4" t="n">
        <v>0.3584</v>
      </c>
      <c r="V813" s="3" t="n">
        <v>8.6</v>
      </c>
      <c r="W813" t="inlineStr">
        <is>
          <t>Credit Card</t>
        </is>
      </c>
      <c r="X813" t="inlineStr">
        <is>
          <t>Medium</t>
        </is>
      </c>
    </row>
    <row r="814">
      <c r="A814" t="inlineStr">
        <is>
          <t>ORD-00813</t>
        </is>
      </c>
      <c r="B814" s="2" t="n">
        <v>44934</v>
      </c>
      <c r="C814" s="2" t="n">
        <v>44935</v>
      </c>
      <c r="D814" t="inlineStr">
        <is>
          <t>CUST-00813</t>
        </is>
      </c>
      <c r="E814" t="inlineStr">
        <is>
          <t>Customer 813</t>
        </is>
      </c>
      <c r="F814" t="inlineStr">
        <is>
          <t>Corporate</t>
        </is>
      </c>
      <c r="G814" t="inlineStr">
        <is>
          <t>P1006</t>
        </is>
      </c>
      <c r="H814" t="inlineStr">
        <is>
          <t>Cove Wall Clock</t>
        </is>
      </c>
      <c r="I814" t="inlineStr">
        <is>
          <t>Outdoor</t>
        </is>
      </c>
      <c r="J814" t="inlineStr">
        <is>
          <t>Peripherals</t>
        </is>
      </c>
      <c r="K814" t="inlineStr">
        <is>
          <t>South</t>
        </is>
      </c>
      <c r="L814" t="inlineStr">
        <is>
          <t>Georgia</t>
        </is>
      </c>
      <c r="M814" t="inlineStr">
        <is>
          <t>Dallas</t>
        </is>
      </c>
      <c r="N814" t="inlineStr">
        <is>
          <t>Olivia Martin</t>
        </is>
      </c>
      <c r="O814" t="n">
        <v>1</v>
      </c>
      <c r="P814" s="3" t="n">
        <v>17.02</v>
      </c>
      <c r="Q814" s="4" t="n">
        <v>0.067</v>
      </c>
      <c r="R814" s="3" t="n">
        <v>15.88</v>
      </c>
      <c r="S814" s="3" t="n">
        <v>15.05</v>
      </c>
      <c r="T814" s="3" t="n">
        <v>-5.97</v>
      </c>
      <c r="U814" s="4" t="n">
        <v>-0.3759</v>
      </c>
      <c r="V814" s="3" t="n">
        <v>6.8</v>
      </c>
      <c r="W814" t="inlineStr">
        <is>
          <t>Credit Card</t>
        </is>
      </c>
      <c r="X814" t="inlineStr">
        <is>
          <t>High</t>
        </is>
      </c>
    </row>
    <row r="815">
      <c r="A815" t="inlineStr">
        <is>
          <t>ORD-00814</t>
        </is>
      </c>
      <c r="B815" s="2" t="n">
        <v>45923</v>
      </c>
      <c r="C815" s="2" t="n">
        <v>45924</v>
      </c>
      <c r="D815" t="inlineStr">
        <is>
          <t>CUST-00814</t>
        </is>
      </c>
      <c r="E815" t="inlineStr">
        <is>
          <t>Customer 814</t>
        </is>
      </c>
      <c r="F815" t="inlineStr">
        <is>
          <t>Consumer</t>
        </is>
      </c>
      <c r="G815" t="inlineStr">
        <is>
          <t>P1019</t>
        </is>
      </c>
      <c r="H815" t="inlineStr">
        <is>
          <t>Trail Tote</t>
        </is>
      </c>
      <c r="I815" t="inlineStr">
        <is>
          <t>Technology</t>
        </is>
      </c>
      <c r="J815" t="inlineStr">
        <is>
          <t>Lighting</t>
        </is>
      </c>
      <c r="K815" t="inlineStr">
        <is>
          <t>West</t>
        </is>
      </c>
      <c r="L815" t="inlineStr">
        <is>
          <t>Oregon</t>
        </is>
      </c>
      <c r="M815" t="inlineStr">
        <is>
          <t>Los Angeles</t>
        </is>
      </c>
      <c r="N815" t="inlineStr">
        <is>
          <t>Ethan Brooks</t>
        </is>
      </c>
      <c r="O815" t="n">
        <v>2</v>
      </c>
      <c r="P815" s="3" t="n">
        <v>59.27</v>
      </c>
      <c r="Q815" s="4" t="n">
        <v>0.051</v>
      </c>
      <c r="R815" s="3" t="n">
        <v>112.49</v>
      </c>
      <c r="S815" s="3" t="n">
        <v>56.06</v>
      </c>
      <c r="T815" s="3" t="n">
        <v>47.83</v>
      </c>
      <c r="U815" s="4" t="n">
        <v>0.4252</v>
      </c>
      <c r="V815" s="3" t="n">
        <v>8.6</v>
      </c>
      <c r="W815" t="inlineStr">
        <is>
          <t>Bank Transfer</t>
        </is>
      </c>
      <c r="X815" t="inlineStr">
        <is>
          <t>High</t>
        </is>
      </c>
    </row>
    <row r="816">
      <c r="A816" t="inlineStr">
        <is>
          <t>ORD-00815</t>
        </is>
      </c>
      <c r="B816" s="2" t="n">
        <v>45820</v>
      </c>
      <c r="C816" s="2" t="n">
        <v>45826</v>
      </c>
      <c r="D816" t="inlineStr">
        <is>
          <t>CUST-00815</t>
        </is>
      </c>
      <c r="E816" t="inlineStr">
        <is>
          <t>Customer 815</t>
        </is>
      </c>
      <c r="F816" t="inlineStr">
        <is>
          <t>Consumer</t>
        </is>
      </c>
      <c r="G816" t="inlineStr">
        <is>
          <t>P1019</t>
        </is>
      </c>
      <c r="H816" t="inlineStr">
        <is>
          <t>FlexNote Notebook</t>
        </is>
      </c>
      <c r="I816" t="inlineStr">
        <is>
          <t>Outdoor</t>
        </is>
      </c>
      <c r="J816" t="inlineStr">
        <is>
          <t>Paper</t>
        </is>
      </c>
      <c r="K816" t="inlineStr">
        <is>
          <t>East</t>
        </is>
      </c>
      <c r="L816" t="inlineStr">
        <is>
          <t>Massachusetts</t>
        </is>
      </c>
      <c r="M816" t="inlineStr">
        <is>
          <t>Boston</t>
        </is>
      </c>
      <c r="N816" t="inlineStr">
        <is>
          <t>Mia Rodriguez</t>
        </is>
      </c>
      <c r="O816" t="n">
        <v>3</v>
      </c>
      <c r="P816" s="3" t="n">
        <v>60.63</v>
      </c>
      <c r="Q816" s="4" t="n">
        <v>0.012</v>
      </c>
      <c r="R816" s="3" t="n">
        <v>179.71</v>
      </c>
      <c r="S816" s="3" t="n">
        <v>83.54000000000001</v>
      </c>
      <c r="T816" s="3" t="n">
        <v>86.77</v>
      </c>
      <c r="U816" s="4" t="n">
        <v>0.4828</v>
      </c>
      <c r="V816" s="3" t="n">
        <v>9.4</v>
      </c>
      <c r="W816" t="inlineStr">
        <is>
          <t>Credit Card</t>
        </is>
      </c>
      <c r="X816" t="inlineStr">
        <is>
          <t>Low</t>
        </is>
      </c>
    </row>
    <row r="817">
      <c r="A817" t="inlineStr">
        <is>
          <t>ORD-00816</t>
        </is>
      </c>
      <c r="B817" s="2" t="n">
        <v>45435</v>
      </c>
      <c r="C817" s="2" t="n">
        <v>45442</v>
      </c>
      <c r="D817" t="inlineStr">
        <is>
          <t>CUST-00816</t>
        </is>
      </c>
      <c r="E817" t="inlineStr">
        <is>
          <t>Customer 816</t>
        </is>
      </c>
      <c r="F817" t="inlineStr">
        <is>
          <t>Corporate</t>
        </is>
      </c>
      <c r="G817" t="inlineStr">
        <is>
          <t>P1012</t>
        </is>
      </c>
      <c r="H817" t="inlineStr">
        <is>
          <t>Harbor Rug</t>
        </is>
      </c>
      <c r="I817" t="inlineStr">
        <is>
          <t>Technology</t>
        </is>
      </c>
      <c r="J817" t="inlineStr">
        <is>
          <t>Furniture</t>
        </is>
      </c>
      <c r="K817" t="inlineStr">
        <is>
          <t>North</t>
        </is>
      </c>
      <c r="L817" t="inlineStr">
        <is>
          <t>Ontario</t>
        </is>
      </c>
      <c r="M817" t="inlineStr">
        <is>
          <t>Toronto</t>
        </is>
      </c>
      <c r="N817" t="inlineStr">
        <is>
          <t>Liam Chen</t>
        </is>
      </c>
      <c r="O817" t="n">
        <v>4</v>
      </c>
      <c r="P817" s="3" t="n">
        <v>126.75</v>
      </c>
      <c r="Q817" s="4" t="n">
        <v>0.036</v>
      </c>
      <c r="R817" s="3" t="n">
        <v>488.75</v>
      </c>
      <c r="S817" s="3" t="n">
        <v>244.76</v>
      </c>
      <c r="T817" s="3" t="n">
        <v>234.79</v>
      </c>
      <c r="U817" s="4" t="n">
        <v>0.4804</v>
      </c>
      <c r="V817" s="3" t="n">
        <v>9.199999999999999</v>
      </c>
      <c r="W817" t="inlineStr">
        <is>
          <t>Bank Transfer</t>
        </is>
      </c>
      <c r="X817" t="inlineStr">
        <is>
          <t>Critical</t>
        </is>
      </c>
    </row>
    <row r="818">
      <c r="A818" t="inlineStr">
        <is>
          <t>ORD-00817</t>
        </is>
      </c>
      <c r="B818" s="2" t="n">
        <v>45621</v>
      </c>
      <c r="C818" s="2" t="n">
        <v>45626</v>
      </c>
      <c r="D818" t="inlineStr">
        <is>
          <t>CUST-00817</t>
        </is>
      </c>
      <c r="E818" t="inlineStr">
        <is>
          <t>Customer 817</t>
        </is>
      </c>
      <c r="F818" t="inlineStr">
        <is>
          <t>Consumer</t>
        </is>
      </c>
      <c r="G818" t="inlineStr">
        <is>
          <t>P1007</t>
        </is>
      </c>
      <c r="H818" t="inlineStr">
        <is>
          <t>ProClip Binder</t>
        </is>
      </c>
      <c r="I818" t="inlineStr">
        <is>
          <t>Outdoor</t>
        </is>
      </c>
      <c r="J818" t="inlineStr">
        <is>
          <t>Lighting</t>
        </is>
      </c>
      <c r="K818" t="inlineStr">
        <is>
          <t>South</t>
        </is>
      </c>
      <c r="L818" t="inlineStr">
        <is>
          <t>Florida</t>
        </is>
      </c>
      <c r="M818" t="inlineStr">
        <is>
          <t>Houston</t>
        </is>
      </c>
      <c r="N818" t="inlineStr">
        <is>
          <t>Olivia Martin</t>
        </is>
      </c>
      <c r="O818" t="n">
        <v>1</v>
      </c>
      <c r="P818" s="3" t="n">
        <v>25.84</v>
      </c>
      <c r="Q818" s="4" t="n">
        <v>0.015</v>
      </c>
      <c r="R818" s="3" t="n">
        <v>25.45</v>
      </c>
      <c r="S818" s="3" t="n">
        <v>14.31</v>
      </c>
      <c r="T818" s="3" t="n">
        <v>4.34</v>
      </c>
      <c r="U818" s="4" t="n">
        <v>0.1705</v>
      </c>
      <c r="V818" s="3" t="n">
        <v>6.8</v>
      </c>
      <c r="W818" t="inlineStr">
        <is>
          <t>PayPal</t>
        </is>
      </c>
      <c r="X818" t="inlineStr">
        <is>
          <t>Low</t>
        </is>
      </c>
    </row>
    <row r="819">
      <c r="A819" t="inlineStr">
        <is>
          <t>ORD-00818</t>
        </is>
      </c>
      <c r="B819" s="2" t="n">
        <v>45580</v>
      </c>
      <c r="C819" s="2" t="n">
        <v>45583</v>
      </c>
      <c r="D819" t="inlineStr">
        <is>
          <t>CUST-00818</t>
        </is>
      </c>
      <c r="E819" t="inlineStr">
        <is>
          <t>Customer 818</t>
        </is>
      </c>
      <c r="F819" t="inlineStr">
        <is>
          <t>Corporate</t>
        </is>
      </c>
      <c r="G819" t="inlineStr">
        <is>
          <t>P1018</t>
        </is>
      </c>
      <c r="H819" t="inlineStr">
        <is>
          <t>Cove Wall Clock</t>
        </is>
      </c>
      <c r="I819" t="inlineStr">
        <is>
          <t>Office Supplies</t>
        </is>
      </c>
      <c r="J819" t="inlineStr">
        <is>
          <t>Desks</t>
        </is>
      </c>
      <c r="K819" t="inlineStr">
        <is>
          <t>West</t>
        </is>
      </c>
      <c r="L819" t="inlineStr">
        <is>
          <t>California</t>
        </is>
      </c>
      <c r="M819" t="inlineStr">
        <is>
          <t>Denver</t>
        </is>
      </c>
      <c r="N819" t="inlineStr">
        <is>
          <t>Mia Rodriguez</t>
        </is>
      </c>
      <c r="O819" t="n">
        <v>1</v>
      </c>
      <c r="P819" s="3" t="n">
        <v>102.75</v>
      </c>
      <c r="Q819" s="4" t="n">
        <v>0.018</v>
      </c>
      <c r="R819" s="3" t="n">
        <v>100.9</v>
      </c>
      <c r="S819" s="3" t="n">
        <v>54.27</v>
      </c>
      <c r="T819" s="3" t="n">
        <v>38.83</v>
      </c>
      <c r="U819" s="4" t="n">
        <v>0.3848</v>
      </c>
      <c r="V819" s="3" t="n">
        <v>7.8</v>
      </c>
      <c r="W819" t="inlineStr">
        <is>
          <t>Debit Card</t>
        </is>
      </c>
      <c r="X819" t="inlineStr">
        <is>
          <t>Low</t>
        </is>
      </c>
    </row>
    <row r="820">
      <c r="A820" t="inlineStr">
        <is>
          <t>ORD-00819</t>
        </is>
      </c>
      <c r="B820" s="2" t="n">
        <v>45243</v>
      </c>
      <c r="C820" s="2" t="n">
        <v>45248</v>
      </c>
      <c r="D820" t="inlineStr">
        <is>
          <t>CUST-00819</t>
        </is>
      </c>
      <c r="E820" t="inlineStr">
        <is>
          <t>Customer 819</t>
        </is>
      </c>
      <c r="F820" t="inlineStr">
        <is>
          <t>Home Office</t>
        </is>
      </c>
      <c r="G820" t="inlineStr">
        <is>
          <t>P1020</t>
        </is>
      </c>
      <c r="H820" t="inlineStr">
        <is>
          <t>ProClip Binder</t>
        </is>
      </c>
      <c r="I820" t="inlineStr">
        <is>
          <t>Technology</t>
        </is>
      </c>
      <c r="J820" t="inlineStr">
        <is>
          <t>Chairs</t>
        </is>
      </c>
      <c r="K820" t="inlineStr">
        <is>
          <t>East</t>
        </is>
      </c>
      <c r="L820" t="inlineStr">
        <is>
          <t>New Jersey</t>
        </is>
      </c>
      <c r="M820" t="inlineStr">
        <is>
          <t>Philadelphia</t>
        </is>
      </c>
      <c r="N820" t="inlineStr">
        <is>
          <t>Noah Kim</t>
        </is>
      </c>
      <c r="O820" t="n">
        <v>3</v>
      </c>
      <c r="P820" s="3" t="n">
        <v>79</v>
      </c>
      <c r="Q820" s="4" t="n">
        <v>0.021</v>
      </c>
      <c r="R820" s="3" t="n">
        <v>232.02</v>
      </c>
      <c r="S820" s="3" t="n">
        <v>109.57</v>
      </c>
      <c r="T820" s="3" t="n">
        <v>113.05</v>
      </c>
      <c r="U820" s="4" t="n">
        <v>0.4872</v>
      </c>
      <c r="V820" s="3" t="n">
        <v>9.4</v>
      </c>
      <c r="W820" t="inlineStr">
        <is>
          <t>Debit Card</t>
        </is>
      </c>
      <c r="X820" t="inlineStr">
        <is>
          <t>High</t>
        </is>
      </c>
    </row>
    <row r="821">
      <c r="A821" t="inlineStr">
        <is>
          <t>ORD-00820</t>
        </is>
      </c>
      <c r="B821" s="2" t="n">
        <v>45489</v>
      </c>
      <c r="C821" s="2" t="n">
        <v>45496</v>
      </c>
      <c r="D821" t="inlineStr">
        <is>
          <t>CUST-00820</t>
        </is>
      </c>
      <c r="E821" t="inlineStr">
        <is>
          <t>Customer 820</t>
        </is>
      </c>
      <c r="F821" t="inlineStr">
        <is>
          <t>Consumer</t>
        </is>
      </c>
      <c r="G821" t="inlineStr">
        <is>
          <t>P1018</t>
        </is>
      </c>
      <c r="H821" t="inlineStr">
        <is>
          <t>Nimbus Monitor Arm</t>
        </is>
      </c>
      <c r="I821" t="inlineStr">
        <is>
          <t>Technology</t>
        </is>
      </c>
      <c r="J821" t="inlineStr">
        <is>
          <t>Decor</t>
        </is>
      </c>
      <c r="K821" t="inlineStr">
        <is>
          <t>North</t>
        </is>
      </c>
      <c r="L821" t="inlineStr">
        <is>
          <t>Alberta</t>
        </is>
      </c>
      <c r="M821" t="inlineStr">
        <is>
          <t>Toronto</t>
        </is>
      </c>
      <c r="N821" t="inlineStr">
        <is>
          <t>James Carter</t>
        </is>
      </c>
      <c r="O821" t="n">
        <v>1</v>
      </c>
      <c r="P821" s="3" t="n">
        <v>95.15000000000001</v>
      </c>
      <c r="Q821" s="4" t="n">
        <v>0.026</v>
      </c>
      <c r="R821" s="3" t="n">
        <v>92.68000000000001</v>
      </c>
      <c r="S821" s="3" t="n">
        <v>51.07</v>
      </c>
      <c r="T821" s="3" t="n">
        <v>34.81</v>
      </c>
      <c r="U821" s="4" t="n">
        <v>0.3756</v>
      </c>
      <c r="V821" s="3" t="n">
        <v>6.8</v>
      </c>
      <c r="W821" t="inlineStr">
        <is>
          <t>PayPal</t>
        </is>
      </c>
      <c r="X821" t="inlineStr">
        <is>
          <t>High</t>
        </is>
      </c>
    </row>
    <row r="822">
      <c r="A822" t="inlineStr">
        <is>
          <t>ORD-00821</t>
        </is>
      </c>
      <c r="B822" s="2" t="n">
        <v>45742</v>
      </c>
      <c r="C822" s="2" t="n">
        <v>45743</v>
      </c>
      <c r="D822" t="inlineStr">
        <is>
          <t>CUST-00821</t>
        </is>
      </c>
      <c r="E822" t="inlineStr">
        <is>
          <t>Customer 821</t>
        </is>
      </c>
      <c r="F822" t="inlineStr">
        <is>
          <t>Consumer</t>
        </is>
      </c>
      <c r="G822" t="inlineStr">
        <is>
          <t>P1003</t>
        </is>
      </c>
      <c r="H822" t="inlineStr">
        <is>
          <t>Atlas Throw Pillow</t>
        </is>
      </c>
      <c r="I822" t="inlineStr">
        <is>
          <t>Home Decor</t>
        </is>
      </c>
      <c r="J822" t="inlineStr">
        <is>
          <t>Furniture</t>
        </is>
      </c>
      <c r="K822" t="inlineStr">
        <is>
          <t>Central</t>
        </is>
      </c>
      <c r="L822" t="inlineStr">
        <is>
          <t>Minnesota</t>
        </is>
      </c>
      <c r="M822" t="inlineStr">
        <is>
          <t>Kansas City</t>
        </is>
      </c>
      <c r="N822" t="inlineStr">
        <is>
          <t>Liam Chen</t>
        </is>
      </c>
      <c r="O822" t="n">
        <v>5</v>
      </c>
      <c r="P822" s="3" t="n">
        <v>149.35</v>
      </c>
      <c r="Q822" s="4" t="n">
        <v>0.052</v>
      </c>
      <c r="R822" s="3" t="n">
        <v>707.92</v>
      </c>
      <c r="S822" s="3" t="n">
        <v>372.06</v>
      </c>
      <c r="T822" s="3" t="n">
        <v>325.86</v>
      </c>
      <c r="U822" s="4" t="n">
        <v>0.4603</v>
      </c>
      <c r="V822" s="3" t="n">
        <v>10</v>
      </c>
      <c r="W822" t="inlineStr">
        <is>
          <t>Bank Transfer</t>
        </is>
      </c>
      <c r="X822" t="inlineStr">
        <is>
          <t>High</t>
        </is>
      </c>
    </row>
    <row r="823">
      <c r="A823" t="inlineStr">
        <is>
          <t>ORD-00822</t>
        </is>
      </c>
      <c r="B823" s="2" t="n">
        <v>45222</v>
      </c>
      <c r="C823" s="2" t="n">
        <v>45226</v>
      </c>
      <c r="D823" t="inlineStr">
        <is>
          <t>CUST-00822</t>
        </is>
      </c>
      <c r="E823" t="inlineStr">
        <is>
          <t>Customer 822</t>
        </is>
      </c>
      <c r="F823" t="inlineStr">
        <is>
          <t>Corporate</t>
        </is>
      </c>
      <c r="G823" t="inlineStr">
        <is>
          <t>P1009</t>
        </is>
      </c>
      <c r="H823" t="inlineStr">
        <is>
          <t>Echo Web Camera</t>
        </is>
      </c>
      <c r="I823" t="inlineStr">
        <is>
          <t>Office Supplies</t>
        </is>
      </c>
      <c r="J823" t="inlineStr">
        <is>
          <t>Decor</t>
        </is>
      </c>
      <c r="K823" t="inlineStr">
        <is>
          <t>West</t>
        </is>
      </c>
      <c r="L823" t="inlineStr">
        <is>
          <t>Oregon</t>
        </is>
      </c>
      <c r="M823" t="inlineStr">
        <is>
          <t>Los Angeles</t>
        </is>
      </c>
      <c r="N823" t="inlineStr">
        <is>
          <t>Liam Chen</t>
        </is>
      </c>
      <c r="O823" t="n">
        <v>3</v>
      </c>
      <c r="P823" s="3" t="n">
        <v>101.78</v>
      </c>
      <c r="Q823" s="4" t="n">
        <v>0.036</v>
      </c>
      <c r="R823" s="3" t="n">
        <v>294.35</v>
      </c>
      <c r="S823" s="3" t="n">
        <v>146.9</v>
      </c>
      <c r="T823" s="3" t="n">
        <v>138.05</v>
      </c>
      <c r="U823" s="4" t="n">
        <v>0.469</v>
      </c>
      <c r="V823" s="3" t="n">
        <v>9.4</v>
      </c>
      <c r="W823" t="inlineStr">
        <is>
          <t>Bank Transfer</t>
        </is>
      </c>
      <c r="X823" t="inlineStr">
        <is>
          <t>Medium</t>
        </is>
      </c>
    </row>
    <row r="824">
      <c r="A824" t="inlineStr">
        <is>
          <t>ORD-00823</t>
        </is>
      </c>
      <c r="B824" s="2" t="n">
        <v>45400</v>
      </c>
      <c r="C824" s="2" t="n">
        <v>45401</v>
      </c>
      <c r="D824" t="inlineStr">
        <is>
          <t>CUST-00823</t>
        </is>
      </c>
      <c r="E824" t="inlineStr">
        <is>
          <t>Customer 823</t>
        </is>
      </c>
      <c r="F824" t="inlineStr">
        <is>
          <t>Home Office</t>
        </is>
      </c>
      <c r="G824" t="inlineStr">
        <is>
          <t>P1006</t>
        </is>
      </c>
      <c r="H824" t="inlineStr">
        <is>
          <t>Cove Wall Clock</t>
        </is>
      </c>
      <c r="I824" t="inlineStr">
        <is>
          <t>Home Decor</t>
        </is>
      </c>
      <c r="J824" t="inlineStr">
        <is>
          <t>Binders</t>
        </is>
      </c>
      <c r="K824" t="inlineStr">
        <is>
          <t>East</t>
        </is>
      </c>
      <c r="L824" t="inlineStr">
        <is>
          <t>New York</t>
        </is>
      </c>
      <c r="M824" t="inlineStr">
        <is>
          <t>Boston</t>
        </is>
      </c>
      <c r="N824" t="inlineStr">
        <is>
          <t>Olivia Martin</t>
        </is>
      </c>
      <c r="O824" t="n">
        <v>2</v>
      </c>
      <c r="P824" s="3" t="n">
        <v>18.54</v>
      </c>
      <c r="Q824" s="4" t="n">
        <v>0.01</v>
      </c>
      <c r="R824" s="3" t="n">
        <v>36.71</v>
      </c>
      <c r="S824" s="3" t="n">
        <v>20.68</v>
      </c>
      <c r="T824" s="3" t="n">
        <v>7.43</v>
      </c>
      <c r="U824" s="4" t="n">
        <v>0.2024</v>
      </c>
      <c r="V824" s="3" t="n">
        <v>8.6</v>
      </c>
      <c r="W824" t="inlineStr">
        <is>
          <t>Credit Card</t>
        </is>
      </c>
      <c r="X824" t="inlineStr">
        <is>
          <t>Medium</t>
        </is>
      </c>
    </row>
    <row r="825">
      <c r="A825" t="inlineStr">
        <is>
          <t>ORD-00824</t>
        </is>
      </c>
      <c r="B825" s="2" t="n">
        <v>45444</v>
      </c>
      <c r="C825" s="2" t="n">
        <v>45449</v>
      </c>
      <c r="D825" t="inlineStr">
        <is>
          <t>CUST-00824</t>
        </is>
      </c>
      <c r="E825" t="inlineStr">
        <is>
          <t>Customer 824</t>
        </is>
      </c>
      <c r="F825" t="inlineStr">
        <is>
          <t>Corporate</t>
        </is>
      </c>
      <c r="G825" t="inlineStr">
        <is>
          <t>P1001</t>
        </is>
      </c>
      <c r="H825" t="inlineStr">
        <is>
          <t>Lumen Desk Lamp</t>
        </is>
      </c>
      <c r="I825" t="inlineStr">
        <is>
          <t>Outdoor</t>
        </is>
      </c>
      <c r="J825" t="inlineStr">
        <is>
          <t>Paper</t>
        </is>
      </c>
      <c r="K825" t="inlineStr">
        <is>
          <t>East</t>
        </is>
      </c>
      <c r="L825" t="inlineStr">
        <is>
          <t>Virginia</t>
        </is>
      </c>
      <c r="M825" t="inlineStr">
        <is>
          <t>Washington</t>
        </is>
      </c>
      <c r="N825" t="inlineStr">
        <is>
          <t>Mia Rodriguez</t>
        </is>
      </c>
      <c r="O825" t="n">
        <v>6</v>
      </c>
      <c r="P825" s="3" t="n">
        <v>311.1</v>
      </c>
      <c r="Q825" s="4" t="n">
        <v>0.056</v>
      </c>
      <c r="R825" s="3" t="n">
        <v>1762.07</v>
      </c>
      <c r="S825" s="3" t="n">
        <v>1030.46</v>
      </c>
      <c r="T825" s="3" t="n">
        <v>719.8099999999999</v>
      </c>
      <c r="U825" s="4" t="n">
        <v>0.4085</v>
      </c>
      <c r="V825" s="3" t="n">
        <v>11.8</v>
      </c>
      <c r="W825" t="inlineStr">
        <is>
          <t>Bank Transfer</t>
        </is>
      </c>
      <c r="X825" t="inlineStr">
        <is>
          <t>High</t>
        </is>
      </c>
    </row>
    <row r="826">
      <c r="A826" t="inlineStr">
        <is>
          <t>ORD-00825</t>
        </is>
      </c>
      <c r="B826" s="2" t="n">
        <v>45339</v>
      </c>
      <c r="C826" s="2" t="n">
        <v>45340</v>
      </c>
      <c r="D826" t="inlineStr">
        <is>
          <t>CUST-00825</t>
        </is>
      </c>
      <c r="E826" t="inlineStr">
        <is>
          <t>Customer 825</t>
        </is>
      </c>
      <c r="F826" t="inlineStr">
        <is>
          <t>Corporate</t>
        </is>
      </c>
      <c r="G826" t="inlineStr">
        <is>
          <t>P1010</t>
        </is>
      </c>
      <c r="H826" t="inlineStr">
        <is>
          <t>Tide Cooler</t>
        </is>
      </c>
      <c r="I826" t="inlineStr">
        <is>
          <t>Technology</t>
        </is>
      </c>
      <c r="J826" t="inlineStr">
        <is>
          <t>Accessories</t>
        </is>
      </c>
      <c r="K826" t="inlineStr">
        <is>
          <t>East</t>
        </is>
      </c>
      <c r="L826" t="inlineStr">
        <is>
          <t>New Jersey</t>
        </is>
      </c>
      <c r="M826" t="inlineStr">
        <is>
          <t>Boston</t>
        </is>
      </c>
      <c r="N826" t="inlineStr">
        <is>
          <t>Sophia Singh</t>
        </is>
      </c>
      <c r="O826" t="n">
        <v>3</v>
      </c>
      <c r="P826" s="3" t="n">
        <v>55.51</v>
      </c>
      <c r="Q826" s="4" t="n">
        <v>0.061</v>
      </c>
      <c r="R826" s="3" t="n">
        <v>156.37</v>
      </c>
      <c r="S826" s="3" t="n">
        <v>68.75</v>
      </c>
      <c r="T826" s="3" t="n">
        <v>78.22</v>
      </c>
      <c r="U826" s="4" t="n">
        <v>0.5002</v>
      </c>
      <c r="V826" s="3" t="n">
        <v>9.4</v>
      </c>
      <c r="W826" t="inlineStr">
        <is>
          <t>Bank Transfer</t>
        </is>
      </c>
      <c r="X826" t="inlineStr">
        <is>
          <t>High</t>
        </is>
      </c>
    </row>
    <row r="827">
      <c r="A827" t="inlineStr">
        <is>
          <t>ORD-00826</t>
        </is>
      </c>
      <c r="B827" s="2" t="n">
        <v>45977</v>
      </c>
      <c r="C827" s="2" t="n">
        <v>45984</v>
      </c>
      <c r="D827" t="inlineStr">
        <is>
          <t>CUST-00826</t>
        </is>
      </c>
      <c r="E827" t="inlineStr">
        <is>
          <t>Customer 826</t>
        </is>
      </c>
      <c r="F827" t="inlineStr">
        <is>
          <t>Consumer</t>
        </is>
      </c>
      <c r="G827" t="inlineStr">
        <is>
          <t>P1008</t>
        </is>
      </c>
      <c r="H827" t="inlineStr">
        <is>
          <t>SmartInk Pen Set</t>
        </is>
      </c>
      <c r="I827" t="inlineStr">
        <is>
          <t>Technology</t>
        </is>
      </c>
      <c r="J827" t="inlineStr">
        <is>
          <t>Plants</t>
        </is>
      </c>
      <c r="K827" t="inlineStr">
        <is>
          <t>South</t>
        </is>
      </c>
      <c r="L827" t="inlineStr">
        <is>
          <t>Florida</t>
        </is>
      </c>
      <c r="M827" t="inlineStr">
        <is>
          <t>Houston</t>
        </is>
      </c>
      <c r="N827" t="inlineStr">
        <is>
          <t>Noah Kim</t>
        </is>
      </c>
      <c r="O827" t="n">
        <v>3</v>
      </c>
      <c r="P827" s="3" t="n">
        <v>35.59</v>
      </c>
      <c r="Q827" s="4" t="n">
        <v>0.059</v>
      </c>
      <c r="R827" s="3" t="n">
        <v>100.47</v>
      </c>
      <c r="S827" s="3" t="n">
        <v>44.41</v>
      </c>
      <c r="T827" s="3" t="n">
        <v>47.66</v>
      </c>
      <c r="U827" s="4" t="n">
        <v>0.4744</v>
      </c>
      <c r="V827" s="3" t="n">
        <v>8.4</v>
      </c>
      <c r="W827" t="inlineStr">
        <is>
          <t>Bank Transfer</t>
        </is>
      </c>
      <c r="X827" t="inlineStr">
        <is>
          <t>Critical</t>
        </is>
      </c>
    </row>
    <row r="828">
      <c r="A828" t="inlineStr">
        <is>
          <t>ORD-00827</t>
        </is>
      </c>
      <c r="B828" s="2" t="n">
        <v>45374</v>
      </c>
      <c r="C828" s="2" t="n">
        <v>45375</v>
      </c>
      <c r="D828" t="inlineStr">
        <is>
          <t>CUST-00827</t>
        </is>
      </c>
      <c r="E828" t="inlineStr">
        <is>
          <t>Customer 827</t>
        </is>
      </c>
      <c r="F828" t="inlineStr">
        <is>
          <t>Consumer</t>
        </is>
      </c>
      <c r="G828" t="inlineStr">
        <is>
          <t>P1017</t>
        </is>
      </c>
      <c r="H828" t="inlineStr">
        <is>
          <t>FlexNote Notebook</t>
        </is>
      </c>
      <c r="I828" t="inlineStr">
        <is>
          <t>Furniture</t>
        </is>
      </c>
      <c r="J828" t="inlineStr">
        <is>
          <t>Writing</t>
        </is>
      </c>
      <c r="K828" t="inlineStr">
        <is>
          <t>Central</t>
        </is>
      </c>
      <c r="L828" t="inlineStr">
        <is>
          <t>Kansas</t>
        </is>
      </c>
      <c r="M828" t="inlineStr">
        <is>
          <t>Minneapolis</t>
        </is>
      </c>
      <c r="N828" t="inlineStr">
        <is>
          <t>Mia Rodriguez</t>
        </is>
      </c>
      <c r="O828" t="n">
        <v>2</v>
      </c>
      <c r="P828" s="3" t="n">
        <v>543.28</v>
      </c>
      <c r="Q828" s="4" t="n">
        <v>0.012</v>
      </c>
      <c r="R828" s="3" t="n">
        <v>1073.52</v>
      </c>
      <c r="S828" s="3" t="n">
        <v>719.35</v>
      </c>
      <c r="T828" s="3" t="n">
        <v>346.57</v>
      </c>
      <c r="U828" s="4" t="n">
        <v>0.3228</v>
      </c>
      <c r="V828" s="3" t="n">
        <v>7.6</v>
      </c>
      <c r="W828" t="inlineStr">
        <is>
          <t>Credit Card</t>
        </is>
      </c>
      <c r="X828" t="inlineStr">
        <is>
          <t>Medium</t>
        </is>
      </c>
    </row>
    <row r="829">
      <c r="A829" t="inlineStr">
        <is>
          <t>ORD-00828</t>
        </is>
      </c>
      <c r="B829" s="2" t="n">
        <v>45631</v>
      </c>
      <c r="C829" s="2" t="n">
        <v>45636</v>
      </c>
      <c r="D829" t="inlineStr">
        <is>
          <t>CUST-00828</t>
        </is>
      </c>
      <c r="E829" t="inlineStr">
        <is>
          <t>Customer 828</t>
        </is>
      </c>
      <c r="F829" t="inlineStr">
        <is>
          <t>Corporate</t>
        </is>
      </c>
      <c r="G829" t="inlineStr">
        <is>
          <t>P1003</t>
        </is>
      </c>
      <c r="H829" t="inlineStr">
        <is>
          <t>Echo Web Camera</t>
        </is>
      </c>
      <c r="I829" t="inlineStr">
        <is>
          <t>Office Supplies</t>
        </is>
      </c>
      <c r="J829" t="inlineStr">
        <is>
          <t>Peripherals</t>
        </is>
      </c>
      <c r="K829" t="inlineStr">
        <is>
          <t>West</t>
        </is>
      </c>
      <c r="L829" t="inlineStr">
        <is>
          <t>Oregon</t>
        </is>
      </c>
      <c r="M829" t="inlineStr">
        <is>
          <t>Seattle</t>
        </is>
      </c>
      <c r="N829" t="inlineStr">
        <is>
          <t>Liam Chen</t>
        </is>
      </c>
      <c r="O829" t="n">
        <v>2</v>
      </c>
      <c r="P829" s="3" t="n">
        <v>161</v>
      </c>
      <c r="Q829" s="4" t="n">
        <v>0.03</v>
      </c>
      <c r="R829" s="3" t="n">
        <v>312.34</v>
      </c>
      <c r="S829" s="3" t="n">
        <v>167.82</v>
      </c>
      <c r="T829" s="3" t="n">
        <v>135.92</v>
      </c>
      <c r="U829" s="4" t="n">
        <v>0.4352</v>
      </c>
      <c r="V829" s="3" t="n">
        <v>8.6</v>
      </c>
      <c r="W829" t="inlineStr">
        <is>
          <t>Credit Card</t>
        </is>
      </c>
      <c r="X829" t="inlineStr">
        <is>
          <t>Medium</t>
        </is>
      </c>
    </row>
    <row r="830">
      <c r="A830" t="inlineStr">
        <is>
          <t>ORD-00829</t>
        </is>
      </c>
      <c r="B830" s="2" t="n">
        <v>45981</v>
      </c>
      <c r="C830" s="2" t="n">
        <v>45986</v>
      </c>
      <c r="D830" t="inlineStr">
        <is>
          <t>CUST-00829</t>
        </is>
      </c>
      <c r="E830" t="inlineStr">
        <is>
          <t>Customer 829</t>
        </is>
      </c>
      <c r="F830" t="inlineStr">
        <is>
          <t>Consumer</t>
        </is>
      </c>
      <c r="G830" t="inlineStr">
        <is>
          <t>P1003</t>
        </is>
      </c>
      <c r="H830" t="inlineStr">
        <is>
          <t>Summit Patio Set</t>
        </is>
      </c>
      <c r="I830" t="inlineStr">
        <is>
          <t>Office Supplies</t>
        </is>
      </c>
      <c r="J830" t="inlineStr">
        <is>
          <t>Peripherals</t>
        </is>
      </c>
      <c r="K830" t="inlineStr">
        <is>
          <t>West</t>
        </is>
      </c>
      <c r="L830" t="inlineStr">
        <is>
          <t>California</t>
        </is>
      </c>
      <c r="M830" t="inlineStr">
        <is>
          <t>Seattle</t>
        </is>
      </c>
      <c r="N830" t="inlineStr">
        <is>
          <t>Sophia Singh</t>
        </is>
      </c>
      <c r="O830" t="n">
        <v>2</v>
      </c>
      <c r="P830" s="3" t="n">
        <v>170.56</v>
      </c>
      <c r="Q830" s="4" t="n">
        <v>0.044</v>
      </c>
      <c r="R830" s="3" t="n">
        <v>326.11</v>
      </c>
      <c r="S830" s="3" t="n">
        <v>176.23</v>
      </c>
      <c r="T830" s="3" t="n">
        <v>141.28</v>
      </c>
      <c r="U830" s="4" t="n">
        <v>0.4332</v>
      </c>
      <c r="V830" s="3" t="n">
        <v>8.6</v>
      </c>
      <c r="W830" t="inlineStr">
        <is>
          <t>PayPal</t>
        </is>
      </c>
      <c r="X830" t="inlineStr">
        <is>
          <t>High</t>
        </is>
      </c>
    </row>
    <row r="831">
      <c r="A831" t="inlineStr">
        <is>
          <t>ORD-00830</t>
        </is>
      </c>
      <c r="B831" s="2" t="n">
        <v>45494</v>
      </c>
      <c r="C831" s="2" t="n">
        <v>45501</v>
      </c>
      <c r="D831" t="inlineStr">
        <is>
          <t>CUST-00830</t>
        </is>
      </c>
      <c r="E831" t="inlineStr">
        <is>
          <t>Customer 830</t>
        </is>
      </c>
      <c r="F831" t="inlineStr">
        <is>
          <t>Home Office</t>
        </is>
      </c>
      <c r="G831" t="inlineStr">
        <is>
          <t>P1003</t>
        </is>
      </c>
      <c r="H831" t="inlineStr">
        <is>
          <t>Echo Web Camera</t>
        </is>
      </c>
      <c r="I831" t="inlineStr">
        <is>
          <t>Office Supplies</t>
        </is>
      </c>
      <c r="J831" t="inlineStr">
        <is>
          <t>Decor</t>
        </is>
      </c>
      <c r="K831" t="inlineStr">
        <is>
          <t>West</t>
        </is>
      </c>
      <c r="L831" t="inlineStr">
        <is>
          <t>Washington</t>
        </is>
      </c>
      <c r="M831" t="inlineStr">
        <is>
          <t>Los Angeles</t>
        </is>
      </c>
      <c r="N831" t="inlineStr">
        <is>
          <t>Noah Kim</t>
        </is>
      </c>
      <c r="O831" t="n">
        <v>4</v>
      </c>
      <c r="P831" s="3" t="n">
        <v>162.2</v>
      </c>
      <c r="Q831" s="4" t="n">
        <v>0.035</v>
      </c>
      <c r="R831" s="3" t="n">
        <v>626.09</v>
      </c>
      <c r="S831" s="3" t="n">
        <v>330.15</v>
      </c>
      <c r="T831" s="3" t="n">
        <v>285.74</v>
      </c>
      <c r="U831" s="4" t="n">
        <v>0.4564</v>
      </c>
      <c r="V831" s="3" t="n">
        <v>10.2</v>
      </c>
      <c r="W831" t="inlineStr">
        <is>
          <t>Cash on Delivery</t>
        </is>
      </c>
      <c r="X831" t="inlineStr">
        <is>
          <t>Critical</t>
        </is>
      </c>
    </row>
    <row r="832">
      <c r="A832" t="inlineStr">
        <is>
          <t>ORD-00831</t>
        </is>
      </c>
      <c r="B832" s="2" t="n">
        <v>45209</v>
      </c>
      <c r="C832" s="2" t="n">
        <v>45213</v>
      </c>
      <c r="D832" t="inlineStr">
        <is>
          <t>CUST-00831</t>
        </is>
      </c>
      <c r="E832" t="inlineStr">
        <is>
          <t>Customer 831</t>
        </is>
      </c>
      <c r="F832" t="inlineStr">
        <is>
          <t>Consumer</t>
        </is>
      </c>
      <c r="G832" t="inlineStr">
        <is>
          <t>P1007</t>
        </is>
      </c>
      <c r="H832" t="inlineStr">
        <is>
          <t>Pulse Keyboard</t>
        </is>
      </c>
      <c r="I832" t="inlineStr">
        <is>
          <t>Home Decor</t>
        </is>
      </c>
      <c r="J832" t="inlineStr">
        <is>
          <t>Accessories</t>
        </is>
      </c>
      <c r="K832" t="inlineStr">
        <is>
          <t>East</t>
        </is>
      </c>
      <c r="L832" t="inlineStr">
        <is>
          <t>Virginia</t>
        </is>
      </c>
      <c r="M832" t="inlineStr">
        <is>
          <t>New York</t>
        </is>
      </c>
      <c r="N832" t="inlineStr">
        <is>
          <t>Sophia Singh</t>
        </is>
      </c>
      <c r="O832" t="n">
        <v>4</v>
      </c>
      <c r="P832" s="3" t="n">
        <v>27.71</v>
      </c>
      <c r="Q832" s="4" t="n">
        <v>0.028</v>
      </c>
      <c r="R832" s="3" t="n">
        <v>107.74</v>
      </c>
      <c r="S832" s="3" t="n">
        <v>45.01</v>
      </c>
      <c r="T832" s="3" t="n">
        <v>52.53</v>
      </c>
      <c r="U832" s="4" t="n">
        <v>0.4876</v>
      </c>
      <c r="V832" s="3" t="n">
        <v>10.2</v>
      </c>
      <c r="W832" t="inlineStr">
        <is>
          <t>Credit Card</t>
        </is>
      </c>
      <c r="X832" t="inlineStr">
        <is>
          <t>High</t>
        </is>
      </c>
    </row>
    <row r="833">
      <c r="A833" t="inlineStr">
        <is>
          <t>ORD-00832</t>
        </is>
      </c>
      <c r="B833" s="2" t="n">
        <v>45561</v>
      </c>
      <c r="C833" s="2" t="n">
        <v>45566</v>
      </c>
      <c r="D833" t="inlineStr">
        <is>
          <t>CUST-00832</t>
        </is>
      </c>
      <c r="E833" t="inlineStr">
        <is>
          <t>Customer 832</t>
        </is>
      </c>
      <c r="F833" t="inlineStr">
        <is>
          <t>Corporate</t>
        </is>
      </c>
      <c r="G833" t="inlineStr">
        <is>
          <t>P1011</t>
        </is>
      </c>
      <c r="H833" t="inlineStr">
        <is>
          <t>ErgoMesh Chair</t>
        </is>
      </c>
      <c r="I833" t="inlineStr">
        <is>
          <t>Outdoor</t>
        </is>
      </c>
      <c r="J833" t="inlineStr">
        <is>
          <t>Decor</t>
        </is>
      </c>
      <c r="K833" t="inlineStr">
        <is>
          <t>East</t>
        </is>
      </c>
      <c r="L833" t="inlineStr">
        <is>
          <t>New York</t>
        </is>
      </c>
      <c r="M833" t="inlineStr">
        <is>
          <t>Boston</t>
        </is>
      </c>
      <c r="N833" t="inlineStr">
        <is>
          <t>Mia Rodriguez</t>
        </is>
      </c>
      <c r="O833" t="n">
        <v>2</v>
      </c>
      <c r="P833" s="3" t="n">
        <v>91.98</v>
      </c>
      <c r="Q833" s="4" t="n">
        <v>0.038</v>
      </c>
      <c r="R833" s="3" t="n">
        <v>176.97</v>
      </c>
      <c r="S833" s="3" t="n">
        <v>90.76000000000001</v>
      </c>
      <c r="T833" s="3" t="n">
        <v>77.61</v>
      </c>
      <c r="U833" s="4" t="n">
        <v>0.4385</v>
      </c>
      <c r="V833" s="3" t="n">
        <v>8.6</v>
      </c>
      <c r="W833" t="inlineStr">
        <is>
          <t>Bank Transfer</t>
        </is>
      </c>
      <c r="X833" t="inlineStr">
        <is>
          <t>Medium</t>
        </is>
      </c>
    </row>
    <row r="834">
      <c r="A834" t="inlineStr">
        <is>
          <t>ORD-00833</t>
        </is>
      </c>
      <c r="B834" s="2" t="n">
        <v>45236</v>
      </c>
      <c r="C834" s="2" t="n">
        <v>45243</v>
      </c>
      <c r="D834" t="inlineStr">
        <is>
          <t>CUST-00833</t>
        </is>
      </c>
      <c r="E834" t="inlineStr">
        <is>
          <t>Customer 833</t>
        </is>
      </c>
      <c r="F834" t="inlineStr">
        <is>
          <t>Corporate</t>
        </is>
      </c>
      <c r="G834" t="inlineStr">
        <is>
          <t>P1018</t>
        </is>
      </c>
      <c r="H834" t="inlineStr">
        <is>
          <t>Nova Laptop Stand</t>
        </is>
      </c>
      <c r="I834" t="inlineStr">
        <is>
          <t>Furniture</t>
        </is>
      </c>
      <c r="J834" t="inlineStr">
        <is>
          <t>Furniture</t>
        </is>
      </c>
      <c r="K834" t="inlineStr">
        <is>
          <t>South</t>
        </is>
      </c>
      <c r="L834" t="inlineStr">
        <is>
          <t>Texas</t>
        </is>
      </c>
      <c r="M834" t="inlineStr">
        <is>
          <t>Miami</t>
        </is>
      </c>
      <c r="N834" t="inlineStr">
        <is>
          <t>Sophia Singh</t>
        </is>
      </c>
      <c r="O834" t="n">
        <v>4</v>
      </c>
      <c r="P834" s="3" t="n">
        <v>90.37</v>
      </c>
      <c r="Q834" s="4" t="n">
        <v>0.053</v>
      </c>
      <c r="R834" s="3" t="n">
        <v>342.32</v>
      </c>
      <c r="S834" s="3" t="n">
        <v>154.4</v>
      </c>
      <c r="T834" s="3" t="n">
        <v>178.72</v>
      </c>
      <c r="U834" s="4" t="n">
        <v>0.5221</v>
      </c>
      <c r="V834" s="3" t="n">
        <v>9.199999999999999</v>
      </c>
      <c r="W834" t="inlineStr">
        <is>
          <t>Credit Card</t>
        </is>
      </c>
      <c r="X834" t="inlineStr">
        <is>
          <t>Critical</t>
        </is>
      </c>
    </row>
    <row r="835">
      <c r="A835" t="inlineStr">
        <is>
          <t>ORD-00834</t>
        </is>
      </c>
      <c r="B835" s="2" t="n">
        <v>45089</v>
      </c>
      <c r="C835" s="2" t="n">
        <v>45093</v>
      </c>
      <c r="D835" t="inlineStr">
        <is>
          <t>CUST-00834</t>
        </is>
      </c>
      <c r="E835" t="inlineStr">
        <is>
          <t>Customer 834</t>
        </is>
      </c>
      <c r="F835" t="inlineStr">
        <is>
          <t>Corporate</t>
        </is>
      </c>
      <c r="G835" t="inlineStr">
        <is>
          <t>P1005</t>
        </is>
      </c>
      <c r="H835" t="inlineStr">
        <is>
          <t>CloudDrive File Box</t>
        </is>
      </c>
      <c r="I835" t="inlineStr">
        <is>
          <t>Technology</t>
        </is>
      </c>
      <c r="J835" t="inlineStr">
        <is>
          <t>Desks</t>
        </is>
      </c>
      <c r="K835" t="inlineStr">
        <is>
          <t>West</t>
        </is>
      </c>
      <c r="L835" t="inlineStr">
        <is>
          <t>Colorado</t>
        </is>
      </c>
      <c r="M835" t="inlineStr">
        <is>
          <t>Seattle</t>
        </is>
      </c>
      <c r="N835" t="inlineStr">
        <is>
          <t>Liam Chen</t>
        </is>
      </c>
      <c r="O835" t="n">
        <v>2</v>
      </c>
      <c r="P835" s="3" t="n">
        <v>13.73</v>
      </c>
      <c r="Q835" s="4" t="n">
        <v>0.03</v>
      </c>
      <c r="R835" s="3" t="n">
        <v>26.64</v>
      </c>
      <c r="S835" s="3" t="n">
        <v>15.07</v>
      </c>
      <c r="T835" s="3" t="n">
        <v>2.97</v>
      </c>
      <c r="U835" s="4" t="n">
        <v>0.1115</v>
      </c>
      <c r="V835" s="3" t="n">
        <v>8.6</v>
      </c>
      <c r="W835" t="inlineStr">
        <is>
          <t>Cash on Delivery</t>
        </is>
      </c>
      <c r="X835" t="inlineStr">
        <is>
          <t>Low</t>
        </is>
      </c>
    </row>
    <row r="836">
      <c r="A836" t="inlineStr">
        <is>
          <t>ORD-00835</t>
        </is>
      </c>
      <c r="B836" s="2" t="n">
        <v>45606</v>
      </c>
      <c r="C836" s="2" t="n">
        <v>45608</v>
      </c>
      <c r="D836" t="inlineStr">
        <is>
          <t>CUST-00835</t>
        </is>
      </c>
      <c r="E836" t="inlineStr">
        <is>
          <t>Customer 835</t>
        </is>
      </c>
      <c r="F836" t="inlineStr">
        <is>
          <t>Corporate</t>
        </is>
      </c>
      <c r="G836" t="inlineStr">
        <is>
          <t>P1002</t>
        </is>
      </c>
      <c r="H836" t="inlineStr">
        <is>
          <t>Cove Wall Clock</t>
        </is>
      </c>
      <c r="I836" t="inlineStr">
        <is>
          <t>Furniture</t>
        </is>
      </c>
      <c r="J836" t="inlineStr">
        <is>
          <t>Binders</t>
        </is>
      </c>
      <c r="K836" t="inlineStr">
        <is>
          <t>South</t>
        </is>
      </c>
      <c r="L836" t="inlineStr">
        <is>
          <t>Texas</t>
        </is>
      </c>
      <c r="M836" t="inlineStr">
        <is>
          <t>Houston</t>
        </is>
      </c>
      <c r="N836" t="inlineStr">
        <is>
          <t>Liam Chen</t>
        </is>
      </c>
      <c r="O836" t="n">
        <v>2</v>
      </c>
      <c r="P836" s="3" t="n">
        <v>86.33</v>
      </c>
      <c r="Q836" s="4" t="n">
        <v>0.01</v>
      </c>
      <c r="R836" s="3" t="n">
        <v>170.93</v>
      </c>
      <c r="S836" s="3" t="n">
        <v>85.93000000000001</v>
      </c>
      <c r="T836" s="3" t="n">
        <v>77.40000000000001</v>
      </c>
      <c r="U836" s="4" t="n">
        <v>0.4528</v>
      </c>
      <c r="V836" s="3" t="n">
        <v>7.6</v>
      </c>
      <c r="W836" t="inlineStr">
        <is>
          <t>Bank Transfer</t>
        </is>
      </c>
      <c r="X836" t="inlineStr">
        <is>
          <t>Medium</t>
        </is>
      </c>
    </row>
    <row r="837">
      <c r="A837" t="inlineStr">
        <is>
          <t>ORD-00836</t>
        </is>
      </c>
      <c r="B837" s="2" t="n">
        <v>45495</v>
      </c>
      <c r="C837" s="2" t="n">
        <v>45502</v>
      </c>
      <c r="D837" t="inlineStr">
        <is>
          <t>CUST-00836</t>
        </is>
      </c>
      <c r="E837" t="inlineStr">
        <is>
          <t>Customer 836</t>
        </is>
      </c>
      <c r="F837" t="inlineStr">
        <is>
          <t>Home Office</t>
        </is>
      </c>
      <c r="G837" t="inlineStr">
        <is>
          <t>P1014</t>
        </is>
      </c>
      <c r="H837" t="inlineStr">
        <is>
          <t>Aero Standing Desk</t>
        </is>
      </c>
      <c r="I837" t="inlineStr">
        <is>
          <t>Furniture</t>
        </is>
      </c>
      <c r="J837" t="inlineStr">
        <is>
          <t>Bags</t>
        </is>
      </c>
      <c r="K837" t="inlineStr">
        <is>
          <t>East</t>
        </is>
      </c>
      <c r="L837" t="inlineStr">
        <is>
          <t>New Jersey</t>
        </is>
      </c>
      <c r="M837" t="inlineStr">
        <is>
          <t>Washington</t>
        </is>
      </c>
      <c r="N837" t="inlineStr">
        <is>
          <t>Olivia Martin</t>
        </is>
      </c>
      <c r="O837" t="n">
        <v>2</v>
      </c>
      <c r="P837" s="3" t="n">
        <v>42.4</v>
      </c>
      <c r="Q837" s="4" t="n">
        <v>0.05</v>
      </c>
      <c r="R837" s="3" t="n">
        <v>80.56</v>
      </c>
      <c r="S837" s="3" t="n">
        <v>41.73</v>
      </c>
      <c r="T837" s="3" t="n">
        <v>30.23</v>
      </c>
      <c r="U837" s="4" t="n">
        <v>0.3752</v>
      </c>
      <c r="V837" s="3" t="n">
        <v>8.6</v>
      </c>
      <c r="W837" t="inlineStr">
        <is>
          <t>Credit Card</t>
        </is>
      </c>
      <c r="X837" t="inlineStr">
        <is>
          <t>High</t>
        </is>
      </c>
    </row>
    <row r="838">
      <c r="A838" t="inlineStr">
        <is>
          <t>ORD-00837</t>
        </is>
      </c>
      <c r="B838" s="2" t="n">
        <v>46008</v>
      </c>
      <c r="C838" s="2" t="n">
        <v>46010</v>
      </c>
      <c r="D838" t="inlineStr">
        <is>
          <t>CUST-00837</t>
        </is>
      </c>
      <c r="E838" t="inlineStr">
        <is>
          <t>Customer 837</t>
        </is>
      </c>
      <c r="F838" t="inlineStr">
        <is>
          <t>Home Office</t>
        </is>
      </c>
      <c r="G838" t="inlineStr">
        <is>
          <t>P1001</t>
        </is>
      </c>
      <c r="H838" t="inlineStr">
        <is>
          <t>Pulse Keyboard</t>
        </is>
      </c>
      <c r="I838" t="inlineStr">
        <is>
          <t>Office Supplies</t>
        </is>
      </c>
      <c r="J838" t="inlineStr">
        <is>
          <t>Paper</t>
        </is>
      </c>
      <c r="K838" t="inlineStr">
        <is>
          <t>Central</t>
        </is>
      </c>
      <c r="L838" t="inlineStr">
        <is>
          <t>Kansas</t>
        </is>
      </c>
      <c r="M838" t="inlineStr">
        <is>
          <t>Minneapolis</t>
        </is>
      </c>
      <c r="N838" t="inlineStr">
        <is>
          <t>Ava Patel</t>
        </is>
      </c>
      <c r="O838" t="n">
        <v>3</v>
      </c>
      <c r="P838" s="3" t="n">
        <v>298.75</v>
      </c>
      <c r="Q838" s="4" t="n">
        <v>0.028</v>
      </c>
      <c r="R838" s="3" t="n">
        <v>871.15</v>
      </c>
      <c r="S838" s="3" t="n">
        <v>516.51</v>
      </c>
      <c r="T838" s="3" t="n">
        <v>346.24</v>
      </c>
      <c r="U838" s="4" t="n">
        <v>0.3975</v>
      </c>
      <c r="V838" s="3" t="n">
        <v>8.4</v>
      </c>
      <c r="W838" t="inlineStr">
        <is>
          <t>Credit Card</t>
        </is>
      </c>
      <c r="X838" t="inlineStr">
        <is>
          <t>Medium</t>
        </is>
      </c>
    </row>
    <row r="839">
      <c r="A839" t="inlineStr">
        <is>
          <t>ORD-00838</t>
        </is>
      </c>
      <c r="B839" s="2" t="n">
        <v>45475</v>
      </c>
      <c r="C839" s="2" t="n">
        <v>45480</v>
      </c>
      <c r="D839" t="inlineStr">
        <is>
          <t>CUST-00838</t>
        </is>
      </c>
      <c r="E839" t="inlineStr">
        <is>
          <t>Customer 838</t>
        </is>
      </c>
      <c r="F839" t="inlineStr">
        <is>
          <t>Home Office</t>
        </is>
      </c>
      <c r="G839" t="inlineStr">
        <is>
          <t>P1004</t>
        </is>
      </c>
      <c r="H839" t="inlineStr">
        <is>
          <t>Summit Patio Set</t>
        </is>
      </c>
      <c r="I839" t="inlineStr">
        <is>
          <t>Home Decor</t>
        </is>
      </c>
      <c r="J839" t="inlineStr">
        <is>
          <t>Peripherals</t>
        </is>
      </c>
      <c r="K839" t="inlineStr">
        <is>
          <t>Central</t>
        </is>
      </c>
      <c r="L839" t="inlineStr">
        <is>
          <t>Missouri</t>
        </is>
      </c>
      <c r="M839" t="inlineStr">
        <is>
          <t>Chicago</t>
        </is>
      </c>
      <c r="N839" t="inlineStr">
        <is>
          <t>Olivia Martin</t>
        </is>
      </c>
      <c r="O839" t="n">
        <v>4</v>
      </c>
      <c r="P839" s="3" t="n">
        <v>645.02</v>
      </c>
      <c r="Q839" s="4" t="n">
        <v>0.008999999999999999</v>
      </c>
      <c r="R839" s="3" t="n">
        <v>2556.86</v>
      </c>
      <c r="S839" s="3" t="n">
        <v>1616.06</v>
      </c>
      <c r="T839" s="3" t="n">
        <v>931.6</v>
      </c>
      <c r="U839" s="4" t="n">
        <v>0.3644</v>
      </c>
      <c r="V839" s="3" t="n">
        <v>9.199999999999999</v>
      </c>
      <c r="W839" t="inlineStr">
        <is>
          <t>Debit Card</t>
        </is>
      </c>
      <c r="X839" t="inlineStr">
        <is>
          <t>Medium</t>
        </is>
      </c>
    </row>
    <row r="840">
      <c r="A840" t="inlineStr">
        <is>
          <t>ORD-00839</t>
        </is>
      </c>
      <c r="B840" s="2" t="n">
        <v>45492</v>
      </c>
      <c r="C840" s="2" t="n">
        <v>45493</v>
      </c>
      <c r="D840" t="inlineStr">
        <is>
          <t>CUST-00839</t>
        </is>
      </c>
      <c r="E840" t="inlineStr">
        <is>
          <t>Customer 839</t>
        </is>
      </c>
      <c r="F840" t="inlineStr">
        <is>
          <t>Home Office</t>
        </is>
      </c>
      <c r="G840" t="inlineStr">
        <is>
          <t>P1014</t>
        </is>
      </c>
      <c r="H840" t="inlineStr">
        <is>
          <t>CloudDrive File Box</t>
        </is>
      </c>
      <c r="I840" t="inlineStr">
        <is>
          <t>Outdoor</t>
        </is>
      </c>
      <c r="J840" t="inlineStr">
        <is>
          <t>Writing</t>
        </is>
      </c>
      <c r="K840" t="inlineStr">
        <is>
          <t>South</t>
        </is>
      </c>
      <c r="L840" t="inlineStr">
        <is>
          <t>Georgia</t>
        </is>
      </c>
      <c r="M840" t="inlineStr">
        <is>
          <t>Miami</t>
        </is>
      </c>
      <c r="N840" t="inlineStr">
        <is>
          <t>Noah Kim</t>
        </is>
      </c>
      <c r="O840" t="n">
        <v>3</v>
      </c>
      <c r="P840" s="3" t="n">
        <v>43.14</v>
      </c>
      <c r="Q840" s="4" t="n">
        <v>0.038</v>
      </c>
      <c r="R840" s="3" t="n">
        <v>124.5</v>
      </c>
      <c r="S840" s="3" t="n">
        <v>56.69</v>
      </c>
      <c r="T840" s="3" t="n">
        <v>59.41</v>
      </c>
      <c r="U840" s="4" t="n">
        <v>0.4772</v>
      </c>
      <c r="V840" s="3" t="n">
        <v>8.4</v>
      </c>
      <c r="W840" t="inlineStr">
        <is>
          <t>Debit Card</t>
        </is>
      </c>
      <c r="X840" t="inlineStr">
        <is>
          <t>Critical</t>
        </is>
      </c>
    </row>
    <row r="841">
      <c r="A841" t="inlineStr">
        <is>
          <t>ORD-00840</t>
        </is>
      </c>
      <c r="B841" s="2" t="n">
        <v>45616</v>
      </c>
      <c r="C841" s="2" t="n">
        <v>45619</v>
      </c>
      <c r="D841" t="inlineStr">
        <is>
          <t>CUST-00840</t>
        </is>
      </c>
      <c r="E841" t="inlineStr">
        <is>
          <t>Customer 840</t>
        </is>
      </c>
      <c r="F841" t="inlineStr">
        <is>
          <t>Corporate</t>
        </is>
      </c>
      <c r="G841" t="inlineStr">
        <is>
          <t>P1015</t>
        </is>
      </c>
      <c r="H841" t="inlineStr">
        <is>
          <t>ErgoMesh Chair</t>
        </is>
      </c>
      <c r="I841" t="inlineStr">
        <is>
          <t>Home Decor</t>
        </is>
      </c>
      <c r="J841" t="inlineStr">
        <is>
          <t>Plants</t>
        </is>
      </c>
      <c r="K841" t="inlineStr">
        <is>
          <t>South</t>
        </is>
      </c>
      <c r="L841" t="inlineStr">
        <is>
          <t>Florida</t>
        </is>
      </c>
      <c r="M841" t="inlineStr">
        <is>
          <t>Atlanta</t>
        </is>
      </c>
      <c r="N841" t="inlineStr">
        <is>
          <t>Mia Rodriguez</t>
        </is>
      </c>
      <c r="O841" t="n">
        <v>3</v>
      </c>
      <c r="P841" s="3" t="n">
        <v>69.72</v>
      </c>
      <c r="Q841" s="4" t="n">
        <v>0.033</v>
      </c>
      <c r="R841" s="3" t="n">
        <v>202.26</v>
      </c>
      <c r="S841" s="3" t="n">
        <v>89.27</v>
      </c>
      <c r="T841" s="3" t="n">
        <v>104.59</v>
      </c>
      <c r="U841" s="4" t="n">
        <v>0.5171</v>
      </c>
      <c r="V841" s="3" t="n">
        <v>8.4</v>
      </c>
      <c r="W841" t="inlineStr">
        <is>
          <t>Debit Card</t>
        </is>
      </c>
      <c r="X841" t="inlineStr">
        <is>
          <t>Medium</t>
        </is>
      </c>
    </row>
    <row r="842">
      <c r="A842" t="inlineStr">
        <is>
          <t>ORD-00841</t>
        </is>
      </c>
      <c r="B842" s="2" t="n">
        <v>45236</v>
      </c>
      <c r="C842" s="2" t="n">
        <v>45237</v>
      </c>
      <c r="D842" t="inlineStr">
        <is>
          <t>CUST-00841</t>
        </is>
      </c>
      <c r="E842" t="inlineStr">
        <is>
          <t>Customer 841</t>
        </is>
      </c>
      <c r="F842" t="inlineStr">
        <is>
          <t>Corporate</t>
        </is>
      </c>
      <c r="G842" t="inlineStr">
        <is>
          <t>P1020</t>
        </is>
      </c>
      <c r="H842" t="inlineStr">
        <is>
          <t>Tide Cooler</t>
        </is>
      </c>
      <c r="I842" t="inlineStr">
        <is>
          <t>Technology</t>
        </is>
      </c>
      <c r="J842" t="inlineStr">
        <is>
          <t>Coolers</t>
        </is>
      </c>
      <c r="K842" t="inlineStr">
        <is>
          <t>West</t>
        </is>
      </c>
      <c r="L842" t="inlineStr">
        <is>
          <t>Washington</t>
        </is>
      </c>
      <c r="M842" t="inlineStr">
        <is>
          <t>San Francisco</t>
        </is>
      </c>
      <c r="N842" t="inlineStr">
        <is>
          <t>Olivia Martin</t>
        </is>
      </c>
      <c r="O842" t="n">
        <v>1</v>
      </c>
      <c r="P842" s="3" t="n">
        <v>80.11</v>
      </c>
      <c r="Q842" s="4" t="n">
        <v>0.078</v>
      </c>
      <c r="R842" s="3" t="n">
        <v>73.86</v>
      </c>
      <c r="S842" s="3" t="n">
        <v>43.61</v>
      </c>
      <c r="T842" s="3" t="n">
        <v>22.45</v>
      </c>
      <c r="U842" s="4" t="n">
        <v>0.304</v>
      </c>
      <c r="V842" s="3" t="n">
        <v>7.8</v>
      </c>
      <c r="W842" t="inlineStr">
        <is>
          <t>Bank Transfer</t>
        </is>
      </c>
      <c r="X842" t="inlineStr">
        <is>
          <t>Critical</t>
        </is>
      </c>
    </row>
    <row r="843">
      <c r="A843" t="inlineStr">
        <is>
          <t>ORD-00842</t>
        </is>
      </c>
      <c r="B843" s="2" t="n">
        <v>45897</v>
      </c>
      <c r="C843" s="2" t="n">
        <v>45902</v>
      </c>
      <c r="D843" t="inlineStr">
        <is>
          <t>CUST-00842</t>
        </is>
      </c>
      <c r="E843" t="inlineStr">
        <is>
          <t>Customer 842</t>
        </is>
      </c>
      <c r="F843" t="inlineStr">
        <is>
          <t>Consumer</t>
        </is>
      </c>
      <c r="G843" t="inlineStr">
        <is>
          <t>P1020</t>
        </is>
      </c>
      <c r="H843" t="inlineStr">
        <is>
          <t>FlexNote Notebook</t>
        </is>
      </c>
      <c r="I843" t="inlineStr">
        <is>
          <t>Office Supplies</t>
        </is>
      </c>
      <c r="J843" t="inlineStr">
        <is>
          <t>Chairs</t>
        </is>
      </c>
      <c r="K843" t="inlineStr">
        <is>
          <t>South</t>
        </is>
      </c>
      <c r="L843" t="inlineStr">
        <is>
          <t>Georgia</t>
        </is>
      </c>
      <c r="M843" t="inlineStr">
        <is>
          <t>Miami</t>
        </is>
      </c>
      <c r="N843" t="inlineStr">
        <is>
          <t>James Carter</t>
        </is>
      </c>
      <c r="O843" t="n">
        <v>3</v>
      </c>
      <c r="P843" s="3" t="n">
        <v>72.15000000000001</v>
      </c>
      <c r="Q843" s="4" t="n">
        <v>0.008</v>
      </c>
      <c r="R843" s="3" t="n">
        <v>214.72</v>
      </c>
      <c r="S843" s="3" t="n">
        <v>103.8</v>
      </c>
      <c r="T843" s="3" t="n">
        <v>102.52</v>
      </c>
      <c r="U843" s="4" t="n">
        <v>0.4775</v>
      </c>
      <c r="V843" s="3" t="n">
        <v>8.4</v>
      </c>
      <c r="W843" t="inlineStr">
        <is>
          <t>Cash on Delivery</t>
        </is>
      </c>
      <c r="X843" t="inlineStr">
        <is>
          <t>Medium</t>
        </is>
      </c>
    </row>
    <row r="844">
      <c r="A844" t="inlineStr">
        <is>
          <t>ORD-00843</t>
        </is>
      </c>
      <c r="B844" s="2" t="n">
        <v>45013</v>
      </c>
      <c r="C844" s="2" t="n">
        <v>45017</v>
      </c>
      <c r="D844" t="inlineStr">
        <is>
          <t>CUST-00843</t>
        </is>
      </c>
      <c r="E844" t="inlineStr">
        <is>
          <t>Customer 843</t>
        </is>
      </c>
      <c r="F844" t="inlineStr">
        <is>
          <t>Consumer</t>
        </is>
      </c>
      <c r="G844" t="inlineStr">
        <is>
          <t>P1017</t>
        </is>
      </c>
      <c r="H844" t="inlineStr">
        <is>
          <t>CloudDrive File Box</t>
        </is>
      </c>
      <c r="I844" t="inlineStr">
        <is>
          <t>Office Supplies</t>
        </is>
      </c>
      <c r="J844" t="inlineStr">
        <is>
          <t>Desks</t>
        </is>
      </c>
      <c r="K844" t="inlineStr">
        <is>
          <t>Central</t>
        </is>
      </c>
      <c r="L844" t="inlineStr">
        <is>
          <t>Missouri</t>
        </is>
      </c>
      <c r="M844" t="inlineStr">
        <is>
          <t>Kansas City</t>
        </is>
      </c>
      <c r="N844" t="inlineStr">
        <is>
          <t>Sophia Singh</t>
        </is>
      </c>
      <c r="O844" t="n">
        <v>3</v>
      </c>
      <c r="P844" s="3" t="n">
        <v>554.1900000000001</v>
      </c>
      <c r="Q844" s="4" t="n">
        <v>0.02</v>
      </c>
      <c r="R844" s="3" t="n">
        <v>1629.32</v>
      </c>
      <c r="S844" s="3" t="n">
        <v>1082.38</v>
      </c>
      <c r="T844" s="3" t="n">
        <v>538.54</v>
      </c>
      <c r="U844" s="4" t="n">
        <v>0.3305</v>
      </c>
      <c r="V844" s="3" t="n">
        <v>8.4</v>
      </c>
      <c r="W844" t="inlineStr">
        <is>
          <t>Debit Card</t>
        </is>
      </c>
      <c r="X844" t="inlineStr">
        <is>
          <t>Medium</t>
        </is>
      </c>
    </row>
    <row r="845">
      <c r="A845" t="inlineStr">
        <is>
          <t>ORD-00844</t>
        </is>
      </c>
      <c r="B845" s="2" t="n">
        <v>45865</v>
      </c>
      <c r="C845" s="2" t="n">
        <v>45872</v>
      </c>
      <c r="D845" t="inlineStr">
        <is>
          <t>CUST-00844</t>
        </is>
      </c>
      <c r="E845" t="inlineStr">
        <is>
          <t>Customer 844</t>
        </is>
      </c>
      <c r="F845" t="inlineStr">
        <is>
          <t>Consumer</t>
        </is>
      </c>
      <c r="G845" t="inlineStr">
        <is>
          <t>P1003</t>
        </is>
      </c>
      <c r="H845" t="inlineStr">
        <is>
          <t>CloudDrive File Box</t>
        </is>
      </c>
      <c r="I845" t="inlineStr">
        <is>
          <t>Furniture</t>
        </is>
      </c>
      <c r="J845" t="inlineStr">
        <is>
          <t>Peripherals</t>
        </is>
      </c>
      <c r="K845" t="inlineStr">
        <is>
          <t>Central</t>
        </is>
      </c>
      <c r="L845" t="inlineStr">
        <is>
          <t>Illinois</t>
        </is>
      </c>
      <c r="M845" t="inlineStr">
        <is>
          <t>Minneapolis</t>
        </is>
      </c>
      <c r="N845" t="inlineStr">
        <is>
          <t>Ethan Brooks</t>
        </is>
      </c>
      <c r="O845" t="n">
        <v>1</v>
      </c>
      <c r="P845" s="3" t="n">
        <v>154.02</v>
      </c>
      <c r="Q845" s="4" t="n">
        <v>0.011</v>
      </c>
      <c r="R845" s="3" t="n">
        <v>152.33</v>
      </c>
      <c r="S845" s="3" t="n">
        <v>82.17</v>
      </c>
      <c r="T845" s="3" t="n">
        <v>63.36</v>
      </c>
      <c r="U845" s="4" t="n">
        <v>0.4159</v>
      </c>
      <c r="V845" s="3" t="n">
        <v>6.8</v>
      </c>
      <c r="W845" t="inlineStr">
        <is>
          <t>Credit Card</t>
        </is>
      </c>
      <c r="X845" t="inlineStr">
        <is>
          <t>Medium</t>
        </is>
      </c>
    </row>
    <row r="846">
      <c r="A846" t="inlineStr">
        <is>
          <t>ORD-00845</t>
        </is>
      </c>
      <c r="B846" s="2" t="n">
        <v>45273</v>
      </c>
      <c r="C846" s="2" t="n">
        <v>45274</v>
      </c>
      <c r="D846" t="inlineStr">
        <is>
          <t>CUST-00845</t>
        </is>
      </c>
      <c r="E846" t="inlineStr">
        <is>
          <t>Customer 845</t>
        </is>
      </c>
      <c r="F846" t="inlineStr">
        <is>
          <t>Consumer</t>
        </is>
      </c>
      <c r="G846" t="inlineStr">
        <is>
          <t>P1004</t>
        </is>
      </c>
      <c r="H846" t="inlineStr">
        <is>
          <t>Nova Laptop Stand</t>
        </is>
      </c>
      <c r="I846" t="inlineStr">
        <is>
          <t>Office Supplies</t>
        </is>
      </c>
      <c r="J846" t="inlineStr">
        <is>
          <t>Peripherals</t>
        </is>
      </c>
      <c r="K846" t="inlineStr">
        <is>
          <t>West</t>
        </is>
      </c>
      <c r="L846" t="inlineStr">
        <is>
          <t>Oregon</t>
        </is>
      </c>
      <c r="M846" t="inlineStr">
        <is>
          <t>Los Angeles</t>
        </is>
      </c>
      <c r="N846" t="inlineStr">
        <is>
          <t>Liam Chen</t>
        </is>
      </c>
      <c r="O846" t="n">
        <v>5</v>
      </c>
      <c r="P846" s="3" t="n">
        <v>673.49</v>
      </c>
      <c r="Q846" s="4" t="n">
        <v>0.022</v>
      </c>
      <c r="R846" s="3" t="n">
        <v>3293.37</v>
      </c>
      <c r="S846" s="3" t="n">
        <v>2083.18</v>
      </c>
      <c r="T846" s="3" t="n">
        <v>1199.19</v>
      </c>
      <c r="U846" s="4" t="n">
        <v>0.3641</v>
      </c>
      <c r="V846" s="3" t="n">
        <v>11</v>
      </c>
      <c r="W846" t="inlineStr">
        <is>
          <t>Debit Card</t>
        </is>
      </c>
      <c r="X846" t="inlineStr">
        <is>
          <t>Medium</t>
        </is>
      </c>
    </row>
    <row r="847">
      <c r="A847" t="inlineStr">
        <is>
          <t>ORD-00846</t>
        </is>
      </c>
      <c r="B847" s="2" t="n">
        <v>45574</v>
      </c>
      <c r="C847" s="2" t="n">
        <v>45576</v>
      </c>
      <c r="D847" t="inlineStr">
        <is>
          <t>CUST-00846</t>
        </is>
      </c>
      <c r="E847" t="inlineStr">
        <is>
          <t>Customer 846</t>
        </is>
      </c>
      <c r="F847" t="inlineStr">
        <is>
          <t>Consumer</t>
        </is>
      </c>
      <c r="G847" t="inlineStr">
        <is>
          <t>P1018</t>
        </is>
      </c>
      <c r="H847" t="inlineStr">
        <is>
          <t>Tide Cooler</t>
        </is>
      </c>
      <c r="I847" t="inlineStr">
        <is>
          <t>Outdoor</t>
        </is>
      </c>
      <c r="J847" t="inlineStr">
        <is>
          <t>Flooring</t>
        </is>
      </c>
      <c r="K847" t="inlineStr">
        <is>
          <t>East</t>
        </is>
      </c>
      <c r="L847" t="inlineStr">
        <is>
          <t>Massachusetts</t>
        </is>
      </c>
      <c r="M847" t="inlineStr">
        <is>
          <t>Philadelphia</t>
        </is>
      </c>
      <c r="N847" t="inlineStr">
        <is>
          <t>Ava Patel</t>
        </is>
      </c>
      <c r="O847" t="n">
        <v>1</v>
      </c>
      <c r="P847" s="3" t="n">
        <v>94.33</v>
      </c>
      <c r="Q847" s="4" t="n">
        <v>0.046</v>
      </c>
      <c r="R847" s="3" t="n">
        <v>89.98999999999999</v>
      </c>
      <c r="S847" s="3" t="n">
        <v>45.43</v>
      </c>
      <c r="T847" s="3" t="n">
        <v>36.76</v>
      </c>
      <c r="U847" s="4" t="n">
        <v>0.4085</v>
      </c>
      <c r="V847" s="3" t="n">
        <v>7.8</v>
      </c>
      <c r="W847" t="inlineStr">
        <is>
          <t>Bank Transfer</t>
        </is>
      </c>
      <c r="X847" t="inlineStr">
        <is>
          <t>High</t>
        </is>
      </c>
    </row>
    <row r="848">
      <c r="A848" t="inlineStr">
        <is>
          <t>ORD-00847</t>
        </is>
      </c>
      <c r="B848" s="2" t="n">
        <v>45242</v>
      </c>
      <c r="C848" s="2" t="n">
        <v>45248</v>
      </c>
      <c r="D848" t="inlineStr">
        <is>
          <t>CUST-00847</t>
        </is>
      </c>
      <c r="E848" t="inlineStr">
        <is>
          <t>Customer 847</t>
        </is>
      </c>
      <c r="F848" t="inlineStr">
        <is>
          <t>Consumer</t>
        </is>
      </c>
      <c r="G848" t="inlineStr">
        <is>
          <t>P1001</t>
        </is>
      </c>
      <c r="H848" t="inlineStr">
        <is>
          <t>SmartInk Pen Set</t>
        </is>
      </c>
      <c r="I848" t="inlineStr">
        <is>
          <t>Office Supplies</t>
        </is>
      </c>
      <c r="J848" t="inlineStr">
        <is>
          <t>Lighting</t>
        </is>
      </c>
      <c r="K848" t="inlineStr">
        <is>
          <t>West</t>
        </is>
      </c>
      <c r="L848" t="inlineStr">
        <is>
          <t>California</t>
        </is>
      </c>
      <c r="M848" t="inlineStr">
        <is>
          <t>San Francisco</t>
        </is>
      </c>
      <c r="N848" t="inlineStr">
        <is>
          <t>Mia Rodriguez</t>
        </is>
      </c>
      <c r="O848" t="n">
        <v>3</v>
      </c>
      <c r="P848" s="3" t="n">
        <v>326.19</v>
      </c>
      <c r="Q848" s="4" t="n">
        <v>0.055</v>
      </c>
      <c r="R848" s="3" t="n">
        <v>924.75</v>
      </c>
      <c r="S848" s="3" t="n">
        <v>541.95</v>
      </c>
      <c r="T848" s="3" t="n">
        <v>373.4</v>
      </c>
      <c r="U848" s="4" t="n">
        <v>0.4038</v>
      </c>
      <c r="V848" s="3" t="n">
        <v>9.4</v>
      </c>
      <c r="W848" t="inlineStr">
        <is>
          <t>PayPal</t>
        </is>
      </c>
      <c r="X848" t="inlineStr">
        <is>
          <t>Critical</t>
        </is>
      </c>
    </row>
    <row r="849">
      <c r="A849" t="inlineStr">
        <is>
          <t>ORD-00848</t>
        </is>
      </c>
      <c r="B849" s="2" t="n">
        <v>45675</v>
      </c>
      <c r="C849" s="2" t="n">
        <v>45680</v>
      </c>
      <c r="D849" t="inlineStr">
        <is>
          <t>CUST-00848</t>
        </is>
      </c>
      <c r="E849" t="inlineStr">
        <is>
          <t>Customer 848</t>
        </is>
      </c>
      <c r="F849" t="inlineStr">
        <is>
          <t>Home Office</t>
        </is>
      </c>
      <c r="G849" t="inlineStr">
        <is>
          <t>P1005</t>
        </is>
      </c>
      <c r="H849" t="inlineStr">
        <is>
          <t>Orbit Wireless Mouse</t>
        </is>
      </c>
      <c r="I849" t="inlineStr">
        <is>
          <t>Outdoor</t>
        </is>
      </c>
      <c r="J849" t="inlineStr">
        <is>
          <t>Peripherals</t>
        </is>
      </c>
      <c r="K849" t="inlineStr">
        <is>
          <t>East</t>
        </is>
      </c>
      <c r="L849" t="inlineStr">
        <is>
          <t>New York</t>
        </is>
      </c>
      <c r="M849" t="inlineStr">
        <is>
          <t>Washington</t>
        </is>
      </c>
      <c r="N849" t="inlineStr">
        <is>
          <t>Liam Chen</t>
        </is>
      </c>
      <c r="O849" t="n">
        <v>3</v>
      </c>
      <c r="P849" s="3" t="n">
        <v>13.07</v>
      </c>
      <c r="Q849" s="4" t="n">
        <v>0.005</v>
      </c>
      <c r="R849" s="3" t="n">
        <v>39.01</v>
      </c>
      <c r="S849" s="3" t="n">
        <v>20.13</v>
      </c>
      <c r="T849" s="3" t="n">
        <v>9.48</v>
      </c>
      <c r="U849" s="4" t="n">
        <v>0.243</v>
      </c>
      <c r="V849" s="3" t="n">
        <v>9.4</v>
      </c>
      <c r="W849" t="inlineStr">
        <is>
          <t>Credit Card</t>
        </is>
      </c>
      <c r="X849" t="inlineStr">
        <is>
          <t>Medium</t>
        </is>
      </c>
    </row>
    <row r="850">
      <c r="A850" t="inlineStr">
        <is>
          <t>ORD-00849</t>
        </is>
      </c>
      <c r="B850" s="2" t="n">
        <v>45481</v>
      </c>
      <c r="C850" s="2" t="n">
        <v>45482</v>
      </c>
      <c r="D850" t="inlineStr">
        <is>
          <t>CUST-00849</t>
        </is>
      </c>
      <c r="E850" t="inlineStr">
        <is>
          <t>Customer 849</t>
        </is>
      </c>
      <c r="F850" t="inlineStr">
        <is>
          <t>Home Office</t>
        </is>
      </c>
      <c r="G850" t="inlineStr">
        <is>
          <t>P1018</t>
        </is>
      </c>
      <c r="H850" t="inlineStr">
        <is>
          <t>Atlas Throw Pillow</t>
        </is>
      </c>
      <c r="I850" t="inlineStr">
        <is>
          <t>Outdoor</t>
        </is>
      </c>
      <c r="J850" t="inlineStr">
        <is>
          <t>Coolers</t>
        </is>
      </c>
      <c r="K850" t="inlineStr">
        <is>
          <t>West</t>
        </is>
      </c>
      <c r="L850" t="inlineStr">
        <is>
          <t>Washington</t>
        </is>
      </c>
      <c r="M850" t="inlineStr">
        <is>
          <t>Denver</t>
        </is>
      </c>
      <c r="N850" t="inlineStr">
        <is>
          <t>Mia Rodriguez</t>
        </is>
      </c>
      <c r="O850" t="n">
        <v>4</v>
      </c>
      <c r="P850" s="3" t="n">
        <v>93.36</v>
      </c>
      <c r="Q850" s="4" t="n">
        <v>0.014</v>
      </c>
      <c r="R850" s="3" t="n">
        <v>368.21</v>
      </c>
      <c r="S850" s="3" t="n">
        <v>170.13</v>
      </c>
      <c r="T850" s="3" t="n">
        <v>187.88</v>
      </c>
      <c r="U850" s="4" t="n">
        <v>0.5103</v>
      </c>
      <c r="V850" s="3" t="n">
        <v>10.2</v>
      </c>
      <c r="W850" t="inlineStr">
        <is>
          <t>Credit Card</t>
        </is>
      </c>
      <c r="X850" t="inlineStr">
        <is>
          <t>Low</t>
        </is>
      </c>
    </row>
    <row r="851">
      <c r="A851" t="inlineStr">
        <is>
          <t>ORD-00850</t>
        </is>
      </c>
      <c r="B851" s="2" t="n">
        <v>45560</v>
      </c>
      <c r="C851" s="2" t="n">
        <v>45566</v>
      </c>
      <c r="D851" t="inlineStr">
        <is>
          <t>CUST-00850</t>
        </is>
      </c>
      <c r="E851" t="inlineStr">
        <is>
          <t>Customer 850</t>
        </is>
      </c>
      <c r="F851" t="inlineStr">
        <is>
          <t>Consumer</t>
        </is>
      </c>
      <c r="G851" t="inlineStr">
        <is>
          <t>P1013</t>
        </is>
      </c>
      <c r="H851" t="inlineStr">
        <is>
          <t>Nimbus Monitor Arm</t>
        </is>
      </c>
      <c r="I851" t="inlineStr">
        <is>
          <t>Office Supplies</t>
        </is>
      </c>
      <c r="J851" t="inlineStr">
        <is>
          <t>Accessories</t>
        </is>
      </c>
      <c r="K851" t="inlineStr">
        <is>
          <t>West</t>
        </is>
      </c>
      <c r="L851" t="inlineStr">
        <is>
          <t>California</t>
        </is>
      </c>
      <c r="M851" t="inlineStr">
        <is>
          <t>Seattle</t>
        </is>
      </c>
      <c r="N851" t="inlineStr">
        <is>
          <t>James Carter</t>
        </is>
      </c>
      <c r="O851" t="n">
        <v>3</v>
      </c>
      <c r="P851" s="3" t="n">
        <v>174.15</v>
      </c>
      <c r="Q851" s="4" t="n">
        <v>0.007</v>
      </c>
      <c r="R851" s="3" t="n">
        <v>518.79</v>
      </c>
      <c r="S851" s="3" t="n">
        <v>302.06</v>
      </c>
      <c r="T851" s="3" t="n">
        <v>207.33</v>
      </c>
      <c r="U851" s="4" t="n">
        <v>0.3996</v>
      </c>
      <c r="V851" s="3" t="n">
        <v>9.4</v>
      </c>
      <c r="W851" t="inlineStr">
        <is>
          <t>PayPal</t>
        </is>
      </c>
      <c r="X851" t="inlineStr">
        <is>
          <t>Low</t>
        </is>
      </c>
    </row>
    <row r="852">
      <c r="A852" t="inlineStr">
        <is>
          <t>ORD-00851</t>
        </is>
      </c>
      <c r="B852" s="2" t="n">
        <v>45248</v>
      </c>
      <c r="C852" s="2" t="n">
        <v>45249</v>
      </c>
      <c r="D852" t="inlineStr">
        <is>
          <t>CUST-00851</t>
        </is>
      </c>
      <c r="E852" t="inlineStr">
        <is>
          <t>Customer 851</t>
        </is>
      </c>
      <c r="F852" t="inlineStr">
        <is>
          <t>Consumer</t>
        </is>
      </c>
      <c r="G852" t="inlineStr">
        <is>
          <t>P1014</t>
        </is>
      </c>
      <c r="H852" t="inlineStr">
        <is>
          <t>Orbit Wireless Mouse</t>
        </is>
      </c>
      <c r="I852" t="inlineStr">
        <is>
          <t>Office Supplies</t>
        </is>
      </c>
      <c r="J852" t="inlineStr">
        <is>
          <t>Accessories</t>
        </is>
      </c>
      <c r="K852" t="inlineStr">
        <is>
          <t>Central</t>
        </is>
      </c>
      <c r="L852" t="inlineStr">
        <is>
          <t>Missouri</t>
        </is>
      </c>
      <c r="M852" t="inlineStr">
        <is>
          <t>Kansas City</t>
        </is>
      </c>
      <c r="N852" t="inlineStr">
        <is>
          <t>Liam Chen</t>
        </is>
      </c>
      <c r="O852" t="n">
        <v>3</v>
      </c>
      <c r="P852" s="3" t="n">
        <v>44.37</v>
      </c>
      <c r="Q852" s="4" t="n">
        <v>0.017</v>
      </c>
      <c r="R852" s="3" t="n">
        <v>130.85</v>
      </c>
      <c r="S852" s="3" t="n">
        <v>59.84</v>
      </c>
      <c r="T852" s="3" t="n">
        <v>62.61</v>
      </c>
      <c r="U852" s="4" t="n">
        <v>0.4785</v>
      </c>
      <c r="V852" s="3" t="n">
        <v>8.4</v>
      </c>
      <c r="W852" t="inlineStr">
        <is>
          <t>PayPal</t>
        </is>
      </c>
      <c r="X852" t="inlineStr">
        <is>
          <t>Low</t>
        </is>
      </c>
    </row>
    <row r="853">
      <c r="A853" t="inlineStr">
        <is>
          <t>ORD-00852</t>
        </is>
      </c>
      <c r="B853" s="2" t="n">
        <v>45682</v>
      </c>
      <c r="C853" s="2" t="n">
        <v>45686</v>
      </c>
      <c r="D853" t="inlineStr">
        <is>
          <t>CUST-00852</t>
        </is>
      </c>
      <c r="E853" t="inlineStr">
        <is>
          <t>Customer 852</t>
        </is>
      </c>
      <c r="F853" t="inlineStr">
        <is>
          <t>Home Office</t>
        </is>
      </c>
      <c r="G853" t="inlineStr">
        <is>
          <t>P1020</t>
        </is>
      </c>
      <c r="H853" t="inlineStr">
        <is>
          <t>CloudDrive File Box</t>
        </is>
      </c>
      <c r="I853" t="inlineStr">
        <is>
          <t>Office Supplies</t>
        </is>
      </c>
      <c r="J853" t="inlineStr">
        <is>
          <t>Bags</t>
        </is>
      </c>
      <c r="K853" t="inlineStr">
        <is>
          <t>South</t>
        </is>
      </c>
      <c r="L853" t="inlineStr">
        <is>
          <t>Florida</t>
        </is>
      </c>
      <c r="M853" t="inlineStr">
        <is>
          <t>Miami</t>
        </is>
      </c>
      <c r="N853" t="inlineStr">
        <is>
          <t>Olivia Martin</t>
        </is>
      </c>
      <c r="O853" t="n">
        <v>3</v>
      </c>
      <c r="P853" s="3" t="n">
        <v>70.81</v>
      </c>
      <c r="Q853" s="4" t="n">
        <v>0.042</v>
      </c>
      <c r="R853" s="3" t="n">
        <v>203.51</v>
      </c>
      <c r="S853" s="3" t="n">
        <v>95.72</v>
      </c>
      <c r="T853" s="3" t="n">
        <v>99.39</v>
      </c>
      <c r="U853" s="4" t="n">
        <v>0.4884</v>
      </c>
      <c r="V853" s="3" t="n">
        <v>8.4</v>
      </c>
      <c r="W853" t="inlineStr">
        <is>
          <t>PayPal</t>
        </is>
      </c>
      <c r="X853" t="inlineStr">
        <is>
          <t>High</t>
        </is>
      </c>
    </row>
    <row r="854">
      <c r="A854" t="inlineStr">
        <is>
          <t>ORD-00853</t>
        </is>
      </c>
      <c r="B854" s="2" t="n">
        <v>45253</v>
      </c>
      <c r="C854" s="2" t="n">
        <v>45257</v>
      </c>
      <c r="D854" t="inlineStr">
        <is>
          <t>CUST-00853</t>
        </is>
      </c>
      <c r="E854" t="inlineStr">
        <is>
          <t>Customer 853</t>
        </is>
      </c>
      <c r="F854" t="inlineStr">
        <is>
          <t>Home Office</t>
        </is>
      </c>
      <c r="G854" t="inlineStr">
        <is>
          <t>P1003</t>
        </is>
      </c>
      <c r="H854" t="inlineStr">
        <is>
          <t>Tide Cooler</t>
        </is>
      </c>
      <c r="I854" t="inlineStr">
        <is>
          <t>Office Supplies</t>
        </is>
      </c>
      <c r="J854" t="inlineStr">
        <is>
          <t>Video</t>
        </is>
      </c>
      <c r="K854" t="inlineStr">
        <is>
          <t>East</t>
        </is>
      </c>
      <c r="L854" t="inlineStr">
        <is>
          <t>Massachusetts</t>
        </is>
      </c>
      <c r="M854" t="inlineStr">
        <is>
          <t>New York</t>
        </is>
      </c>
      <c r="N854" t="inlineStr">
        <is>
          <t>Mia Rodriguez</t>
        </is>
      </c>
      <c r="O854" t="n">
        <v>4</v>
      </c>
      <c r="P854" s="3" t="n">
        <v>161.89</v>
      </c>
      <c r="Q854" s="4" t="n">
        <v>0.014</v>
      </c>
      <c r="R854" s="3" t="n">
        <v>638.49</v>
      </c>
      <c r="S854" s="3" t="n">
        <v>330.5</v>
      </c>
      <c r="T854" s="3" t="n">
        <v>297.79</v>
      </c>
      <c r="U854" s="4" t="n">
        <v>0.4664</v>
      </c>
      <c r="V854" s="3" t="n">
        <v>10.2</v>
      </c>
      <c r="W854" t="inlineStr">
        <is>
          <t>Credit Card</t>
        </is>
      </c>
      <c r="X854" t="inlineStr">
        <is>
          <t>Medium</t>
        </is>
      </c>
    </row>
    <row r="855">
      <c r="A855" t="inlineStr">
        <is>
          <t>ORD-00854</t>
        </is>
      </c>
      <c r="B855" s="2" t="n">
        <v>45894</v>
      </c>
      <c r="C855" s="2" t="n">
        <v>45898</v>
      </c>
      <c r="D855" t="inlineStr">
        <is>
          <t>CUST-00854</t>
        </is>
      </c>
      <c r="E855" t="inlineStr">
        <is>
          <t>Customer 854</t>
        </is>
      </c>
      <c r="F855" t="inlineStr">
        <is>
          <t>Home Office</t>
        </is>
      </c>
      <c r="G855" t="inlineStr">
        <is>
          <t>P1006</t>
        </is>
      </c>
      <c r="H855" t="inlineStr">
        <is>
          <t>Aero Standing Desk</t>
        </is>
      </c>
      <c r="I855" t="inlineStr">
        <is>
          <t>Technology</t>
        </is>
      </c>
      <c r="J855" t="inlineStr">
        <is>
          <t>Decor</t>
        </is>
      </c>
      <c r="K855" t="inlineStr">
        <is>
          <t>East</t>
        </is>
      </c>
      <c r="L855" t="inlineStr">
        <is>
          <t>New York</t>
        </is>
      </c>
      <c r="M855" t="inlineStr">
        <is>
          <t>Philadelphia</t>
        </is>
      </c>
      <c r="N855" t="inlineStr">
        <is>
          <t>Olivia Martin</t>
        </is>
      </c>
      <c r="O855" t="n">
        <v>4</v>
      </c>
      <c r="P855" s="3" t="n">
        <v>20.02</v>
      </c>
      <c r="Q855" s="4" t="n">
        <v>0.047</v>
      </c>
      <c r="R855" s="3" t="n">
        <v>76.31999999999999</v>
      </c>
      <c r="S855" s="3" t="n">
        <v>33.56</v>
      </c>
      <c r="T855" s="3" t="n">
        <v>32.56</v>
      </c>
      <c r="U855" s="4" t="n">
        <v>0.4266</v>
      </c>
      <c r="V855" s="3" t="n">
        <v>10.2</v>
      </c>
      <c r="W855" t="inlineStr">
        <is>
          <t>Credit Card</t>
        </is>
      </c>
      <c r="X855" t="inlineStr">
        <is>
          <t>High</t>
        </is>
      </c>
    </row>
    <row r="856">
      <c r="A856" t="inlineStr">
        <is>
          <t>ORD-00855</t>
        </is>
      </c>
      <c r="B856" s="2" t="n">
        <v>45038</v>
      </c>
      <c r="C856" s="2" t="n">
        <v>45044</v>
      </c>
      <c r="D856" t="inlineStr">
        <is>
          <t>CUST-00855</t>
        </is>
      </c>
      <c r="E856" t="inlineStr">
        <is>
          <t>Customer 855</t>
        </is>
      </c>
      <c r="F856" t="inlineStr">
        <is>
          <t>Home Office</t>
        </is>
      </c>
      <c r="G856" t="inlineStr">
        <is>
          <t>P1011</t>
        </is>
      </c>
      <c r="H856" t="inlineStr">
        <is>
          <t>Echo Web Camera</t>
        </is>
      </c>
      <c r="I856" t="inlineStr">
        <is>
          <t>Outdoor</t>
        </is>
      </c>
      <c r="J856" t="inlineStr">
        <is>
          <t>Lighting</t>
        </is>
      </c>
      <c r="K856" t="inlineStr">
        <is>
          <t>South</t>
        </is>
      </c>
      <c r="L856" t="inlineStr">
        <is>
          <t>Texas</t>
        </is>
      </c>
      <c r="M856" t="inlineStr">
        <is>
          <t>Miami</t>
        </is>
      </c>
      <c r="N856" t="inlineStr">
        <is>
          <t>Liam Chen</t>
        </is>
      </c>
      <c r="O856" t="n">
        <v>2</v>
      </c>
      <c r="P856" s="3" t="n">
        <v>84.26000000000001</v>
      </c>
      <c r="Q856" s="4" t="n">
        <v>0.059</v>
      </c>
      <c r="R856" s="3" t="n">
        <v>158.58</v>
      </c>
      <c r="S856" s="3" t="n">
        <v>82.86</v>
      </c>
      <c r="T856" s="3" t="n">
        <v>68.12</v>
      </c>
      <c r="U856" s="4" t="n">
        <v>0.4296</v>
      </c>
      <c r="V856" s="3" t="n">
        <v>7.6</v>
      </c>
      <c r="W856" t="inlineStr">
        <is>
          <t>Credit Card</t>
        </is>
      </c>
      <c r="X856" t="inlineStr">
        <is>
          <t>Critical</t>
        </is>
      </c>
    </row>
    <row r="857">
      <c r="A857" t="inlineStr">
        <is>
          <t>ORD-00856</t>
        </is>
      </c>
      <c r="B857" s="2" t="n">
        <v>45048</v>
      </c>
      <c r="C857" s="2" t="n">
        <v>45051</v>
      </c>
      <c r="D857" t="inlineStr">
        <is>
          <t>CUST-00856</t>
        </is>
      </c>
      <c r="E857" t="inlineStr">
        <is>
          <t>Customer 856</t>
        </is>
      </c>
      <c r="F857" t="inlineStr">
        <is>
          <t>Home Office</t>
        </is>
      </c>
      <c r="G857" t="inlineStr">
        <is>
          <t>P1009</t>
        </is>
      </c>
      <c r="H857" t="inlineStr">
        <is>
          <t>FlexNote Notebook</t>
        </is>
      </c>
      <c r="I857" t="inlineStr">
        <is>
          <t>Technology</t>
        </is>
      </c>
      <c r="J857" t="inlineStr">
        <is>
          <t>Peripherals</t>
        </is>
      </c>
      <c r="K857" t="inlineStr">
        <is>
          <t>South</t>
        </is>
      </c>
      <c r="L857" t="inlineStr">
        <is>
          <t>Florida</t>
        </is>
      </c>
      <c r="M857" t="inlineStr">
        <is>
          <t>Atlanta</t>
        </is>
      </c>
      <c r="N857" t="inlineStr">
        <is>
          <t>Olivia Martin</t>
        </is>
      </c>
      <c r="O857" t="n">
        <v>5</v>
      </c>
      <c r="P857" s="3" t="n">
        <v>85.89</v>
      </c>
      <c r="Q857" s="4" t="n">
        <v>0.017</v>
      </c>
      <c r="R857" s="3" t="n">
        <v>422.15</v>
      </c>
      <c r="S857" s="3" t="n">
        <v>207.84</v>
      </c>
      <c r="T857" s="3" t="n">
        <v>204.31</v>
      </c>
      <c r="U857" s="4" t="n">
        <v>0.484</v>
      </c>
      <c r="V857" s="3" t="n">
        <v>10</v>
      </c>
      <c r="W857" t="inlineStr">
        <is>
          <t>Bank Transfer</t>
        </is>
      </c>
      <c r="X857" t="inlineStr">
        <is>
          <t>High</t>
        </is>
      </c>
    </row>
    <row r="858">
      <c r="A858" t="inlineStr">
        <is>
          <t>ORD-00857</t>
        </is>
      </c>
      <c r="B858" s="2" t="n">
        <v>45054</v>
      </c>
      <c r="C858" s="2" t="n">
        <v>45060</v>
      </c>
      <c r="D858" t="inlineStr">
        <is>
          <t>CUST-00857</t>
        </is>
      </c>
      <c r="E858" t="inlineStr">
        <is>
          <t>Customer 857</t>
        </is>
      </c>
      <c r="F858" t="inlineStr">
        <is>
          <t>Consumer</t>
        </is>
      </c>
      <c r="G858" t="inlineStr">
        <is>
          <t>P1020</t>
        </is>
      </c>
      <c r="H858" t="inlineStr">
        <is>
          <t>Aero Standing Desk</t>
        </is>
      </c>
      <c r="I858" t="inlineStr">
        <is>
          <t>Home Decor</t>
        </is>
      </c>
      <c r="J858" t="inlineStr">
        <is>
          <t>Coolers</t>
        </is>
      </c>
      <c r="K858" t="inlineStr">
        <is>
          <t>Central</t>
        </is>
      </c>
      <c r="L858" t="inlineStr">
        <is>
          <t>Illinois</t>
        </is>
      </c>
      <c r="M858" t="inlineStr">
        <is>
          <t>St. Louis</t>
        </is>
      </c>
      <c r="N858" t="inlineStr">
        <is>
          <t>Ethan Brooks</t>
        </is>
      </c>
      <c r="O858" t="n">
        <v>4</v>
      </c>
      <c r="P858" s="3" t="n">
        <v>69.40000000000001</v>
      </c>
      <c r="Q858" s="4" t="n">
        <v>0.042</v>
      </c>
      <c r="R858" s="3" t="n">
        <v>265.94</v>
      </c>
      <c r="S858" s="3" t="n">
        <v>123.77</v>
      </c>
      <c r="T858" s="3" t="n">
        <v>132.97</v>
      </c>
      <c r="U858" s="4" t="n">
        <v>0.5</v>
      </c>
      <c r="V858" s="3" t="n">
        <v>9.199999999999999</v>
      </c>
      <c r="W858" t="inlineStr">
        <is>
          <t>Debit Card</t>
        </is>
      </c>
      <c r="X858" t="inlineStr">
        <is>
          <t>High</t>
        </is>
      </c>
    </row>
    <row r="859">
      <c r="A859" t="inlineStr">
        <is>
          <t>ORD-00858</t>
        </is>
      </c>
      <c r="B859" s="2" t="n">
        <v>45514</v>
      </c>
      <c r="C859" s="2" t="n">
        <v>45519</v>
      </c>
      <c r="D859" t="inlineStr">
        <is>
          <t>CUST-00858</t>
        </is>
      </c>
      <c r="E859" t="inlineStr">
        <is>
          <t>Customer 858</t>
        </is>
      </c>
      <c r="F859" t="inlineStr">
        <is>
          <t>Consumer</t>
        </is>
      </c>
      <c r="G859" t="inlineStr">
        <is>
          <t>P1019</t>
        </is>
      </c>
      <c r="H859" t="inlineStr">
        <is>
          <t>Northstar Lantern</t>
        </is>
      </c>
      <c r="I859" t="inlineStr">
        <is>
          <t>Technology</t>
        </is>
      </c>
      <c r="J859" t="inlineStr">
        <is>
          <t>Binders</t>
        </is>
      </c>
      <c r="K859" t="inlineStr">
        <is>
          <t>North</t>
        </is>
      </c>
      <c r="L859" t="inlineStr">
        <is>
          <t>Quebec</t>
        </is>
      </c>
      <c r="M859" t="inlineStr">
        <is>
          <t>Toronto</t>
        </is>
      </c>
      <c r="N859" t="inlineStr">
        <is>
          <t>Ethan Brooks</t>
        </is>
      </c>
      <c r="O859" t="n">
        <v>1</v>
      </c>
      <c r="P859" s="3" t="n">
        <v>59.65</v>
      </c>
      <c r="Q859" s="4" t="n">
        <v>0.018</v>
      </c>
      <c r="R859" s="3" t="n">
        <v>58.58</v>
      </c>
      <c r="S859" s="3" t="n">
        <v>32.61</v>
      </c>
      <c r="T859" s="3" t="n">
        <v>19.17</v>
      </c>
      <c r="U859" s="4" t="n">
        <v>0.3272</v>
      </c>
      <c r="V859" s="3" t="n">
        <v>6.8</v>
      </c>
      <c r="W859" t="inlineStr">
        <is>
          <t>Debit Card</t>
        </is>
      </c>
      <c r="X859" t="inlineStr">
        <is>
          <t>Medium</t>
        </is>
      </c>
    </row>
    <row r="860">
      <c r="A860" t="inlineStr">
        <is>
          <t>ORD-00859</t>
        </is>
      </c>
      <c r="B860" s="2" t="n">
        <v>45300</v>
      </c>
      <c r="C860" s="2" t="n">
        <v>45305</v>
      </c>
      <c r="D860" t="inlineStr">
        <is>
          <t>CUST-00859</t>
        </is>
      </c>
      <c r="E860" t="inlineStr">
        <is>
          <t>Customer 859</t>
        </is>
      </c>
      <c r="F860" t="inlineStr">
        <is>
          <t>Corporate</t>
        </is>
      </c>
      <c r="G860" t="inlineStr">
        <is>
          <t>P1007</t>
        </is>
      </c>
      <c r="H860" t="inlineStr">
        <is>
          <t>Northstar Lantern</t>
        </is>
      </c>
      <c r="I860" t="inlineStr">
        <is>
          <t>Home Decor</t>
        </is>
      </c>
      <c r="J860" t="inlineStr">
        <is>
          <t>Lighting</t>
        </is>
      </c>
      <c r="K860" t="inlineStr">
        <is>
          <t>Central</t>
        </is>
      </c>
      <c r="L860" t="inlineStr">
        <is>
          <t>Missouri</t>
        </is>
      </c>
      <c r="M860" t="inlineStr">
        <is>
          <t>St. Louis</t>
        </is>
      </c>
      <c r="N860" t="inlineStr">
        <is>
          <t>Ethan Brooks</t>
        </is>
      </c>
      <c r="O860" t="n">
        <v>2</v>
      </c>
      <c r="P860" s="3" t="n">
        <v>23.36</v>
      </c>
      <c r="Q860" s="4" t="n">
        <v>0.026</v>
      </c>
      <c r="R860" s="3" t="n">
        <v>45.51</v>
      </c>
      <c r="S860" s="3" t="n">
        <v>25.66</v>
      </c>
      <c r="T860" s="3" t="n">
        <v>12.25</v>
      </c>
      <c r="U860" s="4" t="n">
        <v>0.2692</v>
      </c>
      <c r="V860" s="3" t="n">
        <v>7.6</v>
      </c>
      <c r="W860" t="inlineStr">
        <is>
          <t>Credit Card</t>
        </is>
      </c>
      <c r="X860" t="inlineStr">
        <is>
          <t>Medium</t>
        </is>
      </c>
    </row>
    <row r="861">
      <c r="A861" t="inlineStr">
        <is>
          <t>ORD-00860</t>
        </is>
      </c>
      <c r="B861" s="2" t="n">
        <v>45013</v>
      </c>
      <c r="C861" s="2" t="n">
        <v>45015</v>
      </c>
      <c r="D861" t="inlineStr">
        <is>
          <t>CUST-00860</t>
        </is>
      </c>
      <c r="E861" t="inlineStr">
        <is>
          <t>Customer 860</t>
        </is>
      </c>
      <c r="F861" t="inlineStr">
        <is>
          <t>Consumer</t>
        </is>
      </c>
      <c r="G861" t="inlineStr">
        <is>
          <t>P1010</t>
        </is>
      </c>
      <c r="H861" t="inlineStr">
        <is>
          <t>FlexNote Notebook</t>
        </is>
      </c>
      <c r="I861" t="inlineStr">
        <is>
          <t>Office Supplies</t>
        </is>
      </c>
      <c r="J861" t="inlineStr">
        <is>
          <t>Furniture</t>
        </is>
      </c>
      <c r="K861" t="inlineStr">
        <is>
          <t>South</t>
        </is>
      </c>
      <c r="L861" t="inlineStr">
        <is>
          <t>Georgia</t>
        </is>
      </c>
      <c r="M861" t="inlineStr">
        <is>
          <t>Houston</t>
        </is>
      </c>
      <c r="N861" t="inlineStr">
        <is>
          <t>Ethan Brooks</t>
        </is>
      </c>
      <c r="O861" t="n">
        <v>4</v>
      </c>
      <c r="P861" s="3" t="n">
        <v>54.07</v>
      </c>
      <c r="Q861" s="4" t="n">
        <v>0.059</v>
      </c>
      <c r="R861" s="3" t="n">
        <v>203.52</v>
      </c>
      <c r="S861" s="3" t="n">
        <v>91.84</v>
      </c>
      <c r="T861" s="3" t="n">
        <v>102.48</v>
      </c>
      <c r="U861" s="4" t="n">
        <v>0.5034999999999999</v>
      </c>
      <c r="V861" s="3" t="n">
        <v>9.199999999999999</v>
      </c>
      <c r="W861" t="inlineStr">
        <is>
          <t>Debit Card</t>
        </is>
      </c>
      <c r="X861" t="inlineStr">
        <is>
          <t>High</t>
        </is>
      </c>
    </row>
    <row r="862">
      <c r="A862" t="inlineStr">
        <is>
          <t>ORD-00861</t>
        </is>
      </c>
      <c r="B862" s="2" t="n">
        <v>45985</v>
      </c>
      <c r="C862" s="2" t="n">
        <v>45987</v>
      </c>
      <c r="D862" t="inlineStr">
        <is>
          <t>CUST-00861</t>
        </is>
      </c>
      <c r="E862" t="inlineStr">
        <is>
          <t>Customer 861</t>
        </is>
      </c>
      <c r="F862" t="inlineStr">
        <is>
          <t>Home Office</t>
        </is>
      </c>
      <c r="G862" t="inlineStr">
        <is>
          <t>P1007</t>
        </is>
      </c>
      <c r="H862" t="inlineStr">
        <is>
          <t>Halo Planter</t>
        </is>
      </c>
      <c r="I862" t="inlineStr">
        <is>
          <t>Home Decor</t>
        </is>
      </c>
      <c r="J862" t="inlineStr">
        <is>
          <t>Coolers</t>
        </is>
      </c>
      <c r="K862" t="inlineStr">
        <is>
          <t>West</t>
        </is>
      </c>
      <c r="L862" t="inlineStr">
        <is>
          <t>California</t>
        </is>
      </c>
      <c r="M862" t="inlineStr">
        <is>
          <t>Denver</t>
        </is>
      </c>
      <c r="N862" t="inlineStr">
        <is>
          <t>Sophia Singh</t>
        </is>
      </c>
      <c r="O862" t="n">
        <v>3</v>
      </c>
      <c r="P862" s="3" t="n">
        <v>27.89</v>
      </c>
      <c r="Q862" s="4" t="n">
        <v>0.022</v>
      </c>
      <c r="R862" s="3" t="n">
        <v>81.83</v>
      </c>
      <c r="S862" s="3" t="n">
        <v>29.63</v>
      </c>
      <c r="T862" s="3" t="n">
        <v>42.8</v>
      </c>
      <c r="U862" s="4" t="n">
        <v>0.523</v>
      </c>
      <c r="V862" s="3" t="n">
        <v>9.4</v>
      </c>
      <c r="W862" t="inlineStr">
        <is>
          <t>Debit Card</t>
        </is>
      </c>
      <c r="X862" t="inlineStr">
        <is>
          <t>High</t>
        </is>
      </c>
    </row>
    <row r="863">
      <c r="A863" t="inlineStr">
        <is>
          <t>ORD-00862</t>
        </is>
      </c>
      <c r="B863" s="2" t="n">
        <v>45369</v>
      </c>
      <c r="C863" s="2" t="n">
        <v>45374</v>
      </c>
      <c r="D863" t="inlineStr">
        <is>
          <t>CUST-00862</t>
        </is>
      </c>
      <c r="E863" t="inlineStr">
        <is>
          <t>Customer 862</t>
        </is>
      </c>
      <c r="F863" t="inlineStr">
        <is>
          <t>Corporate</t>
        </is>
      </c>
      <c r="G863" t="inlineStr">
        <is>
          <t>P1005</t>
        </is>
      </c>
      <c r="H863" t="inlineStr">
        <is>
          <t>Echo Web Camera</t>
        </is>
      </c>
      <c r="I863" t="inlineStr">
        <is>
          <t>Home Decor</t>
        </is>
      </c>
      <c r="J863" t="inlineStr">
        <is>
          <t>Coolers</t>
        </is>
      </c>
      <c r="K863" t="inlineStr">
        <is>
          <t>Central</t>
        </is>
      </c>
      <c r="L863" t="inlineStr">
        <is>
          <t>Kansas</t>
        </is>
      </c>
      <c r="M863" t="inlineStr">
        <is>
          <t>Kansas City</t>
        </is>
      </c>
      <c r="N863" t="inlineStr">
        <is>
          <t>Noah Kim</t>
        </is>
      </c>
      <c r="O863" t="n">
        <v>2</v>
      </c>
      <c r="P863" s="3" t="n">
        <v>12.92</v>
      </c>
      <c r="Q863" s="4" t="n">
        <v>0.012</v>
      </c>
      <c r="R863" s="3" t="n">
        <v>25.53</v>
      </c>
      <c r="S863" s="3" t="n">
        <v>17.41</v>
      </c>
      <c r="T863" s="3" t="n">
        <v>0.52</v>
      </c>
      <c r="U863" s="4" t="n">
        <v>0.0204</v>
      </c>
      <c r="V863" s="3" t="n">
        <v>7.6</v>
      </c>
      <c r="W863" t="inlineStr">
        <is>
          <t>Bank Transfer</t>
        </is>
      </c>
      <c r="X863" t="inlineStr">
        <is>
          <t>Medium</t>
        </is>
      </c>
    </row>
    <row r="864">
      <c r="A864" t="inlineStr">
        <is>
          <t>ORD-00863</t>
        </is>
      </c>
      <c r="B864" s="2" t="n">
        <v>45390</v>
      </c>
      <c r="C864" s="2" t="n">
        <v>45391</v>
      </c>
      <c r="D864" t="inlineStr">
        <is>
          <t>CUST-00863</t>
        </is>
      </c>
      <c r="E864" t="inlineStr">
        <is>
          <t>Customer 863</t>
        </is>
      </c>
      <c r="F864" t="inlineStr">
        <is>
          <t>Corporate</t>
        </is>
      </c>
      <c r="G864" t="inlineStr">
        <is>
          <t>P1004</t>
        </is>
      </c>
      <c r="H864" t="inlineStr">
        <is>
          <t>Harbor Rug</t>
        </is>
      </c>
      <c r="I864" t="inlineStr">
        <is>
          <t>Outdoor</t>
        </is>
      </c>
      <c r="J864" t="inlineStr">
        <is>
          <t>Decor</t>
        </is>
      </c>
      <c r="K864" t="inlineStr">
        <is>
          <t>North</t>
        </is>
      </c>
      <c r="L864" t="inlineStr">
        <is>
          <t>Ontario</t>
        </is>
      </c>
      <c r="M864" t="inlineStr">
        <is>
          <t>Montreal</t>
        </is>
      </c>
      <c r="N864" t="inlineStr">
        <is>
          <t>James Carter</t>
        </is>
      </c>
      <c r="O864" t="n">
        <v>2</v>
      </c>
      <c r="P864" s="3" t="n">
        <v>605.05</v>
      </c>
      <c r="Q864" s="4" t="n">
        <v>0.014</v>
      </c>
      <c r="R864" s="3" t="n">
        <v>1193.16</v>
      </c>
      <c r="S864" s="3" t="n">
        <v>760.55</v>
      </c>
      <c r="T864" s="3" t="n">
        <v>425.01</v>
      </c>
      <c r="U864" s="4" t="n">
        <v>0.3562</v>
      </c>
      <c r="V864" s="3" t="n">
        <v>7.6</v>
      </c>
      <c r="W864" t="inlineStr">
        <is>
          <t>Cash on Delivery</t>
        </is>
      </c>
      <c r="X864" t="inlineStr">
        <is>
          <t>Medium</t>
        </is>
      </c>
    </row>
    <row r="865">
      <c r="A865" t="inlineStr">
        <is>
          <t>ORD-00864</t>
        </is>
      </c>
      <c r="B865" s="2" t="n">
        <v>45492</v>
      </c>
      <c r="C865" s="2" t="n">
        <v>45497</v>
      </c>
      <c r="D865" t="inlineStr">
        <is>
          <t>CUST-00864</t>
        </is>
      </c>
      <c r="E865" t="inlineStr">
        <is>
          <t>Customer 864</t>
        </is>
      </c>
      <c r="F865" t="inlineStr">
        <is>
          <t>Consumer</t>
        </is>
      </c>
      <c r="G865" t="inlineStr">
        <is>
          <t>P1017</t>
        </is>
      </c>
      <c r="H865" t="inlineStr">
        <is>
          <t>ProClip Binder</t>
        </is>
      </c>
      <c r="I865" t="inlineStr">
        <is>
          <t>Furniture</t>
        </is>
      </c>
      <c r="J865" t="inlineStr">
        <is>
          <t>Peripherals</t>
        </is>
      </c>
      <c r="K865" t="inlineStr">
        <is>
          <t>West</t>
        </is>
      </c>
      <c r="L865" t="inlineStr">
        <is>
          <t>Oregon</t>
        </is>
      </c>
      <c r="M865" t="inlineStr">
        <is>
          <t>Seattle</t>
        </is>
      </c>
      <c r="N865" t="inlineStr">
        <is>
          <t>Liam Chen</t>
        </is>
      </c>
      <c r="O865" t="n">
        <v>1</v>
      </c>
      <c r="P865" s="3" t="n">
        <v>591.75</v>
      </c>
      <c r="Q865" s="4" t="n">
        <v>0.018</v>
      </c>
      <c r="R865" s="3" t="n">
        <v>581.1</v>
      </c>
      <c r="S865" s="3" t="n">
        <v>393.73</v>
      </c>
      <c r="T865" s="3" t="n">
        <v>179.57</v>
      </c>
      <c r="U865" s="4" t="n">
        <v>0.309</v>
      </c>
      <c r="V865" s="3" t="n">
        <v>7.8</v>
      </c>
      <c r="W865" t="inlineStr">
        <is>
          <t>Bank Transfer</t>
        </is>
      </c>
      <c r="X865" t="inlineStr">
        <is>
          <t>High</t>
        </is>
      </c>
    </row>
    <row r="866">
      <c r="A866" t="inlineStr">
        <is>
          <t>ORD-00865</t>
        </is>
      </c>
      <c r="B866" s="2" t="n">
        <v>45476</v>
      </c>
      <c r="C866" s="2" t="n">
        <v>45483</v>
      </c>
      <c r="D866" t="inlineStr">
        <is>
          <t>CUST-00865</t>
        </is>
      </c>
      <c r="E866" t="inlineStr">
        <is>
          <t>Customer 865</t>
        </is>
      </c>
      <c r="F866" t="inlineStr">
        <is>
          <t>Corporate</t>
        </is>
      </c>
      <c r="G866" t="inlineStr">
        <is>
          <t>P1005</t>
        </is>
      </c>
      <c r="H866" t="inlineStr">
        <is>
          <t>Summit Patio Set</t>
        </is>
      </c>
      <c r="I866" t="inlineStr">
        <is>
          <t>Home Decor</t>
        </is>
      </c>
      <c r="J866" t="inlineStr">
        <is>
          <t>Lighting</t>
        </is>
      </c>
      <c r="K866" t="inlineStr">
        <is>
          <t>South</t>
        </is>
      </c>
      <c r="L866" t="inlineStr">
        <is>
          <t>North Carolina</t>
        </is>
      </c>
      <c r="M866" t="inlineStr">
        <is>
          <t>Houston</t>
        </is>
      </c>
      <c r="N866" t="inlineStr">
        <is>
          <t>Mia Rodriguez</t>
        </is>
      </c>
      <c r="O866" t="n">
        <v>2</v>
      </c>
      <c r="P866" s="3" t="n">
        <v>12.84</v>
      </c>
      <c r="Q866" s="4" t="n">
        <v>0.03</v>
      </c>
      <c r="R866" s="3" t="n">
        <v>24.91</v>
      </c>
      <c r="S866" s="3" t="n">
        <v>17.78</v>
      </c>
      <c r="T866" s="3" t="n">
        <v>-0.47</v>
      </c>
      <c r="U866" s="4" t="n">
        <v>-0.0189</v>
      </c>
      <c r="V866" s="3" t="n">
        <v>7.6</v>
      </c>
      <c r="W866" t="inlineStr">
        <is>
          <t>Debit Card</t>
        </is>
      </c>
      <c r="X866" t="inlineStr">
        <is>
          <t>Medium</t>
        </is>
      </c>
    </row>
    <row r="867">
      <c r="A867" t="inlineStr">
        <is>
          <t>ORD-00866</t>
        </is>
      </c>
      <c r="B867" s="2" t="n">
        <v>45574</v>
      </c>
      <c r="C867" s="2" t="n">
        <v>45577</v>
      </c>
      <c r="D867" t="inlineStr">
        <is>
          <t>CUST-00866</t>
        </is>
      </c>
      <c r="E867" t="inlineStr">
        <is>
          <t>Customer 866</t>
        </is>
      </c>
      <c r="F867" t="inlineStr">
        <is>
          <t>Corporate</t>
        </is>
      </c>
      <c r="G867" t="inlineStr">
        <is>
          <t>P1017</t>
        </is>
      </c>
      <c r="H867" t="inlineStr">
        <is>
          <t>Trail Tote</t>
        </is>
      </c>
      <c r="I867" t="inlineStr">
        <is>
          <t>Technology</t>
        </is>
      </c>
      <c r="J867" t="inlineStr">
        <is>
          <t>Textiles</t>
        </is>
      </c>
      <c r="K867" t="inlineStr">
        <is>
          <t>East</t>
        </is>
      </c>
      <c r="L867" t="inlineStr">
        <is>
          <t>Massachusetts</t>
        </is>
      </c>
      <c r="M867" t="inlineStr">
        <is>
          <t>Boston</t>
        </is>
      </c>
      <c r="N867" t="inlineStr">
        <is>
          <t>Liam Chen</t>
        </is>
      </c>
      <c r="O867" t="n">
        <v>4</v>
      </c>
      <c r="P867" s="3" t="n">
        <v>591.14</v>
      </c>
      <c r="Q867" s="4" t="n">
        <v>0.019</v>
      </c>
      <c r="R867" s="3" t="n">
        <v>2319.63</v>
      </c>
      <c r="S867" s="3" t="n">
        <v>1541.45</v>
      </c>
      <c r="T867" s="3" t="n">
        <v>767.98</v>
      </c>
      <c r="U867" s="4" t="n">
        <v>0.3311</v>
      </c>
      <c r="V867" s="3" t="n">
        <v>10.2</v>
      </c>
      <c r="W867" t="inlineStr">
        <is>
          <t>PayPal</t>
        </is>
      </c>
      <c r="X867" t="inlineStr">
        <is>
          <t>Medium</t>
        </is>
      </c>
    </row>
    <row r="868">
      <c r="A868" t="inlineStr">
        <is>
          <t>ORD-00867</t>
        </is>
      </c>
      <c r="B868" s="2" t="n">
        <v>45120</v>
      </c>
      <c r="C868" s="2" t="n">
        <v>45122</v>
      </c>
      <c r="D868" t="inlineStr">
        <is>
          <t>CUST-00867</t>
        </is>
      </c>
      <c r="E868" t="inlineStr">
        <is>
          <t>Customer 867</t>
        </is>
      </c>
      <c r="F868" t="inlineStr">
        <is>
          <t>Home Office</t>
        </is>
      </c>
      <c r="G868" t="inlineStr">
        <is>
          <t>P1017</t>
        </is>
      </c>
      <c r="H868" t="inlineStr">
        <is>
          <t>Orbit Wireless Mouse</t>
        </is>
      </c>
      <c r="I868" t="inlineStr">
        <is>
          <t>Technology</t>
        </is>
      </c>
      <c r="J868" t="inlineStr">
        <is>
          <t>Storage</t>
        </is>
      </c>
      <c r="K868" t="inlineStr">
        <is>
          <t>Central</t>
        </is>
      </c>
      <c r="L868" t="inlineStr">
        <is>
          <t>Kansas</t>
        </is>
      </c>
      <c r="M868" t="inlineStr">
        <is>
          <t>Kansas City</t>
        </is>
      </c>
      <c r="N868" t="inlineStr">
        <is>
          <t>Olivia Martin</t>
        </is>
      </c>
      <c r="O868" t="n">
        <v>2</v>
      </c>
      <c r="P868" s="3" t="n">
        <v>570.2</v>
      </c>
      <c r="Q868" s="4" t="n">
        <v>0.019</v>
      </c>
      <c r="R868" s="3" t="n">
        <v>1118.73</v>
      </c>
      <c r="S868" s="3" t="n">
        <v>746.49</v>
      </c>
      <c r="T868" s="3" t="n">
        <v>364.64</v>
      </c>
      <c r="U868" s="4" t="n">
        <v>0.3259</v>
      </c>
      <c r="V868" s="3" t="n">
        <v>7.6</v>
      </c>
      <c r="W868" t="inlineStr">
        <is>
          <t>Bank Transfer</t>
        </is>
      </c>
      <c r="X868" t="inlineStr">
        <is>
          <t>Medium</t>
        </is>
      </c>
    </row>
    <row r="869">
      <c r="A869" t="inlineStr">
        <is>
          <t>ORD-00868</t>
        </is>
      </c>
      <c r="B869" s="2" t="n">
        <v>45239</v>
      </c>
      <c r="C869" s="2" t="n">
        <v>45241</v>
      </c>
      <c r="D869" t="inlineStr">
        <is>
          <t>CUST-00868</t>
        </is>
      </c>
      <c r="E869" t="inlineStr">
        <is>
          <t>Customer 868</t>
        </is>
      </c>
      <c r="F869" t="inlineStr">
        <is>
          <t>Consumer</t>
        </is>
      </c>
      <c r="G869" t="inlineStr">
        <is>
          <t>P1017</t>
        </is>
      </c>
      <c r="H869" t="inlineStr">
        <is>
          <t>Cove Wall Clock</t>
        </is>
      </c>
      <c r="I869" t="inlineStr">
        <is>
          <t>Office Supplies</t>
        </is>
      </c>
      <c r="J869" t="inlineStr">
        <is>
          <t>Coolers</t>
        </is>
      </c>
      <c r="K869" t="inlineStr">
        <is>
          <t>Central</t>
        </is>
      </c>
      <c r="L869" t="inlineStr">
        <is>
          <t>Missouri</t>
        </is>
      </c>
      <c r="M869" t="inlineStr">
        <is>
          <t>Minneapolis</t>
        </is>
      </c>
      <c r="N869" t="inlineStr">
        <is>
          <t>Ava Patel</t>
        </is>
      </c>
      <c r="O869" t="n">
        <v>3</v>
      </c>
      <c r="P869" s="3" t="n">
        <v>613.02</v>
      </c>
      <c r="Q869" s="4" t="n">
        <v>0.007</v>
      </c>
      <c r="R869" s="3" t="n">
        <v>1826.19</v>
      </c>
      <c r="S869" s="3" t="n">
        <v>1212.05</v>
      </c>
      <c r="T869" s="3" t="n">
        <v>605.74</v>
      </c>
      <c r="U869" s="4" t="n">
        <v>0.3317</v>
      </c>
      <c r="V869" s="3" t="n">
        <v>8.4</v>
      </c>
      <c r="W869" t="inlineStr">
        <is>
          <t>Credit Card</t>
        </is>
      </c>
      <c r="X869" t="inlineStr">
        <is>
          <t>Low</t>
        </is>
      </c>
    </row>
    <row r="870">
      <c r="A870" t="inlineStr">
        <is>
          <t>ORD-00869</t>
        </is>
      </c>
      <c r="B870" s="2" t="n">
        <v>45925</v>
      </c>
      <c r="C870" s="2" t="n">
        <v>45932</v>
      </c>
      <c r="D870" t="inlineStr">
        <is>
          <t>CUST-00869</t>
        </is>
      </c>
      <c r="E870" t="inlineStr">
        <is>
          <t>Customer 869</t>
        </is>
      </c>
      <c r="F870" t="inlineStr">
        <is>
          <t>Home Office</t>
        </is>
      </c>
      <c r="G870" t="inlineStr">
        <is>
          <t>P1001</t>
        </is>
      </c>
      <c r="H870" t="inlineStr">
        <is>
          <t>Halo Planter</t>
        </is>
      </c>
      <c r="I870" t="inlineStr">
        <is>
          <t>Outdoor</t>
        </is>
      </c>
      <c r="J870" t="inlineStr">
        <is>
          <t>Accessories</t>
        </is>
      </c>
      <c r="K870" t="inlineStr">
        <is>
          <t>West</t>
        </is>
      </c>
      <c r="L870" t="inlineStr">
        <is>
          <t>Washington</t>
        </is>
      </c>
      <c r="M870" t="inlineStr">
        <is>
          <t>San Francisco</t>
        </is>
      </c>
      <c r="N870" t="inlineStr">
        <is>
          <t>James Carter</t>
        </is>
      </c>
      <c r="O870" t="n">
        <v>1</v>
      </c>
      <c r="P870" s="3" t="n">
        <v>311.05</v>
      </c>
      <c r="Q870" s="4" t="n">
        <v>0.025</v>
      </c>
      <c r="R870" s="3" t="n">
        <v>303.27</v>
      </c>
      <c r="S870" s="3" t="n">
        <v>184.05</v>
      </c>
      <c r="T870" s="3" t="n">
        <v>111.42</v>
      </c>
      <c r="U870" s="4" t="n">
        <v>0.3674</v>
      </c>
      <c r="V870" s="3" t="n">
        <v>7.8</v>
      </c>
      <c r="W870" t="inlineStr">
        <is>
          <t>Debit Card</t>
        </is>
      </c>
      <c r="X870" t="inlineStr">
        <is>
          <t>High</t>
        </is>
      </c>
    </row>
    <row r="871">
      <c r="A871" t="inlineStr">
        <is>
          <t>ORD-00870</t>
        </is>
      </c>
      <c r="B871" s="2" t="n">
        <v>45708</v>
      </c>
      <c r="C871" s="2" t="n">
        <v>45715</v>
      </c>
      <c r="D871" t="inlineStr">
        <is>
          <t>CUST-00870</t>
        </is>
      </c>
      <c r="E871" t="inlineStr">
        <is>
          <t>Customer 870</t>
        </is>
      </c>
      <c r="F871" t="inlineStr">
        <is>
          <t>Home Office</t>
        </is>
      </c>
      <c r="G871" t="inlineStr">
        <is>
          <t>P1002</t>
        </is>
      </c>
      <c r="H871" t="inlineStr">
        <is>
          <t>Orbit Wireless Mouse</t>
        </is>
      </c>
      <c r="I871" t="inlineStr">
        <is>
          <t>Office Supplies</t>
        </is>
      </c>
      <c r="J871" t="inlineStr">
        <is>
          <t>Desks</t>
        </is>
      </c>
      <c r="K871" t="inlineStr">
        <is>
          <t>Central</t>
        </is>
      </c>
      <c r="L871" t="inlineStr">
        <is>
          <t>Missouri</t>
        </is>
      </c>
      <c r="M871" t="inlineStr">
        <is>
          <t>Minneapolis</t>
        </is>
      </c>
      <c r="N871" t="inlineStr">
        <is>
          <t>Ethan Brooks</t>
        </is>
      </c>
      <c r="O871" t="n">
        <v>3</v>
      </c>
      <c r="P871" s="3" t="n">
        <v>75.83</v>
      </c>
      <c r="Q871" s="4" t="n">
        <v>0.005</v>
      </c>
      <c r="R871" s="3" t="n">
        <v>226.35</v>
      </c>
      <c r="S871" s="3" t="n">
        <v>105.06</v>
      </c>
      <c r="T871" s="3" t="n">
        <v>112.89</v>
      </c>
      <c r="U871" s="4" t="n">
        <v>0.4987</v>
      </c>
      <c r="V871" s="3" t="n">
        <v>8.4</v>
      </c>
      <c r="W871" t="inlineStr">
        <is>
          <t>Debit Card</t>
        </is>
      </c>
      <c r="X871" t="inlineStr">
        <is>
          <t>Medium</t>
        </is>
      </c>
    </row>
    <row r="872">
      <c r="A872" t="inlineStr">
        <is>
          <t>ORD-00871</t>
        </is>
      </c>
      <c r="B872" s="2" t="n">
        <v>45363</v>
      </c>
      <c r="C872" s="2" t="n">
        <v>45369</v>
      </c>
      <c r="D872" t="inlineStr">
        <is>
          <t>CUST-00871</t>
        </is>
      </c>
      <c r="E872" t="inlineStr">
        <is>
          <t>Customer 871</t>
        </is>
      </c>
      <c r="F872" t="inlineStr">
        <is>
          <t>Corporate</t>
        </is>
      </c>
      <c r="G872" t="inlineStr">
        <is>
          <t>P1019</t>
        </is>
      </c>
      <c r="H872" t="inlineStr">
        <is>
          <t>ProClip Binder</t>
        </is>
      </c>
      <c r="I872" t="inlineStr">
        <is>
          <t>Office Supplies</t>
        </is>
      </c>
      <c r="J872" t="inlineStr">
        <is>
          <t>Paper</t>
        </is>
      </c>
      <c r="K872" t="inlineStr">
        <is>
          <t>North</t>
        </is>
      </c>
      <c r="L872" t="inlineStr">
        <is>
          <t>Quebec</t>
        </is>
      </c>
      <c r="M872" t="inlineStr">
        <is>
          <t>Toronto</t>
        </is>
      </c>
      <c r="N872" t="inlineStr">
        <is>
          <t>Sophia Singh</t>
        </is>
      </c>
      <c r="O872" t="n">
        <v>2</v>
      </c>
      <c r="P872" s="3" t="n">
        <v>59.08</v>
      </c>
      <c r="Q872" s="4" t="n">
        <v>0.074</v>
      </c>
      <c r="R872" s="3" t="n">
        <v>109.42</v>
      </c>
      <c r="S872" s="3" t="n">
        <v>51.41</v>
      </c>
      <c r="T872" s="3" t="n">
        <v>50.41</v>
      </c>
      <c r="U872" s="4" t="n">
        <v>0.4607</v>
      </c>
      <c r="V872" s="3" t="n">
        <v>7.6</v>
      </c>
      <c r="W872" t="inlineStr">
        <is>
          <t>Debit Card</t>
        </is>
      </c>
      <c r="X872" t="inlineStr">
        <is>
          <t>Critical</t>
        </is>
      </c>
    </row>
    <row r="873">
      <c r="A873" t="inlineStr">
        <is>
          <t>ORD-00872</t>
        </is>
      </c>
      <c r="B873" s="2" t="n">
        <v>45100</v>
      </c>
      <c r="C873" s="2" t="n">
        <v>45107</v>
      </c>
      <c r="D873" t="inlineStr">
        <is>
          <t>CUST-00872</t>
        </is>
      </c>
      <c r="E873" t="inlineStr">
        <is>
          <t>Customer 872</t>
        </is>
      </c>
      <c r="F873" t="inlineStr">
        <is>
          <t>Corporate</t>
        </is>
      </c>
      <c r="G873" t="inlineStr">
        <is>
          <t>P1009</t>
        </is>
      </c>
      <c r="H873" t="inlineStr">
        <is>
          <t>Atlas Throw Pillow</t>
        </is>
      </c>
      <c r="I873" t="inlineStr">
        <is>
          <t>Outdoor</t>
        </is>
      </c>
      <c r="J873" t="inlineStr">
        <is>
          <t>Desks</t>
        </is>
      </c>
      <c r="K873" t="inlineStr">
        <is>
          <t>West</t>
        </is>
      </c>
      <c r="L873" t="inlineStr">
        <is>
          <t>Oregon</t>
        </is>
      </c>
      <c r="M873" t="inlineStr">
        <is>
          <t>Los Angeles</t>
        </is>
      </c>
      <c r="N873" t="inlineStr">
        <is>
          <t>Ethan Brooks</t>
        </is>
      </c>
      <c r="O873" t="n">
        <v>2</v>
      </c>
      <c r="P873" s="3" t="n">
        <v>93.45</v>
      </c>
      <c r="Q873" s="4" t="n">
        <v>0.036</v>
      </c>
      <c r="R873" s="3" t="n">
        <v>180.17</v>
      </c>
      <c r="S873" s="3" t="n">
        <v>93.88</v>
      </c>
      <c r="T873" s="3" t="n">
        <v>77.69</v>
      </c>
      <c r="U873" s="4" t="n">
        <v>0.4312</v>
      </c>
      <c r="V873" s="3" t="n">
        <v>8.6</v>
      </c>
      <c r="W873" t="inlineStr">
        <is>
          <t>Debit Card</t>
        </is>
      </c>
      <c r="X873" t="inlineStr">
        <is>
          <t>Critical</t>
        </is>
      </c>
    </row>
    <row r="874">
      <c r="A874" t="inlineStr">
        <is>
          <t>ORD-00873</t>
        </is>
      </c>
      <c r="B874" s="2" t="n">
        <v>45456</v>
      </c>
      <c r="C874" s="2" t="n">
        <v>45458</v>
      </c>
      <c r="D874" t="inlineStr">
        <is>
          <t>CUST-00873</t>
        </is>
      </c>
      <c r="E874" t="inlineStr">
        <is>
          <t>Customer 873</t>
        </is>
      </c>
      <c r="F874" t="inlineStr">
        <is>
          <t>Corporate</t>
        </is>
      </c>
      <c r="G874" t="inlineStr">
        <is>
          <t>P1020</t>
        </is>
      </c>
      <c r="H874" t="inlineStr">
        <is>
          <t>Lumen Desk Lamp</t>
        </is>
      </c>
      <c r="I874" t="inlineStr">
        <is>
          <t>Office Supplies</t>
        </is>
      </c>
      <c r="J874" t="inlineStr">
        <is>
          <t>Writing</t>
        </is>
      </c>
      <c r="K874" t="inlineStr">
        <is>
          <t>East</t>
        </is>
      </c>
      <c r="L874" t="inlineStr">
        <is>
          <t>Massachusetts</t>
        </is>
      </c>
      <c r="M874" t="inlineStr">
        <is>
          <t>Washington</t>
        </is>
      </c>
      <c r="N874" t="inlineStr">
        <is>
          <t>Ethan Brooks</t>
        </is>
      </c>
      <c r="O874" t="n">
        <v>4</v>
      </c>
      <c r="P874" s="3" t="n">
        <v>77.08</v>
      </c>
      <c r="Q874" s="4" t="n">
        <v>0.015</v>
      </c>
      <c r="R874" s="3" t="n">
        <v>303.7</v>
      </c>
      <c r="S874" s="3" t="n">
        <v>145.37</v>
      </c>
      <c r="T874" s="3" t="n">
        <v>148.13</v>
      </c>
      <c r="U874" s="4" t="n">
        <v>0.4878</v>
      </c>
      <c r="V874" s="3" t="n">
        <v>10.2</v>
      </c>
      <c r="W874" t="inlineStr">
        <is>
          <t>PayPal</t>
        </is>
      </c>
      <c r="X874" t="inlineStr">
        <is>
          <t>Medium</t>
        </is>
      </c>
    </row>
    <row r="875">
      <c r="A875" t="inlineStr">
        <is>
          <t>ORD-00874</t>
        </is>
      </c>
      <c r="B875" s="2" t="n">
        <v>45573</v>
      </c>
      <c r="C875" s="2" t="n">
        <v>45578</v>
      </c>
      <c r="D875" t="inlineStr">
        <is>
          <t>CUST-00874</t>
        </is>
      </c>
      <c r="E875" t="inlineStr">
        <is>
          <t>Customer 874</t>
        </is>
      </c>
      <c r="F875" t="inlineStr">
        <is>
          <t>Consumer</t>
        </is>
      </c>
      <c r="G875" t="inlineStr">
        <is>
          <t>P1015</t>
        </is>
      </c>
      <c r="H875" t="inlineStr">
        <is>
          <t>Orbit Wireless Mouse</t>
        </is>
      </c>
      <c r="I875" t="inlineStr">
        <is>
          <t>Office Supplies</t>
        </is>
      </c>
      <c r="J875" t="inlineStr">
        <is>
          <t>Bags</t>
        </is>
      </c>
      <c r="K875" t="inlineStr">
        <is>
          <t>Central</t>
        </is>
      </c>
      <c r="L875" t="inlineStr">
        <is>
          <t>Minnesota</t>
        </is>
      </c>
      <c r="M875" t="inlineStr">
        <is>
          <t>Minneapolis</t>
        </is>
      </c>
      <c r="N875" t="inlineStr">
        <is>
          <t>Ava Patel</t>
        </is>
      </c>
      <c r="O875" t="n">
        <v>4</v>
      </c>
      <c r="P875" s="3" t="n">
        <v>69.04000000000001</v>
      </c>
      <c r="Q875" s="4" t="n">
        <v>0.054</v>
      </c>
      <c r="R875" s="3" t="n">
        <v>261.25</v>
      </c>
      <c r="S875" s="3" t="n">
        <v>120.34</v>
      </c>
      <c r="T875" s="3" t="n">
        <v>131.71</v>
      </c>
      <c r="U875" s="4" t="n">
        <v>0.5042</v>
      </c>
      <c r="V875" s="3" t="n">
        <v>9.199999999999999</v>
      </c>
      <c r="W875" t="inlineStr">
        <is>
          <t>Debit Card</t>
        </is>
      </c>
      <c r="X875" t="inlineStr">
        <is>
          <t>High</t>
        </is>
      </c>
    </row>
    <row r="876">
      <c r="A876" t="inlineStr">
        <is>
          <t>ORD-00875</t>
        </is>
      </c>
      <c r="B876" s="2" t="n">
        <v>45153</v>
      </c>
      <c r="C876" s="2" t="n">
        <v>45155</v>
      </c>
      <c r="D876" t="inlineStr">
        <is>
          <t>CUST-00875</t>
        </is>
      </c>
      <c r="E876" t="inlineStr">
        <is>
          <t>Customer 875</t>
        </is>
      </c>
      <c r="F876" t="inlineStr">
        <is>
          <t>Consumer</t>
        </is>
      </c>
      <c r="G876" t="inlineStr">
        <is>
          <t>P1019</t>
        </is>
      </c>
      <c r="H876" t="inlineStr">
        <is>
          <t>FlexNote Notebook</t>
        </is>
      </c>
      <c r="I876" t="inlineStr">
        <is>
          <t>Furniture</t>
        </is>
      </c>
      <c r="J876" t="inlineStr">
        <is>
          <t>Binders</t>
        </is>
      </c>
      <c r="K876" t="inlineStr">
        <is>
          <t>South</t>
        </is>
      </c>
      <c r="L876" t="inlineStr">
        <is>
          <t>Florida</t>
        </is>
      </c>
      <c r="M876" t="inlineStr">
        <is>
          <t>Houston</t>
        </is>
      </c>
      <c r="N876" t="inlineStr">
        <is>
          <t>Olivia Martin</t>
        </is>
      </c>
      <c r="O876" t="n">
        <v>2</v>
      </c>
      <c r="P876" s="3" t="n">
        <v>59.44</v>
      </c>
      <c r="Q876" s="4" t="n">
        <v>0.049</v>
      </c>
      <c r="R876" s="3" t="n">
        <v>113.05</v>
      </c>
      <c r="S876" s="3" t="n">
        <v>51.42</v>
      </c>
      <c r="T876" s="3" t="n">
        <v>54.03</v>
      </c>
      <c r="U876" s="4" t="n">
        <v>0.4779</v>
      </c>
      <c r="V876" s="3" t="n">
        <v>7.6</v>
      </c>
      <c r="W876" t="inlineStr">
        <is>
          <t>Credit Card</t>
        </is>
      </c>
      <c r="X876" t="inlineStr">
        <is>
          <t>High</t>
        </is>
      </c>
    </row>
    <row r="877">
      <c r="A877" t="inlineStr">
        <is>
          <t>ORD-00876</t>
        </is>
      </c>
      <c r="B877" s="2" t="n">
        <v>45090</v>
      </c>
      <c r="C877" s="2" t="n">
        <v>45097</v>
      </c>
      <c r="D877" t="inlineStr">
        <is>
          <t>CUST-00876</t>
        </is>
      </c>
      <c r="E877" t="inlineStr">
        <is>
          <t>Customer 876</t>
        </is>
      </c>
      <c r="F877" t="inlineStr">
        <is>
          <t>Home Office</t>
        </is>
      </c>
      <c r="G877" t="inlineStr">
        <is>
          <t>P1005</t>
        </is>
      </c>
      <c r="H877" t="inlineStr">
        <is>
          <t>Nova Laptop Stand</t>
        </is>
      </c>
      <c r="I877" t="inlineStr">
        <is>
          <t>Furniture</t>
        </is>
      </c>
      <c r="J877" t="inlineStr">
        <is>
          <t>Furniture</t>
        </is>
      </c>
      <c r="K877" t="inlineStr">
        <is>
          <t>Central</t>
        </is>
      </c>
      <c r="L877" t="inlineStr">
        <is>
          <t>Kansas</t>
        </is>
      </c>
      <c r="M877" t="inlineStr">
        <is>
          <t>St. Louis</t>
        </is>
      </c>
      <c r="N877" t="inlineStr">
        <is>
          <t>Olivia Martin</t>
        </is>
      </c>
      <c r="O877" t="n">
        <v>3</v>
      </c>
      <c r="P877" s="3" t="n">
        <v>12.85</v>
      </c>
      <c r="Q877" s="4" t="n">
        <v>0.059</v>
      </c>
      <c r="R877" s="3" t="n">
        <v>36.28</v>
      </c>
      <c r="S877" s="3" t="n">
        <v>21.92</v>
      </c>
      <c r="T877" s="3" t="n">
        <v>5.96</v>
      </c>
      <c r="U877" s="4" t="n">
        <v>0.1643</v>
      </c>
      <c r="V877" s="3" t="n">
        <v>8.4</v>
      </c>
      <c r="W877" t="inlineStr">
        <is>
          <t>PayPal</t>
        </is>
      </c>
      <c r="X877" t="inlineStr">
        <is>
          <t>High</t>
        </is>
      </c>
    </row>
    <row r="878">
      <c r="A878" t="inlineStr">
        <is>
          <t>ORD-00877</t>
        </is>
      </c>
      <c r="B878" s="2" t="n">
        <v>45737</v>
      </c>
      <c r="C878" s="2" t="n">
        <v>45744</v>
      </c>
      <c r="D878" t="inlineStr">
        <is>
          <t>CUST-00877</t>
        </is>
      </c>
      <c r="E878" t="inlineStr">
        <is>
          <t>Customer 877</t>
        </is>
      </c>
      <c r="F878" t="inlineStr">
        <is>
          <t>Corporate</t>
        </is>
      </c>
      <c r="G878" t="inlineStr">
        <is>
          <t>P1013</t>
        </is>
      </c>
      <c r="H878" t="inlineStr">
        <is>
          <t>Northstar Lantern</t>
        </is>
      </c>
      <c r="I878" t="inlineStr">
        <is>
          <t>Office Supplies</t>
        </is>
      </c>
      <c r="J878" t="inlineStr">
        <is>
          <t>Decor</t>
        </is>
      </c>
      <c r="K878" t="inlineStr">
        <is>
          <t>West</t>
        </is>
      </c>
      <c r="L878" t="inlineStr">
        <is>
          <t>Washington</t>
        </is>
      </c>
      <c r="M878" t="inlineStr">
        <is>
          <t>Denver</t>
        </is>
      </c>
      <c r="N878" t="inlineStr">
        <is>
          <t>Mia Rodriguez</t>
        </is>
      </c>
      <c r="O878" t="n">
        <v>2</v>
      </c>
      <c r="P878" s="3" t="n">
        <v>165.21</v>
      </c>
      <c r="Q878" s="4" t="n">
        <v>0.035</v>
      </c>
      <c r="R878" s="3" t="n">
        <v>318.86</v>
      </c>
      <c r="S878" s="3" t="n">
        <v>188.87</v>
      </c>
      <c r="T878" s="3" t="n">
        <v>121.39</v>
      </c>
      <c r="U878" s="4" t="n">
        <v>0.3807</v>
      </c>
      <c r="V878" s="3" t="n">
        <v>8.6</v>
      </c>
      <c r="W878" t="inlineStr">
        <is>
          <t>Debit Card</t>
        </is>
      </c>
      <c r="X878" t="inlineStr">
        <is>
          <t>Medium</t>
        </is>
      </c>
    </row>
    <row r="879">
      <c r="A879" t="inlineStr">
        <is>
          <t>ORD-00878</t>
        </is>
      </c>
      <c r="B879" s="2" t="n">
        <v>45760</v>
      </c>
      <c r="C879" s="2" t="n">
        <v>45767</v>
      </c>
      <c r="D879" t="inlineStr">
        <is>
          <t>CUST-00878</t>
        </is>
      </c>
      <c r="E879" t="inlineStr">
        <is>
          <t>Customer 878</t>
        </is>
      </c>
      <c r="F879" t="inlineStr">
        <is>
          <t>Consumer</t>
        </is>
      </c>
      <c r="G879" t="inlineStr">
        <is>
          <t>P1004</t>
        </is>
      </c>
      <c r="H879" t="inlineStr">
        <is>
          <t>Northstar Lantern</t>
        </is>
      </c>
      <c r="I879" t="inlineStr">
        <is>
          <t>Outdoor</t>
        </is>
      </c>
      <c r="J879" t="inlineStr">
        <is>
          <t>Paper</t>
        </is>
      </c>
      <c r="K879" t="inlineStr">
        <is>
          <t>South</t>
        </is>
      </c>
      <c r="L879" t="inlineStr">
        <is>
          <t>Georgia</t>
        </is>
      </c>
      <c r="M879" t="inlineStr">
        <is>
          <t>Dallas</t>
        </is>
      </c>
      <c r="N879" t="inlineStr">
        <is>
          <t>Liam Chen</t>
        </is>
      </c>
      <c r="O879" t="n">
        <v>1</v>
      </c>
      <c r="P879" s="3" t="n">
        <v>601.13</v>
      </c>
      <c r="Q879" s="4" t="n">
        <v>0.014</v>
      </c>
      <c r="R879" s="3" t="n">
        <v>592.71</v>
      </c>
      <c r="S879" s="3" t="n">
        <v>379.69</v>
      </c>
      <c r="T879" s="3" t="n">
        <v>206.22</v>
      </c>
      <c r="U879" s="4" t="n">
        <v>0.3479</v>
      </c>
      <c r="V879" s="3" t="n">
        <v>6.8</v>
      </c>
      <c r="W879" t="inlineStr">
        <is>
          <t>Credit Card</t>
        </is>
      </c>
      <c r="X879" t="inlineStr">
        <is>
          <t>Medium</t>
        </is>
      </c>
    </row>
    <row r="880">
      <c r="A880" t="inlineStr">
        <is>
          <t>ORD-00879</t>
        </is>
      </c>
      <c r="B880" s="2" t="n">
        <v>45155</v>
      </c>
      <c r="C880" s="2" t="n">
        <v>45157</v>
      </c>
      <c r="D880" t="inlineStr">
        <is>
          <t>CUST-00879</t>
        </is>
      </c>
      <c r="E880" t="inlineStr">
        <is>
          <t>Customer 879</t>
        </is>
      </c>
      <c r="F880" t="inlineStr">
        <is>
          <t>Corporate</t>
        </is>
      </c>
      <c r="G880" t="inlineStr">
        <is>
          <t>P1013</t>
        </is>
      </c>
      <c r="H880" t="inlineStr">
        <is>
          <t>Nova Laptop Stand</t>
        </is>
      </c>
      <c r="I880" t="inlineStr">
        <is>
          <t>Outdoor</t>
        </is>
      </c>
      <c r="J880" t="inlineStr">
        <is>
          <t>Plants</t>
        </is>
      </c>
      <c r="K880" t="inlineStr">
        <is>
          <t>South</t>
        </is>
      </c>
      <c r="L880" t="inlineStr">
        <is>
          <t>Texas</t>
        </is>
      </c>
      <c r="M880" t="inlineStr">
        <is>
          <t>Atlanta</t>
        </is>
      </c>
      <c r="N880" t="inlineStr">
        <is>
          <t>Olivia Martin</t>
        </is>
      </c>
      <c r="O880" t="n">
        <v>3</v>
      </c>
      <c r="P880" s="3" t="n">
        <v>167.31</v>
      </c>
      <c r="Q880" s="4" t="n">
        <v>0.02</v>
      </c>
      <c r="R880" s="3" t="n">
        <v>491.89</v>
      </c>
      <c r="S880" s="3" t="n">
        <v>282.88</v>
      </c>
      <c r="T880" s="3" t="n">
        <v>200.61</v>
      </c>
      <c r="U880" s="4" t="n">
        <v>0.4078</v>
      </c>
      <c r="V880" s="3" t="n">
        <v>8.4</v>
      </c>
      <c r="W880" t="inlineStr">
        <is>
          <t>Debit Card</t>
        </is>
      </c>
      <c r="X880" t="inlineStr">
        <is>
          <t>Medium</t>
        </is>
      </c>
    </row>
    <row r="881">
      <c r="A881" t="inlineStr">
        <is>
          <t>ORD-00880</t>
        </is>
      </c>
      <c r="B881" s="2" t="n">
        <v>45092</v>
      </c>
      <c r="C881" s="2" t="n">
        <v>45099</v>
      </c>
      <c r="D881" t="inlineStr">
        <is>
          <t>CUST-00880</t>
        </is>
      </c>
      <c r="E881" t="inlineStr">
        <is>
          <t>Customer 880</t>
        </is>
      </c>
      <c r="F881" t="inlineStr">
        <is>
          <t>Consumer</t>
        </is>
      </c>
      <c r="G881" t="inlineStr">
        <is>
          <t>P1006</t>
        </is>
      </c>
      <c r="H881" t="inlineStr">
        <is>
          <t>Atlas Throw Pillow</t>
        </is>
      </c>
      <c r="I881" t="inlineStr">
        <is>
          <t>Outdoor</t>
        </is>
      </c>
      <c r="J881" t="inlineStr">
        <is>
          <t>Peripherals</t>
        </is>
      </c>
      <c r="K881" t="inlineStr">
        <is>
          <t>East</t>
        </is>
      </c>
      <c r="L881" t="inlineStr">
        <is>
          <t>New York</t>
        </is>
      </c>
      <c r="M881" t="inlineStr">
        <is>
          <t>Boston</t>
        </is>
      </c>
      <c r="N881" t="inlineStr">
        <is>
          <t>Olivia Martin</t>
        </is>
      </c>
      <c r="O881" t="n">
        <v>3</v>
      </c>
      <c r="P881" s="3" t="n">
        <v>18.42</v>
      </c>
      <c r="Q881" s="4" t="n">
        <v>0.015</v>
      </c>
      <c r="R881" s="3" t="n">
        <v>54.43</v>
      </c>
      <c r="S881" s="3" t="n">
        <v>23.87</v>
      </c>
      <c r="T881" s="3" t="n">
        <v>21.16</v>
      </c>
      <c r="U881" s="4" t="n">
        <v>0.3888</v>
      </c>
      <c r="V881" s="3" t="n">
        <v>9.4</v>
      </c>
      <c r="W881" t="inlineStr">
        <is>
          <t>Credit Card</t>
        </is>
      </c>
      <c r="X881" t="inlineStr">
        <is>
          <t>Low</t>
        </is>
      </c>
    </row>
    <row r="882">
      <c r="A882" t="inlineStr">
        <is>
          <t>ORD-00881</t>
        </is>
      </c>
      <c r="B882" s="2" t="n">
        <v>45132</v>
      </c>
      <c r="C882" s="2" t="n">
        <v>45138</v>
      </c>
      <c r="D882" t="inlineStr">
        <is>
          <t>CUST-00881</t>
        </is>
      </c>
      <c r="E882" t="inlineStr">
        <is>
          <t>Customer 881</t>
        </is>
      </c>
      <c r="F882" t="inlineStr">
        <is>
          <t>Consumer</t>
        </is>
      </c>
      <c r="G882" t="inlineStr">
        <is>
          <t>P1012</t>
        </is>
      </c>
      <c r="H882" t="inlineStr">
        <is>
          <t>Northstar Lantern</t>
        </is>
      </c>
      <c r="I882" t="inlineStr">
        <is>
          <t>Home Decor</t>
        </is>
      </c>
      <c r="J882" t="inlineStr">
        <is>
          <t>Lighting</t>
        </is>
      </c>
      <c r="K882" t="inlineStr">
        <is>
          <t>North</t>
        </is>
      </c>
      <c r="L882" t="inlineStr">
        <is>
          <t>Ontario</t>
        </is>
      </c>
      <c r="M882" t="inlineStr">
        <is>
          <t>Vancouver</t>
        </is>
      </c>
      <c r="N882" t="inlineStr">
        <is>
          <t>Liam Chen</t>
        </is>
      </c>
      <c r="O882" t="n">
        <v>2</v>
      </c>
      <c r="P882" s="3" t="n">
        <v>133.42</v>
      </c>
      <c r="Q882" s="4" t="n">
        <v>0.022</v>
      </c>
      <c r="R882" s="3" t="n">
        <v>260.97</v>
      </c>
      <c r="S882" s="3" t="n">
        <v>134.9</v>
      </c>
      <c r="T882" s="3" t="n">
        <v>118.47</v>
      </c>
      <c r="U882" s="4" t="n">
        <v>0.454</v>
      </c>
      <c r="V882" s="3" t="n">
        <v>7.6</v>
      </c>
      <c r="W882" t="inlineStr">
        <is>
          <t>Credit Card</t>
        </is>
      </c>
      <c r="X882" t="inlineStr">
        <is>
          <t>Medium</t>
        </is>
      </c>
    </row>
    <row r="883">
      <c r="A883" t="inlineStr">
        <is>
          <t>ORD-00882</t>
        </is>
      </c>
      <c r="B883" s="2" t="n">
        <v>45738</v>
      </c>
      <c r="C883" s="2" t="n">
        <v>45743</v>
      </c>
      <c r="D883" t="inlineStr">
        <is>
          <t>CUST-00882</t>
        </is>
      </c>
      <c r="E883" t="inlineStr">
        <is>
          <t>Customer 882</t>
        </is>
      </c>
      <c r="F883" t="inlineStr">
        <is>
          <t>Corporate</t>
        </is>
      </c>
      <c r="G883" t="inlineStr">
        <is>
          <t>P1009</t>
        </is>
      </c>
      <c r="H883" t="inlineStr">
        <is>
          <t>Trail Tote</t>
        </is>
      </c>
      <c r="I883" t="inlineStr">
        <is>
          <t>Outdoor</t>
        </is>
      </c>
      <c r="J883" t="inlineStr">
        <is>
          <t>Video</t>
        </is>
      </c>
      <c r="K883" t="inlineStr">
        <is>
          <t>South</t>
        </is>
      </c>
      <c r="L883" t="inlineStr">
        <is>
          <t>Georgia</t>
        </is>
      </c>
      <c r="M883" t="inlineStr">
        <is>
          <t>Atlanta</t>
        </is>
      </c>
      <c r="N883" t="inlineStr">
        <is>
          <t>Ava Patel</t>
        </is>
      </c>
      <c r="O883" t="n">
        <v>5</v>
      </c>
      <c r="P883" s="3" t="n">
        <v>83.78</v>
      </c>
      <c r="Q883" s="4" t="n">
        <v>0.03</v>
      </c>
      <c r="R883" s="3" t="n">
        <v>406.33</v>
      </c>
      <c r="S883" s="3" t="n">
        <v>198.4</v>
      </c>
      <c r="T883" s="3" t="n">
        <v>197.93</v>
      </c>
      <c r="U883" s="4" t="n">
        <v>0.4871</v>
      </c>
      <c r="V883" s="3" t="n">
        <v>10</v>
      </c>
      <c r="W883" t="inlineStr">
        <is>
          <t>Bank Transfer</t>
        </is>
      </c>
      <c r="X883" t="inlineStr">
        <is>
          <t>Low</t>
        </is>
      </c>
    </row>
    <row r="884">
      <c r="A884" t="inlineStr">
        <is>
          <t>ORD-00883</t>
        </is>
      </c>
      <c r="B884" s="2" t="n">
        <v>45188</v>
      </c>
      <c r="C884" s="2" t="n">
        <v>45189</v>
      </c>
      <c r="D884" t="inlineStr">
        <is>
          <t>CUST-00883</t>
        </is>
      </c>
      <c r="E884" t="inlineStr">
        <is>
          <t>Customer 883</t>
        </is>
      </c>
      <c r="F884" t="inlineStr">
        <is>
          <t>Consumer</t>
        </is>
      </c>
      <c r="G884" t="inlineStr">
        <is>
          <t>P1015</t>
        </is>
      </c>
      <c r="H884" t="inlineStr">
        <is>
          <t>Aero Standing Desk</t>
        </is>
      </c>
      <c r="I884" t="inlineStr">
        <is>
          <t>Outdoor</t>
        </is>
      </c>
      <c r="J884" t="inlineStr">
        <is>
          <t>Peripherals</t>
        </is>
      </c>
      <c r="K884" t="inlineStr">
        <is>
          <t>South</t>
        </is>
      </c>
      <c r="L884" t="inlineStr">
        <is>
          <t>Texas</t>
        </is>
      </c>
      <c r="M884" t="inlineStr">
        <is>
          <t>Atlanta</t>
        </is>
      </c>
      <c r="N884" t="inlineStr">
        <is>
          <t>Noah Kim</t>
        </is>
      </c>
      <c r="O884" t="n">
        <v>3</v>
      </c>
      <c r="P884" s="3" t="n">
        <v>66.44</v>
      </c>
      <c r="Q884" s="4" t="n">
        <v>0.018</v>
      </c>
      <c r="R884" s="3" t="n">
        <v>195.73</v>
      </c>
      <c r="S884" s="3" t="n">
        <v>89.40000000000001</v>
      </c>
      <c r="T884" s="3" t="n">
        <v>97.93000000000001</v>
      </c>
      <c r="U884" s="4" t="n">
        <v>0.5003</v>
      </c>
      <c r="V884" s="3" t="n">
        <v>8.4</v>
      </c>
      <c r="W884" t="inlineStr">
        <is>
          <t>PayPal</t>
        </is>
      </c>
      <c r="X884" t="inlineStr">
        <is>
          <t>High</t>
        </is>
      </c>
    </row>
    <row r="885">
      <c r="A885" t="inlineStr">
        <is>
          <t>ORD-00884</t>
        </is>
      </c>
      <c r="B885" s="2" t="n">
        <v>45233</v>
      </c>
      <c r="C885" s="2" t="n">
        <v>45240</v>
      </c>
      <c r="D885" t="inlineStr">
        <is>
          <t>CUST-00884</t>
        </is>
      </c>
      <c r="E885" t="inlineStr">
        <is>
          <t>Customer 884</t>
        </is>
      </c>
      <c r="F885" t="inlineStr">
        <is>
          <t>Consumer</t>
        </is>
      </c>
      <c r="G885" t="inlineStr">
        <is>
          <t>P1015</t>
        </is>
      </c>
      <c r="H885" t="inlineStr">
        <is>
          <t>FlexNote Notebook</t>
        </is>
      </c>
      <c r="I885" t="inlineStr">
        <is>
          <t>Outdoor</t>
        </is>
      </c>
      <c r="J885" t="inlineStr">
        <is>
          <t>Writing</t>
        </is>
      </c>
      <c r="K885" t="inlineStr">
        <is>
          <t>West</t>
        </is>
      </c>
      <c r="L885" t="inlineStr">
        <is>
          <t>Colorado</t>
        </is>
      </c>
      <c r="M885" t="inlineStr">
        <is>
          <t>Seattle</t>
        </is>
      </c>
      <c r="N885" t="inlineStr">
        <is>
          <t>Olivia Martin</t>
        </is>
      </c>
      <c r="O885" t="n">
        <v>2</v>
      </c>
      <c r="P885" s="3" t="n">
        <v>75.41</v>
      </c>
      <c r="Q885" s="4" t="n">
        <v>0.044</v>
      </c>
      <c r="R885" s="3" t="n">
        <v>144.18</v>
      </c>
      <c r="S885" s="3" t="n">
        <v>67.52</v>
      </c>
      <c r="T885" s="3" t="n">
        <v>68.06</v>
      </c>
      <c r="U885" s="4" t="n">
        <v>0.472</v>
      </c>
      <c r="V885" s="3" t="n">
        <v>8.6</v>
      </c>
      <c r="W885" t="inlineStr">
        <is>
          <t>Debit Card</t>
        </is>
      </c>
      <c r="X885" t="inlineStr">
        <is>
          <t>High</t>
        </is>
      </c>
    </row>
    <row r="886">
      <c r="A886" t="inlineStr">
        <is>
          <t>ORD-00885</t>
        </is>
      </c>
      <c r="B886" s="2" t="n">
        <v>45761</v>
      </c>
      <c r="C886" s="2" t="n">
        <v>45763</v>
      </c>
      <c r="D886" t="inlineStr">
        <is>
          <t>CUST-00885</t>
        </is>
      </c>
      <c r="E886" t="inlineStr">
        <is>
          <t>Customer 885</t>
        </is>
      </c>
      <c r="F886" t="inlineStr">
        <is>
          <t>Consumer</t>
        </is>
      </c>
      <c r="G886" t="inlineStr">
        <is>
          <t>P1017</t>
        </is>
      </c>
      <c r="H886" t="inlineStr">
        <is>
          <t>Tide Cooler</t>
        </is>
      </c>
      <c r="I886" t="inlineStr">
        <is>
          <t>Office Supplies</t>
        </is>
      </c>
      <c r="J886" t="inlineStr">
        <is>
          <t>Writing</t>
        </is>
      </c>
      <c r="K886" t="inlineStr">
        <is>
          <t>South</t>
        </is>
      </c>
      <c r="L886" t="inlineStr">
        <is>
          <t>North Carolina</t>
        </is>
      </c>
      <c r="M886" t="inlineStr">
        <is>
          <t>Dallas</t>
        </is>
      </c>
      <c r="N886" t="inlineStr">
        <is>
          <t>Sophia Singh</t>
        </is>
      </c>
      <c r="O886" t="n">
        <v>4</v>
      </c>
      <c r="P886" s="3" t="n">
        <v>512.13</v>
      </c>
      <c r="Q886" s="4" t="n">
        <v>0.008</v>
      </c>
      <c r="R886" s="3" t="n">
        <v>2032.13</v>
      </c>
      <c r="S886" s="3" t="n">
        <v>1348.38</v>
      </c>
      <c r="T886" s="3" t="n">
        <v>674.55</v>
      </c>
      <c r="U886" s="4" t="n">
        <v>0.3319</v>
      </c>
      <c r="V886" s="3" t="n">
        <v>9.199999999999999</v>
      </c>
      <c r="W886" t="inlineStr">
        <is>
          <t>Cash on Delivery</t>
        </is>
      </c>
      <c r="X886" t="inlineStr">
        <is>
          <t>Low</t>
        </is>
      </c>
    </row>
    <row r="887">
      <c r="A887" t="inlineStr">
        <is>
          <t>ORD-00886</t>
        </is>
      </c>
      <c r="B887" s="2" t="n">
        <v>45117</v>
      </c>
      <c r="C887" s="2" t="n">
        <v>45119</v>
      </c>
      <c r="D887" t="inlineStr">
        <is>
          <t>CUST-00886</t>
        </is>
      </c>
      <c r="E887" t="inlineStr">
        <is>
          <t>Customer 886</t>
        </is>
      </c>
      <c r="F887" t="inlineStr">
        <is>
          <t>Corporate</t>
        </is>
      </c>
      <c r="G887" t="inlineStr">
        <is>
          <t>P1005</t>
        </is>
      </c>
      <c r="H887" t="inlineStr">
        <is>
          <t>CloudDrive File Box</t>
        </is>
      </c>
      <c r="I887" t="inlineStr">
        <is>
          <t>Technology</t>
        </is>
      </c>
      <c r="J887" t="inlineStr">
        <is>
          <t>Lighting</t>
        </is>
      </c>
      <c r="K887" t="inlineStr">
        <is>
          <t>Central</t>
        </is>
      </c>
      <c r="L887" t="inlineStr">
        <is>
          <t>Kansas</t>
        </is>
      </c>
      <c r="M887" t="inlineStr">
        <is>
          <t>Kansas City</t>
        </is>
      </c>
      <c r="N887" t="inlineStr">
        <is>
          <t>Liam Chen</t>
        </is>
      </c>
      <c r="O887" t="n">
        <v>2</v>
      </c>
      <c r="P887" s="3" t="n">
        <v>12.36</v>
      </c>
      <c r="Q887" s="4" t="n">
        <v>0.026</v>
      </c>
      <c r="R887" s="3" t="n">
        <v>24.08</v>
      </c>
      <c r="S887" s="3" t="n">
        <v>13.13</v>
      </c>
      <c r="T887" s="3" t="n">
        <v>3.35</v>
      </c>
      <c r="U887" s="4" t="n">
        <v>0.1391</v>
      </c>
      <c r="V887" s="3" t="n">
        <v>7.6</v>
      </c>
      <c r="W887" t="inlineStr">
        <is>
          <t>Debit Card</t>
        </is>
      </c>
      <c r="X887" t="inlineStr">
        <is>
          <t>Medium</t>
        </is>
      </c>
    </row>
    <row r="888">
      <c r="A888" t="inlineStr">
        <is>
          <t>ORD-00887</t>
        </is>
      </c>
      <c r="B888" s="2" t="n">
        <v>46008</v>
      </c>
      <c r="C888" s="2" t="n">
        <v>46015</v>
      </c>
      <c r="D888" t="inlineStr">
        <is>
          <t>CUST-00887</t>
        </is>
      </c>
      <c r="E888" t="inlineStr">
        <is>
          <t>Customer 887</t>
        </is>
      </c>
      <c r="F888" t="inlineStr">
        <is>
          <t>Consumer</t>
        </is>
      </c>
      <c r="G888" t="inlineStr">
        <is>
          <t>P1005</t>
        </is>
      </c>
      <c r="H888" t="inlineStr">
        <is>
          <t>Harbor Rug</t>
        </is>
      </c>
      <c r="I888" t="inlineStr">
        <is>
          <t>Office Supplies</t>
        </is>
      </c>
      <c r="J888" t="inlineStr">
        <is>
          <t>Writing</t>
        </is>
      </c>
      <c r="K888" t="inlineStr">
        <is>
          <t>Central</t>
        </is>
      </c>
      <c r="L888" t="inlineStr">
        <is>
          <t>Minnesota</t>
        </is>
      </c>
      <c r="M888" t="inlineStr">
        <is>
          <t>St. Louis</t>
        </is>
      </c>
      <c r="N888" t="inlineStr">
        <is>
          <t>Liam Chen</t>
        </is>
      </c>
      <c r="O888" t="n">
        <v>1</v>
      </c>
      <c r="P888" s="3" t="n">
        <v>13.29</v>
      </c>
      <c r="Q888" s="4" t="n">
        <v>0.001</v>
      </c>
      <c r="R888" s="3" t="n">
        <v>13.28</v>
      </c>
      <c r="S888" s="3" t="n">
        <v>9.84</v>
      </c>
      <c r="T888" s="3" t="n">
        <v>-3.36</v>
      </c>
      <c r="U888" s="4" t="n">
        <v>-0.253</v>
      </c>
      <c r="V888" s="3" t="n">
        <v>6.8</v>
      </c>
      <c r="W888" t="inlineStr">
        <is>
          <t>Credit Card</t>
        </is>
      </c>
      <c r="X888" t="inlineStr">
        <is>
          <t>Medium</t>
        </is>
      </c>
    </row>
    <row r="889">
      <c r="A889" t="inlineStr">
        <is>
          <t>ORD-00888</t>
        </is>
      </c>
      <c r="B889" s="2" t="n">
        <v>45054</v>
      </c>
      <c r="C889" s="2" t="n">
        <v>45056</v>
      </c>
      <c r="D889" t="inlineStr">
        <is>
          <t>CUST-00888</t>
        </is>
      </c>
      <c r="E889" t="inlineStr">
        <is>
          <t>Customer 888</t>
        </is>
      </c>
      <c r="F889" t="inlineStr">
        <is>
          <t>Consumer</t>
        </is>
      </c>
      <c r="G889" t="inlineStr">
        <is>
          <t>P1005</t>
        </is>
      </c>
      <c r="H889" t="inlineStr">
        <is>
          <t>Nova Laptop Stand</t>
        </is>
      </c>
      <c r="I889" t="inlineStr">
        <is>
          <t>Office Supplies</t>
        </is>
      </c>
      <c r="J889" t="inlineStr">
        <is>
          <t>Decor</t>
        </is>
      </c>
      <c r="K889" t="inlineStr">
        <is>
          <t>North</t>
        </is>
      </c>
      <c r="L889" t="inlineStr">
        <is>
          <t>Quebec</t>
        </is>
      </c>
      <c r="M889" t="inlineStr">
        <is>
          <t>Vancouver</t>
        </is>
      </c>
      <c r="N889" t="inlineStr">
        <is>
          <t>Mia Rodriguez</t>
        </is>
      </c>
      <c r="O889" t="n">
        <v>1</v>
      </c>
      <c r="P889" s="3" t="n">
        <v>12.29</v>
      </c>
      <c r="Q889" s="4" t="n">
        <v>0.018</v>
      </c>
      <c r="R889" s="3" t="n">
        <v>12.07</v>
      </c>
      <c r="S889" s="3" t="n">
        <v>8.460000000000001</v>
      </c>
      <c r="T889" s="3" t="n">
        <v>-3.19</v>
      </c>
      <c r="U889" s="4" t="n">
        <v>-0.2643</v>
      </c>
      <c r="V889" s="3" t="n">
        <v>6.8</v>
      </c>
      <c r="W889" t="inlineStr">
        <is>
          <t>Debit Card</t>
        </is>
      </c>
      <c r="X889" t="inlineStr">
        <is>
          <t>Medium</t>
        </is>
      </c>
    </row>
    <row r="890">
      <c r="A890" t="inlineStr">
        <is>
          <t>ORD-00889</t>
        </is>
      </c>
      <c r="B890" s="2" t="n">
        <v>45156</v>
      </c>
      <c r="C890" s="2" t="n">
        <v>45163</v>
      </c>
      <c r="D890" t="inlineStr">
        <is>
          <t>CUST-00889</t>
        </is>
      </c>
      <c r="E890" t="inlineStr">
        <is>
          <t>Customer 889</t>
        </is>
      </c>
      <c r="F890" t="inlineStr">
        <is>
          <t>Consumer</t>
        </is>
      </c>
      <c r="G890" t="inlineStr">
        <is>
          <t>P1014</t>
        </is>
      </c>
      <c r="H890" t="inlineStr">
        <is>
          <t>Orbit Wireless Mouse</t>
        </is>
      </c>
      <c r="I890" t="inlineStr">
        <is>
          <t>Furniture</t>
        </is>
      </c>
      <c r="J890" t="inlineStr">
        <is>
          <t>Video</t>
        </is>
      </c>
      <c r="K890" t="inlineStr">
        <is>
          <t>East</t>
        </is>
      </c>
      <c r="L890" t="inlineStr">
        <is>
          <t>New Jersey</t>
        </is>
      </c>
      <c r="M890" t="inlineStr">
        <is>
          <t>New York</t>
        </is>
      </c>
      <c r="N890" t="inlineStr">
        <is>
          <t>Olivia Martin</t>
        </is>
      </c>
      <c r="O890" t="n">
        <v>2</v>
      </c>
      <c r="P890" s="3" t="n">
        <v>45.96</v>
      </c>
      <c r="Q890" s="4" t="n">
        <v>0.006</v>
      </c>
      <c r="R890" s="3" t="n">
        <v>91.37</v>
      </c>
      <c r="S890" s="3" t="n">
        <v>44.47</v>
      </c>
      <c r="T890" s="3" t="n">
        <v>38.3</v>
      </c>
      <c r="U890" s="4" t="n">
        <v>0.4192</v>
      </c>
      <c r="V890" s="3" t="n">
        <v>8.6</v>
      </c>
      <c r="W890" t="inlineStr">
        <is>
          <t>Cash on Delivery</t>
        </is>
      </c>
      <c r="X890" t="inlineStr">
        <is>
          <t>Low</t>
        </is>
      </c>
    </row>
    <row r="891">
      <c r="A891" t="inlineStr">
        <is>
          <t>ORD-00890</t>
        </is>
      </c>
      <c r="B891" s="2" t="n">
        <v>44969</v>
      </c>
      <c r="C891" s="2" t="n">
        <v>44972</v>
      </c>
      <c r="D891" t="inlineStr">
        <is>
          <t>CUST-00890</t>
        </is>
      </c>
      <c r="E891" t="inlineStr">
        <is>
          <t>Customer 890</t>
        </is>
      </c>
      <c r="F891" t="inlineStr">
        <is>
          <t>Consumer</t>
        </is>
      </c>
      <c r="G891" t="inlineStr">
        <is>
          <t>P1002</t>
        </is>
      </c>
      <c r="H891" t="inlineStr">
        <is>
          <t>Aero Standing Desk</t>
        </is>
      </c>
      <c r="I891" t="inlineStr">
        <is>
          <t>Office Supplies</t>
        </is>
      </c>
      <c r="J891" t="inlineStr">
        <is>
          <t>Peripherals</t>
        </is>
      </c>
      <c r="K891" t="inlineStr">
        <is>
          <t>East</t>
        </is>
      </c>
      <c r="L891" t="inlineStr">
        <is>
          <t>New Jersey</t>
        </is>
      </c>
      <c r="M891" t="inlineStr">
        <is>
          <t>Boston</t>
        </is>
      </c>
      <c r="N891" t="inlineStr">
        <is>
          <t>Ava Patel</t>
        </is>
      </c>
      <c r="O891" t="n">
        <v>2</v>
      </c>
      <c r="P891" s="3" t="n">
        <v>82.90000000000001</v>
      </c>
      <c r="Q891" s="4" t="n">
        <v>0.052</v>
      </c>
      <c r="R891" s="3" t="n">
        <v>157.18</v>
      </c>
      <c r="S891" s="3" t="n">
        <v>76.66</v>
      </c>
      <c r="T891" s="3" t="n">
        <v>71.92</v>
      </c>
      <c r="U891" s="4" t="n">
        <v>0.4576</v>
      </c>
      <c r="V891" s="3" t="n">
        <v>8.6</v>
      </c>
      <c r="W891" t="inlineStr">
        <is>
          <t>PayPal</t>
        </is>
      </c>
      <c r="X891" t="inlineStr">
        <is>
          <t>High</t>
        </is>
      </c>
    </row>
    <row r="892">
      <c r="A892" t="inlineStr">
        <is>
          <t>ORD-00891</t>
        </is>
      </c>
      <c r="B892" s="2" t="n">
        <v>45917</v>
      </c>
      <c r="C892" s="2" t="n">
        <v>45922</v>
      </c>
      <c r="D892" t="inlineStr">
        <is>
          <t>CUST-00891</t>
        </is>
      </c>
      <c r="E892" t="inlineStr">
        <is>
          <t>Customer 891</t>
        </is>
      </c>
      <c r="F892" t="inlineStr">
        <is>
          <t>Consumer</t>
        </is>
      </c>
      <c r="G892" t="inlineStr">
        <is>
          <t>P1009</t>
        </is>
      </c>
      <c r="H892" t="inlineStr">
        <is>
          <t>Northstar Lantern</t>
        </is>
      </c>
      <c r="I892" t="inlineStr">
        <is>
          <t>Home Decor</t>
        </is>
      </c>
      <c r="J892" t="inlineStr">
        <is>
          <t>Paper</t>
        </is>
      </c>
      <c r="K892" t="inlineStr">
        <is>
          <t>Central</t>
        </is>
      </c>
      <c r="L892" t="inlineStr">
        <is>
          <t>Kansas</t>
        </is>
      </c>
      <c r="M892" t="inlineStr">
        <is>
          <t>Kansas City</t>
        </is>
      </c>
      <c r="N892" t="inlineStr">
        <is>
          <t>Mia Rodriguez</t>
        </is>
      </c>
      <c r="O892" t="n">
        <v>2</v>
      </c>
      <c r="P892" s="3" t="n">
        <v>88.88</v>
      </c>
      <c r="Q892" s="4" t="n">
        <v>0.001</v>
      </c>
      <c r="R892" s="3" t="n">
        <v>177.58</v>
      </c>
      <c r="S892" s="3" t="n">
        <v>91.44</v>
      </c>
      <c r="T892" s="3" t="n">
        <v>78.54000000000001</v>
      </c>
      <c r="U892" s="4" t="n">
        <v>0.4423</v>
      </c>
      <c r="V892" s="3" t="n">
        <v>7.6</v>
      </c>
      <c r="W892" t="inlineStr">
        <is>
          <t>Bank Transfer</t>
        </is>
      </c>
      <c r="X892" t="inlineStr">
        <is>
          <t>Low</t>
        </is>
      </c>
    </row>
    <row r="893">
      <c r="A893" t="inlineStr">
        <is>
          <t>ORD-00892</t>
        </is>
      </c>
      <c r="B893" s="2" t="n">
        <v>45711</v>
      </c>
      <c r="C893" s="2" t="n">
        <v>45718</v>
      </c>
      <c r="D893" t="inlineStr">
        <is>
          <t>CUST-00892</t>
        </is>
      </c>
      <c r="E893" t="inlineStr">
        <is>
          <t>Customer 892</t>
        </is>
      </c>
      <c r="F893" t="inlineStr">
        <is>
          <t>Consumer</t>
        </is>
      </c>
      <c r="G893" t="inlineStr">
        <is>
          <t>P1014</t>
        </is>
      </c>
      <c r="H893" t="inlineStr">
        <is>
          <t>Aero Standing Desk</t>
        </is>
      </c>
      <c r="I893" t="inlineStr">
        <is>
          <t>Outdoor</t>
        </is>
      </c>
      <c r="J893" t="inlineStr">
        <is>
          <t>Writing</t>
        </is>
      </c>
      <c r="K893" t="inlineStr">
        <is>
          <t>Central</t>
        </is>
      </c>
      <c r="L893" t="inlineStr">
        <is>
          <t>Minnesota</t>
        </is>
      </c>
      <c r="M893" t="inlineStr">
        <is>
          <t>Chicago</t>
        </is>
      </c>
      <c r="N893" t="inlineStr">
        <is>
          <t>Sophia Singh</t>
        </is>
      </c>
      <c r="O893" t="n">
        <v>4</v>
      </c>
      <c r="P893" s="3" t="n">
        <v>43.33</v>
      </c>
      <c r="Q893" s="4" t="n">
        <v>0.037</v>
      </c>
      <c r="R893" s="3" t="n">
        <v>166.91</v>
      </c>
      <c r="S893" s="3" t="n">
        <v>69.90000000000001</v>
      </c>
      <c r="T893" s="3" t="n">
        <v>87.81</v>
      </c>
      <c r="U893" s="4" t="n">
        <v>0.5261</v>
      </c>
      <c r="V893" s="3" t="n">
        <v>9.199999999999999</v>
      </c>
      <c r="W893" t="inlineStr">
        <is>
          <t>Credit Card</t>
        </is>
      </c>
      <c r="X893" t="inlineStr">
        <is>
          <t>High</t>
        </is>
      </c>
    </row>
    <row r="894">
      <c r="A894" t="inlineStr">
        <is>
          <t>ORD-00893</t>
        </is>
      </c>
      <c r="B894" s="2" t="n">
        <v>46002</v>
      </c>
      <c r="C894" s="2" t="n">
        <v>46004</v>
      </c>
      <c r="D894" t="inlineStr">
        <is>
          <t>CUST-00893</t>
        </is>
      </c>
      <c r="E894" t="inlineStr">
        <is>
          <t>Customer 893</t>
        </is>
      </c>
      <c r="F894" t="inlineStr">
        <is>
          <t>Consumer</t>
        </is>
      </c>
      <c r="G894" t="inlineStr">
        <is>
          <t>P1015</t>
        </is>
      </c>
      <c r="H894" t="inlineStr">
        <is>
          <t>Harbor Rug</t>
        </is>
      </c>
      <c r="I894" t="inlineStr">
        <is>
          <t>Furniture</t>
        </is>
      </c>
      <c r="J894" t="inlineStr">
        <is>
          <t>Binders</t>
        </is>
      </c>
      <c r="K894" t="inlineStr">
        <is>
          <t>South</t>
        </is>
      </c>
      <c r="L894" t="inlineStr">
        <is>
          <t>Georgia</t>
        </is>
      </c>
      <c r="M894" t="inlineStr">
        <is>
          <t>Dallas</t>
        </is>
      </c>
      <c r="N894" t="inlineStr">
        <is>
          <t>Liam Chen</t>
        </is>
      </c>
      <c r="O894" t="n">
        <v>2</v>
      </c>
      <c r="P894" s="3" t="n">
        <v>72.56</v>
      </c>
      <c r="Q894" s="4" t="n">
        <v>0.002</v>
      </c>
      <c r="R894" s="3" t="n">
        <v>144.83</v>
      </c>
      <c r="S894" s="3" t="n">
        <v>68.75</v>
      </c>
      <c r="T894" s="3" t="n">
        <v>68.48</v>
      </c>
      <c r="U894" s="4" t="n">
        <v>0.4728</v>
      </c>
      <c r="V894" s="3" t="n">
        <v>7.6</v>
      </c>
      <c r="W894" t="inlineStr">
        <is>
          <t>Credit Card</t>
        </is>
      </c>
      <c r="X894" t="inlineStr">
        <is>
          <t>Low</t>
        </is>
      </c>
    </row>
    <row r="895">
      <c r="A895" t="inlineStr">
        <is>
          <t>ORD-00894</t>
        </is>
      </c>
      <c r="B895" s="2" t="n">
        <v>45574</v>
      </c>
      <c r="C895" s="2" t="n">
        <v>45577</v>
      </c>
      <c r="D895" t="inlineStr">
        <is>
          <t>CUST-00894</t>
        </is>
      </c>
      <c r="E895" t="inlineStr">
        <is>
          <t>Customer 894</t>
        </is>
      </c>
      <c r="F895" t="inlineStr">
        <is>
          <t>Home Office</t>
        </is>
      </c>
      <c r="G895" t="inlineStr">
        <is>
          <t>P1004</t>
        </is>
      </c>
      <c r="H895" t="inlineStr">
        <is>
          <t>Summit Patio Set</t>
        </is>
      </c>
      <c r="I895" t="inlineStr">
        <is>
          <t>Office Supplies</t>
        </is>
      </c>
      <c r="J895" t="inlineStr">
        <is>
          <t>Bags</t>
        </is>
      </c>
      <c r="K895" t="inlineStr">
        <is>
          <t>East</t>
        </is>
      </c>
      <c r="L895" t="inlineStr">
        <is>
          <t>New York</t>
        </is>
      </c>
      <c r="M895" t="inlineStr">
        <is>
          <t>New York</t>
        </is>
      </c>
      <c r="N895" t="inlineStr">
        <is>
          <t>Ava Patel</t>
        </is>
      </c>
      <c r="O895" t="n">
        <v>3</v>
      </c>
      <c r="P895" s="3" t="n">
        <v>688.3</v>
      </c>
      <c r="Q895" s="4" t="n">
        <v>0.016</v>
      </c>
      <c r="R895" s="3" t="n">
        <v>2031.86</v>
      </c>
      <c r="S895" s="3" t="n">
        <v>1286.03</v>
      </c>
      <c r="T895" s="3" t="n">
        <v>736.4299999999999</v>
      </c>
      <c r="U895" s="4" t="n">
        <v>0.3624</v>
      </c>
      <c r="V895" s="3" t="n">
        <v>9.4</v>
      </c>
      <c r="W895" t="inlineStr">
        <is>
          <t>Debit Card</t>
        </is>
      </c>
      <c r="X895" t="inlineStr">
        <is>
          <t>Low</t>
        </is>
      </c>
    </row>
    <row r="896">
      <c r="A896" t="inlineStr">
        <is>
          <t>ORD-00895</t>
        </is>
      </c>
      <c r="B896" s="2" t="n">
        <v>45983</v>
      </c>
      <c r="C896" s="2" t="n">
        <v>45984</v>
      </c>
      <c r="D896" t="inlineStr">
        <is>
          <t>CUST-00895</t>
        </is>
      </c>
      <c r="E896" t="inlineStr">
        <is>
          <t>Customer 895</t>
        </is>
      </c>
      <c r="F896" t="inlineStr">
        <is>
          <t>Consumer</t>
        </is>
      </c>
      <c r="G896" t="inlineStr">
        <is>
          <t>P1006</t>
        </is>
      </c>
      <c r="H896" t="inlineStr">
        <is>
          <t>Pulse Keyboard</t>
        </is>
      </c>
      <c r="I896" t="inlineStr">
        <is>
          <t>Office Supplies</t>
        </is>
      </c>
      <c r="J896" t="inlineStr">
        <is>
          <t>Lighting</t>
        </is>
      </c>
      <c r="K896" t="inlineStr">
        <is>
          <t>South</t>
        </is>
      </c>
      <c r="L896" t="inlineStr">
        <is>
          <t>North Carolina</t>
        </is>
      </c>
      <c r="M896" t="inlineStr">
        <is>
          <t>Miami</t>
        </is>
      </c>
      <c r="N896" t="inlineStr">
        <is>
          <t>Ethan Brooks</t>
        </is>
      </c>
      <c r="O896" t="n">
        <v>5</v>
      </c>
      <c r="P896" s="3" t="n">
        <v>18.92</v>
      </c>
      <c r="Q896" s="4" t="n">
        <v>0.015</v>
      </c>
      <c r="R896" s="3" t="n">
        <v>93.18000000000001</v>
      </c>
      <c r="S896" s="3" t="n">
        <v>33.98</v>
      </c>
      <c r="T896" s="3" t="n">
        <v>49.2</v>
      </c>
      <c r="U896" s="4" t="n">
        <v>0.528</v>
      </c>
      <c r="V896" s="3" t="n">
        <v>10</v>
      </c>
      <c r="W896" t="inlineStr">
        <is>
          <t>Credit Card</t>
        </is>
      </c>
      <c r="X896" t="inlineStr">
        <is>
          <t>Medium</t>
        </is>
      </c>
    </row>
    <row r="897">
      <c r="A897" t="inlineStr">
        <is>
          <t>ORD-00896</t>
        </is>
      </c>
      <c r="B897" s="2" t="n">
        <v>45223</v>
      </c>
      <c r="C897" s="2" t="n">
        <v>45224</v>
      </c>
      <c r="D897" t="inlineStr">
        <is>
          <t>CUST-00896</t>
        </is>
      </c>
      <c r="E897" t="inlineStr">
        <is>
          <t>Customer 896</t>
        </is>
      </c>
      <c r="F897" t="inlineStr">
        <is>
          <t>Consumer</t>
        </is>
      </c>
      <c r="G897" t="inlineStr">
        <is>
          <t>P1014</t>
        </is>
      </c>
      <c r="H897" t="inlineStr">
        <is>
          <t>Lumen Desk Lamp</t>
        </is>
      </c>
      <c r="I897" t="inlineStr">
        <is>
          <t>Home Decor</t>
        </is>
      </c>
      <c r="J897" t="inlineStr">
        <is>
          <t>Flooring</t>
        </is>
      </c>
      <c r="K897" t="inlineStr">
        <is>
          <t>Central</t>
        </is>
      </c>
      <c r="L897" t="inlineStr">
        <is>
          <t>Illinois</t>
        </is>
      </c>
      <c r="M897" t="inlineStr">
        <is>
          <t>Chicago</t>
        </is>
      </c>
      <c r="N897" t="inlineStr">
        <is>
          <t>Olivia Martin</t>
        </is>
      </c>
      <c r="O897" t="n">
        <v>3</v>
      </c>
      <c r="P897" s="3" t="n">
        <v>47.58</v>
      </c>
      <c r="Q897" s="4" t="n">
        <v>0.003</v>
      </c>
      <c r="R897" s="3" t="n">
        <v>142.31</v>
      </c>
      <c r="S897" s="3" t="n">
        <v>60.17</v>
      </c>
      <c r="T897" s="3" t="n">
        <v>73.73999999999999</v>
      </c>
      <c r="U897" s="4" t="n">
        <v>0.5182</v>
      </c>
      <c r="V897" s="3" t="n">
        <v>8.4</v>
      </c>
      <c r="W897" t="inlineStr">
        <is>
          <t>Credit Card</t>
        </is>
      </c>
      <c r="X897" t="inlineStr">
        <is>
          <t>Medium</t>
        </is>
      </c>
    </row>
    <row r="898">
      <c r="A898" t="inlineStr">
        <is>
          <t>ORD-00897</t>
        </is>
      </c>
      <c r="B898" s="2" t="n">
        <v>45162</v>
      </c>
      <c r="C898" s="2" t="n">
        <v>45168</v>
      </c>
      <c r="D898" t="inlineStr">
        <is>
          <t>CUST-00897</t>
        </is>
      </c>
      <c r="E898" t="inlineStr">
        <is>
          <t>Customer 897</t>
        </is>
      </c>
      <c r="F898" t="inlineStr">
        <is>
          <t>Consumer</t>
        </is>
      </c>
      <c r="G898" t="inlineStr">
        <is>
          <t>P1005</t>
        </is>
      </c>
      <c r="H898" t="inlineStr">
        <is>
          <t>FlexNote Notebook</t>
        </is>
      </c>
      <c r="I898" t="inlineStr">
        <is>
          <t>Office Supplies</t>
        </is>
      </c>
      <c r="J898" t="inlineStr">
        <is>
          <t>Textiles</t>
        </is>
      </c>
      <c r="K898" t="inlineStr">
        <is>
          <t>East</t>
        </is>
      </c>
      <c r="L898" t="inlineStr">
        <is>
          <t>New York</t>
        </is>
      </c>
      <c r="M898" t="inlineStr">
        <is>
          <t>Philadelphia</t>
        </is>
      </c>
      <c r="N898" t="inlineStr">
        <is>
          <t>James Carter</t>
        </is>
      </c>
      <c r="O898" t="n">
        <v>3</v>
      </c>
      <c r="P898" s="3" t="n">
        <v>12.96</v>
      </c>
      <c r="Q898" s="4" t="n">
        <v>0.011</v>
      </c>
      <c r="R898" s="3" t="n">
        <v>38.45</v>
      </c>
      <c r="S898" s="3" t="n">
        <v>23.27</v>
      </c>
      <c r="T898" s="3" t="n">
        <v>5.78</v>
      </c>
      <c r="U898" s="4" t="n">
        <v>0.1503</v>
      </c>
      <c r="V898" s="3" t="n">
        <v>9.4</v>
      </c>
      <c r="W898" t="inlineStr">
        <is>
          <t>Bank Transfer</t>
        </is>
      </c>
      <c r="X898" t="inlineStr">
        <is>
          <t>Low</t>
        </is>
      </c>
    </row>
    <row r="899">
      <c r="A899" t="inlineStr">
        <is>
          <t>ORD-00898</t>
        </is>
      </c>
      <c r="B899" s="2" t="n">
        <v>45863</v>
      </c>
      <c r="C899" s="2" t="n">
        <v>45870</v>
      </c>
      <c r="D899" t="inlineStr">
        <is>
          <t>CUST-00898</t>
        </is>
      </c>
      <c r="E899" t="inlineStr">
        <is>
          <t>Customer 898</t>
        </is>
      </c>
      <c r="F899" t="inlineStr">
        <is>
          <t>Consumer</t>
        </is>
      </c>
      <c r="G899" t="inlineStr">
        <is>
          <t>P1011</t>
        </is>
      </c>
      <c r="H899" t="inlineStr">
        <is>
          <t>Harbor Rug</t>
        </is>
      </c>
      <c r="I899" t="inlineStr">
        <is>
          <t>Outdoor</t>
        </is>
      </c>
      <c r="J899" t="inlineStr">
        <is>
          <t>Storage</t>
        </is>
      </c>
      <c r="K899" t="inlineStr">
        <is>
          <t>East</t>
        </is>
      </c>
      <c r="L899" t="inlineStr">
        <is>
          <t>New York</t>
        </is>
      </c>
      <c r="M899" t="inlineStr">
        <is>
          <t>Boston</t>
        </is>
      </c>
      <c r="N899" t="inlineStr">
        <is>
          <t>Ava Patel</t>
        </is>
      </c>
      <c r="O899" t="n">
        <v>4</v>
      </c>
      <c r="P899" s="3" t="n">
        <v>92.31</v>
      </c>
      <c r="Q899" s="4" t="n">
        <v>0.052</v>
      </c>
      <c r="R899" s="3" t="n">
        <v>350.04</v>
      </c>
      <c r="S899" s="3" t="n">
        <v>165.19</v>
      </c>
      <c r="T899" s="3" t="n">
        <v>174.65</v>
      </c>
      <c r="U899" s="4" t="n">
        <v>0.4989</v>
      </c>
      <c r="V899" s="3" t="n">
        <v>10.2</v>
      </c>
      <c r="W899" t="inlineStr">
        <is>
          <t>Credit Card</t>
        </is>
      </c>
      <c r="X899" t="inlineStr">
        <is>
          <t>High</t>
        </is>
      </c>
    </row>
    <row r="900">
      <c r="A900" t="inlineStr">
        <is>
          <t>ORD-00899</t>
        </is>
      </c>
      <c r="B900" s="2" t="n">
        <v>45253</v>
      </c>
      <c r="C900" s="2" t="n">
        <v>45259</v>
      </c>
      <c r="D900" t="inlineStr">
        <is>
          <t>CUST-00899</t>
        </is>
      </c>
      <c r="E900" t="inlineStr">
        <is>
          <t>Customer 899</t>
        </is>
      </c>
      <c r="F900" t="inlineStr">
        <is>
          <t>Corporate</t>
        </is>
      </c>
      <c r="G900" t="inlineStr">
        <is>
          <t>P1014</t>
        </is>
      </c>
      <c r="H900" t="inlineStr">
        <is>
          <t>Nimbus Monitor Arm</t>
        </is>
      </c>
      <c r="I900" t="inlineStr">
        <is>
          <t>Technology</t>
        </is>
      </c>
      <c r="J900" t="inlineStr">
        <is>
          <t>Flooring</t>
        </is>
      </c>
      <c r="K900" t="inlineStr">
        <is>
          <t>West</t>
        </is>
      </c>
      <c r="L900" t="inlineStr">
        <is>
          <t>California</t>
        </is>
      </c>
      <c r="M900" t="inlineStr">
        <is>
          <t>San Francisco</t>
        </is>
      </c>
      <c r="N900" t="inlineStr">
        <is>
          <t>James Carter</t>
        </is>
      </c>
      <c r="O900" t="n">
        <v>2</v>
      </c>
      <c r="P900" s="3" t="n">
        <v>48.32</v>
      </c>
      <c r="Q900" s="4" t="n">
        <v>0.048</v>
      </c>
      <c r="R900" s="3" t="n">
        <v>92</v>
      </c>
      <c r="S900" s="3" t="n">
        <v>43.92</v>
      </c>
      <c r="T900" s="3" t="n">
        <v>39.48</v>
      </c>
      <c r="U900" s="4" t="n">
        <v>0.4291</v>
      </c>
      <c r="V900" s="3" t="n">
        <v>8.6</v>
      </c>
      <c r="W900" t="inlineStr">
        <is>
          <t>Credit Card</t>
        </is>
      </c>
      <c r="X900" t="inlineStr">
        <is>
          <t>High</t>
        </is>
      </c>
    </row>
    <row r="901">
      <c r="A901" t="inlineStr">
        <is>
          <t>ORD-00900</t>
        </is>
      </c>
      <c r="B901" s="2" t="n">
        <v>45285</v>
      </c>
      <c r="C901" s="2" t="n">
        <v>45291</v>
      </c>
      <c r="D901" t="inlineStr">
        <is>
          <t>CUST-00900</t>
        </is>
      </c>
      <c r="E901" t="inlineStr">
        <is>
          <t>Customer 900</t>
        </is>
      </c>
      <c r="F901" t="inlineStr">
        <is>
          <t>Consumer</t>
        </is>
      </c>
      <c r="G901" t="inlineStr">
        <is>
          <t>P1007</t>
        </is>
      </c>
      <c r="H901" t="inlineStr">
        <is>
          <t>Northstar Lantern</t>
        </is>
      </c>
      <c r="I901" t="inlineStr">
        <is>
          <t>Office Supplies</t>
        </is>
      </c>
      <c r="J901" t="inlineStr">
        <is>
          <t>Decor</t>
        </is>
      </c>
      <c r="K901" t="inlineStr">
        <is>
          <t>East</t>
        </is>
      </c>
      <c r="L901" t="inlineStr">
        <is>
          <t>Massachusetts</t>
        </is>
      </c>
      <c r="M901" t="inlineStr">
        <is>
          <t>New York</t>
        </is>
      </c>
      <c r="N901" t="inlineStr">
        <is>
          <t>Ava Patel</t>
        </is>
      </c>
      <c r="O901" t="n">
        <v>2</v>
      </c>
      <c r="P901" s="3" t="n">
        <v>27.33</v>
      </c>
      <c r="Q901" s="4" t="n">
        <v>0.015</v>
      </c>
      <c r="R901" s="3" t="n">
        <v>53.84</v>
      </c>
      <c r="S901" s="3" t="n">
        <v>22.38</v>
      </c>
      <c r="T901" s="3" t="n">
        <v>22.86</v>
      </c>
      <c r="U901" s="4" t="n">
        <v>0.4246</v>
      </c>
      <c r="V901" s="3" t="n">
        <v>8.6</v>
      </c>
      <c r="W901" t="inlineStr">
        <is>
          <t>Credit Card</t>
        </is>
      </c>
      <c r="X901" t="inlineStr">
        <is>
          <t>Medium</t>
        </is>
      </c>
    </row>
    <row r="902">
      <c r="A902" t="inlineStr">
        <is>
          <t>ORD-00901</t>
        </is>
      </c>
      <c r="B902" s="2" t="n">
        <v>45122</v>
      </c>
      <c r="C902" s="2" t="n">
        <v>45125</v>
      </c>
      <c r="D902" t="inlineStr">
        <is>
          <t>CUST-00901</t>
        </is>
      </c>
      <c r="E902" t="inlineStr">
        <is>
          <t>Customer 901</t>
        </is>
      </c>
      <c r="F902" t="inlineStr">
        <is>
          <t>Consumer</t>
        </is>
      </c>
      <c r="G902" t="inlineStr">
        <is>
          <t>P1014</t>
        </is>
      </c>
      <c r="H902" t="inlineStr">
        <is>
          <t>Northstar Lantern</t>
        </is>
      </c>
      <c r="I902" t="inlineStr">
        <is>
          <t>Furniture</t>
        </is>
      </c>
      <c r="J902" t="inlineStr">
        <is>
          <t>Paper</t>
        </is>
      </c>
      <c r="K902" t="inlineStr">
        <is>
          <t>East</t>
        </is>
      </c>
      <c r="L902" t="inlineStr">
        <is>
          <t>None</t>
        </is>
      </c>
      <c r="M902" t="inlineStr">
        <is>
          <t>Washington</t>
        </is>
      </c>
      <c r="N902" t="inlineStr">
        <is>
          <t>Sophia Singh</t>
        </is>
      </c>
      <c r="O902" t="n">
        <v>4</v>
      </c>
      <c r="P902" s="3" t="n">
        <v>46.76</v>
      </c>
      <c r="Q902" s="4" t="n">
        <v>0.015</v>
      </c>
      <c r="R902" s="3" t="n">
        <v>184.23</v>
      </c>
      <c r="S902" s="3" t="n">
        <v>80.11</v>
      </c>
      <c r="T902" s="3" t="n">
        <v>93.92</v>
      </c>
      <c r="U902" s="4" t="n">
        <v>0.5098</v>
      </c>
      <c r="V902" s="3" t="n">
        <v>10.2</v>
      </c>
      <c r="W902" t="inlineStr">
        <is>
          <t>Debit Card</t>
        </is>
      </c>
      <c r="X902" t="inlineStr">
        <is>
          <t>Low</t>
        </is>
      </c>
    </row>
    <row r="903">
      <c r="A903" t="inlineStr">
        <is>
          <t>ORD-00902</t>
        </is>
      </c>
      <c r="B903" s="2" t="n">
        <v>45269</v>
      </c>
      <c r="C903" s="2" t="n">
        <v>45270</v>
      </c>
      <c r="D903" t="inlineStr">
        <is>
          <t>CUST-00902</t>
        </is>
      </c>
      <c r="E903" t="inlineStr">
        <is>
          <t>Customer 902</t>
        </is>
      </c>
      <c r="F903" t="inlineStr">
        <is>
          <t>Consumer</t>
        </is>
      </c>
      <c r="G903" t="inlineStr">
        <is>
          <t>P1013</t>
        </is>
      </c>
      <c r="H903" t="inlineStr">
        <is>
          <t>Atlas Throw Pillow</t>
        </is>
      </c>
      <c r="I903" t="inlineStr">
        <is>
          <t>Home Decor</t>
        </is>
      </c>
      <c r="J903" t="inlineStr">
        <is>
          <t>Accessories</t>
        </is>
      </c>
      <c r="K903" t="inlineStr">
        <is>
          <t>East</t>
        </is>
      </c>
      <c r="L903" t="inlineStr">
        <is>
          <t>Massachusetts</t>
        </is>
      </c>
      <c r="M903" t="inlineStr">
        <is>
          <t>Boston</t>
        </is>
      </c>
      <c r="N903" t="inlineStr">
        <is>
          <t>Noah Kim</t>
        </is>
      </c>
      <c r="O903" t="n">
        <v>1</v>
      </c>
      <c r="P903" s="3" t="n">
        <v>168.33</v>
      </c>
      <c r="Q903" s="4" t="n">
        <v>0.022</v>
      </c>
      <c r="R903" s="3" t="n">
        <v>164.63</v>
      </c>
      <c r="S903" s="3" t="n">
        <v>103.55</v>
      </c>
      <c r="T903" s="3" t="n">
        <v>53.28</v>
      </c>
      <c r="U903" s="4" t="n">
        <v>0.3236</v>
      </c>
      <c r="V903" s="3" t="n">
        <v>7.8</v>
      </c>
      <c r="W903" t="inlineStr">
        <is>
          <t>Debit Card</t>
        </is>
      </c>
      <c r="X903" t="inlineStr">
        <is>
          <t>Medium</t>
        </is>
      </c>
    </row>
    <row r="904">
      <c r="A904" t="inlineStr">
        <is>
          <t>ORD-00903</t>
        </is>
      </c>
      <c r="B904" s="2" t="n">
        <v>45150</v>
      </c>
      <c r="C904" s="2" t="n">
        <v>45156</v>
      </c>
      <c r="D904" t="inlineStr">
        <is>
          <t>CUST-00903</t>
        </is>
      </c>
      <c r="E904" t="inlineStr">
        <is>
          <t>Customer 903</t>
        </is>
      </c>
      <c r="F904" t="inlineStr">
        <is>
          <t>Corporate</t>
        </is>
      </c>
      <c r="G904" t="inlineStr">
        <is>
          <t>P1018</t>
        </is>
      </c>
      <c r="H904" t="inlineStr">
        <is>
          <t>Atlas Throw Pillow</t>
        </is>
      </c>
      <c r="I904" t="inlineStr">
        <is>
          <t>Outdoor</t>
        </is>
      </c>
      <c r="J904" t="inlineStr">
        <is>
          <t>Decor</t>
        </is>
      </c>
      <c r="K904" t="inlineStr">
        <is>
          <t>South</t>
        </is>
      </c>
      <c r="L904" t="inlineStr">
        <is>
          <t>Texas</t>
        </is>
      </c>
      <c r="M904" t="inlineStr">
        <is>
          <t>Dallas</t>
        </is>
      </c>
      <c r="N904" t="inlineStr">
        <is>
          <t>James Carter</t>
        </is>
      </c>
      <c r="O904" t="n">
        <v>3</v>
      </c>
      <c r="P904" s="3" t="n">
        <v>92.27</v>
      </c>
      <c r="Q904" s="4" t="n">
        <v>0.023</v>
      </c>
      <c r="R904" s="3" t="n">
        <v>270.44</v>
      </c>
      <c r="S904" s="3" t="n">
        <v>122.43</v>
      </c>
      <c r="T904" s="3" t="n">
        <v>139.61</v>
      </c>
      <c r="U904" s="4" t="n">
        <v>0.5162</v>
      </c>
      <c r="V904" s="3" t="n">
        <v>8.4</v>
      </c>
      <c r="W904" t="inlineStr">
        <is>
          <t>Debit Card</t>
        </is>
      </c>
      <c r="X904" t="inlineStr">
        <is>
          <t>Low</t>
        </is>
      </c>
    </row>
    <row r="905">
      <c r="A905" t="inlineStr">
        <is>
          <t>ORD-00904</t>
        </is>
      </c>
      <c r="B905" s="2" t="n">
        <v>45515</v>
      </c>
      <c r="C905" s="2" t="n">
        <v>45519</v>
      </c>
      <c r="D905" t="inlineStr">
        <is>
          <t>CUST-00904</t>
        </is>
      </c>
      <c r="E905" t="inlineStr">
        <is>
          <t>Customer 904</t>
        </is>
      </c>
      <c r="F905" t="inlineStr">
        <is>
          <t>Consumer</t>
        </is>
      </c>
      <c r="G905" t="inlineStr">
        <is>
          <t>P1002</t>
        </is>
      </c>
      <c r="H905" t="inlineStr">
        <is>
          <t>Nimbus Monitor Arm</t>
        </is>
      </c>
      <c r="I905" t="inlineStr">
        <is>
          <t>Technology</t>
        </is>
      </c>
      <c r="J905" t="inlineStr">
        <is>
          <t>Flooring</t>
        </is>
      </c>
      <c r="K905" t="inlineStr">
        <is>
          <t>East</t>
        </is>
      </c>
      <c r="L905" t="inlineStr">
        <is>
          <t>Massachusetts</t>
        </is>
      </c>
      <c r="M905" t="inlineStr">
        <is>
          <t>Washington</t>
        </is>
      </c>
      <c r="N905" t="inlineStr">
        <is>
          <t>Olivia Martin</t>
        </is>
      </c>
      <c r="O905" t="n">
        <v>2</v>
      </c>
      <c r="P905" s="3" t="n">
        <v>86.58</v>
      </c>
      <c r="Q905" s="4" t="n">
        <v>0.063</v>
      </c>
      <c r="R905" s="3" t="n">
        <v>162.25</v>
      </c>
      <c r="S905" s="3" t="n">
        <v>83.31</v>
      </c>
      <c r="T905" s="3" t="n">
        <v>70.34</v>
      </c>
      <c r="U905" s="4" t="n">
        <v>0.4335</v>
      </c>
      <c r="V905" s="3" t="n">
        <v>8.6</v>
      </c>
      <c r="W905" t="inlineStr">
        <is>
          <t>Bank Transfer</t>
        </is>
      </c>
      <c r="X905" t="inlineStr">
        <is>
          <t>Critical</t>
        </is>
      </c>
    </row>
    <row r="906">
      <c r="A906" t="inlineStr">
        <is>
          <t>ORD-00905</t>
        </is>
      </c>
      <c r="B906" s="2" t="n">
        <v>45490</v>
      </c>
      <c r="C906" s="2" t="n">
        <v>45496</v>
      </c>
      <c r="D906" t="inlineStr">
        <is>
          <t>CUST-00905</t>
        </is>
      </c>
      <c r="E906" t="inlineStr">
        <is>
          <t>Customer 905</t>
        </is>
      </c>
      <c r="F906" t="inlineStr">
        <is>
          <t>Corporate</t>
        </is>
      </c>
      <c r="G906" t="inlineStr">
        <is>
          <t>P1009</t>
        </is>
      </c>
      <c r="H906" t="inlineStr">
        <is>
          <t>Nova Laptop Stand</t>
        </is>
      </c>
      <c r="I906" t="inlineStr">
        <is>
          <t>Technology</t>
        </is>
      </c>
      <c r="J906" t="inlineStr">
        <is>
          <t>Furniture</t>
        </is>
      </c>
      <c r="K906" t="inlineStr">
        <is>
          <t>South</t>
        </is>
      </c>
      <c r="L906" t="inlineStr">
        <is>
          <t>North Carolina</t>
        </is>
      </c>
      <c r="M906" t="inlineStr">
        <is>
          <t>Miami</t>
        </is>
      </c>
      <c r="N906" t="inlineStr">
        <is>
          <t>Noah Kim</t>
        </is>
      </c>
      <c r="O906" t="n">
        <v>6</v>
      </c>
      <c r="P906" s="3" t="n">
        <v>89.33</v>
      </c>
      <c r="Q906" s="4" t="n">
        <v>0.036</v>
      </c>
      <c r="R906" s="3" t="n">
        <v>516.6799999999999</v>
      </c>
      <c r="S906" s="3" t="n">
        <v>247.05</v>
      </c>
      <c r="T906" s="3" t="n">
        <v>258.83</v>
      </c>
      <c r="U906" s="4" t="n">
        <v>0.5009</v>
      </c>
      <c r="V906" s="3" t="n">
        <v>10.8</v>
      </c>
      <c r="W906" t="inlineStr">
        <is>
          <t>Credit Card</t>
        </is>
      </c>
      <c r="X906" t="inlineStr">
        <is>
          <t>Medium</t>
        </is>
      </c>
    </row>
    <row r="907">
      <c r="A907" t="inlineStr">
        <is>
          <t>ORD-00906</t>
        </is>
      </c>
      <c r="B907" s="2" t="n">
        <v>45753</v>
      </c>
      <c r="C907" s="2" t="n">
        <v>45754</v>
      </c>
      <c r="D907" t="inlineStr">
        <is>
          <t>CUST-00906</t>
        </is>
      </c>
      <c r="E907" t="inlineStr">
        <is>
          <t>Customer 906</t>
        </is>
      </c>
      <c r="F907" t="inlineStr">
        <is>
          <t>Consumer</t>
        </is>
      </c>
      <c r="G907" t="inlineStr">
        <is>
          <t>P1011</t>
        </is>
      </c>
      <c r="H907" t="inlineStr">
        <is>
          <t>Northstar Lantern</t>
        </is>
      </c>
      <c r="I907" t="inlineStr">
        <is>
          <t>Home Decor</t>
        </is>
      </c>
      <c r="J907" t="inlineStr">
        <is>
          <t>Accessories</t>
        </is>
      </c>
      <c r="K907" t="inlineStr">
        <is>
          <t>West</t>
        </is>
      </c>
      <c r="L907" t="inlineStr">
        <is>
          <t>Washington</t>
        </is>
      </c>
      <c r="M907" t="inlineStr">
        <is>
          <t>Denver</t>
        </is>
      </c>
      <c r="N907" t="inlineStr">
        <is>
          <t>Noah Kim</t>
        </is>
      </c>
      <c r="O907" t="n">
        <v>2</v>
      </c>
      <c r="P907" s="3" t="n">
        <v>95.68000000000001</v>
      </c>
      <c r="Q907" s="4" t="n">
        <v>0.016</v>
      </c>
      <c r="R907" s="3" t="n">
        <v>188.3</v>
      </c>
      <c r="S907" s="3" t="n">
        <v>93.08</v>
      </c>
      <c r="T907" s="3" t="n">
        <v>86.62</v>
      </c>
      <c r="U907" s="4" t="n">
        <v>0.46</v>
      </c>
      <c r="V907" s="3" t="n">
        <v>8.6</v>
      </c>
      <c r="W907" t="inlineStr">
        <is>
          <t>PayPal</t>
        </is>
      </c>
      <c r="X907" t="inlineStr">
        <is>
          <t>Low</t>
        </is>
      </c>
    </row>
    <row r="908">
      <c r="A908" t="inlineStr">
        <is>
          <t>ORD-00907</t>
        </is>
      </c>
      <c r="B908" s="2" t="n">
        <v>45685</v>
      </c>
      <c r="C908" s="2" t="n">
        <v>45689</v>
      </c>
      <c r="D908" t="inlineStr">
        <is>
          <t>CUST-00907</t>
        </is>
      </c>
      <c r="E908" t="inlineStr">
        <is>
          <t>Customer 907</t>
        </is>
      </c>
      <c r="F908" t="inlineStr">
        <is>
          <t>Consumer</t>
        </is>
      </c>
      <c r="G908" t="inlineStr">
        <is>
          <t>P1020</t>
        </is>
      </c>
      <c r="H908" t="inlineStr">
        <is>
          <t>ErgoMesh Chair</t>
        </is>
      </c>
      <c r="I908" t="inlineStr">
        <is>
          <t>Home Decor</t>
        </is>
      </c>
      <c r="J908" t="inlineStr">
        <is>
          <t>Writing</t>
        </is>
      </c>
      <c r="K908" t="inlineStr">
        <is>
          <t>West</t>
        </is>
      </c>
      <c r="L908" t="inlineStr">
        <is>
          <t>California</t>
        </is>
      </c>
      <c r="M908" t="inlineStr">
        <is>
          <t>Los Angeles</t>
        </is>
      </c>
      <c r="N908" t="inlineStr">
        <is>
          <t>Mia Rodriguez</t>
        </is>
      </c>
      <c r="O908" t="n">
        <v>3</v>
      </c>
      <c r="P908" s="3" t="n">
        <v>74.44</v>
      </c>
      <c r="Q908" s="4" t="n">
        <v>0.009000000000000001</v>
      </c>
      <c r="R908" s="3" t="n">
        <v>221.31</v>
      </c>
      <c r="S908" s="3" t="n">
        <v>108.22</v>
      </c>
      <c r="T908" s="3" t="n">
        <v>103.69</v>
      </c>
      <c r="U908" s="4" t="n">
        <v>0.4685</v>
      </c>
      <c r="V908" s="3" t="n">
        <v>9.4</v>
      </c>
      <c r="W908" t="inlineStr">
        <is>
          <t>Debit Card</t>
        </is>
      </c>
      <c r="X908" t="inlineStr">
        <is>
          <t>Medium</t>
        </is>
      </c>
    </row>
    <row r="909">
      <c r="A909" t="inlineStr">
        <is>
          <t>ORD-00908</t>
        </is>
      </c>
      <c r="B909" s="2" t="n">
        <v>45390</v>
      </c>
      <c r="C909" s="2" t="n">
        <v>45393</v>
      </c>
      <c r="D909" t="inlineStr">
        <is>
          <t>CUST-00908</t>
        </is>
      </c>
      <c r="E909" t="inlineStr">
        <is>
          <t>Customer 908</t>
        </is>
      </c>
      <c r="F909" t="inlineStr">
        <is>
          <t>Corporate</t>
        </is>
      </c>
      <c r="G909" t="inlineStr">
        <is>
          <t>P1011</t>
        </is>
      </c>
      <c r="H909" t="inlineStr">
        <is>
          <t>Cove Wall Clock</t>
        </is>
      </c>
      <c r="I909" t="inlineStr">
        <is>
          <t>Office Supplies</t>
        </is>
      </c>
      <c r="J909" t="inlineStr">
        <is>
          <t>Coolers</t>
        </is>
      </c>
      <c r="K909" t="inlineStr">
        <is>
          <t>North</t>
        </is>
      </c>
      <c r="L909" t="inlineStr">
        <is>
          <t>Alberta</t>
        </is>
      </c>
      <c r="M909" t="inlineStr">
        <is>
          <t>Toronto</t>
        </is>
      </c>
      <c r="N909" t="inlineStr">
        <is>
          <t>James Carter</t>
        </is>
      </c>
      <c r="O909" t="n">
        <v>2</v>
      </c>
      <c r="P909" s="3" t="n">
        <v>84.17</v>
      </c>
      <c r="Q909" s="4" t="n">
        <v>0.051</v>
      </c>
      <c r="R909" s="3" t="n">
        <v>159.75</v>
      </c>
      <c r="S909" s="3" t="n">
        <v>80.45999999999999</v>
      </c>
      <c r="T909" s="3" t="n">
        <v>71.69</v>
      </c>
      <c r="U909" s="4" t="n">
        <v>0.4488</v>
      </c>
      <c r="V909" s="3" t="n">
        <v>7.6</v>
      </c>
      <c r="W909" t="inlineStr">
        <is>
          <t>Debit Card</t>
        </is>
      </c>
      <c r="X909" t="inlineStr">
        <is>
          <t>High</t>
        </is>
      </c>
    </row>
    <row r="910">
      <c r="A910" t="inlineStr">
        <is>
          <t>ORD-00909</t>
        </is>
      </c>
      <c r="B910" s="2" t="n">
        <v>45117</v>
      </c>
      <c r="C910" s="2" t="n">
        <v>45124</v>
      </c>
      <c r="D910" t="inlineStr">
        <is>
          <t>CUST-00909</t>
        </is>
      </c>
      <c r="E910" t="inlineStr">
        <is>
          <t>Customer 909</t>
        </is>
      </c>
      <c r="F910" t="inlineStr">
        <is>
          <t>Corporate</t>
        </is>
      </c>
      <c r="G910" t="inlineStr">
        <is>
          <t>P1006</t>
        </is>
      </c>
      <c r="H910" t="inlineStr">
        <is>
          <t>Pulse Keyboard</t>
        </is>
      </c>
      <c r="I910" t="inlineStr">
        <is>
          <t>Office Supplies</t>
        </is>
      </c>
      <c r="J910" t="inlineStr">
        <is>
          <t>Peripherals</t>
        </is>
      </c>
      <c r="K910" t="inlineStr">
        <is>
          <t>Central</t>
        </is>
      </c>
      <c r="L910" t="inlineStr">
        <is>
          <t>Minnesota</t>
        </is>
      </c>
      <c r="M910" t="inlineStr">
        <is>
          <t>Kansas City</t>
        </is>
      </c>
      <c r="N910" t="inlineStr">
        <is>
          <t>James Carter</t>
        </is>
      </c>
      <c r="O910" t="n">
        <v>6</v>
      </c>
      <c r="P910" s="3" t="n">
        <v>18.97</v>
      </c>
      <c r="Q910" s="4" t="n">
        <v>0.046</v>
      </c>
      <c r="R910" s="3" t="n">
        <v>108.58</v>
      </c>
      <c r="S910" s="3" t="n">
        <v>36.85</v>
      </c>
      <c r="T910" s="3" t="n">
        <v>60.93</v>
      </c>
      <c r="U910" s="4" t="n">
        <v>0.5612</v>
      </c>
      <c r="V910" s="3" t="n">
        <v>10.8</v>
      </c>
      <c r="W910" t="inlineStr">
        <is>
          <t>Cash on Delivery</t>
        </is>
      </c>
      <c r="X910" t="inlineStr">
        <is>
          <t>Critical</t>
        </is>
      </c>
    </row>
    <row r="911">
      <c r="A911" t="inlineStr">
        <is>
          <t>ORD-00910</t>
        </is>
      </c>
      <c r="B911" s="2" t="n">
        <v>45468</v>
      </c>
      <c r="C911" s="2" t="n">
        <v>45475</v>
      </c>
      <c r="D911" t="inlineStr">
        <is>
          <t>CUST-00910</t>
        </is>
      </c>
      <c r="E911" t="inlineStr">
        <is>
          <t>Customer 910</t>
        </is>
      </c>
      <c r="F911" t="inlineStr">
        <is>
          <t>Corporate</t>
        </is>
      </c>
      <c r="G911" t="inlineStr">
        <is>
          <t>P1001</t>
        </is>
      </c>
      <c r="H911" t="inlineStr">
        <is>
          <t>Tide Cooler</t>
        </is>
      </c>
      <c r="I911" t="inlineStr">
        <is>
          <t>Technology</t>
        </is>
      </c>
      <c r="J911" t="inlineStr">
        <is>
          <t>Textiles</t>
        </is>
      </c>
      <c r="K911" t="inlineStr">
        <is>
          <t>West</t>
        </is>
      </c>
      <c r="L911" t="inlineStr">
        <is>
          <t>Washington</t>
        </is>
      </c>
      <c r="M911" t="inlineStr">
        <is>
          <t>Seattle</t>
        </is>
      </c>
      <c r="N911" t="inlineStr">
        <is>
          <t>Mia Rodriguez</t>
        </is>
      </c>
      <c r="O911" t="n">
        <v>2</v>
      </c>
      <c r="P911" s="3" t="n">
        <v>312.47</v>
      </c>
      <c r="Q911" s="4" t="n">
        <v>0.034</v>
      </c>
      <c r="R911" s="3" t="n">
        <v>603.6900000000001</v>
      </c>
      <c r="S911" s="3" t="n">
        <v>361.94</v>
      </c>
      <c r="T911" s="3" t="n">
        <v>233.15</v>
      </c>
      <c r="U911" s="4" t="n">
        <v>0.3862</v>
      </c>
      <c r="V911" s="3" t="n">
        <v>8.6</v>
      </c>
      <c r="W911" t="inlineStr">
        <is>
          <t>PayPal</t>
        </is>
      </c>
      <c r="X911" t="inlineStr">
        <is>
          <t>Medium</t>
        </is>
      </c>
    </row>
    <row r="912">
      <c r="A912" t="inlineStr">
        <is>
          <t>ORD-00911</t>
        </is>
      </c>
      <c r="B912" s="2" t="n">
        <v>45488</v>
      </c>
      <c r="C912" s="2" t="n">
        <v>45492</v>
      </c>
      <c r="D912" t="inlineStr">
        <is>
          <t>CUST-00911</t>
        </is>
      </c>
      <c r="E912" t="inlineStr">
        <is>
          <t>Customer 911</t>
        </is>
      </c>
      <c r="F912" t="inlineStr">
        <is>
          <t>Consumer</t>
        </is>
      </c>
      <c r="G912" t="inlineStr">
        <is>
          <t>P1005</t>
        </is>
      </c>
      <c r="H912" t="inlineStr">
        <is>
          <t>Trail Tote</t>
        </is>
      </c>
      <c r="I912" t="inlineStr">
        <is>
          <t>Furniture</t>
        </is>
      </c>
      <c r="J912" t="inlineStr">
        <is>
          <t>Coolers</t>
        </is>
      </c>
      <c r="K912" t="inlineStr">
        <is>
          <t>West</t>
        </is>
      </c>
      <c r="L912" t="inlineStr">
        <is>
          <t>Oregon</t>
        </is>
      </c>
      <c r="M912" t="inlineStr">
        <is>
          <t>San Francisco</t>
        </is>
      </c>
      <c r="N912" t="inlineStr">
        <is>
          <t>James Carter</t>
        </is>
      </c>
      <c r="O912" t="n">
        <v>5</v>
      </c>
      <c r="P912" s="3" t="n">
        <v>13.8</v>
      </c>
      <c r="Q912" s="4" t="n">
        <v>0.009000000000000001</v>
      </c>
      <c r="R912" s="3" t="n">
        <v>68.38</v>
      </c>
      <c r="S912" s="3" t="n">
        <v>34.74</v>
      </c>
      <c r="T912" s="3" t="n">
        <v>22.64</v>
      </c>
      <c r="U912" s="4" t="n">
        <v>0.3311</v>
      </c>
      <c r="V912" s="3" t="n">
        <v>11</v>
      </c>
      <c r="W912" t="inlineStr">
        <is>
          <t>Debit Card</t>
        </is>
      </c>
      <c r="X912" t="inlineStr">
        <is>
          <t>Medium</t>
        </is>
      </c>
    </row>
    <row r="913">
      <c r="A913" t="inlineStr">
        <is>
          <t>ORD-00912</t>
        </is>
      </c>
      <c r="B913" s="2" t="n">
        <v>45264</v>
      </c>
      <c r="C913" s="2" t="n">
        <v>45265</v>
      </c>
      <c r="D913" t="inlineStr">
        <is>
          <t>CUST-00912</t>
        </is>
      </c>
      <c r="E913" t="inlineStr">
        <is>
          <t>Customer 912</t>
        </is>
      </c>
      <c r="F913" t="inlineStr">
        <is>
          <t>Corporate</t>
        </is>
      </c>
      <c r="G913" t="inlineStr">
        <is>
          <t>P1014</t>
        </is>
      </c>
      <c r="H913" t="inlineStr">
        <is>
          <t>SmartInk Pen Set</t>
        </is>
      </c>
      <c r="I913" t="inlineStr">
        <is>
          <t>Home Decor</t>
        </is>
      </c>
      <c r="J913" t="inlineStr">
        <is>
          <t>Writing</t>
        </is>
      </c>
      <c r="K913" t="inlineStr">
        <is>
          <t>East</t>
        </is>
      </c>
      <c r="L913" t="inlineStr">
        <is>
          <t>New Jersey</t>
        </is>
      </c>
      <c r="M913" t="inlineStr">
        <is>
          <t>New York</t>
        </is>
      </c>
      <c r="N913" t="inlineStr">
        <is>
          <t>Sophia Singh</t>
        </is>
      </c>
      <c r="O913" t="n">
        <v>3</v>
      </c>
      <c r="P913" s="3" t="n">
        <v>47.25</v>
      </c>
      <c r="Q913" s="4" t="n">
        <v>0.063</v>
      </c>
      <c r="R913" s="3" t="n">
        <v>132.82</v>
      </c>
      <c r="S913" s="3" t="n">
        <v>60.31</v>
      </c>
      <c r="T913" s="3" t="n">
        <v>63.11</v>
      </c>
      <c r="U913" s="4" t="n">
        <v>0.4752</v>
      </c>
      <c r="V913" s="3" t="n">
        <v>9.4</v>
      </c>
      <c r="W913" t="inlineStr">
        <is>
          <t>Credit Card</t>
        </is>
      </c>
      <c r="X913" t="inlineStr">
        <is>
          <t>Critical</t>
        </is>
      </c>
    </row>
    <row r="914">
      <c r="A914" t="inlineStr">
        <is>
          <t>ORD-00913</t>
        </is>
      </c>
      <c r="B914" s="2" t="n">
        <v>45461</v>
      </c>
      <c r="C914" s="2" t="n">
        <v>45463</v>
      </c>
      <c r="D914" t="inlineStr">
        <is>
          <t>CUST-00913</t>
        </is>
      </c>
      <c r="E914" t="inlineStr">
        <is>
          <t>Customer 913</t>
        </is>
      </c>
      <c r="F914" t="inlineStr">
        <is>
          <t>Consumer</t>
        </is>
      </c>
      <c r="G914" t="inlineStr">
        <is>
          <t>P1016</t>
        </is>
      </c>
      <c r="H914" t="inlineStr">
        <is>
          <t>ProClip Binder</t>
        </is>
      </c>
      <c r="I914" t="inlineStr">
        <is>
          <t>Technology</t>
        </is>
      </c>
      <c r="J914" t="inlineStr">
        <is>
          <t>Desks</t>
        </is>
      </c>
      <c r="K914" t="inlineStr">
        <is>
          <t>Central</t>
        </is>
      </c>
      <c r="L914" t="inlineStr">
        <is>
          <t>Kansas</t>
        </is>
      </c>
      <c r="M914" t="inlineStr">
        <is>
          <t>Chicago</t>
        </is>
      </c>
      <c r="N914" t="inlineStr">
        <is>
          <t>Ava Patel</t>
        </is>
      </c>
      <c r="O914" t="n">
        <v>3</v>
      </c>
      <c r="P914" s="3" t="n">
        <v>37.72</v>
      </c>
      <c r="Q914" s="4" t="n">
        <v>0.001</v>
      </c>
      <c r="R914" s="3" t="n">
        <v>113.05</v>
      </c>
      <c r="S914" s="3" t="n">
        <v>46.23</v>
      </c>
      <c r="T914" s="3" t="n">
        <v>58.42</v>
      </c>
      <c r="U914" s="4" t="n">
        <v>0.5168</v>
      </c>
      <c r="V914" s="3" t="n">
        <v>8.4</v>
      </c>
      <c r="W914" t="inlineStr">
        <is>
          <t>Credit Card</t>
        </is>
      </c>
      <c r="X914" t="inlineStr">
        <is>
          <t>Low</t>
        </is>
      </c>
    </row>
    <row r="915">
      <c r="A915" t="inlineStr">
        <is>
          <t>ORD-00914</t>
        </is>
      </c>
      <c r="B915" s="2" t="n">
        <v>45484</v>
      </c>
      <c r="C915" s="2" t="n">
        <v>45488</v>
      </c>
      <c r="D915" t="inlineStr">
        <is>
          <t>CUST-00914</t>
        </is>
      </c>
      <c r="E915" t="inlineStr">
        <is>
          <t>Customer 914</t>
        </is>
      </c>
      <c r="F915" t="inlineStr">
        <is>
          <t>Corporate</t>
        </is>
      </c>
      <c r="G915" t="inlineStr">
        <is>
          <t>P1009</t>
        </is>
      </c>
      <c r="H915" t="inlineStr">
        <is>
          <t>Echo Web Camera</t>
        </is>
      </c>
      <c r="I915" t="inlineStr">
        <is>
          <t>Outdoor</t>
        </is>
      </c>
      <c r="J915" t="inlineStr">
        <is>
          <t>Lighting</t>
        </is>
      </c>
      <c r="K915" t="inlineStr">
        <is>
          <t>East</t>
        </is>
      </c>
      <c r="L915" t="inlineStr">
        <is>
          <t>New Jersey</t>
        </is>
      </c>
      <c r="M915" t="inlineStr">
        <is>
          <t>Philadelphia</t>
        </is>
      </c>
      <c r="N915" t="inlineStr">
        <is>
          <t>James Carter</t>
        </is>
      </c>
      <c r="O915" t="n">
        <v>4</v>
      </c>
      <c r="P915" s="3" t="n">
        <v>90.23</v>
      </c>
      <c r="Q915" s="4" t="n">
        <v>0.02</v>
      </c>
      <c r="R915" s="3" t="n">
        <v>353.7</v>
      </c>
      <c r="S915" s="3" t="n">
        <v>174.31</v>
      </c>
      <c r="T915" s="3" t="n">
        <v>169.19</v>
      </c>
      <c r="U915" s="4" t="n">
        <v>0.4783</v>
      </c>
      <c r="V915" s="3" t="n">
        <v>10.2</v>
      </c>
      <c r="W915" t="inlineStr">
        <is>
          <t>Credit Card</t>
        </is>
      </c>
      <c r="X915" t="inlineStr">
        <is>
          <t>Low</t>
        </is>
      </c>
    </row>
    <row r="916">
      <c r="A916" t="inlineStr">
        <is>
          <t>ORD-00915</t>
        </is>
      </c>
      <c r="B916" s="2" t="n">
        <v>45360</v>
      </c>
      <c r="C916" s="2" t="n">
        <v>45361</v>
      </c>
      <c r="D916" t="inlineStr">
        <is>
          <t>CUST-00915</t>
        </is>
      </c>
      <c r="E916" t="inlineStr">
        <is>
          <t>Customer 915</t>
        </is>
      </c>
      <c r="F916" t="inlineStr">
        <is>
          <t>Corporate</t>
        </is>
      </c>
      <c r="G916" t="inlineStr">
        <is>
          <t>P1019</t>
        </is>
      </c>
      <c r="H916" t="inlineStr">
        <is>
          <t>Lumen Desk Lamp</t>
        </is>
      </c>
      <c r="I916" t="inlineStr">
        <is>
          <t>Furniture</t>
        </is>
      </c>
      <c r="J916" t="inlineStr">
        <is>
          <t>Peripherals</t>
        </is>
      </c>
      <c r="K916" t="inlineStr">
        <is>
          <t>East</t>
        </is>
      </c>
      <c r="L916" t="inlineStr">
        <is>
          <t>New York</t>
        </is>
      </c>
      <c r="M916" t="inlineStr">
        <is>
          <t>Boston</t>
        </is>
      </c>
      <c r="N916" t="inlineStr">
        <is>
          <t>Noah Kim</t>
        </is>
      </c>
      <c r="O916" t="n">
        <v>1</v>
      </c>
      <c r="P916" s="3" t="n">
        <v>58.76</v>
      </c>
      <c r="Q916" s="4" t="n">
        <v>0.038</v>
      </c>
      <c r="R916" s="3" t="n">
        <v>56.53</v>
      </c>
      <c r="S916" s="3" t="n">
        <v>34.2</v>
      </c>
      <c r="T916" s="3" t="n">
        <v>14.53</v>
      </c>
      <c r="U916" s="4" t="n">
        <v>0.257</v>
      </c>
      <c r="V916" s="3" t="n">
        <v>7.8</v>
      </c>
      <c r="W916" t="inlineStr">
        <is>
          <t>PayPal</t>
        </is>
      </c>
      <c r="X916" t="inlineStr">
        <is>
          <t>Medium</t>
        </is>
      </c>
    </row>
    <row r="917">
      <c r="A917" t="inlineStr">
        <is>
          <t>ORD-00916</t>
        </is>
      </c>
      <c r="B917" s="2" t="n">
        <v>45300</v>
      </c>
      <c r="C917" s="2" t="n">
        <v>45306</v>
      </c>
      <c r="D917" t="inlineStr">
        <is>
          <t>CUST-00916</t>
        </is>
      </c>
      <c r="E917" t="inlineStr">
        <is>
          <t>Customer 916</t>
        </is>
      </c>
      <c r="F917" t="inlineStr">
        <is>
          <t>Consumer</t>
        </is>
      </c>
      <c r="G917" t="inlineStr">
        <is>
          <t>P1020</t>
        </is>
      </c>
      <c r="H917" t="inlineStr">
        <is>
          <t>Harbor Rug</t>
        </is>
      </c>
      <c r="I917" t="inlineStr">
        <is>
          <t>Outdoor</t>
        </is>
      </c>
      <c r="J917" t="inlineStr">
        <is>
          <t>Flooring</t>
        </is>
      </c>
      <c r="K917" t="inlineStr">
        <is>
          <t>South</t>
        </is>
      </c>
      <c r="L917" t="inlineStr">
        <is>
          <t>Florida</t>
        </is>
      </c>
      <c r="M917" t="inlineStr">
        <is>
          <t>Dallas</t>
        </is>
      </c>
      <c r="N917" t="inlineStr">
        <is>
          <t>James Carter</t>
        </is>
      </c>
      <c r="O917" t="n">
        <v>3</v>
      </c>
      <c r="P917" s="3" t="n">
        <v>72.26000000000001</v>
      </c>
      <c r="Q917" s="4" t="n">
        <v>0.044</v>
      </c>
      <c r="R917" s="3" t="n">
        <v>207.24</v>
      </c>
      <c r="S917" s="3" t="n">
        <v>98.2</v>
      </c>
      <c r="T917" s="3" t="n">
        <v>100.64</v>
      </c>
      <c r="U917" s="4" t="n">
        <v>0.4856</v>
      </c>
      <c r="V917" s="3" t="n">
        <v>8.4</v>
      </c>
      <c r="W917" t="inlineStr">
        <is>
          <t>Credit Card</t>
        </is>
      </c>
      <c r="X917" t="inlineStr">
        <is>
          <t>High</t>
        </is>
      </c>
    </row>
    <row r="918">
      <c r="A918" t="inlineStr">
        <is>
          <t>ORD-00917</t>
        </is>
      </c>
      <c r="B918" s="2" t="n">
        <v>45258</v>
      </c>
      <c r="C918" s="2" t="n">
        <v>45260</v>
      </c>
      <c r="D918" t="inlineStr">
        <is>
          <t>CUST-00917</t>
        </is>
      </c>
      <c r="E918" t="inlineStr">
        <is>
          <t>Customer 917</t>
        </is>
      </c>
      <c r="F918" t="inlineStr">
        <is>
          <t>Corporate</t>
        </is>
      </c>
      <c r="G918" t="inlineStr">
        <is>
          <t>P1008</t>
        </is>
      </c>
      <c r="H918" t="inlineStr">
        <is>
          <t>Trail Tote</t>
        </is>
      </c>
      <c r="I918" t="inlineStr">
        <is>
          <t>Technology</t>
        </is>
      </c>
      <c r="J918" t="inlineStr">
        <is>
          <t>Binders</t>
        </is>
      </c>
      <c r="K918" t="inlineStr">
        <is>
          <t>East</t>
        </is>
      </c>
      <c r="L918" t="inlineStr">
        <is>
          <t>New Jersey</t>
        </is>
      </c>
      <c r="M918" t="inlineStr">
        <is>
          <t>Philadelphia</t>
        </is>
      </c>
      <c r="N918" t="inlineStr">
        <is>
          <t>Liam Chen</t>
        </is>
      </c>
      <c r="O918" t="n">
        <v>2</v>
      </c>
      <c r="P918" s="3" t="n">
        <v>37.23</v>
      </c>
      <c r="Q918" s="4" t="n">
        <v>0.032</v>
      </c>
      <c r="R918" s="3" t="n">
        <v>72.08</v>
      </c>
      <c r="S918" s="3" t="n">
        <v>32.69</v>
      </c>
      <c r="T918" s="3" t="n">
        <v>30.79</v>
      </c>
      <c r="U918" s="4" t="n">
        <v>0.4272</v>
      </c>
      <c r="V918" s="3" t="n">
        <v>8.6</v>
      </c>
      <c r="W918" t="inlineStr">
        <is>
          <t>Debit Card</t>
        </is>
      </c>
      <c r="X918" t="inlineStr">
        <is>
          <t>Medium</t>
        </is>
      </c>
    </row>
    <row r="919">
      <c r="A919" t="inlineStr">
        <is>
          <t>ORD-00918</t>
        </is>
      </c>
      <c r="B919" s="2" t="n">
        <v>45877</v>
      </c>
      <c r="C919" s="2" t="n">
        <v>45880</v>
      </c>
      <c r="D919" t="inlineStr">
        <is>
          <t>CUST-00918</t>
        </is>
      </c>
      <c r="E919" t="inlineStr">
        <is>
          <t>Customer 918</t>
        </is>
      </c>
      <c r="F919" t="inlineStr">
        <is>
          <t>Corporate</t>
        </is>
      </c>
      <c r="G919" t="inlineStr">
        <is>
          <t>P1008</t>
        </is>
      </c>
      <c r="H919" t="inlineStr">
        <is>
          <t>ErgoMesh Chair</t>
        </is>
      </c>
      <c r="I919" t="inlineStr">
        <is>
          <t>Office Supplies</t>
        </is>
      </c>
      <c r="J919" t="inlineStr">
        <is>
          <t>Flooring</t>
        </is>
      </c>
      <c r="K919" t="inlineStr">
        <is>
          <t>South</t>
        </is>
      </c>
      <c r="L919" t="inlineStr">
        <is>
          <t>North Carolina</t>
        </is>
      </c>
      <c r="M919" t="inlineStr">
        <is>
          <t>Miami</t>
        </is>
      </c>
      <c r="N919" t="inlineStr">
        <is>
          <t>Noah Kim</t>
        </is>
      </c>
      <c r="O919" t="n">
        <v>2</v>
      </c>
      <c r="P919" s="3" t="n">
        <v>34.15</v>
      </c>
      <c r="Q919" s="4" t="n">
        <v>0.019</v>
      </c>
      <c r="R919" s="3" t="n">
        <v>67</v>
      </c>
      <c r="S919" s="3" t="n">
        <v>32.45</v>
      </c>
      <c r="T919" s="3" t="n">
        <v>26.95</v>
      </c>
      <c r="U919" s="4" t="n">
        <v>0.4022</v>
      </c>
      <c r="V919" s="3" t="n">
        <v>7.6</v>
      </c>
      <c r="W919" t="inlineStr">
        <is>
          <t>Debit Card</t>
        </is>
      </c>
      <c r="X919" t="inlineStr">
        <is>
          <t>Medium</t>
        </is>
      </c>
    </row>
    <row r="920">
      <c r="A920" t="inlineStr">
        <is>
          <t>ORD-00919</t>
        </is>
      </c>
      <c r="B920" s="2" t="n">
        <v>45933</v>
      </c>
      <c r="C920" s="2" t="n">
        <v>45940</v>
      </c>
      <c r="D920" t="inlineStr">
        <is>
          <t>CUST-00919</t>
        </is>
      </c>
      <c r="E920" t="inlineStr">
        <is>
          <t>Customer 919</t>
        </is>
      </c>
      <c r="F920" t="inlineStr">
        <is>
          <t>Consumer</t>
        </is>
      </c>
      <c r="G920" t="inlineStr">
        <is>
          <t>P1016</t>
        </is>
      </c>
      <c r="H920" t="inlineStr">
        <is>
          <t>Halo Planter</t>
        </is>
      </c>
      <c r="I920" t="inlineStr">
        <is>
          <t>Home Decor</t>
        </is>
      </c>
      <c r="J920" t="inlineStr">
        <is>
          <t>Lighting</t>
        </is>
      </c>
      <c r="K920" t="inlineStr">
        <is>
          <t>East</t>
        </is>
      </c>
      <c r="L920" t="inlineStr">
        <is>
          <t>New York</t>
        </is>
      </c>
      <c r="M920" t="inlineStr">
        <is>
          <t>Boston</t>
        </is>
      </c>
      <c r="N920" t="inlineStr">
        <is>
          <t>Sophia Singh</t>
        </is>
      </c>
      <c r="O920" t="n">
        <v>4</v>
      </c>
      <c r="P920" s="3" t="n">
        <v>41.07</v>
      </c>
      <c r="Q920" s="4" t="n">
        <v>0.052</v>
      </c>
      <c r="R920" s="3" t="n">
        <v>155.74</v>
      </c>
      <c r="S920" s="3" t="n">
        <v>66.66</v>
      </c>
      <c r="T920" s="3" t="n">
        <v>78.88</v>
      </c>
      <c r="U920" s="4" t="n">
        <v>0.5065</v>
      </c>
      <c r="V920" s="3" t="n">
        <v>10.2</v>
      </c>
      <c r="W920" t="inlineStr">
        <is>
          <t>Cash on Delivery</t>
        </is>
      </c>
      <c r="X920" t="inlineStr">
        <is>
          <t>Critical</t>
        </is>
      </c>
    </row>
    <row r="921">
      <c r="A921" t="inlineStr">
        <is>
          <t>ORD-00920</t>
        </is>
      </c>
      <c r="B921" s="2" t="n">
        <v>45006</v>
      </c>
      <c r="C921" s="2" t="n">
        <v>45009</v>
      </c>
      <c r="D921" t="inlineStr">
        <is>
          <t>CUST-00920</t>
        </is>
      </c>
      <c r="E921" t="inlineStr">
        <is>
          <t>Customer 920</t>
        </is>
      </c>
      <c r="F921" t="inlineStr">
        <is>
          <t>Home Office</t>
        </is>
      </c>
      <c r="G921" t="inlineStr">
        <is>
          <t>P1018</t>
        </is>
      </c>
      <c r="H921" t="inlineStr">
        <is>
          <t>Trail Tote</t>
        </is>
      </c>
      <c r="I921" t="inlineStr">
        <is>
          <t>Technology</t>
        </is>
      </c>
      <c r="J921" t="inlineStr">
        <is>
          <t>Decor</t>
        </is>
      </c>
      <c r="K921" t="inlineStr">
        <is>
          <t>East</t>
        </is>
      </c>
      <c r="L921" t="inlineStr">
        <is>
          <t>New York</t>
        </is>
      </c>
      <c r="M921" t="inlineStr">
        <is>
          <t>Boston</t>
        </is>
      </c>
      <c r="N921" t="inlineStr">
        <is>
          <t>Noah Kim</t>
        </is>
      </c>
      <c r="O921" t="n">
        <v>6</v>
      </c>
      <c r="P921" s="3" t="n">
        <v>85.93000000000001</v>
      </c>
      <c r="Q921" s="4" t="n">
        <v>0.02</v>
      </c>
      <c r="R921" s="3" t="n">
        <v>505.27</v>
      </c>
      <c r="S921" s="3" t="n">
        <v>223.74</v>
      </c>
      <c r="T921" s="3" t="n">
        <v>269.73</v>
      </c>
      <c r="U921" s="4" t="n">
        <v>0.5338000000000001</v>
      </c>
      <c r="V921" s="3" t="n">
        <v>11.8</v>
      </c>
      <c r="W921" t="inlineStr">
        <is>
          <t>Debit Card</t>
        </is>
      </c>
      <c r="X921" t="inlineStr">
        <is>
          <t>High</t>
        </is>
      </c>
    </row>
    <row r="922">
      <c r="A922" t="inlineStr">
        <is>
          <t>ORD-00921</t>
        </is>
      </c>
      <c r="B922" s="2" t="n">
        <v>45887</v>
      </c>
      <c r="C922" s="2" t="n">
        <v>45892</v>
      </c>
      <c r="D922" t="inlineStr">
        <is>
          <t>CUST-00921</t>
        </is>
      </c>
      <c r="E922" t="inlineStr">
        <is>
          <t>Customer 921</t>
        </is>
      </c>
      <c r="F922" t="inlineStr">
        <is>
          <t>Home Office</t>
        </is>
      </c>
      <c r="G922" t="inlineStr">
        <is>
          <t>P1008</t>
        </is>
      </c>
      <c r="H922" t="inlineStr">
        <is>
          <t>CloudDrive File Box</t>
        </is>
      </c>
      <c r="I922" t="inlineStr">
        <is>
          <t>Home Decor</t>
        </is>
      </c>
      <c r="J922" t="inlineStr">
        <is>
          <t>Flooring</t>
        </is>
      </c>
      <c r="K922" t="inlineStr">
        <is>
          <t>Central</t>
        </is>
      </c>
      <c r="L922" t="inlineStr">
        <is>
          <t>Kansas</t>
        </is>
      </c>
      <c r="M922" t="inlineStr">
        <is>
          <t>Minneapolis</t>
        </is>
      </c>
      <c r="N922" t="inlineStr">
        <is>
          <t>Liam Chen</t>
        </is>
      </c>
      <c r="O922" t="n">
        <v>6</v>
      </c>
      <c r="P922" s="3" t="n">
        <v>36.04</v>
      </c>
      <c r="Q922" s="4" t="n">
        <v>0.049</v>
      </c>
      <c r="R922" s="3" t="n">
        <v>205.64</v>
      </c>
      <c r="S922" s="3" t="n">
        <v>88.42</v>
      </c>
      <c r="T922" s="3" t="n">
        <v>106.42</v>
      </c>
      <c r="U922" s="4" t="n">
        <v>0.5175</v>
      </c>
      <c r="V922" s="3" t="n">
        <v>10.8</v>
      </c>
      <c r="W922" t="inlineStr">
        <is>
          <t>Bank Transfer</t>
        </is>
      </c>
      <c r="X922" t="inlineStr">
        <is>
          <t>Critical</t>
        </is>
      </c>
    </row>
    <row r="923">
      <c r="A923" t="inlineStr">
        <is>
          <t>ORD-00922</t>
        </is>
      </c>
      <c r="B923" s="2" t="n">
        <v>45396</v>
      </c>
      <c r="C923" s="2" t="n">
        <v>45399</v>
      </c>
      <c r="D923" t="inlineStr">
        <is>
          <t>CUST-00922</t>
        </is>
      </c>
      <c r="E923" t="inlineStr">
        <is>
          <t>Customer 922</t>
        </is>
      </c>
      <c r="F923" t="inlineStr">
        <is>
          <t>Consumer</t>
        </is>
      </c>
      <c r="G923" t="inlineStr">
        <is>
          <t>P1009</t>
        </is>
      </c>
      <c r="H923" t="inlineStr">
        <is>
          <t>Tide Cooler</t>
        </is>
      </c>
      <c r="I923" t="inlineStr">
        <is>
          <t>Office Supplies</t>
        </is>
      </c>
      <c r="J923" t="inlineStr">
        <is>
          <t>Paper</t>
        </is>
      </c>
      <c r="K923" t="inlineStr">
        <is>
          <t>South</t>
        </is>
      </c>
      <c r="L923" t="inlineStr">
        <is>
          <t>Florida</t>
        </is>
      </c>
      <c r="M923" t="inlineStr">
        <is>
          <t>Atlanta</t>
        </is>
      </c>
      <c r="N923" t="inlineStr">
        <is>
          <t>Olivia Martin</t>
        </is>
      </c>
      <c r="O923" t="n">
        <v>4</v>
      </c>
      <c r="P923" s="3" t="n">
        <v>87.98</v>
      </c>
      <c r="Q923" s="4" t="n">
        <v>0.012</v>
      </c>
      <c r="R923" s="3" t="n">
        <v>347.7</v>
      </c>
      <c r="S923" s="3" t="n">
        <v>169.01</v>
      </c>
      <c r="T923" s="3" t="n">
        <v>169.49</v>
      </c>
      <c r="U923" s="4" t="n">
        <v>0.4875</v>
      </c>
      <c r="V923" s="3" t="n">
        <v>9.199999999999999</v>
      </c>
      <c r="W923" t="inlineStr">
        <is>
          <t>PayPal</t>
        </is>
      </c>
      <c r="X923" t="inlineStr">
        <is>
          <t>Low</t>
        </is>
      </c>
    </row>
    <row r="924">
      <c r="A924" t="inlineStr">
        <is>
          <t>ORD-00923</t>
        </is>
      </c>
      <c r="B924" s="2" t="n">
        <v>45750</v>
      </c>
      <c r="C924" s="2" t="n">
        <v>45755</v>
      </c>
      <c r="D924" t="inlineStr">
        <is>
          <t>CUST-00923</t>
        </is>
      </c>
      <c r="E924" t="inlineStr">
        <is>
          <t>Customer 923</t>
        </is>
      </c>
      <c r="F924" t="inlineStr">
        <is>
          <t>Home Office</t>
        </is>
      </c>
      <c r="G924" t="inlineStr">
        <is>
          <t>P1005</t>
        </is>
      </c>
      <c r="H924" t="inlineStr">
        <is>
          <t>Halo Planter</t>
        </is>
      </c>
      <c r="I924" t="inlineStr">
        <is>
          <t>Home Decor</t>
        </is>
      </c>
      <c r="J924" t="inlineStr">
        <is>
          <t>Accessories</t>
        </is>
      </c>
      <c r="K924" t="inlineStr">
        <is>
          <t>East</t>
        </is>
      </c>
      <c r="L924" t="inlineStr">
        <is>
          <t>New Jersey</t>
        </is>
      </c>
      <c r="M924" t="inlineStr">
        <is>
          <t>Washington</t>
        </is>
      </c>
      <c r="N924" t="inlineStr">
        <is>
          <t>Liam Chen</t>
        </is>
      </c>
      <c r="O924" t="n">
        <v>5</v>
      </c>
      <c r="P924" s="3" t="n">
        <v>12.53</v>
      </c>
      <c r="Q924" s="4" t="n">
        <v>0.023</v>
      </c>
      <c r="R924" s="3" t="n">
        <v>61.21</v>
      </c>
      <c r="S924" s="3" t="n">
        <v>31.64</v>
      </c>
      <c r="T924" s="3" t="n">
        <v>18.57</v>
      </c>
      <c r="U924" s="4" t="n">
        <v>0.3034</v>
      </c>
      <c r="V924" s="3" t="n">
        <v>11</v>
      </c>
      <c r="W924" t="inlineStr">
        <is>
          <t>Debit Card</t>
        </is>
      </c>
      <c r="X924" t="inlineStr">
        <is>
          <t>Medium</t>
        </is>
      </c>
    </row>
    <row r="925">
      <c r="A925" t="inlineStr">
        <is>
          <t>ORD-00924</t>
        </is>
      </c>
      <c r="B925" s="2" t="n">
        <v>45674</v>
      </c>
      <c r="C925" s="2" t="n">
        <v>45677</v>
      </c>
      <c r="D925" t="inlineStr">
        <is>
          <t>CUST-00924</t>
        </is>
      </c>
      <c r="E925" t="inlineStr">
        <is>
          <t>Customer 924</t>
        </is>
      </c>
      <c r="F925" t="inlineStr">
        <is>
          <t>Consumer</t>
        </is>
      </c>
      <c r="G925" t="inlineStr">
        <is>
          <t>P1002</t>
        </is>
      </c>
      <c r="H925" t="inlineStr">
        <is>
          <t>CloudDrive File Box</t>
        </is>
      </c>
      <c r="I925" t="inlineStr">
        <is>
          <t>Office Supplies</t>
        </is>
      </c>
      <c r="J925" t="inlineStr">
        <is>
          <t>Desks</t>
        </is>
      </c>
      <c r="K925" t="inlineStr">
        <is>
          <t>East</t>
        </is>
      </c>
      <c r="L925" t="inlineStr">
        <is>
          <t>New York</t>
        </is>
      </c>
      <c r="M925" t="inlineStr">
        <is>
          <t>Washington</t>
        </is>
      </c>
      <c r="N925" t="inlineStr">
        <is>
          <t>Liam Chen</t>
        </is>
      </c>
      <c r="O925" t="n">
        <v>5</v>
      </c>
      <c r="P925" s="3" t="n">
        <v>77.81999999999999</v>
      </c>
      <c r="Q925" s="4" t="n">
        <v>0.056</v>
      </c>
      <c r="R925" s="3" t="n">
        <v>367.31</v>
      </c>
      <c r="S925" s="3" t="n">
        <v>168.72</v>
      </c>
      <c r="T925" s="3" t="n">
        <v>187.59</v>
      </c>
      <c r="U925" s="4" t="n">
        <v>0.5107</v>
      </c>
      <c r="V925" s="3" t="n">
        <v>11</v>
      </c>
      <c r="W925" t="inlineStr">
        <is>
          <t>Debit Card</t>
        </is>
      </c>
      <c r="X925" t="inlineStr">
        <is>
          <t>High</t>
        </is>
      </c>
    </row>
    <row r="926">
      <c r="A926" t="inlineStr">
        <is>
          <t>ORD-00925</t>
        </is>
      </c>
      <c r="B926" s="2" t="n">
        <v>45355</v>
      </c>
      <c r="C926" s="2" t="n">
        <v>45358</v>
      </c>
      <c r="D926" t="inlineStr">
        <is>
          <t>CUST-00925</t>
        </is>
      </c>
      <c r="E926" t="inlineStr">
        <is>
          <t>Customer 925</t>
        </is>
      </c>
      <c r="F926" t="inlineStr">
        <is>
          <t>Corporate</t>
        </is>
      </c>
      <c r="G926" t="inlineStr">
        <is>
          <t>P1014</t>
        </is>
      </c>
      <c r="H926" t="inlineStr">
        <is>
          <t>Lumen Desk Lamp</t>
        </is>
      </c>
      <c r="I926" t="inlineStr">
        <is>
          <t>Outdoor</t>
        </is>
      </c>
      <c r="J926" t="inlineStr">
        <is>
          <t>Decor</t>
        </is>
      </c>
      <c r="K926" t="inlineStr">
        <is>
          <t>East</t>
        </is>
      </c>
      <c r="L926" t="inlineStr">
        <is>
          <t>New Jersey</t>
        </is>
      </c>
      <c r="M926" t="inlineStr">
        <is>
          <t>Washington</t>
        </is>
      </c>
      <c r="N926" t="inlineStr">
        <is>
          <t>Sophia Singh</t>
        </is>
      </c>
      <c r="O926" t="n">
        <v>2</v>
      </c>
      <c r="P926" s="3" t="n">
        <v>43.38</v>
      </c>
      <c r="Q926" s="4" t="n">
        <v>0.06</v>
      </c>
      <c r="R926" s="3" t="n">
        <v>81.55</v>
      </c>
      <c r="S926" s="3" t="n">
        <v>36.05</v>
      </c>
      <c r="T926" s="3" t="n">
        <v>36.9</v>
      </c>
      <c r="U926" s="4" t="n">
        <v>0.4525</v>
      </c>
      <c r="V926" s="3" t="n">
        <v>8.6</v>
      </c>
      <c r="W926" t="inlineStr">
        <is>
          <t>Credit Card</t>
        </is>
      </c>
      <c r="X926" t="inlineStr">
        <is>
          <t>High</t>
        </is>
      </c>
    </row>
    <row r="927">
      <c r="A927" t="inlineStr">
        <is>
          <t>ORD-00926</t>
        </is>
      </c>
      <c r="B927" s="2" t="n">
        <v>45067</v>
      </c>
      <c r="C927" s="2" t="n">
        <v>45070</v>
      </c>
      <c r="D927" t="inlineStr">
        <is>
          <t>CUST-00926</t>
        </is>
      </c>
      <c r="E927" t="inlineStr">
        <is>
          <t>Customer 926</t>
        </is>
      </c>
      <c r="F927" t="inlineStr">
        <is>
          <t>Home Office</t>
        </is>
      </c>
      <c r="G927" t="inlineStr">
        <is>
          <t>P1018</t>
        </is>
      </c>
      <c r="H927" t="inlineStr">
        <is>
          <t>Pulse Keyboard</t>
        </is>
      </c>
      <c r="I927" t="inlineStr">
        <is>
          <t>Furniture</t>
        </is>
      </c>
      <c r="J927" t="inlineStr">
        <is>
          <t>Coolers</t>
        </is>
      </c>
      <c r="K927" t="inlineStr">
        <is>
          <t>Central</t>
        </is>
      </c>
      <c r="L927" t="inlineStr">
        <is>
          <t>Illinois</t>
        </is>
      </c>
      <c r="M927" t="inlineStr">
        <is>
          <t>Kansas City</t>
        </is>
      </c>
      <c r="N927" t="inlineStr">
        <is>
          <t>Noah Kim</t>
        </is>
      </c>
      <c r="O927" t="n">
        <v>1</v>
      </c>
      <c r="P927" s="3" t="n">
        <v>88.94</v>
      </c>
      <c r="Q927" s="4" t="n">
        <v>0.011</v>
      </c>
      <c r="R927" s="3" t="n">
        <v>87.95999999999999</v>
      </c>
      <c r="S927" s="3" t="n">
        <v>48.14</v>
      </c>
      <c r="T927" s="3" t="n">
        <v>33.02</v>
      </c>
      <c r="U927" s="4" t="n">
        <v>0.3754</v>
      </c>
      <c r="V927" s="3" t="n">
        <v>6.8</v>
      </c>
      <c r="W927" t="inlineStr">
        <is>
          <t>Bank Transfer</t>
        </is>
      </c>
      <c r="X927" t="inlineStr">
        <is>
          <t>Medium</t>
        </is>
      </c>
    </row>
    <row r="928">
      <c r="A928" t="inlineStr">
        <is>
          <t>ORD-00927</t>
        </is>
      </c>
      <c r="B928" s="2" t="n">
        <v>45013</v>
      </c>
      <c r="C928" s="2" t="n">
        <v>45018</v>
      </c>
      <c r="D928" t="inlineStr">
        <is>
          <t>CUST-00927</t>
        </is>
      </c>
      <c r="E928" t="inlineStr">
        <is>
          <t>Customer 927</t>
        </is>
      </c>
      <c r="F928" t="inlineStr">
        <is>
          <t>Corporate</t>
        </is>
      </c>
      <c r="G928" t="inlineStr">
        <is>
          <t>P1013</t>
        </is>
      </c>
      <c r="H928" t="inlineStr">
        <is>
          <t>CloudDrive File Box</t>
        </is>
      </c>
      <c r="I928" t="inlineStr">
        <is>
          <t>Office Supplies</t>
        </is>
      </c>
      <c r="J928" t="inlineStr">
        <is>
          <t>Peripherals</t>
        </is>
      </c>
      <c r="K928" t="inlineStr">
        <is>
          <t>South</t>
        </is>
      </c>
      <c r="L928" t="inlineStr">
        <is>
          <t>Georgia</t>
        </is>
      </c>
      <c r="M928" t="inlineStr">
        <is>
          <t>Dallas</t>
        </is>
      </c>
      <c r="N928" t="inlineStr">
        <is>
          <t>Sophia Singh</t>
        </is>
      </c>
      <c r="O928" t="n">
        <v>1</v>
      </c>
      <c r="P928" s="3" t="n">
        <v>154.1</v>
      </c>
      <c r="Q928" s="4" t="n">
        <v>0.042</v>
      </c>
      <c r="R928" s="3" t="n">
        <v>147.63</v>
      </c>
      <c r="S928" s="3" t="n">
        <v>90.59999999999999</v>
      </c>
      <c r="T928" s="3" t="n">
        <v>50.23</v>
      </c>
      <c r="U928" s="4" t="n">
        <v>0.3402</v>
      </c>
      <c r="V928" s="3" t="n">
        <v>6.8</v>
      </c>
      <c r="W928" t="inlineStr">
        <is>
          <t>PayPal</t>
        </is>
      </c>
      <c r="X928" t="inlineStr">
        <is>
          <t>High</t>
        </is>
      </c>
    </row>
    <row r="929">
      <c r="A929" t="inlineStr">
        <is>
          <t>ORD-00928</t>
        </is>
      </c>
      <c r="B929" s="2" t="n">
        <v>45644</v>
      </c>
      <c r="C929" s="2" t="n">
        <v>45650</v>
      </c>
      <c r="D929" t="inlineStr">
        <is>
          <t>CUST-00928</t>
        </is>
      </c>
      <c r="E929" t="inlineStr">
        <is>
          <t>Customer 928</t>
        </is>
      </c>
      <c r="F929" t="inlineStr">
        <is>
          <t>Consumer</t>
        </is>
      </c>
      <c r="G929" t="inlineStr">
        <is>
          <t>P1012</t>
        </is>
      </c>
      <c r="H929" t="inlineStr">
        <is>
          <t>Harbor Rug</t>
        </is>
      </c>
      <c r="I929" t="inlineStr">
        <is>
          <t>Home Decor</t>
        </is>
      </c>
      <c r="J929" t="inlineStr">
        <is>
          <t>Lighting</t>
        </is>
      </c>
      <c r="K929" t="inlineStr">
        <is>
          <t>South</t>
        </is>
      </c>
      <c r="L929" t="inlineStr">
        <is>
          <t>Texas</t>
        </is>
      </c>
      <c r="M929" t="inlineStr">
        <is>
          <t>Dallas</t>
        </is>
      </c>
      <c r="N929" t="inlineStr">
        <is>
          <t>Ethan Brooks</t>
        </is>
      </c>
      <c r="O929" t="n">
        <v>2</v>
      </c>
      <c r="P929" s="3" t="n">
        <v>133.78</v>
      </c>
      <c r="Q929" s="4" t="n">
        <v>0.005</v>
      </c>
      <c r="R929" s="3" t="n">
        <v>266.22</v>
      </c>
      <c r="S929" s="3" t="n">
        <v>135.35</v>
      </c>
      <c r="T929" s="3" t="n">
        <v>123.27</v>
      </c>
      <c r="U929" s="4" t="n">
        <v>0.463</v>
      </c>
      <c r="V929" s="3" t="n">
        <v>7.6</v>
      </c>
      <c r="W929" t="inlineStr">
        <is>
          <t>Debit Card</t>
        </is>
      </c>
      <c r="X929" t="inlineStr">
        <is>
          <t>Low</t>
        </is>
      </c>
    </row>
    <row r="930">
      <c r="A930" t="inlineStr">
        <is>
          <t>ORD-00929</t>
        </is>
      </c>
      <c r="B930" s="2" t="n">
        <v>45427</v>
      </c>
      <c r="C930" s="2" t="n">
        <v>45432</v>
      </c>
      <c r="D930" t="inlineStr">
        <is>
          <t>CUST-00929</t>
        </is>
      </c>
      <c r="E930" t="inlineStr">
        <is>
          <t>Customer 929</t>
        </is>
      </c>
      <c r="F930" t="inlineStr">
        <is>
          <t>Home Office</t>
        </is>
      </c>
      <c r="G930" t="inlineStr">
        <is>
          <t>P1015</t>
        </is>
      </c>
      <c r="H930" t="inlineStr">
        <is>
          <t>ErgoMesh Chair</t>
        </is>
      </c>
      <c r="I930" t="inlineStr">
        <is>
          <t>Furniture</t>
        </is>
      </c>
      <c r="J930" t="inlineStr">
        <is>
          <t>Lighting</t>
        </is>
      </c>
      <c r="K930" t="inlineStr">
        <is>
          <t>East</t>
        </is>
      </c>
      <c r="L930" t="inlineStr">
        <is>
          <t>Massachusetts</t>
        </is>
      </c>
      <c r="M930" t="inlineStr">
        <is>
          <t>Boston</t>
        </is>
      </c>
      <c r="N930" t="inlineStr">
        <is>
          <t>Liam Chen</t>
        </is>
      </c>
      <c r="O930" t="n">
        <v>4</v>
      </c>
      <c r="P930" s="3" t="n">
        <v>68.12</v>
      </c>
      <c r="Q930" s="4" t="n">
        <v>0.013</v>
      </c>
      <c r="R930" s="3" t="n">
        <v>268.94</v>
      </c>
      <c r="S930" s="3" t="n">
        <v>122.28</v>
      </c>
      <c r="T930" s="3" t="n">
        <v>136.46</v>
      </c>
      <c r="U930" s="4" t="n">
        <v>0.5074</v>
      </c>
      <c r="V930" s="3" t="n">
        <v>10.2</v>
      </c>
      <c r="W930" t="inlineStr">
        <is>
          <t>Bank Transfer</t>
        </is>
      </c>
      <c r="X930" t="inlineStr">
        <is>
          <t>Low</t>
        </is>
      </c>
    </row>
    <row r="931">
      <c r="A931" t="inlineStr">
        <is>
          <t>ORD-00930</t>
        </is>
      </c>
      <c r="B931" s="2" t="n">
        <v>45004</v>
      </c>
      <c r="C931" s="2" t="n">
        <v>45008</v>
      </c>
      <c r="D931" t="inlineStr">
        <is>
          <t>CUST-00930</t>
        </is>
      </c>
      <c r="E931" t="inlineStr">
        <is>
          <t>Customer 930</t>
        </is>
      </c>
      <c r="F931" t="inlineStr">
        <is>
          <t>Consumer</t>
        </is>
      </c>
      <c r="G931" t="inlineStr">
        <is>
          <t>P1015</t>
        </is>
      </c>
      <c r="H931" t="inlineStr">
        <is>
          <t>Tide Cooler</t>
        </is>
      </c>
      <c r="I931" t="inlineStr">
        <is>
          <t>Home Decor</t>
        </is>
      </c>
      <c r="J931" t="inlineStr">
        <is>
          <t>Lighting</t>
        </is>
      </c>
      <c r="K931" t="inlineStr">
        <is>
          <t>South</t>
        </is>
      </c>
      <c r="L931" t="inlineStr">
        <is>
          <t>Georgia</t>
        </is>
      </c>
      <c r="M931" t="inlineStr">
        <is>
          <t>Atlanta</t>
        </is>
      </c>
      <c r="N931" t="inlineStr">
        <is>
          <t>Noah Kim</t>
        </is>
      </c>
      <c r="O931" t="n">
        <v>5</v>
      </c>
      <c r="P931" s="3" t="n">
        <v>66.44</v>
      </c>
      <c r="Q931" s="4" t="n">
        <v>0.029</v>
      </c>
      <c r="R931" s="3" t="n">
        <v>322.57</v>
      </c>
      <c r="S931" s="3" t="n">
        <v>147.34</v>
      </c>
      <c r="T931" s="3" t="n">
        <v>165.23</v>
      </c>
      <c r="U931" s="4" t="n">
        <v>0.5122</v>
      </c>
      <c r="V931" s="3" t="n">
        <v>10</v>
      </c>
      <c r="W931" t="inlineStr">
        <is>
          <t>Debit Card</t>
        </is>
      </c>
      <c r="X931" t="inlineStr">
        <is>
          <t>Medium</t>
        </is>
      </c>
    </row>
    <row r="932">
      <c r="A932" t="inlineStr">
        <is>
          <t>ORD-00931</t>
        </is>
      </c>
      <c r="B932" s="2" t="n">
        <v>45044</v>
      </c>
      <c r="C932" s="2" t="n">
        <v>45045</v>
      </c>
      <c r="D932" t="inlineStr">
        <is>
          <t>CUST-00931</t>
        </is>
      </c>
      <c r="E932" t="inlineStr">
        <is>
          <t>Customer 931</t>
        </is>
      </c>
      <c r="F932" t="inlineStr">
        <is>
          <t>Consumer</t>
        </is>
      </c>
      <c r="G932" t="inlineStr">
        <is>
          <t>P1001</t>
        </is>
      </c>
      <c r="H932" t="inlineStr">
        <is>
          <t>FlexNote Notebook</t>
        </is>
      </c>
      <c r="I932" t="inlineStr">
        <is>
          <t>Furniture</t>
        </is>
      </c>
      <c r="J932" t="inlineStr">
        <is>
          <t>Accessories</t>
        </is>
      </c>
      <c r="K932" t="inlineStr">
        <is>
          <t>East</t>
        </is>
      </c>
      <c r="L932" t="inlineStr">
        <is>
          <t>Massachusetts</t>
        </is>
      </c>
      <c r="M932" t="inlineStr">
        <is>
          <t>New York</t>
        </is>
      </c>
      <c r="N932" t="inlineStr">
        <is>
          <t>Mia Rodriguez</t>
        </is>
      </c>
      <c r="O932" t="n">
        <v>2</v>
      </c>
      <c r="P932" s="3" t="n">
        <v>306.99</v>
      </c>
      <c r="Q932" s="4" t="n">
        <v>0.017</v>
      </c>
      <c r="R932" s="3" t="n">
        <v>603.54</v>
      </c>
      <c r="S932" s="3" t="n">
        <v>356.28</v>
      </c>
      <c r="T932" s="3" t="n">
        <v>238.66</v>
      </c>
      <c r="U932" s="4" t="n">
        <v>0.3954</v>
      </c>
      <c r="V932" s="3" t="n">
        <v>8.6</v>
      </c>
      <c r="W932" t="inlineStr">
        <is>
          <t>Debit Card</t>
        </is>
      </c>
      <c r="X932" t="inlineStr">
        <is>
          <t>High</t>
        </is>
      </c>
    </row>
    <row r="933">
      <c r="A933" t="inlineStr">
        <is>
          <t>ORD-00932</t>
        </is>
      </c>
      <c r="B933" s="2" t="n">
        <v>45891</v>
      </c>
      <c r="C933" s="2" t="n">
        <v>45892</v>
      </c>
      <c r="D933" t="inlineStr">
        <is>
          <t>CUST-00932</t>
        </is>
      </c>
      <c r="E933" t="inlineStr">
        <is>
          <t>Customer 932</t>
        </is>
      </c>
      <c r="F933" t="inlineStr">
        <is>
          <t>Consumer</t>
        </is>
      </c>
      <c r="G933" t="inlineStr">
        <is>
          <t>P1007</t>
        </is>
      </c>
      <c r="H933" t="inlineStr">
        <is>
          <t>ErgoMesh Chair</t>
        </is>
      </c>
      <c r="I933" t="inlineStr">
        <is>
          <t>Technology</t>
        </is>
      </c>
      <c r="J933" t="inlineStr">
        <is>
          <t>Textiles</t>
        </is>
      </c>
      <c r="K933" t="inlineStr">
        <is>
          <t>South</t>
        </is>
      </c>
      <c r="L933" t="inlineStr">
        <is>
          <t>Texas</t>
        </is>
      </c>
      <c r="M933" t="inlineStr">
        <is>
          <t>Atlanta</t>
        </is>
      </c>
      <c r="N933" t="inlineStr">
        <is>
          <t>Sophia Singh</t>
        </is>
      </c>
      <c r="O933" t="n">
        <v>1</v>
      </c>
      <c r="P933" s="3" t="n">
        <v>23.56</v>
      </c>
      <c r="Q933" s="4" t="n">
        <v>0.07199999999999999</v>
      </c>
      <c r="R933" s="3" t="n">
        <v>21.86</v>
      </c>
      <c r="S933" s="3" t="n">
        <v>14.29</v>
      </c>
      <c r="T933" s="3" t="n">
        <v>0.77</v>
      </c>
      <c r="U933" s="4" t="n">
        <v>0.0352</v>
      </c>
      <c r="V933" s="3" t="n">
        <v>6.8</v>
      </c>
      <c r="W933" t="inlineStr">
        <is>
          <t>Debit Card</t>
        </is>
      </c>
      <c r="X933" t="inlineStr">
        <is>
          <t>Critical</t>
        </is>
      </c>
    </row>
    <row r="934">
      <c r="A934" t="inlineStr">
        <is>
          <t>ORD-00933</t>
        </is>
      </c>
      <c r="B934" s="2" t="n">
        <v>45694</v>
      </c>
      <c r="C934" s="2" t="n">
        <v>45700</v>
      </c>
      <c r="D934" t="inlineStr">
        <is>
          <t>CUST-00933</t>
        </is>
      </c>
      <c r="E934" t="inlineStr">
        <is>
          <t>Customer 933</t>
        </is>
      </c>
      <c r="F934" t="inlineStr">
        <is>
          <t>Home Office</t>
        </is>
      </c>
      <c r="G934" t="inlineStr">
        <is>
          <t>P1013</t>
        </is>
      </c>
      <c r="H934" t="inlineStr">
        <is>
          <t>Echo Web Camera</t>
        </is>
      </c>
      <c r="I934" t="inlineStr">
        <is>
          <t>Office Supplies</t>
        </is>
      </c>
      <c r="J934" t="inlineStr">
        <is>
          <t>Chairs</t>
        </is>
      </c>
      <c r="K934" t="inlineStr">
        <is>
          <t>South</t>
        </is>
      </c>
      <c r="L934" t="inlineStr">
        <is>
          <t>Florida</t>
        </is>
      </c>
      <c r="M934" t="inlineStr">
        <is>
          <t>Dallas</t>
        </is>
      </c>
      <c r="N934" t="inlineStr">
        <is>
          <t>Mia Rodriguez</t>
        </is>
      </c>
      <c r="O934" t="n">
        <v>2</v>
      </c>
      <c r="P934" s="3" t="n">
        <v>159.19</v>
      </c>
      <c r="Q934" s="4" t="n">
        <v>0.01</v>
      </c>
      <c r="R934" s="3" t="n">
        <v>315.2</v>
      </c>
      <c r="S934" s="3" t="n">
        <v>181.46</v>
      </c>
      <c r="T934" s="3" t="n">
        <v>126.14</v>
      </c>
      <c r="U934" s="4" t="n">
        <v>0.4002</v>
      </c>
      <c r="V934" s="3" t="n">
        <v>7.6</v>
      </c>
      <c r="W934" t="inlineStr">
        <is>
          <t>Cash on Delivery</t>
        </is>
      </c>
      <c r="X934" t="inlineStr">
        <is>
          <t>Medium</t>
        </is>
      </c>
    </row>
    <row r="935">
      <c r="A935" t="inlineStr">
        <is>
          <t>ORD-00934</t>
        </is>
      </c>
      <c r="B935" s="2" t="n">
        <v>45611</v>
      </c>
      <c r="C935" s="2" t="n">
        <v>45612</v>
      </c>
      <c r="D935" t="inlineStr">
        <is>
          <t>CUST-00934</t>
        </is>
      </c>
      <c r="E935" t="inlineStr">
        <is>
          <t>Customer 934</t>
        </is>
      </c>
      <c r="F935" t="inlineStr">
        <is>
          <t>Home Office</t>
        </is>
      </c>
      <c r="G935" t="inlineStr">
        <is>
          <t>P1018</t>
        </is>
      </c>
      <c r="H935" t="inlineStr">
        <is>
          <t>FlexNote Notebook</t>
        </is>
      </c>
      <c r="I935" t="inlineStr">
        <is>
          <t>Technology</t>
        </is>
      </c>
      <c r="J935" t="inlineStr">
        <is>
          <t>Peripherals</t>
        </is>
      </c>
      <c r="K935" t="inlineStr">
        <is>
          <t>Central</t>
        </is>
      </c>
      <c r="L935" t="inlineStr">
        <is>
          <t>Missouri</t>
        </is>
      </c>
      <c r="M935" t="inlineStr">
        <is>
          <t>St. Louis</t>
        </is>
      </c>
      <c r="N935" t="inlineStr">
        <is>
          <t>Ethan Brooks</t>
        </is>
      </c>
      <c r="O935" t="n">
        <v>4</v>
      </c>
      <c r="P935" s="3" t="n">
        <v>96.98</v>
      </c>
      <c r="Q935" s="4" t="n">
        <v>0.026</v>
      </c>
      <c r="R935" s="3" t="n">
        <v>377.83</v>
      </c>
      <c r="S935" s="3" t="n">
        <v>174.06</v>
      </c>
      <c r="T935" s="3" t="n">
        <v>194.57</v>
      </c>
      <c r="U935" s="4" t="n">
        <v>0.515</v>
      </c>
      <c r="V935" s="3" t="n">
        <v>9.199999999999999</v>
      </c>
      <c r="W935" t="inlineStr">
        <is>
          <t>Bank Transfer</t>
        </is>
      </c>
      <c r="X935" t="inlineStr">
        <is>
          <t>High</t>
        </is>
      </c>
    </row>
    <row r="936">
      <c r="A936" t="inlineStr">
        <is>
          <t>ORD-00935</t>
        </is>
      </c>
      <c r="B936" s="2" t="n">
        <v>45267</v>
      </c>
      <c r="C936" s="2" t="n">
        <v>45270</v>
      </c>
      <c r="D936" t="inlineStr">
        <is>
          <t>CUST-00935</t>
        </is>
      </c>
      <c r="E936" t="inlineStr">
        <is>
          <t>Customer 935</t>
        </is>
      </c>
      <c r="F936" t="inlineStr">
        <is>
          <t>Consumer</t>
        </is>
      </c>
      <c r="G936" t="inlineStr">
        <is>
          <t>P1001</t>
        </is>
      </c>
      <c r="H936" t="inlineStr">
        <is>
          <t>Atlas Throw Pillow</t>
        </is>
      </c>
      <c r="I936" t="inlineStr">
        <is>
          <t>Furniture</t>
        </is>
      </c>
      <c r="J936" t="inlineStr">
        <is>
          <t>Binders</t>
        </is>
      </c>
      <c r="K936" t="inlineStr">
        <is>
          <t>Central</t>
        </is>
      </c>
      <c r="L936" t="inlineStr">
        <is>
          <t>Kansas</t>
        </is>
      </c>
      <c r="M936" t="inlineStr">
        <is>
          <t>Chicago</t>
        </is>
      </c>
      <c r="N936" t="inlineStr">
        <is>
          <t>Mia Rodriguez</t>
        </is>
      </c>
      <c r="O936" t="n">
        <v>5</v>
      </c>
      <c r="P936" s="3" t="n">
        <v>312.89</v>
      </c>
      <c r="Q936" s="4" t="n">
        <v>0.024</v>
      </c>
      <c r="R936" s="3" t="n">
        <v>1526.9</v>
      </c>
      <c r="S936" s="3" t="n">
        <v>895.98</v>
      </c>
      <c r="T936" s="3" t="n">
        <v>620.92</v>
      </c>
      <c r="U936" s="4" t="n">
        <v>0.4067</v>
      </c>
      <c r="V936" s="3" t="n">
        <v>10</v>
      </c>
      <c r="W936" t="inlineStr">
        <is>
          <t>Cash on Delivery</t>
        </is>
      </c>
      <c r="X936" t="inlineStr">
        <is>
          <t>Medium</t>
        </is>
      </c>
    </row>
    <row r="937">
      <c r="A937" t="inlineStr">
        <is>
          <t>ORD-00936</t>
        </is>
      </c>
      <c r="B937" s="2" t="n">
        <v>45028</v>
      </c>
      <c r="C937" s="2" t="n">
        <v>45034</v>
      </c>
      <c r="D937" t="inlineStr">
        <is>
          <t>CUST-00936</t>
        </is>
      </c>
      <c r="E937" t="inlineStr">
        <is>
          <t>Customer 936</t>
        </is>
      </c>
      <c r="F937" t="inlineStr">
        <is>
          <t>Home Office</t>
        </is>
      </c>
      <c r="G937" t="inlineStr">
        <is>
          <t>P1011</t>
        </is>
      </c>
      <c r="H937" t="inlineStr">
        <is>
          <t>Tide Cooler</t>
        </is>
      </c>
      <c r="I937" t="inlineStr">
        <is>
          <t>Office Supplies</t>
        </is>
      </c>
      <c r="J937" t="inlineStr">
        <is>
          <t>Furniture</t>
        </is>
      </c>
      <c r="K937" t="inlineStr">
        <is>
          <t>East</t>
        </is>
      </c>
      <c r="L937" t="inlineStr">
        <is>
          <t>Massachusetts</t>
        </is>
      </c>
      <c r="M937" t="inlineStr">
        <is>
          <t>Boston</t>
        </is>
      </c>
      <c r="N937" t="inlineStr">
        <is>
          <t>Ava Patel</t>
        </is>
      </c>
      <c r="O937" t="n">
        <v>3</v>
      </c>
      <c r="P937" s="3" t="n">
        <v>92.75</v>
      </c>
      <c r="Q937" s="4" t="n">
        <v>0.055</v>
      </c>
      <c r="R937" s="3" t="n">
        <v>262.95</v>
      </c>
      <c r="S937" s="3" t="n">
        <v>132.16</v>
      </c>
      <c r="T937" s="3" t="n">
        <v>121.39</v>
      </c>
      <c r="U937" s="4" t="n">
        <v>0.4616</v>
      </c>
      <c r="V937" s="3" t="n">
        <v>9.4</v>
      </c>
      <c r="W937" t="inlineStr">
        <is>
          <t>Debit Card</t>
        </is>
      </c>
      <c r="X937" t="inlineStr">
        <is>
          <t>Critical</t>
        </is>
      </c>
    </row>
    <row r="938">
      <c r="A938" t="inlineStr">
        <is>
          <t>ORD-00937</t>
        </is>
      </c>
      <c r="B938" s="2" t="n">
        <v>45123</v>
      </c>
      <c r="C938" s="2" t="n">
        <v>45124</v>
      </c>
      <c r="D938" t="inlineStr">
        <is>
          <t>CUST-00937</t>
        </is>
      </c>
      <c r="E938" t="inlineStr">
        <is>
          <t>Customer 937</t>
        </is>
      </c>
      <c r="F938" t="inlineStr">
        <is>
          <t>Consumer</t>
        </is>
      </c>
      <c r="G938" t="inlineStr">
        <is>
          <t>P1013</t>
        </is>
      </c>
      <c r="H938" t="inlineStr">
        <is>
          <t>Lumen Desk Lamp</t>
        </is>
      </c>
      <c r="I938" t="inlineStr">
        <is>
          <t>Home Decor</t>
        </is>
      </c>
      <c r="J938" t="inlineStr">
        <is>
          <t>Lighting</t>
        </is>
      </c>
      <c r="K938" t="inlineStr">
        <is>
          <t>North</t>
        </is>
      </c>
      <c r="L938" t="inlineStr">
        <is>
          <t>Ontario</t>
        </is>
      </c>
      <c r="M938" t="inlineStr">
        <is>
          <t>Calgary</t>
        </is>
      </c>
      <c r="N938" t="inlineStr">
        <is>
          <t>Liam Chen</t>
        </is>
      </c>
      <c r="O938" t="n">
        <v>2</v>
      </c>
      <c r="P938" s="3" t="n">
        <v>171.39</v>
      </c>
      <c r="Q938" s="4" t="n">
        <v>0.034</v>
      </c>
      <c r="R938" s="3" t="n">
        <v>331.13</v>
      </c>
      <c r="S938" s="3" t="n">
        <v>196.24</v>
      </c>
      <c r="T938" s="3" t="n">
        <v>127.29</v>
      </c>
      <c r="U938" s="4" t="n">
        <v>0.3844</v>
      </c>
      <c r="V938" s="3" t="n">
        <v>7.6</v>
      </c>
      <c r="W938" t="inlineStr">
        <is>
          <t>Debit Card</t>
        </is>
      </c>
      <c r="X938" t="inlineStr">
        <is>
          <t>Critical</t>
        </is>
      </c>
    </row>
    <row r="939">
      <c r="A939" t="inlineStr">
        <is>
          <t>ORD-00938</t>
        </is>
      </c>
      <c r="B939" s="2" t="n">
        <v>45666</v>
      </c>
      <c r="C939" s="2" t="n">
        <v>45671</v>
      </c>
      <c r="D939" t="inlineStr">
        <is>
          <t>CUST-00938</t>
        </is>
      </c>
      <c r="E939" t="inlineStr">
        <is>
          <t>Customer 938</t>
        </is>
      </c>
      <c r="F939" t="inlineStr">
        <is>
          <t>Home Office</t>
        </is>
      </c>
      <c r="G939" t="inlineStr">
        <is>
          <t>P1020</t>
        </is>
      </c>
      <c r="H939" t="inlineStr">
        <is>
          <t>Halo Planter</t>
        </is>
      </c>
      <c r="I939" t="inlineStr">
        <is>
          <t>Home Decor</t>
        </is>
      </c>
      <c r="J939" t="inlineStr">
        <is>
          <t>Video</t>
        </is>
      </c>
      <c r="K939" t="inlineStr">
        <is>
          <t>East</t>
        </is>
      </c>
      <c r="L939" t="inlineStr">
        <is>
          <t>Virginia</t>
        </is>
      </c>
      <c r="M939" t="inlineStr">
        <is>
          <t>New York</t>
        </is>
      </c>
      <c r="N939" t="inlineStr">
        <is>
          <t>Ethan Brooks</t>
        </is>
      </c>
      <c r="O939" t="n">
        <v>3</v>
      </c>
      <c r="P939" s="3" t="n">
        <v>75.09999999999999</v>
      </c>
      <c r="Q939" s="4" t="n">
        <v>0.026</v>
      </c>
      <c r="R939" s="3" t="n">
        <v>219.44</v>
      </c>
      <c r="S939" s="3" t="n">
        <v>110.37</v>
      </c>
      <c r="T939" s="3" t="n">
        <v>99.67</v>
      </c>
      <c r="U939" s="4" t="n">
        <v>0.4542</v>
      </c>
      <c r="V939" s="3" t="n">
        <v>9.4</v>
      </c>
      <c r="W939" t="inlineStr">
        <is>
          <t>Credit Card</t>
        </is>
      </c>
      <c r="X939" t="inlineStr">
        <is>
          <t>High</t>
        </is>
      </c>
    </row>
    <row r="940">
      <c r="A940" t="inlineStr">
        <is>
          <t>ORD-00939</t>
        </is>
      </c>
      <c r="B940" s="2" t="n">
        <v>45189</v>
      </c>
      <c r="C940" s="2" t="n">
        <v>45193</v>
      </c>
      <c r="D940" t="inlineStr">
        <is>
          <t>CUST-00939</t>
        </is>
      </c>
      <c r="E940" t="inlineStr">
        <is>
          <t>Customer 939</t>
        </is>
      </c>
      <c r="F940" t="inlineStr">
        <is>
          <t>Corporate</t>
        </is>
      </c>
      <c r="G940" t="inlineStr">
        <is>
          <t>P1009</t>
        </is>
      </c>
      <c r="H940" t="inlineStr">
        <is>
          <t>Pulse Keyboard</t>
        </is>
      </c>
      <c r="I940" t="inlineStr">
        <is>
          <t>Furniture</t>
        </is>
      </c>
      <c r="J940" t="inlineStr">
        <is>
          <t>Bags</t>
        </is>
      </c>
      <c r="K940" t="inlineStr">
        <is>
          <t>West</t>
        </is>
      </c>
      <c r="L940" t="inlineStr">
        <is>
          <t>Washington</t>
        </is>
      </c>
      <c r="M940" t="inlineStr">
        <is>
          <t>San Francisco</t>
        </is>
      </c>
      <c r="N940" t="inlineStr">
        <is>
          <t>Mia Rodriguez</t>
        </is>
      </c>
      <c r="O940" t="n">
        <v>2</v>
      </c>
      <c r="P940" s="3" t="n">
        <v>93.7</v>
      </c>
      <c r="Q940" s="4" t="n">
        <v>0.027</v>
      </c>
      <c r="R940" s="3" t="n">
        <v>182.34</v>
      </c>
      <c r="S940" s="3" t="n">
        <v>93.98</v>
      </c>
      <c r="T940" s="3" t="n">
        <v>79.76000000000001</v>
      </c>
      <c r="U940" s="4" t="n">
        <v>0.4374</v>
      </c>
      <c r="V940" s="3" t="n">
        <v>8.6</v>
      </c>
      <c r="W940" t="inlineStr">
        <is>
          <t>Credit Card</t>
        </is>
      </c>
      <c r="X940" t="inlineStr">
        <is>
          <t>Medium</t>
        </is>
      </c>
    </row>
    <row r="941">
      <c r="A941" t="inlineStr">
        <is>
          <t>ORD-00940</t>
        </is>
      </c>
      <c r="B941" s="2" t="n">
        <v>45448</v>
      </c>
      <c r="C941" s="2" t="n">
        <v>45450</v>
      </c>
      <c r="D941" t="inlineStr">
        <is>
          <t>CUST-00940</t>
        </is>
      </c>
      <c r="E941" t="inlineStr">
        <is>
          <t>Customer 940</t>
        </is>
      </c>
      <c r="F941" t="inlineStr">
        <is>
          <t>Consumer</t>
        </is>
      </c>
      <c r="G941" t="inlineStr">
        <is>
          <t>P1016</t>
        </is>
      </c>
      <c r="H941" t="inlineStr">
        <is>
          <t>Orbit Wireless Mouse</t>
        </is>
      </c>
      <c r="I941" t="inlineStr">
        <is>
          <t>Furniture</t>
        </is>
      </c>
      <c r="J941" t="inlineStr">
        <is>
          <t>Textiles</t>
        </is>
      </c>
      <c r="K941" t="inlineStr">
        <is>
          <t>East</t>
        </is>
      </c>
      <c r="L941" t="inlineStr">
        <is>
          <t>Virginia</t>
        </is>
      </c>
      <c r="M941" t="inlineStr">
        <is>
          <t>Boston</t>
        </is>
      </c>
      <c r="N941" t="inlineStr">
        <is>
          <t>James Carter</t>
        </is>
      </c>
      <c r="O941" t="n">
        <v>4</v>
      </c>
      <c r="P941" s="3" t="n">
        <v>40.33</v>
      </c>
      <c r="Q941" s="4" t="n">
        <v>0.004</v>
      </c>
      <c r="R941" s="3" t="n">
        <v>160.67</v>
      </c>
      <c r="S941" s="3" t="n">
        <v>63.69</v>
      </c>
      <c r="T941" s="3" t="n">
        <v>86.78</v>
      </c>
      <c r="U941" s="4" t="n">
        <v>0.5401</v>
      </c>
      <c r="V941" s="3" t="n">
        <v>10.2</v>
      </c>
      <c r="W941" t="inlineStr">
        <is>
          <t>Credit Card</t>
        </is>
      </c>
      <c r="X941" t="inlineStr">
        <is>
          <t>Medium</t>
        </is>
      </c>
    </row>
    <row r="942">
      <c r="A942" t="inlineStr">
        <is>
          <t>ORD-00941</t>
        </is>
      </c>
      <c r="B942" s="2" t="n">
        <v>45057</v>
      </c>
      <c r="C942" s="2" t="n">
        <v>45061</v>
      </c>
      <c r="D942" t="inlineStr">
        <is>
          <t>CUST-00941</t>
        </is>
      </c>
      <c r="E942" t="inlineStr">
        <is>
          <t>Customer 941</t>
        </is>
      </c>
      <c r="F942" t="inlineStr">
        <is>
          <t>Consumer</t>
        </is>
      </c>
      <c r="G942" t="inlineStr">
        <is>
          <t>P1011</t>
        </is>
      </c>
      <c r="H942" t="inlineStr">
        <is>
          <t>Nimbus Monitor Arm</t>
        </is>
      </c>
      <c r="I942" t="inlineStr">
        <is>
          <t>Technology</t>
        </is>
      </c>
      <c r="J942" t="inlineStr">
        <is>
          <t>Lighting</t>
        </is>
      </c>
      <c r="K942" t="inlineStr">
        <is>
          <t>Central</t>
        </is>
      </c>
      <c r="L942" t="inlineStr">
        <is>
          <t>Illinois</t>
        </is>
      </c>
      <c r="M942" t="inlineStr">
        <is>
          <t>Kansas City</t>
        </is>
      </c>
      <c r="N942" t="inlineStr">
        <is>
          <t>James Carter</t>
        </is>
      </c>
      <c r="O942" t="n">
        <v>3</v>
      </c>
      <c r="P942" s="3" t="n">
        <v>86.73</v>
      </c>
      <c r="Q942" s="4" t="n">
        <v>0.015</v>
      </c>
      <c r="R942" s="3" t="n">
        <v>256.29</v>
      </c>
      <c r="S942" s="3" t="n">
        <v>129.35</v>
      </c>
      <c r="T942" s="3" t="n">
        <v>118.54</v>
      </c>
      <c r="U942" s="4" t="n">
        <v>0.4625</v>
      </c>
      <c r="V942" s="3" t="n">
        <v>8.4</v>
      </c>
      <c r="W942" t="inlineStr">
        <is>
          <t>Cash on Delivery</t>
        </is>
      </c>
      <c r="X942" t="inlineStr">
        <is>
          <t>Medium</t>
        </is>
      </c>
    </row>
    <row r="943">
      <c r="A943" t="inlineStr">
        <is>
          <t>ORD-00942</t>
        </is>
      </c>
      <c r="B943" s="2" t="n">
        <v>45384</v>
      </c>
      <c r="C943" s="2" t="n">
        <v>45385</v>
      </c>
      <c r="D943" t="inlineStr">
        <is>
          <t>CUST-00942</t>
        </is>
      </c>
      <c r="E943" t="inlineStr">
        <is>
          <t>Customer 942</t>
        </is>
      </c>
      <c r="F943" t="inlineStr">
        <is>
          <t>Consumer</t>
        </is>
      </c>
      <c r="G943" t="inlineStr">
        <is>
          <t>P1003</t>
        </is>
      </c>
      <c r="H943" t="inlineStr">
        <is>
          <t>Harbor Rug</t>
        </is>
      </c>
      <c r="I943" t="inlineStr">
        <is>
          <t>Home Decor</t>
        </is>
      </c>
      <c r="J943" t="inlineStr">
        <is>
          <t>Plants</t>
        </is>
      </c>
      <c r="K943" t="inlineStr">
        <is>
          <t>South</t>
        </is>
      </c>
      <c r="L943" t="inlineStr">
        <is>
          <t>North Carolina</t>
        </is>
      </c>
      <c r="M943" t="inlineStr">
        <is>
          <t>Miami</t>
        </is>
      </c>
      <c r="N943" t="inlineStr">
        <is>
          <t>Sophia Singh</t>
        </is>
      </c>
      <c r="O943" t="n">
        <v>6</v>
      </c>
      <c r="P943" s="3" t="n">
        <v>146.78</v>
      </c>
      <c r="Q943" s="4" t="n">
        <v>0.011</v>
      </c>
      <c r="R943" s="3" t="n">
        <v>870.99</v>
      </c>
      <c r="S943" s="3" t="n">
        <v>451.77</v>
      </c>
      <c r="T943" s="3" t="n">
        <v>408.42</v>
      </c>
      <c r="U943" s="4" t="n">
        <v>0.4689</v>
      </c>
      <c r="V943" s="3" t="n">
        <v>10.8</v>
      </c>
      <c r="W943" t="inlineStr">
        <is>
          <t>Debit Card</t>
        </is>
      </c>
      <c r="X943" t="inlineStr">
        <is>
          <t>Low</t>
        </is>
      </c>
    </row>
    <row r="944">
      <c r="A944" t="inlineStr">
        <is>
          <t>ORD-00943</t>
        </is>
      </c>
      <c r="B944" s="2" t="n">
        <v>45922</v>
      </c>
      <c r="C944" s="2" t="n">
        <v>45928</v>
      </c>
      <c r="D944" t="inlineStr">
        <is>
          <t>CUST-00943</t>
        </is>
      </c>
      <c r="E944" t="inlineStr">
        <is>
          <t>Customer 943</t>
        </is>
      </c>
      <c r="F944" t="inlineStr">
        <is>
          <t>Consumer</t>
        </is>
      </c>
      <c r="G944" t="inlineStr">
        <is>
          <t>P1017</t>
        </is>
      </c>
      <c r="H944" t="inlineStr">
        <is>
          <t>Harbor Rug</t>
        </is>
      </c>
      <c r="I944" t="inlineStr">
        <is>
          <t>Furniture</t>
        </is>
      </c>
      <c r="J944" t="inlineStr">
        <is>
          <t>Lighting</t>
        </is>
      </c>
      <c r="K944" t="inlineStr">
        <is>
          <t>East</t>
        </is>
      </c>
      <c r="L944" t="inlineStr">
        <is>
          <t>Virginia</t>
        </is>
      </c>
      <c r="M944" t="inlineStr">
        <is>
          <t>Philadelphia</t>
        </is>
      </c>
      <c r="N944" t="inlineStr">
        <is>
          <t>James Carter</t>
        </is>
      </c>
      <c r="O944" t="n">
        <v>5</v>
      </c>
      <c r="P944" s="3" t="n">
        <v>563.72</v>
      </c>
      <c r="Q944" s="4" t="n">
        <v>0.025</v>
      </c>
      <c r="R944" s="3" t="n">
        <v>2748.14</v>
      </c>
      <c r="S944" s="3" t="n">
        <v>1824.65</v>
      </c>
      <c r="T944" s="3" t="n">
        <v>912.49</v>
      </c>
      <c r="U944" s="4" t="n">
        <v>0.332</v>
      </c>
      <c r="V944" s="3" t="n">
        <v>11</v>
      </c>
      <c r="W944" t="inlineStr">
        <is>
          <t>Credit Card</t>
        </is>
      </c>
      <c r="X944" t="inlineStr">
        <is>
          <t>Medium</t>
        </is>
      </c>
    </row>
    <row r="945">
      <c r="A945" t="inlineStr">
        <is>
          <t>ORD-00944</t>
        </is>
      </c>
      <c r="B945" s="2" t="n">
        <v>45824</v>
      </c>
      <c r="C945" s="2" t="n">
        <v>45831</v>
      </c>
      <c r="D945" t="inlineStr">
        <is>
          <t>CUST-00944</t>
        </is>
      </c>
      <c r="E945" t="inlineStr">
        <is>
          <t>Customer 944</t>
        </is>
      </c>
      <c r="F945" t="inlineStr">
        <is>
          <t>Corporate</t>
        </is>
      </c>
      <c r="G945" t="inlineStr">
        <is>
          <t>P1002</t>
        </is>
      </c>
      <c r="H945" t="inlineStr">
        <is>
          <t>Nimbus Monitor Arm</t>
        </is>
      </c>
      <c r="I945" t="inlineStr">
        <is>
          <t>Outdoor</t>
        </is>
      </c>
      <c r="J945" t="inlineStr">
        <is>
          <t>Chairs</t>
        </is>
      </c>
      <c r="K945" t="inlineStr">
        <is>
          <t>East</t>
        </is>
      </c>
      <c r="L945" t="inlineStr">
        <is>
          <t>Massachusetts</t>
        </is>
      </c>
      <c r="M945" t="inlineStr">
        <is>
          <t>New York</t>
        </is>
      </c>
      <c r="N945" t="inlineStr">
        <is>
          <t>Liam Chen</t>
        </is>
      </c>
      <c r="O945" t="n">
        <v>3</v>
      </c>
      <c r="P945" s="3" t="n">
        <v>87.47</v>
      </c>
      <c r="Q945" s="4" t="n">
        <v>0.058</v>
      </c>
      <c r="R945" s="3" t="n">
        <v>247.19</v>
      </c>
      <c r="S945" s="3" t="n">
        <v>116.64</v>
      </c>
      <c r="T945" s="3" t="n">
        <v>121.15</v>
      </c>
      <c r="U945" s="4" t="n">
        <v>0.4901</v>
      </c>
      <c r="V945" s="3" t="n">
        <v>9.4</v>
      </c>
      <c r="W945" t="inlineStr">
        <is>
          <t>Debit Card</t>
        </is>
      </c>
      <c r="X945" t="inlineStr">
        <is>
          <t>High</t>
        </is>
      </c>
    </row>
    <row r="946">
      <c r="A946" t="inlineStr">
        <is>
          <t>ORD-00945</t>
        </is>
      </c>
      <c r="B946" s="2" t="n">
        <v>44989</v>
      </c>
      <c r="C946" s="2" t="n">
        <v>44990</v>
      </c>
      <c r="D946" t="inlineStr">
        <is>
          <t>CUST-00945</t>
        </is>
      </c>
      <c r="E946" t="inlineStr">
        <is>
          <t>Customer 945</t>
        </is>
      </c>
      <c r="F946" t="inlineStr">
        <is>
          <t>Consumer</t>
        </is>
      </c>
      <c r="G946" t="inlineStr">
        <is>
          <t>P1009</t>
        </is>
      </c>
      <c r="H946" t="inlineStr">
        <is>
          <t>Orbit Wireless Mouse</t>
        </is>
      </c>
      <c r="I946" t="inlineStr">
        <is>
          <t>Technology</t>
        </is>
      </c>
      <c r="J946" t="inlineStr">
        <is>
          <t>Binders</t>
        </is>
      </c>
      <c r="K946" t="inlineStr">
        <is>
          <t>East</t>
        </is>
      </c>
      <c r="L946" t="inlineStr">
        <is>
          <t>Virginia</t>
        </is>
      </c>
      <c r="M946" t="inlineStr">
        <is>
          <t>Washington</t>
        </is>
      </c>
      <c r="N946" t="inlineStr">
        <is>
          <t>Ethan Brooks</t>
        </is>
      </c>
      <c r="O946" t="n">
        <v>3</v>
      </c>
      <c r="P946" s="3" t="n">
        <v>88.33</v>
      </c>
      <c r="Q946" s="4" t="n">
        <v>0.025</v>
      </c>
      <c r="R946" s="3" t="n">
        <v>258.37</v>
      </c>
      <c r="S946" s="3" t="n">
        <v>129.88</v>
      </c>
      <c r="T946" s="3" t="n">
        <v>119.09</v>
      </c>
      <c r="U946" s="4" t="n">
        <v>0.4609</v>
      </c>
      <c r="V946" s="3" t="n">
        <v>9.4</v>
      </c>
      <c r="W946" t="inlineStr">
        <is>
          <t>Bank Transfer</t>
        </is>
      </c>
      <c r="X946" t="inlineStr">
        <is>
          <t>Medium</t>
        </is>
      </c>
    </row>
    <row r="947">
      <c r="A947" t="inlineStr">
        <is>
          <t>ORD-00946</t>
        </is>
      </c>
      <c r="B947" s="2" t="n">
        <v>45204</v>
      </c>
      <c r="C947" s="2" t="n">
        <v>45209</v>
      </c>
      <c r="D947" t="inlineStr">
        <is>
          <t>CUST-00946</t>
        </is>
      </c>
      <c r="E947" t="inlineStr">
        <is>
          <t>Customer 946</t>
        </is>
      </c>
      <c r="F947" t="inlineStr">
        <is>
          <t>Home Office</t>
        </is>
      </c>
      <c r="G947" t="inlineStr">
        <is>
          <t>P1009</t>
        </is>
      </c>
      <c r="H947" t="inlineStr">
        <is>
          <t>Aero Standing Desk</t>
        </is>
      </c>
      <c r="I947" t="inlineStr">
        <is>
          <t>Home Decor</t>
        </is>
      </c>
      <c r="J947" t="inlineStr">
        <is>
          <t>Coolers</t>
        </is>
      </c>
      <c r="K947" t="inlineStr">
        <is>
          <t>North</t>
        </is>
      </c>
      <c r="L947" t="inlineStr">
        <is>
          <t>Quebec</t>
        </is>
      </c>
      <c r="M947" t="inlineStr">
        <is>
          <t>Vancouver</t>
        </is>
      </c>
      <c r="N947" t="inlineStr">
        <is>
          <t>Olivia Martin</t>
        </is>
      </c>
      <c r="O947" t="n">
        <v>1</v>
      </c>
      <c r="P947" s="3" t="n">
        <v>97.77</v>
      </c>
      <c r="Q947" s="4" t="n">
        <v>0.063</v>
      </c>
      <c r="R947" s="3" t="n">
        <v>91.61</v>
      </c>
      <c r="S947" s="3" t="n">
        <v>49.28</v>
      </c>
      <c r="T947" s="3" t="n">
        <v>35.53</v>
      </c>
      <c r="U947" s="4" t="n">
        <v>0.3878</v>
      </c>
      <c r="V947" s="3" t="n">
        <v>6.8</v>
      </c>
      <c r="W947" t="inlineStr">
        <is>
          <t>Debit Card</t>
        </is>
      </c>
      <c r="X947" t="inlineStr">
        <is>
          <t>Critical</t>
        </is>
      </c>
    </row>
    <row r="948">
      <c r="A948" t="inlineStr">
        <is>
          <t>ORD-00947</t>
        </is>
      </c>
      <c r="B948" s="2" t="n">
        <v>45145</v>
      </c>
      <c r="C948" s="2" t="n">
        <v>45149</v>
      </c>
      <c r="D948" t="inlineStr">
        <is>
          <t>CUST-00947</t>
        </is>
      </c>
      <c r="E948" t="inlineStr">
        <is>
          <t>Customer 947</t>
        </is>
      </c>
      <c r="F948" t="inlineStr">
        <is>
          <t>Corporate</t>
        </is>
      </c>
      <c r="G948" t="inlineStr">
        <is>
          <t>P1016</t>
        </is>
      </c>
      <c r="H948" t="inlineStr">
        <is>
          <t>Cove Wall Clock</t>
        </is>
      </c>
      <c r="I948" t="inlineStr">
        <is>
          <t>Furniture</t>
        </is>
      </c>
      <c r="J948" t="inlineStr">
        <is>
          <t>Lighting</t>
        </is>
      </c>
      <c r="K948" t="inlineStr">
        <is>
          <t>South</t>
        </is>
      </c>
      <c r="L948" t="inlineStr">
        <is>
          <t>North Carolina</t>
        </is>
      </c>
      <c r="M948" t="inlineStr">
        <is>
          <t>Atlanta</t>
        </is>
      </c>
      <c r="N948" t="inlineStr">
        <is>
          <t>Liam Chen</t>
        </is>
      </c>
      <c r="O948" t="n">
        <v>2</v>
      </c>
      <c r="P948" s="3" t="n">
        <v>40.31</v>
      </c>
      <c r="Q948" s="4" t="n">
        <v>0.029</v>
      </c>
      <c r="R948" s="3" t="n">
        <v>78.28</v>
      </c>
      <c r="S948" s="3" t="n">
        <v>37.18</v>
      </c>
      <c r="T948" s="3" t="n">
        <v>33.5</v>
      </c>
      <c r="U948" s="4" t="n">
        <v>0.428</v>
      </c>
      <c r="V948" s="3" t="n">
        <v>7.6</v>
      </c>
      <c r="W948" t="inlineStr">
        <is>
          <t>Cash on Delivery</t>
        </is>
      </c>
      <c r="X948" t="inlineStr">
        <is>
          <t>Low</t>
        </is>
      </c>
    </row>
    <row r="949">
      <c r="A949" t="inlineStr">
        <is>
          <t>ORD-00948</t>
        </is>
      </c>
      <c r="B949" s="2" t="n">
        <v>45967</v>
      </c>
      <c r="C949" s="2" t="n">
        <v>45974</v>
      </c>
      <c r="D949" t="inlineStr">
        <is>
          <t>CUST-00948</t>
        </is>
      </c>
      <c r="E949" t="inlineStr">
        <is>
          <t>Customer 948</t>
        </is>
      </c>
      <c r="F949" t="inlineStr">
        <is>
          <t>Corporate</t>
        </is>
      </c>
      <c r="G949" t="inlineStr">
        <is>
          <t>P1001</t>
        </is>
      </c>
      <c r="H949" t="inlineStr">
        <is>
          <t>Summit Patio Set</t>
        </is>
      </c>
      <c r="I949" t="inlineStr">
        <is>
          <t>Furniture</t>
        </is>
      </c>
      <c r="J949" t="inlineStr">
        <is>
          <t>Accessories</t>
        </is>
      </c>
      <c r="K949" t="inlineStr">
        <is>
          <t>East</t>
        </is>
      </c>
      <c r="L949" t="inlineStr">
        <is>
          <t>Virginia</t>
        </is>
      </c>
      <c r="M949" t="inlineStr">
        <is>
          <t>Philadelphia</t>
        </is>
      </c>
      <c r="N949" t="inlineStr">
        <is>
          <t>Ethan Brooks</t>
        </is>
      </c>
      <c r="O949" t="n">
        <v>4</v>
      </c>
      <c r="P949" s="3" t="n">
        <v>304.16</v>
      </c>
      <c r="Q949" s="4" t="n">
        <v>0.022</v>
      </c>
      <c r="R949" s="3" t="n">
        <v>1189.87</v>
      </c>
      <c r="S949" s="3" t="n">
        <v>696.85</v>
      </c>
      <c r="T949" s="3" t="n">
        <v>482.82</v>
      </c>
      <c r="U949" s="4" t="n">
        <v>0.4058</v>
      </c>
      <c r="V949" s="3" t="n">
        <v>10.2</v>
      </c>
      <c r="W949" t="inlineStr">
        <is>
          <t>Bank Transfer</t>
        </is>
      </c>
      <c r="X949" t="inlineStr">
        <is>
          <t>Medium</t>
        </is>
      </c>
    </row>
    <row r="950">
      <c r="A950" t="inlineStr">
        <is>
          <t>ORD-00949</t>
        </is>
      </c>
      <c r="B950" s="2" t="n">
        <v>45740</v>
      </c>
      <c r="C950" s="2" t="n">
        <v>45745</v>
      </c>
      <c r="D950" t="inlineStr">
        <is>
          <t>CUST-00949</t>
        </is>
      </c>
      <c r="E950" t="inlineStr">
        <is>
          <t>Customer 949</t>
        </is>
      </c>
      <c r="F950" t="inlineStr">
        <is>
          <t>Consumer</t>
        </is>
      </c>
      <c r="G950" t="inlineStr">
        <is>
          <t>P1017</t>
        </is>
      </c>
      <c r="H950" t="inlineStr">
        <is>
          <t>ErgoMesh Chair</t>
        </is>
      </c>
      <c r="I950" t="inlineStr">
        <is>
          <t>Technology</t>
        </is>
      </c>
      <c r="J950" t="inlineStr">
        <is>
          <t>Paper</t>
        </is>
      </c>
      <c r="K950" t="inlineStr">
        <is>
          <t>Central</t>
        </is>
      </c>
      <c r="L950" t="inlineStr">
        <is>
          <t>Minnesota</t>
        </is>
      </c>
      <c r="M950" t="inlineStr">
        <is>
          <t>Minneapolis</t>
        </is>
      </c>
      <c r="N950" t="inlineStr">
        <is>
          <t>Sophia Singh</t>
        </is>
      </c>
      <c r="O950" t="n">
        <v>2</v>
      </c>
      <c r="P950" s="3" t="n">
        <v>561.04</v>
      </c>
      <c r="Q950" s="4" t="n">
        <v>0.028</v>
      </c>
      <c r="R950" s="3" t="n">
        <v>1090.66</v>
      </c>
      <c r="S950" s="3" t="n">
        <v>730.16</v>
      </c>
      <c r="T950" s="3" t="n">
        <v>352.9</v>
      </c>
      <c r="U950" s="4" t="n">
        <v>0.3236</v>
      </c>
      <c r="V950" s="3" t="n">
        <v>7.6</v>
      </c>
      <c r="W950" t="inlineStr">
        <is>
          <t>Debit Card</t>
        </is>
      </c>
      <c r="X950" t="inlineStr">
        <is>
          <t>High</t>
        </is>
      </c>
    </row>
    <row r="951">
      <c r="A951" t="inlineStr">
        <is>
          <t>ORD-00950</t>
        </is>
      </c>
      <c r="B951" s="2" t="n">
        <v>45618</v>
      </c>
      <c r="C951" s="2" t="n">
        <v>45623</v>
      </c>
      <c r="D951" t="inlineStr">
        <is>
          <t>CUST-00950</t>
        </is>
      </c>
      <c r="E951" t="inlineStr">
        <is>
          <t>Customer 950</t>
        </is>
      </c>
      <c r="F951" t="inlineStr">
        <is>
          <t>Home Office</t>
        </is>
      </c>
      <c r="G951" t="inlineStr">
        <is>
          <t>P1010</t>
        </is>
      </c>
      <c r="H951" t="inlineStr">
        <is>
          <t>Halo Planter</t>
        </is>
      </c>
      <c r="I951" t="inlineStr">
        <is>
          <t>Technology</t>
        </is>
      </c>
      <c r="J951" t="inlineStr">
        <is>
          <t>Accessories</t>
        </is>
      </c>
      <c r="K951" t="inlineStr">
        <is>
          <t>East</t>
        </is>
      </c>
      <c r="L951" t="inlineStr">
        <is>
          <t>Massachusetts</t>
        </is>
      </c>
      <c r="M951" t="inlineStr">
        <is>
          <t>Philadelphia</t>
        </is>
      </c>
      <c r="N951" t="inlineStr">
        <is>
          <t>Noah Kim</t>
        </is>
      </c>
      <c r="O951" t="n">
        <v>3</v>
      </c>
      <c r="P951" s="3" t="n">
        <v>59.76</v>
      </c>
      <c r="Q951" s="4" t="n">
        <v>0.006</v>
      </c>
      <c r="R951" s="3" t="n">
        <v>178.2</v>
      </c>
      <c r="S951" s="3" t="n">
        <v>84.72</v>
      </c>
      <c r="T951" s="3" t="n">
        <v>84.08</v>
      </c>
      <c r="U951" s="4" t="n">
        <v>0.4718</v>
      </c>
      <c r="V951" s="3" t="n">
        <v>9.4</v>
      </c>
      <c r="W951" t="inlineStr">
        <is>
          <t>Credit Card</t>
        </is>
      </c>
      <c r="X951" t="inlineStr">
        <is>
          <t>Low</t>
        </is>
      </c>
    </row>
    <row r="952">
      <c r="A952" t="inlineStr">
        <is>
          <t>ORD-00951</t>
        </is>
      </c>
      <c r="B952" s="2" t="n">
        <v>45545</v>
      </c>
      <c r="C952" s="2" t="n">
        <v>45547</v>
      </c>
      <c r="D952" t="inlineStr">
        <is>
          <t>CUST-00951</t>
        </is>
      </c>
      <c r="E952" t="inlineStr">
        <is>
          <t>Customer 951</t>
        </is>
      </c>
      <c r="F952" t="inlineStr">
        <is>
          <t>Corporate</t>
        </is>
      </c>
      <c r="G952" t="inlineStr">
        <is>
          <t>P1020</t>
        </is>
      </c>
      <c r="H952" t="inlineStr">
        <is>
          <t>Lumen Desk Lamp</t>
        </is>
      </c>
      <c r="I952" t="inlineStr">
        <is>
          <t>Outdoor</t>
        </is>
      </c>
      <c r="J952" t="inlineStr">
        <is>
          <t>Writing</t>
        </is>
      </c>
      <c r="K952" t="inlineStr">
        <is>
          <t>South</t>
        </is>
      </c>
      <c r="L952" t="inlineStr">
        <is>
          <t>Florida</t>
        </is>
      </c>
      <c r="M952" t="inlineStr">
        <is>
          <t>Atlanta</t>
        </is>
      </c>
      <c r="N952" t="inlineStr">
        <is>
          <t>James Carter</t>
        </is>
      </c>
      <c r="O952" t="n">
        <v>4</v>
      </c>
      <c r="P952" s="3" t="n">
        <v>68.62</v>
      </c>
      <c r="Q952" s="4" t="n">
        <v>0.04</v>
      </c>
      <c r="R952" s="3" t="n">
        <v>263.5</v>
      </c>
      <c r="S952" s="3" t="n">
        <v>122.66</v>
      </c>
      <c r="T952" s="3" t="n">
        <v>131.64</v>
      </c>
      <c r="U952" s="4" t="n">
        <v>0.4996</v>
      </c>
      <c r="V952" s="3" t="n">
        <v>9.199999999999999</v>
      </c>
      <c r="W952" t="inlineStr">
        <is>
          <t>Bank Transfer</t>
        </is>
      </c>
      <c r="X952" t="inlineStr">
        <is>
          <t>Medium</t>
        </is>
      </c>
    </row>
    <row r="953">
      <c r="A953" t="inlineStr">
        <is>
          <t>ORD-00952</t>
        </is>
      </c>
      <c r="B953" s="2" t="n">
        <v>45702</v>
      </c>
      <c r="C953" s="2" t="n">
        <v>45707</v>
      </c>
      <c r="D953" t="inlineStr">
        <is>
          <t>CUST-00952</t>
        </is>
      </c>
      <c r="E953" t="inlineStr">
        <is>
          <t>Customer 952</t>
        </is>
      </c>
      <c r="F953" t="inlineStr">
        <is>
          <t>Home Office</t>
        </is>
      </c>
      <c r="G953" t="inlineStr">
        <is>
          <t>P1005</t>
        </is>
      </c>
      <c r="H953" t="inlineStr">
        <is>
          <t>Tide Cooler</t>
        </is>
      </c>
      <c r="I953" t="inlineStr">
        <is>
          <t>Furniture</t>
        </is>
      </c>
      <c r="J953" t="inlineStr">
        <is>
          <t>Writing</t>
        </is>
      </c>
      <c r="K953" t="inlineStr">
        <is>
          <t>West</t>
        </is>
      </c>
      <c r="L953" t="inlineStr">
        <is>
          <t>California</t>
        </is>
      </c>
      <c r="M953" t="inlineStr">
        <is>
          <t>San Francisco</t>
        </is>
      </c>
      <c r="N953" t="inlineStr">
        <is>
          <t>James Carter</t>
        </is>
      </c>
      <c r="O953" t="n">
        <v>3</v>
      </c>
      <c r="P953" s="3" t="n">
        <v>13.37</v>
      </c>
      <c r="Q953" s="4" t="n">
        <v>0.009000000000000001</v>
      </c>
      <c r="R953" s="3" t="n">
        <v>39.75</v>
      </c>
      <c r="S953" s="3" t="n">
        <v>17.93</v>
      </c>
      <c r="T953" s="3" t="n">
        <v>12.42</v>
      </c>
      <c r="U953" s="4" t="n">
        <v>0.3125</v>
      </c>
      <c r="V953" s="3" t="n">
        <v>9.4</v>
      </c>
      <c r="W953" t="inlineStr">
        <is>
          <t>Debit Card</t>
        </is>
      </c>
      <c r="X953" t="inlineStr">
        <is>
          <t>Low</t>
        </is>
      </c>
    </row>
    <row r="954">
      <c r="A954" t="inlineStr">
        <is>
          <t>ORD-00953</t>
        </is>
      </c>
      <c r="B954" s="2" t="n">
        <v>45207</v>
      </c>
      <c r="C954" s="2" t="n">
        <v>45214</v>
      </c>
      <c r="D954" t="inlineStr">
        <is>
          <t>CUST-00953</t>
        </is>
      </c>
      <c r="E954" t="inlineStr">
        <is>
          <t>Customer 953</t>
        </is>
      </c>
      <c r="F954" t="inlineStr">
        <is>
          <t>Home Office</t>
        </is>
      </c>
      <c r="G954" t="inlineStr">
        <is>
          <t>P1008</t>
        </is>
      </c>
      <c r="H954" t="inlineStr">
        <is>
          <t>SmartInk Pen Set</t>
        </is>
      </c>
      <c r="I954" t="inlineStr">
        <is>
          <t>Outdoor</t>
        </is>
      </c>
      <c r="J954" t="inlineStr">
        <is>
          <t>Chairs</t>
        </is>
      </c>
      <c r="K954" t="inlineStr">
        <is>
          <t>West</t>
        </is>
      </c>
      <c r="L954" t="inlineStr">
        <is>
          <t>California</t>
        </is>
      </c>
      <c r="M954" t="inlineStr">
        <is>
          <t>Seattle</t>
        </is>
      </c>
      <c r="N954" t="inlineStr">
        <is>
          <t>Sophia Singh</t>
        </is>
      </c>
      <c r="O954" t="n">
        <v>4</v>
      </c>
      <c r="P954" s="3" t="n">
        <v>41.38</v>
      </c>
      <c r="Q954" s="4" t="n">
        <v>0.017</v>
      </c>
      <c r="R954" s="3" t="n">
        <v>162.71</v>
      </c>
      <c r="S954" s="3" t="n">
        <v>67.2</v>
      </c>
      <c r="T954" s="3" t="n">
        <v>85.31</v>
      </c>
      <c r="U954" s="4" t="n">
        <v>0.5243</v>
      </c>
      <c r="V954" s="3" t="n">
        <v>10.2</v>
      </c>
      <c r="W954" t="inlineStr">
        <is>
          <t>Bank Transfer</t>
        </is>
      </c>
      <c r="X954" t="inlineStr">
        <is>
          <t>Low</t>
        </is>
      </c>
    </row>
    <row r="955">
      <c r="A955" t="inlineStr">
        <is>
          <t>ORD-00954</t>
        </is>
      </c>
      <c r="B955" s="2" t="n">
        <v>45822</v>
      </c>
      <c r="C955" s="2" t="n">
        <v>45827</v>
      </c>
      <c r="D955" t="inlineStr">
        <is>
          <t>CUST-00954</t>
        </is>
      </c>
      <c r="E955" t="inlineStr">
        <is>
          <t>Customer 954</t>
        </is>
      </c>
      <c r="F955" t="inlineStr">
        <is>
          <t>Consumer</t>
        </is>
      </c>
      <c r="G955" t="inlineStr">
        <is>
          <t>P1013</t>
        </is>
      </c>
      <c r="H955" t="inlineStr">
        <is>
          <t>Harbor Rug</t>
        </is>
      </c>
      <c r="I955" t="inlineStr">
        <is>
          <t>Technology</t>
        </is>
      </c>
      <c r="J955" t="inlineStr">
        <is>
          <t>Flooring</t>
        </is>
      </c>
      <c r="K955" t="inlineStr">
        <is>
          <t>West</t>
        </is>
      </c>
      <c r="L955" t="inlineStr">
        <is>
          <t>Washington</t>
        </is>
      </c>
      <c r="M955" t="inlineStr">
        <is>
          <t>Seattle</t>
        </is>
      </c>
      <c r="N955" t="inlineStr">
        <is>
          <t>James Carter</t>
        </is>
      </c>
      <c r="O955" t="n">
        <v>1</v>
      </c>
      <c r="P955" s="3" t="n">
        <v>164.99</v>
      </c>
      <c r="Q955" s="4" t="n">
        <v>0.047</v>
      </c>
      <c r="R955" s="3" t="n">
        <v>157.24</v>
      </c>
      <c r="S955" s="3" t="n">
        <v>98.2</v>
      </c>
      <c r="T955" s="3" t="n">
        <v>51.24</v>
      </c>
      <c r="U955" s="4" t="n">
        <v>0.3259</v>
      </c>
      <c r="V955" s="3" t="n">
        <v>7.8</v>
      </c>
      <c r="W955" t="inlineStr">
        <is>
          <t>Credit Card</t>
        </is>
      </c>
      <c r="X955" t="inlineStr">
        <is>
          <t>Critical</t>
        </is>
      </c>
    </row>
    <row r="956">
      <c r="A956" t="inlineStr">
        <is>
          <t>ORD-00955</t>
        </is>
      </c>
      <c r="B956" s="2" t="n">
        <v>45640</v>
      </c>
      <c r="C956" s="2" t="n">
        <v>45642</v>
      </c>
      <c r="D956" t="inlineStr">
        <is>
          <t>CUST-00955</t>
        </is>
      </c>
      <c r="E956" t="inlineStr">
        <is>
          <t>Customer 955</t>
        </is>
      </c>
      <c r="F956" t="inlineStr">
        <is>
          <t>Consumer</t>
        </is>
      </c>
      <c r="G956" t="inlineStr">
        <is>
          <t>P1005</t>
        </is>
      </c>
      <c r="H956" t="inlineStr">
        <is>
          <t>Nimbus Monitor Arm</t>
        </is>
      </c>
      <c r="I956" t="inlineStr">
        <is>
          <t>Furniture</t>
        </is>
      </c>
      <c r="J956" t="inlineStr">
        <is>
          <t>Flooring</t>
        </is>
      </c>
      <c r="K956" t="inlineStr">
        <is>
          <t>South</t>
        </is>
      </c>
      <c r="L956" t="inlineStr">
        <is>
          <t>Georgia</t>
        </is>
      </c>
      <c r="M956" t="inlineStr">
        <is>
          <t>Dallas</t>
        </is>
      </c>
      <c r="N956" t="inlineStr">
        <is>
          <t>Olivia Martin</t>
        </is>
      </c>
      <c r="O956" t="n">
        <v>3</v>
      </c>
      <c r="P956" s="3" t="n">
        <v>13.37</v>
      </c>
      <c r="Q956" s="4" t="n">
        <v>0.008999999999999999</v>
      </c>
      <c r="R956" s="3" t="n">
        <v>39.75</v>
      </c>
      <c r="S956" s="3" t="n">
        <v>18.3</v>
      </c>
      <c r="T956" s="3" t="n">
        <v>13.05</v>
      </c>
      <c r="U956" s="4" t="n">
        <v>0.3283</v>
      </c>
      <c r="V956" s="3" t="n">
        <v>8.4</v>
      </c>
      <c r="W956" t="inlineStr">
        <is>
          <t>Credit Card</t>
        </is>
      </c>
      <c r="X956" t="inlineStr">
        <is>
          <t>Medium</t>
        </is>
      </c>
    </row>
    <row r="957">
      <c r="A957" t="inlineStr">
        <is>
          <t>ORD-00956</t>
        </is>
      </c>
      <c r="B957" s="2" t="n">
        <v>45371</v>
      </c>
      <c r="C957" s="2" t="n">
        <v>45374</v>
      </c>
      <c r="D957" t="inlineStr">
        <is>
          <t>CUST-00956</t>
        </is>
      </c>
      <c r="E957" t="inlineStr">
        <is>
          <t>Customer 956</t>
        </is>
      </c>
      <c r="F957" t="inlineStr">
        <is>
          <t>Home Office</t>
        </is>
      </c>
      <c r="G957" t="inlineStr">
        <is>
          <t>P1004</t>
        </is>
      </c>
      <c r="H957" t="inlineStr">
        <is>
          <t>Nimbus Monitor Arm</t>
        </is>
      </c>
      <c r="I957" t="inlineStr">
        <is>
          <t>Office Supplies</t>
        </is>
      </c>
      <c r="J957" t="inlineStr">
        <is>
          <t>Plants</t>
        </is>
      </c>
      <c r="K957" t="inlineStr">
        <is>
          <t>North</t>
        </is>
      </c>
      <c r="L957" t="inlineStr">
        <is>
          <t>British Columbia</t>
        </is>
      </c>
      <c r="M957" t="inlineStr">
        <is>
          <t>Toronto</t>
        </is>
      </c>
      <c r="N957" t="inlineStr">
        <is>
          <t>Noah Kim</t>
        </is>
      </c>
      <c r="O957" t="n">
        <v>1</v>
      </c>
      <c r="P957" s="3" t="n">
        <v>607.91</v>
      </c>
      <c r="Q957" s="4" t="n">
        <v>0.05</v>
      </c>
      <c r="R957" s="3" t="n">
        <v>577.51</v>
      </c>
      <c r="S957" s="3" t="n">
        <v>375.58</v>
      </c>
      <c r="T957" s="3" t="n">
        <v>195.13</v>
      </c>
      <c r="U957" s="4" t="n">
        <v>0.3379</v>
      </c>
      <c r="V957" s="3" t="n">
        <v>6.8</v>
      </c>
      <c r="W957" t="inlineStr">
        <is>
          <t>Debit Card</t>
        </is>
      </c>
      <c r="X957" t="inlineStr">
        <is>
          <t>High</t>
        </is>
      </c>
    </row>
    <row r="958">
      <c r="A958" t="inlineStr">
        <is>
          <t>ORD-00957</t>
        </is>
      </c>
      <c r="B958" s="2" t="n">
        <v>45563</v>
      </c>
      <c r="C958" s="2" t="n">
        <v>45570</v>
      </c>
      <c r="D958" t="inlineStr">
        <is>
          <t>CUST-00957</t>
        </is>
      </c>
      <c r="E958" t="inlineStr">
        <is>
          <t>Customer 957</t>
        </is>
      </c>
      <c r="F958" t="inlineStr">
        <is>
          <t>Home Office</t>
        </is>
      </c>
      <c r="G958" t="inlineStr">
        <is>
          <t>P1008</t>
        </is>
      </c>
      <c r="H958" t="inlineStr">
        <is>
          <t>Harbor Rug</t>
        </is>
      </c>
      <c r="I958" t="inlineStr">
        <is>
          <t>Outdoor</t>
        </is>
      </c>
      <c r="J958" t="inlineStr">
        <is>
          <t>Lighting</t>
        </is>
      </c>
      <c r="K958" t="inlineStr">
        <is>
          <t>Central</t>
        </is>
      </c>
      <c r="L958" t="inlineStr">
        <is>
          <t>Missouri</t>
        </is>
      </c>
      <c r="M958" t="inlineStr">
        <is>
          <t>St. Louis</t>
        </is>
      </c>
      <c r="N958" t="inlineStr">
        <is>
          <t>Liam Chen</t>
        </is>
      </c>
      <c r="O958" t="n">
        <v>4</v>
      </c>
      <c r="P958" s="3" t="n">
        <v>33.73</v>
      </c>
      <c r="Q958" s="4" t="n">
        <v>0.02</v>
      </c>
      <c r="R958" s="3" t="n">
        <v>132.22</v>
      </c>
      <c r="S958" s="3" t="n">
        <v>56.11</v>
      </c>
      <c r="T958" s="3" t="n">
        <v>66.91</v>
      </c>
      <c r="U958" s="4" t="n">
        <v>0.5061</v>
      </c>
      <c r="V958" s="3" t="n">
        <v>9.199999999999999</v>
      </c>
      <c r="W958" t="inlineStr">
        <is>
          <t>Credit Card</t>
        </is>
      </c>
      <c r="X958" t="inlineStr">
        <is>
          <t>Low</t>
        </is>
      </c>
    </row>
    <row r="959">
      <c r="A959" t="inlineStr">
        <is>
          <t>ORD-00958</t>
        </is>
      </c>
      <c r="B959" s="2" t="n">
        <v>45100</v>
      </c>
      <c r="C959" s="2" t="n">
        <v>45103</v>
      </c>
      <c r="D959" t="inlineStr">
        <is>
          <t>CUST-00958</t>
        </is>
      </c>
      <c r="E959" t="inlineStr">
        <is>
          <t>Customer 958</t>
        </is>
      </c>
      <c r="F959" t="inlineStr">
        <is>
          <t>Corporate</t>
        </is>
      </c>
      <c r="G959" t="inlineStr">
        <is>
          <t>P1007</t>
        </is>
      </c>
      <c r="H959" t="inlineStr">
        <is>
          <t>Aero Standing Desk</t>
        </is>
      </c>
      <c r="I959" t="inlineStr">
        <is>
          <t>Furniture</t>
        </is>
      </c>
      <c r="J959" t="inlineStr">
        <is>
          <t>Writing</t>
        </is>
      </c>
      <c r="K959" t="inlineStr">
        <is>
          <t>South</t>
        </is>
      </c>
      <c r="L959" t="inlineStr">
        <is>
          <t>Georgia</t>
        </is>
      </c>
      <c r="M959" t="inlineStr">
        <is>
          <t>Dallas</t>
        </is>
      </c>
      <c r="N959" t="inlineStr">
        <is>
          <t>Sophia Singh</t>
        </is>
      </c>
      <c r="O959" t="n">
        <v>3</v>
      </c>
      <c r="P959" s="3" t="n">
        <v>25.28</v>
      </c>
      <c r="Q959" s="4" t="n">
        <v>0.017</v>
      </c>
      <c r="R959" s="3" t="n">
        <v>74.55</v>
      </c>
      <c r="S959" s="3" t="n">
        <v>32.8</v>
      </c>
      <c r="T959" s="3" t="n">
        <v>33.35</v>
      </c>
      <c r="U959" s="4" t="n">
        <v>0.4474</v>
      </c>
      <c r="V959" s="3" t="n">
        <v>8.4</v>
      </c>
      <c r="W959" t="inlineStr">
        <is>
          <t>Credit Card</t>
        </is>
      </c>
      <c r="X959" t="inlineStr">
        <is>
          <t>Medium</t>
        </is>
      </c>
    </row>
    <row r="960">
      <c r="A960" t="inlineStr">
        <is>
          <t>ORD-00959</t>
        </is>
      </c>
      <c r="B960" s="2" t="n">
        <v>45263</v>
      </c>
      <c r="C960" s="2" t="n">
        <v>45270</v>
      </c>
      <c r="D960" t="inlineStr">
        <is>
          <t>CUST-00959</t>
        </is>
      </c>
      <c r="E960" t="inlineStr">
        <is>
          <t>Customer 959</t>
        </is>
      </c>
      <c r="F960" t="inlineStr">
        <is>
          <t>Consumer</t>
        </is>
      </c>
      <c r="G960" t="inlineStr">
        <is>
          <t>P1005</t>
        </is>
      </c>
      <c r="H960" t="inlineStr">
        <is>
          <t>Atlas Throw Pillow</t>
        </is>
      </c>
      <c r="I960" t="inlineStr">
        <is>
          <t>Home Decor</t>
        </is>
      </c>
      <c r="J960" t="inlineStr">
        <is>
          <t>Furniture</t>
        </is>
      </c>
      <c r="K960" t="inlineStr">
        <is>
          <t>Central</t>
        </is>
      </c>
      <c r="L960" t="inlineStr">
        <is>
          <t>Minnesota</t>
        </is>
      </c>
      <c r="M960" t="inlineStr">
        <is>
          <t>St. Louis</t>
        </is>
      </c>
      <c r="N960" t="inlineStr">
        <is>
          <t>Mia Rodriguez</t>
        </is>
      </c>
      <c r="O960" t="n">
        <v>3</v>
      </c>
      <c r="P960" s="3" t="n">
        <v>13.5</v>
      </c>
      <c r="Q960" s="4" t="n">
        <v>0.01</v>
      </c>
      <c r="R960" s="3" t="n">
        <v>40.09</v>
      </c>
      <c r="S960" s="3" t="n">
        <v>19.46</v>
      </c>
      <c r="T960" s="3" t="n">
        <v>12.23</v>
      </c>
      <c r="U960" s="4" t="n">
        <v>0.3051</v>
      </c>
      <c r="V960" s="3" t="n">
        <v>8.4</v>
      </c>
      <c r="W960" t="inlineStr">
        <is>
          <t>Bank Transfer</t>
        </is>
      </c>
      <c r="X960" t="inlineStr">
        <is>
          <t>Low</t>
        </is>
      </c>
    </row>
    <row r="961">
      <c r="A961" t="inlineStr">
        <is>
          <t>ORD-00960</t>
        </is>
      </c>
      <c r="B961" s="2" t="n">
        <v>45778</v>
      </c>
      <c r="C961" s="2" t="n">
        <v>45784</v>
      </c>
      <c r="D961" t="inlineStr">
        <is>
          <t>CUST-00960</t>
        </is>
      </c>
      <c r="E961" t="inlineStr">
        <is>
          <t>Customer 960</t>
        </is>
      </c>
      <c r="F961" t="inlineStr">
        <is>
          <t>Corporate</t>
        </is>
      </c>
      <c r="G961" t="inlineStr">
        <is>
          <t>P1010</t>
        </is>
      </c>
      <c r="H961" t="inlineStr">
        <is>
          <t>CloudDrive File Box</t>
        </is>
      </c>
      <c r="I961" t="inlineStr">
        <is>
          <t>Technology</t>
        </is>
      </c>
      <c r="J961" t="inlineStr">
        <is>
          <t>Peripherals</t>
        </is>
      </c>
      <c r="K961" t="inlineStr">
        <is>
          <t>South</t>
        </is>
      </c>
      <c r="L961" t="inlineStr">
        <is>
          <t>North Carolina</t>
        </is>
      </c>
      <c r="M961" t="inlineStr">
        <is>
          <t>Atlanta</t>
        </is>
      </c>
      <c r="N961" t="inlineStr">
        <is>
          <t>Sophia Singh</t>
        </is>
      </c>
      <c r="O961" t="n">
        <v>2</v>
      </c>
      <c r="P961" s="3" t="n">
        <v>51.34</v>
      </c>
      <c r="Q961" s="4" t="n">
        <v>0.018</v>
      </c>
      <c r="R961" s="3" t="n">
        <v>100.83</v>
      </c>
      <c r="S961" s="3" t="n">
        <v>50.11</v>
      </c>
      <c r="T961" s="3" t="n">
        <v>43.12</v>
      </c>
      <c r="U961" s="4" t="n">
        <v>0.4277</v>
      </c>
      <c r="V961" s="3" t="n">
        <v>7.6</v>
      </c>
      <c r="W961" t="inlineStr">
        <is>
          <t>Cash on Delivery</t>
        </is>
      </c>
      <c r="X961" t="inlineStr">
        <is>
          <t>Medium</t>
        </is>
      </c>
    </row>
    <row r="962">
      <c r="A962" t="inlineStr">
        <is>
          <t>ORD-00961</t>
        </is>
      </c>
      <c r="B962" s="2" t="n">
        <v>45269</v>
      </c>
      <c r="C962" s="2" t="n">
        <v>45271</v>
      </c>
      <c r="D962" t="inlineStr">
        <is>
          <t>CUST-00961</t>
        </is>
      </c>
      <c r="E962" t="inlineStr">
        <is>
          <t>Customer 961</t>
        </is>
      </c>
      <c r="F962" t="inlineStr">
        <is>
          <t>Consumer</t>
        </is>
      </c>
      <c r="G962" t="inlineStr">
        <is>
          <t>P1017</t>
        </is>
      </c>
      <c r="H962" t="inlineStr">
        <is>
          <t>CloudDrive File Box</t>
        </is>
      </c>
      <c r="I962" t="inlineStr">
        <is>
          <t>Technology</t>
        </is>
      </c>
      <c r="J962" t="inlineStr">
        <is>
          <t>Lighting</t>
        </is>
      </c>
      <c r="K962" t="inlineStr">
        <is>
          <t>East</t>
        </is>
      </c>
      <c r="L962" t="inlineStr">
        <is>
          <t>New Jersey</t>
        </is>
      </c>
      <c r="M962" t="inlineStr">
        <is>
          <t>Boston</t>
        </is>
      </c>
      <c r="N962" t="inlineStr">
        <is>
          <t>Mia Rodriguez</t>
        </is>
      </c>
      <c r="O962" t="n">
        <v>5</v>
      </c>
      <c r="P962" s="3" t="n">
        <v>602.59</v>
      </c>
      <c r="Q962" s="4" t="n">
        <v>0.029</v>
      </c>
      <c r="R962" s="3" t="n">
        <v>2925.57</v>
      </c>
      <c r="S962" s="3" t="n">
        <v>1939.63</v>
      </c>
      <c r="T962" s="3" t="n">
        <v>974.9400000000001</v>
      </c>
      <c r="U962" s="4" t="n">
        <v>0.3332</v>
      </c>
      <c r="V962" s="3" t="n">
        <v>11</v>
      </c>
      <c r="W962" t="inlineStr">
        <is>
          <t>Credit Card</t>
        </is>
      </c>
      <c r="X962" t="inlineStr">
        <is>
          <t>Medium</t>
        </is>
      </c>
    </row>
    <row r="963">
      <c r="A963" t="inlineStr">
        <is>
          <t>ORD-00962</t>
        </is>
      </c>
      <c r="B963" s="2" t="n">
        <v>45635</v>
      </c>
      <c r="C963" s="2" t="n">
        <v>45641</v>
      </c>
      <c r="D963" t="inlineStr">
        <is>
          <t>CUST-00962</t>
        </is>
      </c>
      <c r="E963" t="inlineStr">
        <is>
          <t>Customer 962</t>
        </is>
      </c>
      <c r="F963" t="inlineStr">
        <is>
          <t>Consumer</t>
        </is>
      </c>
      <c r="G963" t="inlineStr">
        <is>
          <t>P1006</t>
        </is>
      </c>
      <c r="H963" t="inlineStr">
        <is>
          <t>Atlas Throw Pillow</t>
        </is>
      </c>
      <c r="I963" t="inlineStr">
        <is>
          <t>Outdoor</t>
        </is>
      </c>
      <c r="J963" t="inlineStr">
        <is>
          <t>Coolers</t>
        </is>
      </c>
      <c r="K963" t="inlineStr">
        <is>
          <t>North</t>
        </is>
      </c>
      <c r="L963" t="inlineStr">
        <is>
          <t>Alberta</t>
        </is>
      </c>
      <c r="M963" t="inlineStr">
        <is>
          <t>Toronto</t>
        </is>
      </c>
      <c r="N963" t="inlineStr">
        <is>
          <t>Mia Rodriguez</t>
        </is>
      </c>
      <c r="O963" t="n">
        <v>3</v>
      </c>
      <c r="P963" s="3" t="n">
        <v>20.03</v>
      </c>
      <c r="Q963" s="4" t="n">
        <v>0.029</v>
      </c>
      <c r="R963" s="3" t="n">
        <v>58.35</v>
      </c>
      <c r="S963" s="3" t="n">
        <v>21.78</v>
      </c>
      <c r="T963" s="3" t="n">
        <v>28.17</v>
      </c>
      <c r="U963" s="4" t="n">
        <v>0.4828</v>
      </c>
      <c r="V963" s="3" t="n">
        <v>8.4</v>
      </c>
      <c r="W963" t="inlineStr">
        <is>
          <t>Bank Transfer</t>
        </is>
      </c>
      <c r="X963" t="inlineStr">
        <is>
          <t>Medium</t>
        </is>
      </c>
    </row>
    <row r="964">
      <c r="A964" t="inlineStr">
        <is>
          <t>ORD-00963</t>
        </is>
      </c>
      <c r="B964" s="2" t="n">
        <v>45068</v>
      </c>
      <c r="C964" s="2" t="n">
        <v>45074</v>
      </c>
      <c r="D964" t="inlineStr">
        <is>
          <t>CUST-00963</t>
        </is>
      </c>
      <c r="E964" t="inlineStr">
        <is>
          <t>Customer 963</t>
        </is>
      </c>
      <c r="F964" t="inlineStr">
        <is>
          <t>Consumer</t>
        </is>
      </c>
      <c r="G964" t="inlineStr">
        <is>
          <t>P1010</t>
        </is>
      </c>
      <c r="H964" t="inlineStr">
        <is>
          <t>Lumen Desk Lamp</t>
        </is>
      </c>
      <c r="I964" t="inlineStr">
        <is>
          <t>Home Decor</t>
        </is>
      </c>
      <c r="J964" t="inlineStr">
        <is>
          <t>Storage</t>
        </is>
      </c>
      <c r="K964" t="inlineStr">
        <is>
          <t>South</t>
        </is>
      </c>
      <c r="L964" t="inlineStr">
        <is>
          <t>Georgia</t>
        </is>
      </c>
      <c r="M964" t="inlineStr">
        <is>
          <t>Dallas</t>
        </is>
      </c>
      <c r="N964" t="inlineStr">
        <is>
          <t>Liam Chen</t>
        </is>
      </c>
      <c r="O964" t="n">
        <v>2</v>
      </c>
      <c r="P964" s="3" t="n">
        <v>53.9</v>
      </c>
      <c r="Q964" s="4" t="n">
        <v>0.052</v>
      </c>
      <c r="R964" s="3" t="n">
        <v>102.19</v>
      </c>
      <c r="S964" s="3" t="n">
        <v>51.87</v>
      </c>
      <c r="T964" s="3" t="n">
        <v>42.72</v>
      </c>
      <c r="U964" s="4" t="n">
        <v>0.418</v>
      </c>
      <c r="V964" s="3" t="n">
        <v>7.6</v>
      </c>
      <c r="W964" t="inlineStr">
        <is>
          <t>Credit Card</t>
        </is>
      </c>
      <c r="X964" t="inlineStr">
        <is>
          <t>High</t>
        </is>
      </c>
    </row>
    <row r="965">
      <c r="A965" t="inlineStr">
        <is>
          <t>ORD-00964</t>
        </is>
      </c>
      <c r="B965" s="2" t="n">
        <v>45598</v>
      </c>
      <c r="C965" s="2" t="n">
        <v>45603</v>
      </c>
      <c r="D965" t="inlineStr">
        <is>
          <t>CUST-00964</t>
        </is>
      </c>
      <c r="E965" t="inlineStr">
        <is>
          <t>Customer 964</t>
        </is>
      </c>
      <c r="F965" t="inlineStr">
        <is>
          <t>Consumer</t>
        </is>
      </c>
      <c r="G965" t="inlineStr">
        <is>
          <t>P1016</t>
        </is>
      </c>
      <c r="H965" t="inlineStr">
        <is>
          <t>Nova Laptop Stand</t>
        </is>
      </c>
      <c r="I965" t="inlineStr">
        <is>
          <t>Furniture</t>
        </is>
      </c>
      <c r="J965" t="inlineStr">
        <is>
          <t>Storage</t>
        </is>
      </c>
      <c r="K965" t="inlineStr">
        <is>
          <t>West</t>
        </is>
      </c>
      <c r="L965" t="inlineStr">
        <is>
          <t>Oregon</t>
        </is>
      </c>
      <c r="M965" t="inlineStr">
        <is>
          <t>Seattle</t>
        </is>
      </c>
      <c r="N965" t="inlineStr">
        <is>
          <t>Noah Kim</t>
        </is>
      </c>
      <c r="O965" t="n">
        <v>4</v>
      </c>
      <c r="P965" s="3" t="n">
        <v>43.87</v>
      </c>
      <c r="Q965" s="4" t="n">
        <v>0.024</v>
      </c>
      <c r="R965" s="3" t="n">
        <v>171.27</v>
      </c>
      <c r="S965" s="3" t="n">
        <v>69.95</v>
      </c>
      <c r="T965" s="3" t="n">
        <v>91.12</v>
      </c>
      <c r="U965" s="4" t="n">
        <v>0.532</v>
      </c>
      <c r="V965" s="3" t="n">
        <v>10.2</v>
      </c>
      <c r="W965" t="inlineStr">
        <is>
          <t>Debit Card</t>
        </is>
      </c>
      <c r="X965" t="inlineStr">
        <is>
          <t>Medium</t>
        </is>
      </c>
    </row>
    <row r="966">
      <c r="A966" t="inlineStr">
        <is>
          <t>ORD-00965</t>
        </is>
      </c>
      <c r="B966" s="2" t="n">
        <v>45276</v>
      </c>
      <c r="C966" s="2" t="n">
        <v>45282</v>
      </c>
      <c r="D966" t="inlineStr">
        <is>
          <t>CUST-00965</t>
        </is>
      </c>
      <c r="E966" t="inlineStr">
        <is>
          <t>Customer 965</t>
        </is>
      </c>
      <c r="F966" t="inlineStr">
        <is>
          <t>Consumer</t>
        </is>
      </c>
      <c r="G966" t="inlineStr">
        <is>
          <t>P1010</t>
        </is>
      </c>
      <c r="H966" t="inlineStr">
        <is>
          <t>Harbor Rug</t>
        </is>
      </c>
      <c r="I966" t="inlineStr">
        <is>
          <t>Furniture</t>
        </is>
      </c>
      <c r="J966" t="inlineStr">
        <is>
          <t>Accessories</t>
        </is>
      </c>
      <c r="K966" t="inlineStr">
        <is>
          <t>Central</t>
        </is>
      </c>
      <c r="L966" t="inlineStr">
        <is>
          <t>Minnesota</t>
        </is>
      </c>
      <c r="M966" t="inlineStr">
        <is>
          <t>Chicago</t>
        </is>
      </c>
      <c r="N966" t="inlineStr">
        <is>
          <t>Noah Kim</t>
        </is>
      </c>
      <c r="O966" t="n">
        <v>5</v>
      </c>
      <c r="P966" s="3" t="n">
        <v>58.94</v>
      </c>
      <c r="Q966" s="4" t="n">
        <v>0.005</v>
      </c>
      <c r="R966" s="3" t="n">
        <v>293.23</v>
      </c>
      <c r="S966" s="3" t="n">
        <v>126.88</v>
      </c>
      <c r="T966" s="3" t="n">
        <v>156.35</v>
      </c>
      <c r="U966" s="4" t="n">
        <v>0.5332</v>
      </c>
      <c r="V966" s="3" t="n">
        <v>10</v>
      </c>
      <c r="W966" t="inlineStr">
        <is>
          <t>Debit Card</t>
        </is>
      </c>
      <c r="X966" t="inlineStr">
        <is>
          <t>Medium</t>
        </is>
      </c>
    </row>
    <row r="967">
      <c r="A967" t="inlineStr">
        <is>
          <t>ORD-00966</t>
        </is>
      </c>
      <c r="B967" s="2" t="n">
        <v>45390</v>
      </c>
      <c r="C967" s="2" t="n">
        <v>45391</v>
      </c>
      <c r="D967" t="inlineStr">
        <is>
          <t>CUST-00966</t>
        </is>
      </c>
      <c r="E967" t="inlineStr">
        <is>
          <t>Customer 966</t>
        </is>
      </c>
      <c r="F967" t="inlineStr">
        <is>
          <t>Home Office</t>
        </is>
      </c>
      <c r="G967" t="inlineStr">
        <is>
          <t>P1004</t>
        </is>
      </c>
      <c r="H967" t="inlineStr">
        <is>
          <t>Echo Web Camera</t>
        </is>
      </c>
      <c r="I967" t="inlineStr">
        <is>
          <t>Technology</t>
        </is>
      </c>
      <c r="J967" t="inlineStr">
        <is>
          <t>Flooring</t>
        </is>
      </c>
      <c r="K967" t="inlineStr">
        <is>
          <t>West</t>
        </is>
      </c>
      <c r="L967" t="inlineStr">
        <is>
          <t>California</t>
        </is>
      </c>
      <c r="M967" t="inlineStr">
        <is>
          <t>Los Angeles</t>
        </is>
      </c>
      <c r="N967" t="inlineStr">
        <is>
          <t>Mia Rodriguez</t>
        </is>
      </c>
      <c r="O967" t="n">
        <v>2</v>
      </c>
      <c r="P967" s="3" t="n">
        <v>602.5</v>
      </c>
      <c r="Q967" s="4" t="n">
        <v>0.051</v>
      </c>
      <c r="R967" s="3" t="n">
        <v>1143.54</v>
      </c>
      <c r="S967" s="3" t="n">
        <v>730.39</v>
      </c>
      <c r="T967" s="3" t="n">
        <v>404.55</v>
      </c>
      <c r="U967" s="4" t="n">
        <v>0.3538</v>
      </c>
      <c r="V967" s="3" t="n">
        <v>8.6</v>
      </c>
      <c r="W967" t="inlineStr">
        <is>
          <t>PayPal</t>
        </is>
      </c>
      <c r="X967" t="inlineStr">
        <is>
          <t>High</t>
        </is>
      </c>
    </row>
    <row r="968">
      <c r="A968" t="inlineStr">
        <is>
          <t>ORD-00967</t>
        </is>
      </c>
      <c r="B968" s="2" t="n">
        <v>45834</v>
      </c>
      <c r="C968" s="2" t="n">
        <v>45841</v>
      </c>
      <c r="D968" t="inlineStr">
        <is>
          <t>CUST-00967</t>
        </is>
      </c>
      <c r="E968" t="inlineStr">
        <is>
          <t>Customer 967</t>
        </is>
      </c>
      <c r="F968" t="inlineStr">
        <is>
          <t>Home Office</t>
        </is>
      </c>
      <c r="G968" t="inlineStr">
        <is>
          <t>P1002</t>
        </is>
      </c>
      <c r="H968" t="inlineStr">
        <is>
          <t>Lumen Desk Lamp</t>
        </is>
      </c>
      <c r="I968" t="inlineStr">
        <is>
          <t>Technology</t>
        </is>
      </c>
      <c r="J968" t="inlineStr">
        <is>
          <t>Flooring</t>
        </is>
      </c>
      <c r="K968" t="inlineStr">
        <is>
          <t>East</t>
        </is>
      </c>
      <c r="L968" t="inlineStr">
        <is>
          <t>New York</t>
        </is>
      </c>
      <c r="M968" t="inlineStr">
        <is>
          <t>Washington</t>
        </is>
      </c>
      <c r="N968" t="inlineStr">
        <is>
          <t>Olivia Martin</t>
        </is>
      </c>
      <c r="O968" t="n">
        <v>3</v>
      </c>
      <c r="P968" s="3" t="n">
        <v>81.98999999999999</v>
      </c>
      <c r="Q968" s="4" t="n">
        <v>0.007</v>
      </c>
      <c r="R968" s="3" t="n">
        <v>244.25</v>
      </c>
      <c r="S968" s="3" t="n">
        <v>113.15</v>
      </c>
      <c r="T968" s="3" t="n">
        <v>121.7</v>
      </c>
      <c r="U968" s="4" t="n">
        <v>0.4983</v>
      </c>
      <c r="V968" s="3" t="n">
        <v>9.4</v>
      </c>
      <c r="W968" t="inlineStr">
        <is>
          <t>Debit Card</t>
        </is>
      </c>
      <c r="X968" t="inlineStr">
        <is>
          <t>Medium</t>
        </is>
      </c>
    </row>
    <row r="969">
      <c r="A969" t="inlineStr">
        <is>
          <t>ORD-00968</t>
        </is>
      </c>
      <c r="B969" s="2" t="n">
        <v>45113</v>
      </c>
      <c r="C969" s="2" t="n">
        <v>45117</v>
      </c>
      <c r="D969" t="inlineStr">
        <is>
          <t>CUST-00968</t>
        </is>
      </c>
      <c r="E969" t="inlineStr">
        <is>
          <t>Customer 968</t>
        </is>
      </c>
      <c r="F969" t="inlineStr">
        <is>
          <t>Home Office</t>
        </is>
      </c>
      <c r="G969" t="inlineStr">
        <is>
          <t>P1001</t>
        </is>
      </c>
      <c r="H969" t="inlineStr">
        <is>
          <t>Nova Laptop Stand</t>
        </is>
      </c>
      <c r="I969" t="inlineStr">
        <is>
          <t>Office Supplies</t>
        </is>
      </c>
      <c r="J969" t="inlineStr">
        <is>
          <t>Lighting</t>
        </is>
      </c>
      <c r="K969" t="inlineStr">
        <is>
          <t>West</t>
        </is>
      </c>
      <c r="L969" t="inlineStr">
        <is>
          <t>Washington</t>
        </is>
      </c>
      <c r="M969" t="inlineStr">
        <is>
          <t>Seattle</t>
        </is>
      </c>
      <c r="N969" t="inlineStr">
        <is>
          <t>Noah Kim</t>
        </is>
      </c>
      <c r="O969" t="n">
        <v>3</v>
      </c>
      <c r="P969" s="3" t="n">
        <v>323.62</v>
      </c>
      <c r="Q969" s="4" t="n">
        <v>0.035</v>
      </c>
      <c r="R969" s="3" t="n">
        <v>936.88</v>
      </c>
      <c r="S969" s="3" t="n">
        <v>551.67</v>
      </c>
      <c r="T969" s="3" t="n">
        <v>375.81</v>
      </c>
      <c r="U969" s="4" t="n">
        <v>0.4011</v>
      </c>
      <c r="V969" s="3" t="n">
        <v>9.4</v>
      </c>
      <c r="W969" t="inlineStr">
        <is>
          <t>Bank Transfer</t>
        </is>
      </c>
      <c r="X969" t="inlineStr">
        <is>
          <t>High</t>
        </is>
      </c>
    </row>
    <row r="970">
      <c r="A970" t="inlineStr">
        <is>
          <t>ORD-00969</t>
        </is>
      </c>
      <c r="B970" s="2" t="n">
        <v>45435</v>
      </c>
      <c r="C970" s="2" t="n">
        <v>45436</v>
      </c>
      <c r="D970" t="inlineStr">
        <is>
          <t>CUST-00969</t>
        </is>
      </c>
      <c r="E970" t="inlineStr">
        <is>
          <t>Customer 969</t>
        </is>
      </c>
      <c r="F970" t="inlineStr">
        <is>
          <t>Home Office</t>
        </is>
      </c>
      <c r="G970" t="inlineStr">
        <is>
          <t>P1003</t>
        </is>
      </c>
      <c r="H970" t="inlineStr">
        <is>
          <t>ErgoMesh Chair</t>
        </is>
      </c>
      <c r="I970" t="inlineStr">
        <is>
          <t>Furniture</t>
        </is>
      </c>
      <c r="J970" t="inlineStr">
        <is>
          <t>Writing</t>
        </is>
      </c>
      <c r="K970" t="inlineStr">
        <is>
          <t>West</t>
        </is>
      </c>
      <c r="L970" t="inlineStr">
        <is>
          <t>Colorado</t>
        </is>
      </c>
      <c r="M970" t="inlineStr">
        <is>
          <t>Denver</t>
        </is>
      </c>
      <c r="N970" t="inlineStr">
        <is>
          <t>Sophia Singh</t>
        </is>
      </c>
      <c r="O970" t="n">
        <v>3</v>
      </c>
      <c r="P970" s="3" t="n">
        <v>158.24</v>
      </c>
      <c r="Q970" s="4" t="n">
        <v>0.035</v>
      </c>
      <c r="R970" s="3" t="n">
        <v>458.1</v>
      </c>
      <c r="S970" s="3" t="n">
        <v>243.46</v>
      </c>
      <c r="T970" s="3" t="n">
        <v>205.24</v>
      </c>
      <c r="U970" s="4" t="n">
        <v>0.448</v>
      </c>
      <c r="V970" s="3" t="n">
        <v>9.4</v>
      </c>
      <c r="W970" t="inlineStr">
        <is>
          <t>Credit Card</t>
        </is>
      </c>
      <c r="X970" t="inlineStr">
        <is>
          <t>Medium</t>
        </is>
      </c>
    </row>
    <row r="971">
      <c r="A971" t="inlineStr">
        <is>
          <t>ORD-00970</t>
        </is>
      </c>
      <c r="B971" s="2" t="n">
        <v>45304</v>
      </c>
      <c r="C971" s="2" t="n">
        <v>45305</v>
      </c>
      <c r="D971" t="inlineStr">
        <is>
          <t>CUST-00970</t>
        </is>
      </c>
      <c r="E971" t="inlineStr">
        <is>
          <t>Customer 970</t>
        </is>
      </c>
      <c r="F971" t="inlineStr">
        <is>
          <t>Consumer</t>
        </is>
      </c>
      <c r="G971" t="inlineStr">
        <is>
          <t>P1013</t>
        </is>
      </c>
      <c r="H971" t="inlineStr">
        <is>
          <t>ProClip Binder</t>
        </is>
      </c>
      <c r="I971" t="inlineStr">
        <is>
          <t>Technology</t>
        </is>
      </c>
      <c r="J971" t="inlineStr">
        <is>
          <t>Writing</t>
        </is>
      </c>
      <c r="K971" t="inlineStr">
        <is>
          <t>West</t>
        </is>
      </c>
      <c r="L971" t="inlineStr">
        <is>
          <t>California</t>
        </is>
      </c>
      <c r="M971" t="inlineStr">
        <is>
          <t>San Francisco</t>
        </is>
      </c>
      <c r="N971" t="inlineStr">
        <is>
          <t>Mia Rodriguez</t>
        </is>
      </c>
      <c r="O971" t="n">
        <v>3</v>
      </c>
      <c r="P971" s="3" t="n">
        <v>166.47</v>
      </c>
      <c r="Q971" s="4" t="n">
        <v>0.08</v>
      </c>
      <c r="R971" s="3" t="n">
        <v>459.46</v>
      </c>
      <c r="S971" s="3" t="n">
        <v>264.56</v>
      </c>
      <c r="T971" s="3" t="n">
        <v>185.5</v>
      </c>
      <c r="U971" s="4" t="n">
        <v>0.4037</v>
      </c>
      <c r="V971" s="3" t="n">
        <v>9.4</v>
      </c>
      <c r="W971" t="inlineStr">
        <is>
          <t>Debit Card</t>
        </is>
      </c>
      <c r="X971" t="inlineStr">
        <is>
          <t>Critical</t>
        </is>
      </c>
    </row>
    <row r="972">
      <c r="A972" t="inlineStr">
        <is>
          <t>ORD-00971</t>
        </is>
      </c>
      <c r="B972" s="2" t="n">
        <v>45748</v>
      </c>
      <c r="C972" s="2" t="n">
        <v>45753</v>
      </c>
      <c r="D972" t="inlineStr">
        <is>
          <t>CUST-00971</t>
        </is>
      </c>
      <c r="E972" t="inlineStr">
        <is>
          <t>Customer 971</t>
        </is>
      </c>
      <c r="F972" t="inlineStr">
        <is>
          <t>Home Office</t>
        </is>
      </c>
      <c r="G972" t="inlineStr">
        <is>
          <t>P1012</t>
        </is>
      </c>
      <c r="H972" t="inlineStr">
        <is>
          <t>Lumen Desk Lamp</t>
        </is>
      </c>
      <c r="I972" t="inlineStr">
        <is>
          <t>Furniture</t>
        </is>
      </c>
      <c r="J972" t="inlineStr">
        <is>
          <t>Bags</t>
        </is>
      </c>
      <c r="K972" t="inlineStr">
        <is>
          <t>South</t>
        </is>
      </c>
      <c r="L972" t="inlineStr">
        <is>
          <t>Georgia</t>
        </is>
      </c>
      <c r="M972" t="inlineStr">
        <is>
          <t>Miami</t>
        </is>
      </c>
      <c r="N972" t="inlineStr">
        <is>
          <t>Mia Rodriguez</t>
        </is>
      </c>
      <c r="O972" t="n">
        <v>1</v>
      </c>
      <c r="P972" s="3" t="n">
        <v>127.81</v>
      </c>
      <c r="Q972" s="4" t="n">
        <v>0.019</v>
      </c>
      <c r="R972" s="3" t="n">
        <v>125.38</v>
      </c>
      <c r="S972" s="3" t="n">
        <v>66.11</v>
      </c>
      <c r="T972" s="3" t="n">
        <v>52.47</v>
      </c>
      <c r="U972" s="4" t="n">
        <v>0.4185</v>
      </c>
      <c r="V972" s="3" t="n">
        <v>6.8</v>
      </c>
      <c r="W972" t="inlineStr">
        <is>
          <t>Credit Card</t>
        </is>
      </c>
      <c r="X972" t="inlineStr">
        <is>
          <t>Medium</t>
        </is>
      </c>
    </row>
    <row r="973">
      <c r="A973" t="inlineStr">
        <is>
          <t>ORD-00972</t>
        </is>
      </c>
      <c r="B973" s="2" t="n">
        <v>45796</v>
      </c>
      <c r="C973" s="2" t="n">
        <v>45800</v>
      </c>
      <c r="D973" t="inlineStr">
        <is>
          <t>CUST-00972</t>
        </is>
      </c>
      <c r="E973" t="inlineStr">
        <is>
          <t>Customer 972</t>
        </is>
      </c>
      <c r="F973" t="inlineStr">
        <is>
          <t>Home Office</t>
        </is>
      </c>
      <c r="G973" t="inlineStr">
        <is>
          <t>P1001</t>
        </is>
      </c>
      <c r="H973" t="inlineStr">
        <is>
          <t>Nimbus Monitor Arm</t>
        </is>
      </c>
      <c r="I973" t="inlineStr">
        <is>
          <t>Office Supplies</t>
        </is>
      </c>
      <c r="J973" t="inlineStr">
        <is>
          <t>Chairs</t>
        </is>
      </c>
      <c r="K973" t="inlineStr">
        <is>
          <t>East</t>
        </is>
      </c>
      <c r="L973" t="inlineStr">
        <is>
          <t>New York</t>
        </is>
      </c>
      <c r="M973" t="inlineStr">
        <is>
          <t>Philadelphia</t>
        </is>
      </c>
      <c r="N973" t="inlineStr">
        <is>
          <t>Ava Patel</t>
        </is>
      </c>
      <c r="O973" t="n">
        <v>3</v>
      </c>
      <c r="P973" s="3" t="n">
        <v>298.97</v>
      </c>
      <c r="Q973" s="4" t="n">
        <v>0.022</v>
      </c>
      <c r="R973" s="3" t="n">
        <v>877.1799999999999</v>
      </c>
      <c r="S973" s="3" t="n">
        <v>518.1799999999999</v>
      </c>
      <c r="T973" s="3" t="n">
        <v>349.6</v>
      </c>
      <c r="U973" s="4" t="n">
        <v>0.3985</v>
      </c>
      <c r="V973" s="3" t="n">
        <v>9.4</v>
      </c>
      <c r="W973" t="inlineStr">
        <is>
          <t>PayPal</t>
        </is>
      </c>
      <c r="X973" t="inlineStr">
        <is>
          <t>Medium</t>
        </is>
      </c>
    </row>
    <row r="974">
      <c r="A974" t="inlineStr">
        <is>
          <t>ORD-00973</t>
        </is>
      </c>
      <c r="B974" s="2" t="n">
        <v>45853</v>
      </c>
      <c r="C974" s="2" t="n">
        <v>45859</v>
      </c>
      <c r="D974" t="inlineStr">
        <is>
          <t>CUST-00973</t>
        </is>
      </c>
      <c r="E974" t="inlineStr">
        <is>
          <t>Customer 973</t>
        </is>
      </c>
      <c r="F974" t="inlineStr">
        <is>
          <t>Home Office</t>
        </is>
      </c>
      <c r="G974" t="inlineStr">
        <is>
          <t>P1010</t>
        </is>
      </c>
      <c r="H974" t="inlineStr">
        <is>
          <t>Halo Planter</t>
        </is>
      </c>
      <c r="I974" t="inlineStr">
        <is>
          <t>Outdoor</t>
        </is>
      </c>
      <c r="J974" t="inlineStr">
        <is>
          <t>Decor</t>
        </is>
      </c>
      <c r="K974" t="inlineStr">
        <is>
          <t>South</t>
        </is>
      </c>
      <c r="L974" t="inlineStr">
        <is>
          <t>Florida</t>
        </is>
      </c>
      <c r="M974" t="inlineStr">
        <is>
          <t>Dallas</t>
        </is>
      </c>
      <c r="N974" t="inlineStr">
        <is>
          <t>Sophia Singh</t>
        </is>
      </c>
      <c r="O974" t="n">
        <v>6</v>
      </c>
      <c r="P974" s="3" t="n">
        <v>57.77</v>
      </c>
      <c r="Q974" s="4" t="n">
        <v>0.006</v>
      </c>
      <c r="R974" s="3" t="n">
        <v>344.54</v>
      </c>
      <c r="S974" s="3" t="n">
        <v>152.37</v>
      </c>
      <c r="T974" s="3" t="n">
        <v>181.37</v>
      </c>
      <c r="U974" s="4" t="n">
        <v>0.5264</v>
      </c>
      <c r="V974" s="3" t="n">
        <v>10.8</v>
      </c>
      <c r="W974" t="inlineStr">
        <is>
          <t>Credit Card</t>
        </is>
      </c>
      <c r="X974" t="inlineStr">
        <is>
          <t>Medium</t>
        </is>
      </c>
    </row>
    <row r="975">
      <c r="A975" t="inlineStr">
        <is>
          <t>ORD-00974</t>
        </is>
      </c>
      <c r="B975" s="2" t="n">
        <v>44986</v>
      </c>
      <c r="C975" s="2" t="n">
        <v>44990</v>
      </c>
      <c r="D975" t="inlineStr">
        <is>
          <t>CUST-00974</t>
        </is>
      </c>
      <c r="E975" t="inlineStr">
        <is>
          <t>Customer 974</t>
        </is>
      </c>
      <c r="F975" t="inlineStr">
        <is>
          <t>Corporate</t>
        </is>
      </c>
      <c r="G975" t="inlineStr">
        <is>
          <t>P1006</t>
        </is>
      </c>
      <c r="H975" t="inlineStr">
        <is>
          <t>SmartInk Pen Set</t>
        </is>
      </c>
      <c r="I975" t="inlineStr">
        <is>
          <t>Office Supplies</t>
        </is>
      </c>
      <c r="J975" t="inlineStr">
        <is>
          <t>Binders</t>
        </is>
      </c>
      <c r="K975" t="inlineStr">
        <is>
          <t>North</t>
        </is>
      </c>
      <c r="L975" t="inlineStr">
        <is>
          <t>Quebec</t>
        </is>
      </c>
      <c r="M975" t="inlineStr">
        <is>
          <t>Vancouver</t>
        </is>
      </c>
      <c r="N975" t="inlineStr">
        <is>
          <t>Noah Kim</t>
        </is>
      </c>
      <c r="O975" t="n">
        <v>1</v>
      </c>
      <c r="P975" s="3" t="n">
        <v>17.75</v>
      </c>
      <c r="Q975" s="4" t="n">
        <v>0.014</v>
      </c>
      <c r="R975" s="3" t="n">
        <v>17.5</v>
      </c>
      <c r="S975" s="3" t="n">
        <v>13.44</v>
      </c>
      <c r="T975" s="3" t="n">
        <v>-2.74</v>
      </c>
      <c r="U975" s="4" t="n">
        <v>-0.1566</v>
      </c>
      <c r="V975" s="3" t="n">
        <v>6.8</v>
      </c>
      <c r="W975" t="inlineStr">
        <is>
          <t>Credit Card</t>
        </is>
      </c>
      <c r="X975" t="inlineStr">
        <is>
          <t>Low</t>
        </is>
      </c>
    </row>
    <row r="976">
      <c r="A976" t="inlineStr">
        <is>
          <t>ORD-00975</t>
        </is>
      </c>
      <c r="B976" s="2" t="n">
        <v>45240</v>
      </c>
      <c r="C976" s="2" t="n">
        <v>45246</v>
      </c>
      <c r="D976" t="inlineStr">
        <is>
          <t>CUST-00975</t>
        </is>
      </c>
      <c r="E976" t="inlineStr">
        <is>
          <t>Customer 975</t>
        </is>
      </c>
      <c r="F976" t="inlineStr">
        <is>
          <t>Consumer</t>
        </is>
      </c>
      <c r="G976" t="inlineStr">
        <is>
          <t>P1009</t>
        </is>
      </c>
      <c r="H976" t="inlineStr">
        <is>
          <t>Harbor Rug</t>
        </is>
      </c>
      <c r="I976" t="inlineStr">
        <is>
          <t>Furniture</t>
        </is>
      </c>
      <c r="J976" t="inlineStr">
        <is>
          <t>Flooring</t>
        </is>
      </c>
      <c r="K976" t="inlineStr">
        <is>
          <t>Central</t>
        </is>
      </c>
      <c r="L976" t="inlineStr">
        <is>
          <t>Illinois</t>
        </is>
      </c>
      <c r="M976" t="inlineStr">
        <is>
          <t>St. Louis</t>
        </is>
      </c>
      <c r="N976" t="inlineStr">
        <is>
          <t>Noah Kim</t>
        </is>
      </c>
      <c r="O976" t="n">
        <v>3</v>
      </c>
      <c r="P976" s="3" t="n">
        <v>99.48999999999999</v>
      </c>
      <c r="Q976" s="4" t="n">
        <v>0.008999999999999999</v>
      </c>
      <c r="R976" s="3" t="n">
        <v>295.78</v>
      </c>
      <c r="S976" s="3" t="n">
        <v>149.28</v>
      </c>
      <c r="T976" s="3" t="n">
        <v>138.1</v>
      </c>
      <c r="U976" s="4" t="n">
        <v>0.4669</v>
      </c>
      <c r="V976" s="3" t="n">
        <v>8.4</v>
      </c>
      <c r="W976" t="inlineStr">
        <is>
          <t>Debit Card</t>
        </is>
      </c>
      <c r="X976" t="inlineStr">
        <is>
          <t>Low</t>
        </is>
      </c>
    </row>
    <row r="977">
      <c r="A977" t="inlineStr">
        <is>
          <t>ORD-00976</t>
        </is>
      </c>
      <c r="B977" s="2" t="n">
        <v>45200</v>
      </c>
      <c r="C977" s="2" t="n">
        <v>45203</v>
      </c>
      <c r="D977" t="inlineStr">
        <is>
          <t>CUST-00976</t>
        </is>
      </c>
      <c r="E977" t="inlineStr">
        <is>
          <t>Customer 976</t>
        </is>
      </c>
      <c r="F977" t="inlineStr">
        <is>
          <t>Consumer</t>
        </is>
      </c>
      <c r="G977" t="inlineStr">
        <is>
          <t>P1001</t>
        </is>
      </c>
      <c r="H977" t="inlineStr">
        <is>
          <t>Atlas Throw Pillow</t>
        </is>
      </c>
      <c r="I977" t="inlineStr">
        <is>
          <t>Home Decor</t>
        </is>
      </c>
      <c r="J977" t="inlineStr">
        <is>
          <t>Chairs</t>
        </is>
      </c>
      <c r="K977" t="inlineStr">
        <is>
          <t>South</t>
        </is>
      </c>
      <c r="L977" t="inlineStr">
        <is>
          <t>Georgia</t>
        </is>
      </c>
      <c r="M977" t="inlineStr">
        <is>
          <t>Dallas</t>
        </is>
      </c>
      <c r="N977" t="inlineStr">
        <is>
          <t>Ava Patel</t>
        </is>
      </c>
      <c r="O977" t="n">
        <v>4</v>
      </c>
      <c r="P977" s="3" t="n">
        <v>296.53</v>
      </c>
      <c r="Q977" s="4" t="n">
        <v>0.014</v>
      </c>
      <c r="R977" s="3" t="n">
        <v>1169.51</v>
      </c>
      <c r="S977" s="3" t="n">
        <v>685.11</v>
      </c>
      <c r="T977" s="3" t="n">
        <v>475.2</v>
      </c>
      <c r="U977" s="4" t="n">
        <v>0.4063</v>
      </c>
      <c r="V977" s="3" t="n">
        <v>9.199999999999999</v>
      </c>
      <c r="W977" t="inlineStr">
        <is>
          <t>Credit Card</t>
        </is>
      </c>
      <c r="X977" t="inlineStr">
        <is>
          <t>High</t>
        </is>
      </c>
    </row>
    <row r="978">
      <c r="A978" t="inlineStr">
        <is>
          <t>ORD-00977</t>
        </is>
      </c>
      <c r="B978" s="2" t="n">
        <v>45350</v>
      </c>
      <c r="C978" s="2" t="n">
        <v>45352</v>
      </c>
      <c r="D978" t="inlineStr">
        <is>
          <t>CUST-00977</t>
        </is>
      </c>
      <c r="E978" t="inlineStr">
        <is>
          <t>Customer 977</t>
        </is>
      </c>
      <c r="F978" t="inlineStr">
        <is>
          <t>Consumer</t>
        </is>
      </c>
      <c r="G978" t="inlineStr">
        <is>
          <t>P1012</t>
        </is>
      </c>
      <c r="H978" t="inlineStr">
        <is>
          <t>Harbor Rug</t>
        </is>
      </c>
      <c r="I978" t="inlineStr">
        <is>
          <t>Office Supplies</t>
        </is>
      </c>
      <c r="J978" t="inlineStr">
        <is>
          <t>Bags</t>
        </is>
      </c>
      <c r="K978" t="inlineStr">
        <is>
          <t>East</t>
        </is>
      </c>
      <c r="L978" t="inlineStr">
        <is>
          <t>Virginia</t>
        </is>
      </c>
      <c r="M978" t="inlineStr">
        <is>
          <t>Boston</t>
        </is>
      </c>
      <c r="N978" t="inlineStr">
        <is>
          <t>Sophia Singh</t>
        </is>
      </c>
      <c r="O978" t="n">
        <v>2</v>
      </c>
      <c r="P978" s="3" t="n">
        <v>135.3</v>
      </c>
      <c r="Q978" s="4" t="n">
        <v>0.033</v>
      </c>
      <c r="R978" s="3" t="n">
        <v>261.67</v>
      </c>
      <c r="S978" s="3" t="n">
        <v>132.96</v>
      </c>
      <c r="T978" s="3" t="n">
        <v>120.11</v>
      </c>
      <c r="U978" s="4" t="n">
        <v>0.459</v>
      </c>
      <c r="V978" s="3" t="n">
        <v>8.6</v>
      </c>
      <c r="W978" t="inlineStr">
        <is>
          <t>Credit Card</t>
        </is>
      </c>
      <c r="X978" t="inlineStr">
        <is>
          <t>High</t>
        </is>
      </c>
    </row>
    <row r="979">
      <c r="A979" t="inlineStr">
        <is>
          <t>ORD-00978</t>
        </is>
      </c>
      <c r="B979" s="2" t="n">
        <v>45181</v>
      </c>
      <c r="C979" s="2" t="n">
        <v>45186</v>
      </c>
      <c r="D979" t="inlineStr">
        <is>
          <t>CUST-00978</t>
        </is>
      </c>
      <c r="E979" t="inlineStr">
        <is>
          <t>Customer 978</t>
        </is>
      </c>
      <c r="F979" t="inlineStr">
        <is>
          <t>Home Office</t>
        </is>
      </c>
      <c r="G979" t="inlineStr">
        <is>
          <t>P1005</t>
        </is>
      </c>
      <c r="H979" t="inlineStr">
        <is>
          <t>Echo Web Camera</t>
        </is>
      </c>
      <c r="I979" t="inlineStr">
        <is>
          <t>Outdoor</t>
        </is>
      </c>
      <c r="J979" t="inlineStr">
        <is>
          <t>Accessories</t>
        </is>
      </c>
      <c r="K979" t="inlineStr">
        <is>
          <t>South</t>
        </is>
      </c>
      <c r="L979" t="inlineStr">
        <is>
          <t>Florida</t>
        </is>
      </c>
      <c r="M979" t="inlineStr">
        <is>
          <t>Houston</t>
        </is>
      </c>
      <c r="N979" t="inlineStr">
        <is>
          <t>Liam Chen</t>
        </is>
      </c>
      <c r="O979" t="n">
        <v>4</v>
      </c>
      <c r="P979" s="3" t="n">
        <v>12.72</v>
      </c>
      <c r="Q979" s="4" t="n">
        <v>0.003</v>
      </c>
      <c r="R979" s="3" t="n">
        <v>50.73</v>
      </c>
      <c r="S979" s="3" t="n">
        <v>26.48</v>
      </c>
      <c r="T979" s="3" t="n">
        <v>15.05</v>
      </c>
      <c r="U979" s="4" t="n">
        <v>0.2967</v>
      </c>
      <c r="V979" s="3" t="n">
        <v>9.199999999999999</v>
      </c>
      <c r="W979" t="inlineStr">
        <is>
          <t>Bank Transfer</t>
        </is>
      </c>
      <c r="X979" t="inlineStr">
        <is>
          <t>Low</t>
        </is>
      </c>
    </row>
    <row r="980">
      <c r="A980" t="inlineStr">
        <is>
          <t>ORD-00979</t>
        </is>
      </c>
      <c r="B980" s="2" t="n">
        <v>45546</v>
      </c>
      <c r="C980" s="2" t="n">
        <v>45552</v>
      </c>
      <c r="D980" t="inlineStr">
        <is>
          <t>CUST-00979</t>
        </is>
      </c>
      <c r="E980" t="inlineStr">
        <is>
          <t>Customer 979</t>
        </is>
      </c>
      <c r="F980" t="inlineStr">
        <is>
          <t>Consumer</t>
        </is>
      </c>
      <c r="G980" t="inlineStr">
        <is>
          <t>P1001</t>
        </is>
      </c>
      <c r="H980" t="inlineStr">
        <is>
          <t>Summit Patio Set</t>
        </is>
      </c>
      <c r="I980" t="inlineStr">
        <is>
          <t>Technology</t>
        </is>
      </c>
      <c r="J980" t="inlineStr">
        <is>
          <t>Plants</t>
        </is>
      </c>
      <c r="K980" t="inlineStr">
        <is>
          <t>Central</t>
        </is>
      </c>
      <c r="L980" t="inlineStr">
        <is>
          <t>Minnesota</t>
        </is>
      </c>
      <c r="M980" t="inlineStr">
        <is>
          <t>Minneapolis</t>
        </is>
      </c>
      <c r="N980" t="inlineStr">
        <is>
          <t>Liam Chen</t>
        </is>
      </c>
      <c r="O980" t="n">
        <v>2</v>
      </c>
      <c r="P980" s="3" t="n">
        <v>283.53</v>
      </c>
      <c r="Q980" s="4" t="n">
        <v>0.018</v>
      </c>
      <c r="R980" s="3" t="n">
        <v>556.85</v>
      </c>
      <c r="S980" s="3" t="n">
        <v>332.87</v>
      </c>
      <c r="T980" s="3" t="n">
        <v>216.38</v>
      </c>
      <c r="U980" s="4" t="n">
        <v>0.3886</v>
      </c>
      <c r="V980" s="3" t="n">
        <v>7.6</v>
      </c>
      <c r="W980" t="inlineStr">
        <is>
          <t>Bank Transfer</t>
        </is>
      </c>
      <c r="X980" t="inlineStr">
        <is>
          <t>Medium</t>
        </is>
      </c>
    </row>
    <row r="981">
      <c r="A981" t="inlineStr">
        <is>
          <t>ORD-00980</t>
        </is>
      </c>
      <c r="B981" s="2" t="n">
        <v>45643</v>
      </c>
      <c r="C981" s="2" t="n">
        <v>45649</v>
      </c>
      <c r="D981" t="inlineStr">
        <is>
          <t>CUST-00980</t>
        </is>
      </c>
      <c r="E981" t="inlineStr">
        <is>
          <t>Customer 980</t>
        </is>
      </c>
      <c r="F981" t="inlineStr">
        <is>
          <t>Home Office</t>
        </is>
      </c>
      <c r="G981" t="inlineStr">
        <is>
          <t>P1002</t>
        </is>
      </c>
      <c r="H981" t="inlineStr">
        <is>
          <t>Pulse Keyboard</t>
        </is>
      </c>
      <c r="I981" t="inlineStr">
        <is>
          <t>Home Decor</t>
        </is>
      </c>
      <c r="J981" t="inlineStr">
        <is>
          <t>Coolers</t>
        </is>
      </c>
      <c r="K981" t="inlineStr">
        <is>
          <t>East</t>
        </is>
      </c>
      <c r="L981" t="inlineStr">
        <is>
          <t>New York</t>
        </is>
      </c>
      <c r="M981" t="inlineStr">
        <is>
          <t>Philadelphia</t>
        </is>
      </c>
      <c r="N981" t="inlineStr">
        <is>
          <t>James Carter</t>
        </is>
      </c>
      <c r="O981" t="n">
        <v>1</v>
      </c>
      <c r="P981" s="3" t="n">
        <v>89.61</v>
      </c>
      <c r="Q981" s="4" t="n">
        <v>0.008999999999999999</v>
      </c>
      <c r="R981" s="3" t="n">
        <v>88.8</v>
      </c>
      <c r="S981" s="3" t="n">
        <v>44.85</v>
      </c>
      <c r="T981" s="3" t="n">
        <v>36.15</v>
      </c>
      <c r="U981" s="4" t="n">
        <v>0.4071</v>
      </c>
      <c r="V981" s="3" t="n">
        <v>7.8</v>
      </c>
      <c r="W981" t="inlineStr">
        <is>
          <t>Cash on Delivery</t>
        </is>
      </c>
      <c r="X981" t="inlineStr">
        <is>
          <t>Low</t>
        </is>
      </c>
    </row>
    <row r="982">
      <c r="A982" t="inlineStr">
        <is>
          <t>ORD-00981</t>
        </is>
      </c>
      <c r="B982" s="2" t="n">
        <v>45295</v>
      </c>
      <c r="C982" s="2" t="n">
        <v>45299</v>
      </c>
      <c r="D982" t="inlineStr">
        <is>
          <t>CUST-00981</t>
        </is>
      </c>
      <c r="E982" t="inlineStr">
        <is>
          <t>Customer 981</t>
        </is>
      </c>
      <c r="F982" t="inlineStr">
        <is>
          <t>Consumer</t>
        </is>
      </c>
      <c r="G982" t="inlineStr">
        <is>
          <t>P1014</t>
        </is>
      </c>
      <c r="H982" t="inlineStr">
        <is>
          <t>SmartInk Pen Set</t>
        </is>
      </c>
      <c r="I982" t="inlineStr">
        <is>
          <t>Furniture</t>
        </is>
      </c>
      <c r="J982" t="inlineStr">
        <is>
          <t>Peripherals</t>
        </is>
      </c>
      <c r="K982" t="inlineStr">
        <is>
          <t>East</t>
        </is>
      </c>
      <c r="L982" t="inlineStr">
        <is>
          <t>Virginia</t>
        </is>
      </c>
      <c r="M982" t="inlineStr">
        <is>
          <t>Boston</t>
        </is>
      </c>
      <c r="N982" t="inlineStr">
        <is>
          <t>Olivia Martin</t>
        </is>
      </c>
      <c r="O982" t="n">
        <v>3</v>
      </c>
      <c r="P982" s="3" t="n">
        <v>40.95</v>
      </c>
      <c r="Q982" s="4" t="n">
        <v>0.017</v>
      </c>
      <c r="R982" s="3" t="n">
        <v>120.76</v>
      </c>
      <c r="S982" s="3" t="n">
        <v>59.03</v>
      </c>
      <c r="T982" s="3" t="n">
        <v>52.33</v>
      </c>
      <c r="U982" s="4" t="n">
        <v>0.4333</v>
      </c>
      <c r="V982" s="3" t="n">
        <v>9.4</v>
      </c>
      <c r="W982" t="inlineStr">
        <is>
          <t>Cash on Delivery</t>
        </is>
      </c>
      <c r="X982" t="inlineStr">
        <is>
          <t>Low</t>
        </is>
      </c>
    </row>
    <row r="983">
      <c r="A983" t="inlineStr">
        <is>
          <t>ORD-00982</t>
        </is>
      </c>
      <c r="B983" s="2" t="n">
        <v>45770</v>
      </c>
      <c r="C983" s="2" t="n">
        <v>45775</v>
      </c>
      <c r="D983" t="inlineStr">
        <is>
          <t>CUST-00982</t>
        </is>
      </c>
      <c r="E983" t="inlineStr">
        <is>
          <t>Customer 982</t>
        </is>
      </c>
      <c r="F983" t="inlineStr">
        <is>
          <t>Corporate</t>
        </is>
      </c>
      <c r="G983" t="inlineStr">
        <is>
          <t>P1002</t>
        </is>
      </c>
      <c r="H983" t="inlineStr">
        <is>
          <t>Harbor Rug</t>
        </is>
      </c>
      <c r="I983" t="inlineStr">
        <is>
          <t>Technology</t>
        </is>
      </c>
      <c r="J983" t="inlineStr">
        <is>
          <t>Plants</t>
        </is>
      </c>
      <c r="K983" t="inlineStr">
        <is>
          <t>South</t>
        </is>
      </c>
      <c r="L983" t="inlineStr">
        <is>
          <t>Texas</t>
        </is>
      </c>
      <c r="M983" t="inlineStr">
        <is>
          <t>Miami</t>
        </is>
      </c>
      <c r="N983" t="inlineStr">
        <is>
          <t>Sophia Singh</t>
        </is>
      </c>
      <c r="O983" t="n">
        <v>4</v>
      </c>
      <c r="P983" s="3" t="n">
        <v>76.01000000000001</v>
      </c>
      <c r="Q983" s="4" t="n">
        <v>0.065</v>
      </c>
      <c r="R983" s="3" t="n">
        <v>284.28</v>
      </c>
      <c r="S983" s="3" t="n">
        <v>131.58</v>
      </c>
      <c r="T983" s="3" t="n">
        <v>143.5</v>
      </c>
      <c r="U983" s="4" t="n">
        <v>0.5048</v>
      </c>
      <c r="V983" s="3" t="n">
        <v>9.199999999999999</v>
      </c>
      <c r="W983" t="inlineStr">
        <is>
          <t>Credit Card</t>
        </is>
      </c>
      <c r="X983" t="inlineStr">
        <is>
          <t>High</t>
        </is>
      </c>
    </row>
    <row r="984">
      <c r="A984" t="inlineStr">
        <is>
          <t>ORD-00983</t>
        </is>
      </c>
      <c r="B984" s="2" t="n">
        <v>45267</v>
      </c>
      <c r="C984" s="2" t="n">
        <v>45274</v>
      </c>
      <c r="D984" t="inlineStr">
        <is>
          <t>CUST-00983</t>
        </is>
      </c>
      <c r="E984" t="inlineStr">
        <is>
          <t>Customer 983</t>
        </is>
      </c>
      <c r="F984" t="inlineStr">
        <is>
          <t>Consumer</t>
        </is>
      </c>
      <c r="G984" t="inlineStr">
        <is>
          <t>P1005</t>
        </is>
      </c>
      <c r="H984" t="inlineStr">
        <is>
          <t>Orbit Wireless Mouse</t>
        </is>
      </c>
      <c r="I984" t="inlineStr">
        <is>
          <t>Furniture</t>
        </is>
      </c>
      <c r="J984" t="inlineStr">
        <is>
          <t>Storage</t>
        </is>
      </c>
      <c r="K984" t="inlineStr">
        <is>
          <t>South</t>
        </is>
      </c>
      <c r="L984" t="inlineStr">
        <is>
          <t>Georgia</t>
        </is>
      </c>
      <c r="M984" t="inlineStr">
        <is>
          <t>Miami</t>
        </is>
      </c>
      <c r="N984" t="inlineStr">
        <is>
          <t>Noah Kim</t>
        </is>
      </c>
      <c r="O984" t="n">
        <v>2</v>
      </c>
      <c r="P984" s="3" t="n">
        <v>13.79</v>
      </c>
      <c r="Q984" s="4" t="n">
        <v>0.019</v>
      </c>
      <c r="R984" s="3" t="n">
        <v>27.06</v>
      </c>
      <c r="S984" s="3" t="n">
        <v>16.24</v>
      </c>
      <c r="T984" s="3" t="n">
        <v>3.22</v>
      </c>
      <c r="U984" s="4" t="n">
        <v>0.119</v>
      </c>
      <c r="V984" s="3" t="n">
        <v>7.6</v>
      </c>
      <c r="W984" t="inlineStr">
        <is>
          <t>Credit Card</t>
        </is>
      </c>
      <c r="X984" t="inlineStr">
        <is>
          <t>Medium</t>
        </is>
      </c>
    </row>
    <row r="985">
      <c r="A985" t="inlineStr">
        <is>
          <t>ORD-00984</t>
        </is>
      </c>
      <c r="B985" s="2" t="n">
        <v>45272</v>
      </c>
      <c r="C985" s="2" t="n">
        <v>45278</v>
      </c>
      <c r="D985" t="inlineStr">
        <is>
          <t>CUST-00984</t>
        </is>
      </c>
      <c r="E985" t="inlineStr">
        <is>
          <t>Customer 984</t>
        </is>
      </c>
      <c r="F985" t="inlineStr">
        <is>
          <t>Consumer</t>
        </is>
      </c>
      <c r="G985" t="inlineStr">
        <is>
          <t>P1010</t>
        </is>
      </c>
      <c r="H985" t="inlineStr">
        <is>
          <t>Orbit Wireless Mouse</t>
        </is>
      </c>
      <c r="I985" t="inlineStr">
        <is>
          <t>Technology</t>
        </is>
      </c>
      <c r="J985" t="inlineStr">
        <is>
          <t>Paper</t>
        </is>
      </c>
      <c r="K985" t="inlineStr">
        <is>
          <t>Central</t>
        </is>
      </c>
      <c r="L985" t="inlineStr">
        <is>
          <t>Missouri</t>
        </is>
      </c>
      <c r="M985" t="inlineStr">
        <is>
          <t>Chicago</t>
        </is>
      </c>
      <c r="N985" t="inlineStr">
        <is>
          <t>Ethan Brooks</t>
        </is>
      </c>
      <c r="O985" t="n">
        <v>1</v>
      </c>
      <c r="P985" s="3" t="n">
        <v>59.37</v>
      </c>
      <c r="Q985" s="4" t="n">
        <v>0.059</v>
      </c>
      <c r="R985" s="3" t="n">
        <v>55.87</v>
      </c>
      <c r="S985" s="3" t="n">
        <v>29.82</v>
      </c>
      <c r="T985" s="3" t="n">
        <v>19.25</v>
      </c>
      <c r="U985" s="4" t="n">
        <v>0.3445</v>
      </c>
      <c r="V985" s="3" t="n">
        <v>6.8</v>
      </c>
      <c r="W985" t="inlineStr">
        <is>
          <t>PayPal</t>
        </is>
      </c>
      <c r="X985" t="inlineStr">
        <is>
          <t>Critical</t>
        </is>
      </c>
    </row>
    <row r="986">
      <c r="A986" t="inlineStr">
        <is>
          <t>ORD-00985</t>
        </is>
      </c>
      <c r="B986" s="2" t="n">
        <v>45943</v>
      </c>
      <c r="C986" s="2" t="n">
        <v>45946</v>
      </c>
      <c r="D986" t="inlineStr">
        <is>
          <t>CUST-00985</t>
        </is>
      </c>
      <c r="E986" t="inlineStr">
        <is>
          <t>Customer 985</t>
        </is>
      </c>
      <c r="F986" t="inlineStr">
        <is>
          <t>Consumer</t>
        </is>
      </c>
      <c r="G986" t="inlineStr">
        <is>
          <t>P1020</t>
        </is>
      </c>
      <c r="H986" t="inlineStr">
        <is>
          <t>Harbor Rug</t>
        </is>
      </c>
      <c r="I986" t="inlineStr">
        <is>
          <t>Office Supplies</t>
        </is>
      </c>
      <c r="J986" t="inlineStr">
        <is>
          <t>Accessories</t>
        </is>
      </c>
      <c r="K986" t="inlineStr">
        <is>
          <t>South</t>
        </is>
      </c>
      <c r="L986" t="inlineStr">
        <is>
          <t>North Carolina</t>
        </is>
      </c>
      <c r="M986" t="inlineStr">
        <is>
          <t>Dallas</t>
        </is>
      </c>
      <c r="N986" t="inlineStr">
        <is>
          <t>Olivia Martin</t>
        </is>
      </c>
      <c r="O986" t="n">
        <v>3</v>
      </c>
      <c r="P986" s="3" t="n">
        <v>75.59999999999999</v>
      </c>
      <c r="Q986" s="4" t="n">
        <v>0.02</v>
      </c>
      <c r="R986" s="3" t="n">
        <v>222.26</v>
      </c>
      <c r="S986" s="3" t="n">
        <v>106.14</v>
      </c>
      <c r="T986" s="3" t="n">
        <v>107.72</v>
      </c>
      <c r="U986" s="4" t="n">
        <v>0.4847</v>
      </c>
      <c r="V986" s="3" t="n">
        <v>8.4</v>
      </c>
      <c r="W986" t="inlineStr">
        <is>
          <t>Bank Transfer</t>
        </is>
      </c>
      <c r="X986" t="inlineStr">
        <is>
          <t>Medium</t>
        </is>
      </c>
    </row>
    <row r="987">
      <c r="A987" t="inlineStr">
        <is>
          <t>ORD-00986</t>
        </is>
      </c>
      <c r="B987" s="2" t="n">
        <v>45570</v>
      </c>
      <c r="C987" s="2" t="n">
        <v>45571</v>
      </c>
      <c r="D987" t="inlineStr">
        <is>
          <t>CUST-00986</t>
        </is>
      </c>
      <c r="E987" t="inlineStr">
        <is>
          <t>Customer 986</t>
        </is>
      </c>
      <c r="F987" t="inlineStr">
        <is>
          <t>Corporate</t>
        </is>
      </c>
      <c r="G987" t="inlineStr">
        <is>
          <t>P1006</t>
        </is>
      </c>
      <c r="H987" t="inlineStr">
        <is>
          <t>Northstar Lantern</t>
        </is>
      </c>
      <c r="I987" t="inlineStr">
        <is>
          <t>Home Decor</t>
        </is>
      </c>
      <c r="J987" t="inlineStr">
        <is>
          <t>Chairs</t>
        </is>
      </c>
      <c r="K987" t="inlineStr">
        <is>
          <t>Central</t>
        </is>
      </c>
      <c r="L987" t="inlineStr">
        <is>
          <t>Minnesota</t>
        </is>
      </c>
      <c r="M987" t="inlineStr">
        <is>
          <t>Kansas City</t>
        </is>
      </c>
      <c r="N987" t="inlineStr">
        <is>
          <t>Liam Chen</t>
        </is>
      </c>
      <c r="O987" t="n">
        <v>1</v>
      </c>
      <c r="P987" s="3" t="n">
        <v>19.13</v>
      </c>
      <c r="Q987" s="4" t="n">
        <v>0.03</v>
      </c>
      <c r="R987" s="3" t="n">
        <v>18.56</v>
      </c>
      <c r="S987" s="3" t="n">
        <v>12.74</v>
      </c>
      <c r="T987" s="3" t="n">
        <v>-0.98</v>
      </c>
      <c r="U987" s="4" t="n">
        <v>-0.0528</v>
      </c>
      <c r="V987" s="3" t="n">
        <v>6.8</v>
      </c>
      <c r="W987" t="inlineStr">
        <is>
          <t>Credit Card</t>
        </is>
      </c>
      <c r="X987" t="inlineStr">
        <is>
          <t>High</t>
        </is>
      </c>
    </row>
    <row r="988">
      <c r="A988" t="inlineStr">
        <is>
          <t>ORD-00987</t>
        </is>
      </c>
      <c r="B988" s="2" t="n">
        <v>45716</v>
      </c>
      <c r="C988" s="2" t="n">
        <v>45722</v>
      </c>
      <c r="D988" t="inlineStr">
        <is>
          <t>CUST-00987</t>
        </is>
      </c>
      <c r="E988" t="inlineStr">
        <is>
          <t>Customer 987</t>
        </is>
      </c>
      <c r="F988" t="inlineStr">
        <is>
          <t>Consumer</t>
        </is>
      </c>
      <c r="G988" t="inlineStr">
        <is>
          <t>P1005</t>
        </is>
      </c>
      <c r="H988" t="inlineStr">
        <is>
          <t>Summit Patio Set</t>
        </is>
      </c>
      <c r="I988" t="inlineStr">
        <is>
          <t>Outdoor</t>
        </is>
      </c>
      <c r="J988" t="inlineStr">
        <is>
          <t>Lighting</t>
        </is>
      </c>
      <c r="K988" t="inlineStr">
        <is>
          <t>West</t>
        </is>
      </c>
      <c r="L988" t="inlineStr">
        <is>
          <t>Oregon</t>
        </is>
      </c>
      <c r="M988" t="inlineStr">
        <is>
          <t>San Francisco</t>
        </is>
      </c>
      <c r="N988" t="inlineStr">
        <is>
          <t>Ethan Brooks</t>
        </is>
      </c>
      <c r="O988" t="n">
        <v>2</v>
      </c>
      <c r="P988" s="3" t="n">
        <v>13.07</v>
      </c>
      <c r="Q988" s="4" t="n">
        <v>0.019</v>
      </c>
      <c r="R988" s="3" t="n">
        <v>25.64</v>
      </c>
      <c r="S988" s="3" t="n">
        <v>16.22</v>
      </c>
      <c r="T988" s="3" t="n">
        <v>0.82</v>
      </c>
      <c r="U988" s="4" t="n">
        <v>0.032</v>
      </c>
      <c r="V988" s="3" t="n">
        <v>8.6</v>
      </c>
      <c r="W988" t="inlineStr">
        <is>
          <t>Debit Card</t>
        </is>
      </c>
      <c r="X988" t="inlineStr">
        <is>
          <t>High</t>
        </is>
      </c>
    </row>
    <row r="989">
      <c r="A989" t="inlineStr">
        <is>
          <t>ORD-00988</t>
        </is>
      </c>
      <c r="B989" s="2" t="n">
        <v>45479</v>
      </c>
      <c r="C989" s="2" t="n">
        <v>45483</v>
      </c>
      <c r="D989" t="inlineStr">
        <is>
          <t>CUST-00988</t>
        </is>
      </c>
      <c r="E989" t="inlineStr">
        <is>
          <t>Customer 988</t>
        </is>
      </c>
      <c r="F989" t="inlineStr">
        <is>
          <t>Corporate</t>
        </is>
      </c>
      <c r="G989" t="inlineStr">
        <is>
          <t>P1002</t>
        </is>
      </c>
      <c r="H989" t="inlineStr">
        <is>
          <t>Trail Tote</t>
        </is>
      </c>
      <c r="I989" t="inlineStr">
        <is>
          <t>Furniture</t>
        </is>
      </c>
      <c r="J989" t="inlineStr">
        <is>
          <t>Storage</t>
        </is>
      </c>
      <c r="K989" t="inlineStr">
        <is>
          <t>East</t>
        </is>
      </c>
      <c r="L989" t="inlineStr">
        <is>
          <t>Massachusetts</t>
        </is>
      </c>
      <c r="M989" t="inlineStr">
        <is>
          <t>Washington</t>
        </is>
      </c>
      <c r="N989" t="inlineStr">
        <is>
          <t>Ethan Brooks</t>
        </is>
      </c>
      <c r="O989" t="n">
        <v>4</v>
      </c>
      <c r="P989" s="3" t="n">
        <v>81.98</v>
      </c>
      <c r="Q989" s="4" t="n">
        <v>0.04</v>
      </c>
      <c r="R989" s="3" t="n">
        <v>314.8</v>
      </c>
      <c r="S989" s="3" t="n">
        <v>143.99</v>
      </c>
      <c r="T989" s="3" t="n">
        <v>160.61</v>
      </c>
      <c r="U989" s="4" t="n">
        <v>0.5102</v>
      </c>
      <c r="V989" s="3" t="n">
        <v>10.2</v>
      </c>
      <c r="W989" t="inlineStr">
        <is>
          <t>Cash on Delivery</t>
        </is>
      </c>
      <c r="X989" t="inlineStr">
        <is>
          <t>Medium</t>
        </is>
      </c>
    </row>
    <row r="990">
      <c r="A990" t="inlineStr">
        <is>
          <t>ORD-00989</t>
        </is>
      </c>
      <c r="B990" s="2" t="n">
        <v>45018</v>
      </c>
      <c r="C990" s="2" t="n">
        <v>45025</v>
      </c>
      <c r="D990" t="inlineStr">
        <is>
          <t>CUST-00989</t>
        </is>
      </c>
      <c r="E990" t="inlineStr">
        <is>
          <t>Customer 989</t>
        </is>
      </c>
      <c r="F990" t="inlineStr">
        <is>
          <t>Consumer</t>
        </is>
      </c>
      <c r="G990" t="inlineStr">
        <is>
          <t>P1009</t>
        </is>
      </c>
      <c r="H990" t="inlineStr">
        <is>
          <t>SmartInk Pen Set</t>
        </is>
      </c>
      <c r="I990" t="inlineStr">
        <is>
          <t>Office Supplies</t>
        </is>
      </c>
      <c r="J990" t="inlineStr">
        <is>
          <t>Paper</t>
        </is>
      </c>
      <c r="K990" t="inlineStr">
        <is>
          <t>Central</t>
        </is>
      </c>
      <c r="L990" t="inlineStr">
        <is>
          <t>Illinois</t>
        </is>
      </c>
      <c r="M990" t="inlineStr">
        <is>
          <t>Kansas City</t>
        </is>
      </c>
      <c r="N990" t="inlineStr">
        <is>
          <t>Olivia Martin</t>
        </is>
      </c>
      <c r="O990" t="n">
        <v>3</v>
      </c>
      <c r="P990" s="3" t="n">
        <v>88.93000000000001</v>
      </c>
      <c r="Q990" s="4" t="n">
        <v>0.025</v>
      </c>
      <c r="R990" s="3" t="n">
        <v>260.12</v>
      </c>
      <c r="S990" s="3" t="n">
        <v>129.73</v>
      </c>
      <c r="T990" s="3" t="n">
        <v>121.99</v>
      </c>
      <c r="U990" s="4" t="n">
        <v>0.469</v>
      </c>
      <c r="V990" s="3" t="n">
        <v>8.4</v>
      </c>
      <c r="W990" t="inlineStr">
        <is>
          <t>Credit Card</t>
        </is>
      </c>
      <c r="X990" t="inlineStr">
        <is>
          <t>Medium</t>
        </is>
      </c>
    </row>
    <row r="991">
      <c r="A991" t="inlineStr">
        <is>
          <t>ORD-00990</t>
        </is>
      </c>
      <c r="B991" s="2" t="n">
        <v>45737</v>
      </c>
      <c r="C991" s="2" t="n">
        <v>45740</v>
      </c>
      <c r="D991" t="inlineStr">
        <is>
          <t>CUST-00990</t>
        </is>
      </c>
      <c r="E991" t="inlineStr">
        <is>
          <t>Customer 990</t>
        </is>
      </c>
      <c r="F991" t="inlineStr">
        <is>
          <t>Home Office</t>
        </is>
      </c>
      <c r="G991" t="inlineStr">
        <is>
          <t>P1010</t>
        </is>
      </c>
      <c r="H991" t="inlineStr">
        <is>
          <t>Aero Standing Desk</t>
        </is>
      </c>
      <c r="I991" t="inlineStr">
        <is>
          <t>Furniture</t>
        </is>
      </c>
      <c r="J991" t="inlineStr">
        <is>
          <t>Coolers</t>
        </is>
      </c>
      <c r="K991" t="inlineStr">
        <is>
          <t>West</t>
        </is>
      </c>
      <c r="L991" t="inlineStr">
        <is>
          <t>Washington</t>
        </is>
      </c>
      <c r="M991" t="inlineStr">
        <is>
          <t>Los Angeles</t>
        </is>
      </c>
      <c r="N991" t="inlineStr">
        <is>
          <t>Liam Chen</t>
        </is>
      </c>
      <c r="O991" t="n">
        <v>5</v>
      </c>
      <c r="P991" s="3" t="n">
        <v>53.95</v>
      </c>
      <c r="Q991" s="4" t="n">
        <v>0.027</v>
      </c>
      <c r="R991" s="3" t="n">
        <v>262.47</v>
      </c>
      <c r="S991" s="3" t="n">
        <v>111.92</v>
      </c>
      <c r="T991" s="3" t="n">
        <v>139.55</v>
      </c>
      <c r="U991" s="4" t="n">
        <v>0.5317</v>
      </c>
      <c r="V991" s="3" t="n">
        <v>11</v>
      </c>
      <c r="W991" t="inlineStr">
        <is>
          <t>Debit Card</t>
        </is>
      </c>
      <c r="X991" t="inlineStr">
        <is>
          <t>Critical</t>
        </is>
      </c>
    </row>
    <row r="992">
      <c r="A992" t="inlineStr">
        <is>
          <t>ORD-00991</t>
        </is>
      </c>
      <c r="B992" s="2" t="n">
        <v>45968</v>
      </c>
      <c r="C992" s="2" t="n">
        <v>45973</v>
      </c>
      <c r="D992" t="inlineStr">
        <is>
          <t>CUST-00991</t>
        </is>
      </c>
      <c r="E992" t="inlineStr">
        <is>
          <t>Customer 991</t>
        </is>
      </c>
      <c r="F992" t="inlineStr">
        <is>
          <t>Consumer</t>
        </is>
      </c>
      <c r="G992" t="inlineStr">
        <is>
          <t>P1008</t>
        </is>
      </c>
      <c r="H992" t="inlineStr">
        <is>
          <t>Summit Patio Set</t>
        </is>
      </c>
      <c r="I992" t="inlineStr">
        <is>
          <t>Outdoor</t>
        </is>
      </c>
      <c r="J992" t="inlineStr">
        <is>
          <t>Accessories</t>
        </is>
      </c>
      <c r="K992" t="inlineStr">
        <is>
          <t>East</t>
        </is>
      </c>
      <c r="L992" t="inlineStr">
        <is>
          <t>New Jersey</t>
        </is>
      </c>
      <c r="M992" t="inlineStr">
        <is>
          <t>Boston</t>
        </is>
      </c>
      <c r="N992" t="inlineStr">
        <is>
          <t>Noah Kim</t>
        </is>
      </c>
      <c r="O992" t="n">
        <v>2</v>
      </c>
      <c r="P992" s="3" t="n">
        <v>37.42</v>
      </c>
      <c r="Q992" s="4" t="n">
        <v>0.012</v>
      </c>
      <c r="R992" s="3" t="n">
        <v>73.94</v>
      </c>
      <c r="S992" s="3" t="n">
        <v>38.42</v>
      </c>
      <c r="T992" s="3" t="n">
        <v>26.92</v>
      </c>
      <c r="U992" s="4" t="n">
        <v>0.3641</v>
      </c>
      <c r="V992" s="3" t="n">
        <v>8.6</v>
      </c>
      <c r="W992" t="inlineStr">
        <is>
          <t>PayPal</t>
        </is>
      </c>
      <c r="X992" t="inlineStr">
        <is>
          <t>Low</t>
        </is>
      </c>
    </row>
    <row r="993">
      <c r="A993" t="inlineStr">
        <is>
          <t>ORD-00992</t>
        </is>
      </c>
      <c r="B993" s="2" t="n">
        <v>45730</v>
      </c>
      <c r="C993" s="2" t="n">
        <v>45736</v>
      </c>
      <c r="D993" t="inlineStr">
        <is>
          <t>CUST-00992</t>
        </is>
      </c>
      <c r="E993" t="inlineStr">
        <is>
          <t>Customer 992</t>
        </is>
      </c>
      <c r="F993" t="inlineStr">
        <is>
          <t>Corporate</t>
        </is>
      </c>
      <c r="G993" t="inlineStr">
        <is>
          <t>P1006</t>
        </is>
      </c>
      <c r="H993" t="inlineStr">
        <is>
          <t>Aero Standing Desk</t>
        </is>
      </c>
      <c r="I993" t="inlineStr">
        <is>
          <t>Outdoor</t>
        </is>
      </c>
      <c r="J993" t="inlineStr">
        <is>
          <t>Chairs</t>
        </is>
      </c>
      <c r="K993" t="inlineStr">
        <is>
          <t>East</t>
        </is>
      </c>
      <c r="L993" t="inlineStr">
        <is>
          <t>New Jersey</t>
        </is>
      </c>
      <c r="M993" t="inlineStr">
        <is>
          <t>New York</t>
        </is>
      </c>
      <c r="N993" t="inlineStr">
        <is>
          <t>Olivia Martin</t>
        </is>
      </c>
      <c r="O993" t="n">
        <v>2</v>
      </c>
      <c r="P993" s="3" t="n">
        <v>17.59</v>
      </c>
      <c r="Q993" s="4" t="n">
        <v>0.031</v>
      </c>
      <c r="R993" s="3" t="n">
        <v>34.09</v>
      </c>
      <c r="S993" s="3" t="n">
        <v>18.31</v>
      </c>
      <c r="T993" s="3" t="n">
        <v>7.18</v>
      </c>
      <c r="U993" s="4" t="n">
        <v>0.2106</v>
      </c>
      <c r="V993" s="3" t="n">
        <v>8.6</v>
      </c>
      <c r="W993" t="inlineStr">
        <is>
          <t>Debit Card</t>
        </is>
      </c>
      <c r="X993" t="inlineStr">
        <is>
          <t>Medium</t>
        </is>
      </c>
    </row>
    <row r="994">
      <c r="A994" t="inlineStr">
        <is>
          <t>ORD-00993</t>
        </is>
      </c>
      <c r="B994" s="2" t="n">
        <v>45132</v>
      </c>
      <c r="C994" s="2" t="n">
        <v>45135</v>
      </c>
      <c r="D994" t="inlineStr">
        <is>
          <t>CUST-00993</t>
        </is>
      </c>
      <c r="E994" t="inlineStr">
        <is>
          <t>Customer 993</t>
        </is>
      </c>
      <c r="F994" t="inlineStr">
        <is>
          <t>Consumer</t>
        </is>
      </c>
      <c r="G994" t="inlineStr">
        <is>
          <t>P1005</t>
        </is>
      </c>
      <c r="H994" t="inlineStr">
        <is>
          <t>Tide Cooler</t>
        </is>
      </c>
      <c r="I994" t="inlineStr">
        <is>
          <t>Office Supplies</t>
        </is>
      </c>
      <c r="J994" t="inlineStr">
        <is>
          <t>Lighting</t>
        </is>
      </c>
      <c r="K994" t="inlineStr">
        <is>
          <t>Central</t>
        </is>
      </c>
      <c r="L994" t="inlineStr">
        <is>
          <t>Kansas</t>
        </is>
      </c>
      <c r="M994" t="inlineStr">
        <is>
          <t>Minneapolis</t>
        </is>
      </c>
      <c r="N994" t="inlineStr">
        <is>
          <t>Sophia Singh</t>
        </is>
      </c>
      <c r="O994" t="n">
        <v>3</v>
      </c>
      <c r="P994" s="3" t="n">
        <v>12.58</v>
      </c>
      <c r="Q994" s="4" t="n">
        <v>0.002</v>
      </c>
      <c r="R994" s="3" t="n">
        <v>37.66</v>
      </c>
      <c r="S994" s="3" t="n">
        <v>20.76</v>
      </c>
      <c r="T994" s="3" t="n">
        <v>8.5</v>
      </c>
      <c r="U994" s="4" t="n">
        <v>0.2257</v>
      </c>
      <c r="V994" s="3" t="n">
        <v>8.4</v>
      </c>
      <c r="W994" t="inlineStr">
        <is>
          <t>Bank Transfer</t>
        </is>
      </c>
      <c r="X994" t="inlineStr">
        <is>
          <t>Low</t>
        </is>
      </c>
    </row>
    <row r="995">
      <c r="A995" t="inlineStr">
        <is>
          <t>ORD-00994</t>
        </is>
      </c>
      <c r="B995" s="2" t="n">
        <v>45648</v>
      </c>
      <c r="C995" s="2" t="n">
        <v>45651</v>
      </c>
      <c r="D995" t="inlineStr">
        <is>
          <t>CUST-00994</t>
        </is>
      </c>
      <c r="E995" t="inlineStr">
        <is>
          <t>Customer 994</t>
        </is>
      </c>
      <c r="F995" t="inlineStr">
        <is>
          <t>Corporate</t>
        </is>
      </c>
      <c r="G995" t="inlineStr">
        <is>
          <t>P1018</t>
        </is>
      </c>
      <c r="H995" t="inlineStr">
        <is>
          <t>Trail Tote</t>
        </is>
      </c>
      <c r="I995" t="inlineStr">
        <is>
          <t>Outdoor</t>
        </is>
      </c>
      <c r="J995" t="inlineStr">
        <is>
          <t>Decor</t>
        </is>
      </c>
      <c r="K995" t="inlineStr">
        <is>
          <t>Central</t>
        </is>
      </c>
      <c r="L995" t="inlineStr">
        <is>
          <t>Minnesota</t>
        </is>
      </c>
      <c r="M995" t="inlineStr">
        <is>
          <t>Chicago</t>
        </is>
      </c>
      <c r="N995" t="inlineStr">
        <is>
          <t>Ava Patel</t>
        </is>
      </c>
      <c r="O995" t="n">
        <v>6</v>
      </c>
      <c r="P995" s="3" t="n">
        <v>91.23999999999999</v>
      </c>
      <c r="Q995" s="4" t="n">
        <v>0.013</v>
      </c>
      <c r="R995" s="3" t="n">
        <v>540.3200000000001</v>
      </c>
      <c r="S995" s="3" t="n">
        <v>238.53</v>
      </c>
      <c r="T995" s="3" t="n">
        <v>290.99</v>
      </c>
      <c r="U995" s="4" t="n">
        <v>0.5386</v>
      </c>
      <c r="V995" s="3" t="n">
        <v>10.8</v>
      </c>
      <c r="W995" t="inlineStr">
        <is>
          <t>Credit Card</t>
        </is>
      </c>
      <c r="X995" t="inlineStr">
        <is>
          <t>Medium</t>
        </is>
      </c>
    </row>
    <row r="996">
      <c r="A996" t="inlineStr">
        <is>
          <t>ORD-00995</t>
        </is>
      </c>
      <c r="B996" s="2" t="n">
        <v>45379</v>
      </c>
      <c r="C996" s="2" t="n">
        <v>45386</v>
      </c>
      <c r="D996" t="inlineStr">
        <is>
          <t>CUST-00995</t>
        </is>
      </c>
      <c r="E996" t="inlineStr">
        <is>
          <t>Customer 995</t>
        </is>
      </c>
      <c r="F996" t="inlineStr">
        <is>
          <t>Consumer</t>
        </is>
      </c>
      <c r="G996" t="inlineStr">
        <is>
          <t>P1020</t>
        </is>
      </c>
      <c r="H996" t="inlineStr">
        <is>
          <t>CloudDrive File Box</t>
        </is>
      </c>
      <c r="I996" t="inlineStr">
        <is>
          <t>Technology</t>
        </is>
      </c>
      <c r="J996" t="inlineStr">
        <is>
          <t>Decor</t>
        </is>
      </c>
      <c r="K996" t="inlineStr">
        <is>
          <t>West</t>
        </is>
      </c>
      <c r="L996" t="inlineStr">
        <is>
          <t>California</t>
        </is>
      </c>
      <c r="M996" t="inlineStr">
        <is>
          <t>Los Angeles</t>
        </is>
      </c>
      <c r="N996" t="inlineStr">
        <is>
          <t>Sophia Singh</t>
        </is>
      </c>
      <c r="O996" t="n">
        <v>3</v>
      </c>
      <c r="P996" s="3" t="n">
        <v>79.33</v>
      </c>
      <c r="Q996" s="4" t="n">
        <v>0.042</v>
      </c>
      <c r="R996" s="3" t="n">
        <v>227.99</v>
      </c>
      <c r="S996" s="3" t="n">
        <v>113.22</v>
      </c>
      <c r="T996" s="3" t="n">
        <v>105.37</v>
      </c>
      <c r="U996" s="4" t="n">
        <v>0.4622</v>
      </c>
      <c r="V996" s="3" t="n">
        <v>9.4</v>
      </c>
      <c r="W996" t="inlineStr">
        <is>
          <t>Credit Card</t>
        </is>
      </c>
      <c r="X996" t="inlineStr">
        <is>
          <t>High</t>
        </is>
      </c>
    </row>
    <row r="997">
      <c r="A997" t="inlineStr">
        <is>
          <t>ORD-00996</t>
        </is>
      </c>
      <c r="B997" s="2" t="n">
        <v>45274</v>
      </c>
      <c r="C997" s="2" t="n">
        <v>45277</v>
      </c>
      <c r="D997" t="inlineStr">
        <is>
          <t>CUST-00996</t>
        </is>
      </c>
      <c r="E997" t="inlineStr">
        <is>
          <t>Customer 996</t>
        </is>
      </c>
      <c r="F997" t="inlineStr">
        <is>
          <t>Corporate</t>
        </is>
      </c>
      <c r="G997" t="inlineStr">
        <is>
          <t>P1018</t>
        </is>
      </c>
      <c r="H997" t="inlineStr">
        <is>
          <t>CloudDrive File Box</t>
        </is>
      </c>
      <c r="I997" t="inlineStr">
        <is>
          <t>Outdoor</t>
        </is>
      </c>
      <c r="J997" t="inlineStr">
        <is>
          <t>Desks</t>
        </is>
      </c>
      <c r="K997" t="inlineStr">
        <is>
          <t>Central</t>
        </is>
      </c>
      <c r="L997" t="inlineStr">
        <is>
          <t>Illinois</t>
        </is>
      </c>
      <c r="M997" t="inlineStr">
        <is>
          <t>Minneapolis</t>
        </is>
      </c>
      <c r="N997" t="inlineStr">
        <is>
          <t>Ava Patel</t>
        </is>
      </c>
      <c r="O997" t="n">
        <v>2</v>
      </c>
      <c r="P997" s="3" t="n">
        <v>98.94</v>
      </c>
      <c r="Q997" s="4" t="n">
        <v>0.057</v>
      </c>
      <c r="R997" s="3" t="n">
        <v>186.6</v>
      </c>
      <c r="S997" s="3" t="n">
        <v>86.91</v>
      </c>
      <c r="T997" s="3" t="n">
        <v>92.09</v>
      </c>
      <c r="U997" s="4" t="n">
        <v>0.4935</v>
      </c>
      <c r="V997" s="3" t="n">
        <v>7.6</v>
      </c>
      <c r="W997" t="inlineStr">
        <is>
          <t>Debit Card</t>
        </is>
      </c>
      <c r="X997" t="inlineStr">
        <is>
          <t>High</t>
        </is>
      </c>
    </row>
    <row r="998">
      <c r="A998" t="inlineStr">
        <is>
          <t>ORD-00997</t>
        </is>
      </c>
      <c r="B998" s="2" t="n">
        <v>46001</v>
      </c>
      <c r="C998" s="2" t="n">
        <v>46004</v>
      </c>
      <c r="D998" t="inlineStr">
        <is>
          <t>CUST-00997</t>
        </is>
      </c>
      <c r="E998" t="inlineStr">
        <is>
          <t>Customer 997</t>
        </is>
      </c>
      <c r="F998" t="inlineStr">
        <is>
          <t>Home Office</t>
        </is>
      </c>
      <c r="G998" t="inlineStr">
        <is>
          <t>P1002</t>
        </is>
      </c>
      <c r="H998" t="inlineStr">
        <is>
          <t>Atlas Throw Pillow</t>
        </is>
      </c>
      <c r="I998" t="inlineStr">
        <is>
          <t>Outdoor</t>
        </is>
      </c>
      <c r="J998" t="inlineStr">
        <is>
          <t>Writing</t>
        </is>
      </c>
      <c r="K998" t="inlineStr">
        <is>
          <t>West</t>
        </is>
      </c>
      <c r="L998" t="inlineStr">
        <is>
          <t>California</t>
        </is>
      </c>
      <c r="M998" t="inlineStr">
        <is>
          <t>Denver</t>
        </is>
      </c>
      <c r="N998" t="inlineStr">
        <is>
          <t>Ethan Brooks</t>
        </is>
      </c>
      <c r="O998" t="n">
        <v>5</v>
      </c>
      <c r="P998" s="3" t="n">
        <v>93.05</v>
      </c>
      <c r="Q998" s="4" t="n">
        <v>0.033</v>
      </c>
      <c r="R998" s="3" t="n">
        <v>449.9</v>
      </c>
      <c r="S998" s="3" t="n">
        <v>208.61</v>
      </c>
      <c r="T998" s="3" t="n">
        <v>230.29</v>
      </c>
      <c r="U998" s="4" t="n">
        <v>0.5119</v>
      </c>
      <c r="V998" s="3" t="n">
        <v>11</v>
      </c>
      <c r="W998" t="inlineStr">
        <is>
          <t>Cash on Delivery</t>
        </is>
      </c>
      <c r="X998" t="inlineStr">
        <is>
          <t>High</t>
        </is>
      </c>
    </row>
    <row r="999">
      <c r="A999" t="inlineStr">
        <is>
          <t>ORD-00998</t>
        </is>
      </c>
      <c r="B999" s="2" t="n">
        <v>45142</v>
      </c>
      <c r="C999" s="2" t="n">
        <v>45149</v>
      </c>
      <c r="D999" t="inlineStr">
        <is>
          <t>CUST-00998</t>
        </is>
      </c>
      <c r="E999" t="inlineStr">
        <is>
          <t>Customer 998</t>
        </is>
      </c>
      <c r="F999" t="inlineStr">
        <is>
          <t>Consumer</t>
        </is>
      </c>
      <c r="G999" t="inlineStr">
        <is>
          <t>P1012</t>
        </is>
      </c>
      <c r="H999" t="inlineStr">
        <is>
          <t>Halo Planter</t>
        </is>
      </c>
      <c r="I999" t="inlineStr">
        <is>
          <t>Furniture</t>
        </is>
      </c>
      <c r="J999" t="inlineStr">
        <is>
          <t>Bags</t>
        </is>
      </c>
      <c r="K999" t="inlineStr">
        <is>
          <t>North</t>
        </is>
      </c>
      <c r="L999" t="inlineStr">
        <is>
          <t>Quebec</t>
        </is>
      </c>
      <c r="M999" t="inlineStr">
        <is>
          <t>Montreal</t>
        </is>
      </c>
      <c r="N999" t="inlineStr">
        <is>
          <t>Ethan Brooks</t>
        </is>
      </c>
      <c r="O999" t="n">
        <v>3</v>
      </c>
      <c r="P999" s="3" t="n">
        <v>138.83</v>
      </c>
      <c r="Q999" s="4" t="n">
        <v>0.006</v>
      </c>
      <c r="R999" s="3" t="n">
        <v>413.99</v>
      </c>
      <c r="S999" s="3" t="n">
        <v>212.38</v>
      </c>
      <c r="T999" s="3" t="n">
        <v>193.21</v>
      </c>
      <c r="U999" s="4" t="n">
        <v>0.4667</v>
      </c>
      <c r="V999" s="3" t="n">
        <v>8.4</v>
      </c>
      <c r="W999" t="inlineStr">
        <is>
          <t>Credit Card</t>
        </is>
      </c>
      <c r="X999" t="inlineStr">
        <is>
          <t>Low</t>
        </is>
      </c>
    </row>
    <row r="1000">
      <c r="A1000" t="inlineStr">
        <is>
          <t>ORD-00999</t>
        </is>
      </c>
      <c r="B1000" s="2" t="n">
        <v>45719</v>
      </c>
      <c r="C1000" s="2" t="n">
        <v>45726</v>
      </c>
      <c r="D1000" t="inlineStr">
        <is>
          <t>CUST-00999</t>
        </is>
      </c>
      <c r="E1000" t="inlineStr">
        <is>
          <t>Customer 999</t>
        </is>
      </c>
      <c r="F1000" t="inlineStr">
        <is>
          <t>Consumer</t>
        </is>
      </c>
      <c r="G1000" t="inlineStr">
        <is>
          <t>P1008</t>
        </is>
      </c>
      <c r="H1000" t="inlineStr">
        <is>
          <t>Tide Cooler</t>
        </is>
      </c>
      <c r="I1000" t="inlineStr">
        <is>
          <t>Home Decor</t>
        </is>
      </c>
      <c r="J1000" t="inlineStr">
        <is>
          <t>Peripherals</t>
        </is>
      </c>
      <c r="K1000" t="inlineStr">
        <is>
          <t>North</t>
        </is>
      </c>
      <c r="L1000" t="inlineStr">
        <is>
          <t>British Columbia</t>
        </is>
      </c>
      <c r="M1000" t="inlineStr">
        <is>
          <t>Toronto</t>
        </is>
      </c>
      <c r="N1000" t="inlineStr">
        <is>
          <t>Sophia Singh</t>
        </is>
      </c>
      <c r="O1000" t="n">
        <v>2</v>
      </c>
      <c r="P1000" s="3" t="n">
        <v>35.28</v>
      </c>
      <c r="Q1000" s="4" t="n">
        <v>0.016</v>
      </c>
      <c r="R1000" s="3" t="n">
        <v>69.43000000000001</v>
      </c>
      <c r="S1000" s="3" t="n">
        <v>34.84</v>
      </c>
      <c r="T1000" s="3" t="n">
        <v>26.99</v>
      </c>
      <c r="U1000" s="4" t="n">
        <v>0.3887</v>
      </c>
      <c r="V1000" s="3" t="n">
        <v>7.6</v>
      </c>
      <c r="W1000" t="inlineStr">
        <is>
          <t>Cash on Delivery</t>
        </is>
      </c>
      <c r="X1000" t="inlineStr">
        <is>
          <t>Low</t>
        </is>
      </c>
    </row>
    <row r="1001">
      <c r="A1001" t="inlineStr">
        <is>
          <t>ORD-01000</t>
        </is>
      </c>
      <c r="B1001" s="2" t="n">
        <v>45437</v>
      </c>
      <c r="C1001" s="2" t="n">
        <v>45444</v>
      </c>
      <c r="D1001" t="inlineStr">
        <is>
          <t>CUST-01000</t>
        </is>
      </c>
      <c r="E1001" t="inlineStr">
        <is>
          <t>Customer 1000</t>
        </is>
      </c>
      <c r="F1001" t="inlineStr">
        <is>
          <t>Corporate</t>
        </is>
      </c>
      <c r="G1001" t="inlineStr">
        <is>
          <t>P1004</t>
        </is>
      </c>
      <c r="H1001" t="inlineStr">
        <is>
          <t>Northstar Lantern</t>
        </is>
      </c>
      <c r="I1001" t="inlineStr">
        <is>
          <t>Office Supplies</t>
        </is>
      </c>
      <c r="J1001" t="inlineStr">
        <is>
          <t>Lighting</t>
        </is>
      </c>
      <c r="K1001" t="inlineStr">
        <is>
          <t>Central</t>
        </is>
      </c>
      <c r="L1001" t="inlineStr">
        <is>
          <t>Minnesota</t>
        </is>
      </c>
      <c r="M1001" t="inlineStr">
        <is>
          <t>Kansas City</t>
        </is>
      </c>
      <c r="N1001" t="inlineStr">
        <is>
          <t>Olivia Martin</t>
        </is>
      </c>
      <c r="O1001" t="n">
        <v>5</v>
      </c>
      <c r="P1001" s="3" t="n">
        <v>583.25</v>
      </c>
      <c r="Q1001" s="4" t="n">
        <v>0.021</v>
      </c>
      <c r="R1001" s="3" t="n">
        <v>2855.01</v>
      </c>
      <c r="S1001" s="3" t="n">
        <v>1808.02</v>
      </c>
      <c r="T1001" s="3" t="n">
        <v>1036.99</v>
      </c>
      <c r="U1001" s="4" t="n">
        <v>0.3632</v>
      </c>
      <c r="V1001" s="3" t="n">
        <v>10</v>
      </c>
      <c r="W1001" t="inlineStr">
        <is>
          <t>Bank Transfer</t>
        </is>
      </c>
      <c r="X1001" t="inlineStr">
        <is>
          <t>High</t>
        </is>
      </c>
    </row>
    <row r="1002">
      <c r="A1002" t="inlineStr">
        <is>
          <t>ORD-01001</t>
        </is>
      </c>
      <c r="B1002" s="2" t="n">
        <v>45100</v>
      </c>
      <c r="C1002" s="2" t="n">
        <v>45103</v>
      </c>
      <c r="D1002" t="inlineStr">
        <is>
          <t>CUST-01001</t>
        </is>
      </c>
      <c r="E1002" t="inlineStr">
        <is>
          <t>Customer 1001</t>
        </is>
      </c>
      <c r="F1002" t="inlineStr">
        <is>
          <t>Corporate</t>
        </is>
      </c>
      <c r="G1002" t="inlineStr">
        <is>
          <t>P1020</t>
        </is>
      </c>
      <c r="H1002" t="inlineStr">
        <is>
          <t>ProClip Binder</t>
        </is>
      </c>
      <c r="I1002" t="inlineStr">
        <is>
          <t>Outdoor</t>
        </is>
      </c>
      <c r="J1002" t="inlineStr">
        <is>
          <t>Coolers</t>
        </is>
      </c>
      <c r="K1002" t="inlineStr">
        <is>
          <t>West</t>
        </is>
      </c>
      <c r="L1002" t="inlineStr">
        <is>
          <t>Washington</t>
        </is>
      </c>
      <c r="M1002" t="inlineStr">
        <is>
          <t>San Francisco</t>
        </is>
      </c>
      <c r="N1002" t="inlineStr">
        <is>
          <t>Liam Chen</t>
        </is>
      </c>
      <c r="O1002" t="n">
        <v>2</v>
      </c>
      <c r="P1002" s="3" t="n">
        <v>75.31</v>
      </c>
      <c r="Q1002" s="4" t="n">
        <v>0.028</v>
      </c>
      <c r="R1002" s="3" t="n">
        <v>146.4</v>
      </c>
      <c r="S1002" s="3" t="n">
        <v>71.56</v>
      </c>
      <c r="T1002" s="3" t="n">
        <v>66.23999999999999</v>
      </c>
      <c r="U1002" s="4" t="n">
        <v>0.4525</v>
      </c>
      <c r="V1002" s="3" t="n">
        <v>8.6</v>
      </c>
      <c r="W1002" t="inlineStr">
        <is>
          <t>Bank Transfer</t>
        </is>
      </c>
      <c r="X1002" t="inlineStr">
        <is>
          <t>Low</t>
        </is>
      </c>
    </row>
    <row r="1003">
      <c r="A1003" t="inlineStr">
        <is>
          <t>ORD-01002</t>
        </is>
      </c>
      <c r="B1003" s="2" t="n">
        <v>45439</v>
      </c>
      <c r="C1003" s="2" t="n">
        <v>45442</v>
      </c>
      <c r="D1003" t="inlineStr">
        <is>
          <t>CUST-01002</t>
        </is>
      </c>
      <c r="E1003" t="inlineStr">
        <is>
          <t>Customer 1002</t>
        </is>
      </c>
      <c r="F1003" t="inlineStr">
        <is>
          <t>Consumer</t>
        </is>
      </c>
      <c r="G1003" t="inlineStr">
        <is>
          <t>P1004</t>
        </is>
      </c>
      <c r="H1003" t="inlineStr">
        <is>
          <t>Nova Laptop Stand</t>
        </is>
      </c>
      <c r="I1003" t="inlineStr">
        <is>
          <t>Outdoor</t>
        </is>
      </c>
      <c r="J1003" t="inlineStr">
        <is>
          <t>Peripherals</t>
        </is>
      </c>
      <c r="K1003" t="inlineStr">
        <is>
          <t>West</t>
        </is>
      </c>
      <c r="L1003" t="inlineStr">
        <is>
          <t>Oregon</t>
        </is>
      </c>
      <c r="M1003" t="inlineStr">
        <is>
          <t>Los Angeles</t>
        </is>
      </c>
      <c r="N1003" t="inlineStr">
        <is>
          <t>Ethan Brooks</t>
        </is>
      </c>
      <c r="O1003" t="n">
        <v>4</v>
      </c>
      <c r="P1003" s="3" t="n">
        <v>646.74</v>
      </c>
      <c r="Q1003" s="4" t="n">
        <v>0.01</v>
      </c>
      <c r="R1003" s="3" t="n">
        <v>2561.09</v>
      </c>
      <c r="S1003" s="3" t="n">
        <v>1621.29</v>
      </c>
      <c r="T1003" s="3" t="n">
        <v>929.6</v>
      </c>
      <c r="U1003" s="4" t="n">
        <v>0.363</v>
      </c>
      <c r="V1003" s="3" t="n">
        <v>10.2</v>
      </c>
      <c r="W1003" t="inlineStr">
        <is>
          <t>Debit Card</t>
        </is>
      </c>
      <c r="X1003" t="inlineStr">
        <is>
          <t>Medium</t>
        </is>
      </c>
    </row>
    <row r="1004">
      <c r="A1004" t="inlineStr">
        <is>
          <t>ORD-01003</t>
        </is>
      </c>
      <c r="B1004" s="2" t="n">
        <v>45791</v>
      </c>
      <c r="C1004" s="2" t="n">
        <v>45793</v>
      </c>
      <c r="D1004" t="inlineStr">
        <is>
          <t>CUST-01003</t>
        </is>
      </c>
      <c r="E1004" t="inlineStr">
        <is>
          <t>Customer 1003</t>
        </is>
      </c>
      <c r="F1004" t="inlineStr">
        <is>
          <t>Consumer</t>
        </is>
      </c>
      <c r="G1004" t="inlineStr">
        <is>
          <t>P1009</t>
        </is>
      </c>
      <c r="H1004" t="inlineStr">
        <is>
          <t>Atlas Throw Pillow</t>
        </is>
      </c>
      <c r="I1004" t="inlineStr">
        <is>
          <t>Outdoor</t>
        </is>
      </c>
      <c r="J1004" t="inlineStr">
        <is>
          <t>Chairs</t>
        </is>
      </c>
      <c r="K1004" t="inlineStr">
        <is>
          <t>South</t>
        </is>
      </c>
      <c r="L1004" t="inlineStr">
        <is>
          <t>Florida</t>
        </is>
      </c>
      <c r="M1004" t="inlineStr">
        <is>
          <t>Dallas</t>
        </is>
      </c>
      <c r="N1004" t="inlineStr">
        <is>
          <t>Mia Rodriguez</t>
        </is>
      </c>
      <c r="O1004" t="n">
        <v>3</v>
      </c>
      <c r="P1004" s="3" t="n">
        <v>87.41</v>
      </c>
      <c r="Q1004" s="4" t="n">
        <v>0.029</v>
      </c>
      <c r="R1004" s="3" t="n">
        <v>254.63</v>
      </c>
      <c r="S1004" s="3" t="n">
        <v>127.14</v>
      </c>
      <c r="T1004" s="3" t="n">
        <v>119.09</v>
      </c>
      <c r="U1004" s="4" t="n">
        <v>0.4677</v>
      </c>
      <c r="V1004" s="3" t="n">
        <v>8.4</v>
      </c>
      <c r="W1004" t="inlineStr">
        <is>
          <t>Credit Card</t>
        </is>
      </c>
      <c r="X1004" t="inlineStr">
        <is>
          <t>Medium</t>
        </is>
      </c>
    </row>
    <row r="1005">
      <c r="A1005" t="inlineStr">
        <is>
          <t>ORD-01004</t>
        </is>
      </c>
      <c r="B1005" s="2" t="n">
        <v>45997</v>
      </c>
      <c r="C1005" s="2" t="n">
        <v>46002</v>
      </c>
      <c r="D1005" t="inlineStr">
        <is>
          <t>CUST-01004</t>
        </is>
      </c>
      <c r="E1005" t="inlineStr">
        <is>
          <t>Customer 1004</t>
        </is>
      </c>
      <c r="F1005" t="inlineStr">
        <is>
          <t>Consumer</t>
        </is>
      </c>
      <c r="G1005" t="inlineStr">
        <is>
          <t>P1009</t>
        </is>
      </c>
      <c r="H1005" t="inlineStr">
        <is>
          <t>Nova Laptop Stand</t>
        </is>
      </c>
      <c r="I1005" t="inlineStr">
        <is>
          <t>Technology</t>
        </is>
      </c>
      <c r="J1005" t="inlineStr">
        <is>
          <t>Decor</t>
        </is>
      </c>
      <c r="K1005" t="inlineStr">
        <is>
          <t>West</t>
        </is>
      </c>
      <c r="L1005" t="inlineStr">
        <is>
          <t>Colorado</t>
        </is>
      </c>
      <c r="M1005" t="inlineStr">
        <is>
          <t>San Francisco</t>
        </is>
      </c>
      <c r="N1005" t="inlineStr">
        <is>
          <t>Mia Rodriguez</t>
        </is>
      </c>
      <c r="O1005" t="n">
        <v>3</v>
      </c>
      <c r="P1005" s="3" t="n">
        <v>96.81</v>
      </c>
      <c r="Q1005" s="4" t="n">
        <v>0.042</v>
      </c>
      <c r="R1005" s="3" t="n">
        <v>278.23</v>
      </c>
      <c r="S1005" s="3" t="n">
        <v>142.73</v>
      </c>
      <c r="T1005" s="3" t="n">
        <v>126.1</v>
      </c>
      <c r="U1005" s="4" t="n">
        <v>0.4532</v>
      </c>
      <c r="V1005" s="3" t="n">
        <v>9.4</v>
      </c>
      <c r="W1005" t="inlineStr">
        <is>
          <t>PayPal</t>
        </is>
      </c>
      <c r="X1005" t="inlineStr">
        <is>
          <t>High</t>
        </is>
      </c>
    </row>
    <row r="1006">
      <c r="A1006" t="inlineStr">
        <is>
          <t>ORD-01005</t>
        </is>
      </c>
      <c r="B1006" s="2" t="n">
        <v>45739</v>
      </c>
      <c r="C1006" s="2" t="n">
        <v>45740</v>
      </c>
      <c r="D1006" t="inlineStr">
        <is>
          <t>CUST-01005</t>
        </is>
      </c>
      <c r="E1006" t="inlineStr">
        <is>
          <t>Customer 1005</t>
        </is>
      </c>
      <c r="F1006" t="inlineStr">
        <is>
          <t>Consumer</t>
        </is>
      </c>
      <c r="G1006" t="inlineStr">
        <is>
          <t>P1012</t>
        </is>
      </c>
      <c r="H1006" t="inlineStr">
        <is>
          <t>Trail Tote</t>
        </is>
      </c>
      <c r="I1006" t="inlineStr">
        <is>
          <t>Furniture</t>
        </is>
      </c>
      <c r="J1006" t="inlineStr">
        <is>
          <t>Peripherals</t>
        </is>
      </c>
      <c r="K1006" t="inlineStr">
        <is>
          <t>Central</t>
        </is>
      </c>
      <c r="L1006" t="inlineStr">
        <is>
          <t>Kansas</t>
        </is>
      </c>
      <c r="M1006" t="inlineStr">
        <is>
          <t>St. Louis</t>
        </is>
      </c>
      <c r="N1006" t="inlineStr">
        <is>
          <t>Noah Kim</t>
        </is>
      </c>
      <c r="O1006" t="n">
        <v>2</v>
      </c>
      <c r="P1006" s="3" t="n">
        <v>124.53</v>
      </c>
      <c r="Q1006" s="4" t="n">
        <v>0.043</v>
      </c>
      <c r="R1006" s="3" t="n">
        <v>238.35</v>
      </c>
      <c r="S1006" s="3" t="n">
        <v>124.19</v>
      </c>
      <c r="T1006" s="3" t="n">
        <v>106.56</v>
      </c>
      <c r="U1006" s="4" t="n">
        <v>0.4471</v>
      </c>
      <c r="V1006" s="3" t="n">
        <v>7.6</v>
      </c>
      <c r="W1006" t="inlineStr">
        <is>
          <t>Credit Card</t>
        </is>
      </c>
      <c r="X1006" t="inlineStr">
        <is>
          <t>High</t>
        </is>
      </c>
    </row>
    <row r="1007">
      <c r="A1007" t="inlineStr">
        <is>
          <t>ORD-01006</t>
        </is>
      </c>
      <c r="B1007" s="2" t="n">
        <v>45945</v>
      </c>
      <c r="C1007" s="2" t="n">
        <v>45950</v>
      </c>
      <c r="D1007" t="inlineStr">
        <is>
          <t>CUST-01006</t>
        </is>
      </c>
      <c r="E1007" t="inlineStr">
        <is>
          <t>Customer 1006</t>
        </is>
      </c>
      <c r="F1007" t="inlineStr">
        <is>
          <t>Consumer</t>
        </is>
      </c>
      <c r="G1007" t="inlineStr">
        <is>
          <t>P1014</t>
        </is>
      </c>
      <c r="H1007" t="inlineStr">
        <is>
          <t>Summit Patio Set</t>
        </is>
      </c>
      <c r="I1007" t="inlineStr">
        <is>
          <t>Office Supplies</t>
        </is>
      </c>
      <c r="J1007" t="inlineStr">
        <is>
          <t>Coolers</t>
        </is>
      </c>
      <c r="K1007" t="inlineStr">
        <is>
          <t>North</t>
        </is>
      </c>
      <c r="L1007" t="inlineStr">
        <is>
          <t>British Columbia</t>
        </is>
      </c>
      <c r="M1007" t="inlineStr">
        <is>
          <t>Montreal</t>
        </is>
      </c>
      <c r="N1007" t="inlineStr">
        <is>
          <t>Olivia Martin</t>
        </is>
      </c>
      <c r="O1007" t="n">
        <v>1</v>
      </c>
      <c r="P1007" s="3" t="n">
        <v>45.13</v>
      </c>
      <c r="Q1007" s="4" t="n">
        <v>0.015</v>
      </c>
      <c r="R1007" s="3" t="n">
        <v>44.45</v>
      </c>
      <c r="S1007" s="3" t="n">
        <v>23.07</v>
      </c>
      <c r="T1007" s="3" t="n">
        <v>14.58</v>
      </c>
      <c r="U1007" s="4" t="n">
        <v>0.328</v>
      </c>
      <c r="V1007" s="3" t="n">
        <v>6.8</v>
      </c>
      <c r="W1007" t="inlineStr">
        <is>
          <t>Debit Card</t>
        </is>
      </c>
      <c r="X1007" t="inlineStr">
        <is>
          <t>Medium</t>
        </is>
      </c>
    </row>
    <row r="1008">
      <c r="A1008" t="inlineStr">
        <is>
          <t>ORD-01007</t>
        </is>
      </c>
      <c r="B1008" s="2" t="n">
        <v>45665</v>
      </c>
      <c r="C1008" s="2" t="n">
        <v>45669</v>
      </c>
      <c r="D1008" t="inlineStr">
        <is>
          <t>CUST-01007</t>
        </is>
      </c>
      <c r="E1008" t="inlineStr">
        <is>
          <t>Customer 1007</t>
        </is>
      </c>
      <c r="F1008" t="inlineStr">
        <is>
          <t>Home Office</t>
        </is>
      </c>
      <c r="G1008" t="inlineStr">
        <is>
          <t>P1003</t>
        </is>
      </c>
      <c r="H1008" t="inlineStr">
        <is>
          <t>Aero Standing Desk</t>
        </is>
      </c>
      <c r="I1008" t="inlineStr">
        <is>
          <t>Outdoor</t>
        </is>
      </c>
      <c r="J1008" t="inlineStr">
        <is>
          <t>Writing</t>
        </is>
      </c>
      <c r="K1008" t="inlineStr">
        <is>
          <t>North</t>
        </is>
      </c>
      <c r="L1008" t="inlineStr">
        <is>
          <t>British Columbia</t>
        </is>
      </c>
      <c r="M1008" t="inlineStr">
        <is>
          <t>Calgary</t>
        </is>
      </c>
      <c r="N1008" t="inlineStr">
        <is>
          <t>Sophia Singh</t>
        </is>
      </c>
      <c r="O1008" t="n">
        <v>2</v>
      </c>
      <c r="P1008" s="3" t="n">
        <v>147.46</v>
      </c>
      <c r="Q1008" s="4" t="n">
        <v>0.023</v>
      </c>
      <c r="R1008" s="3" t="n">
        <v>288.14</v>
      </c>
      <c r="S1008" s="3" t="n">
        <v>157.3</v>
      </c>
      <c r="T1008" s="3" t="n">
        <v>123.24</v>
      </c>
      <c r="U1008" s="4" t="n">
        <v>0.4277</v>
      </c>
      <c r="V1008" s="3" t="n">
        <v>7.6</v>
      </c>
      <c r="W1008" t="inlineStr">
        <is>
          <t>Bank Transfer</t>
        </is>
      </c>
      <c r="X1008" t="inlineStr">
        <is>
          <t>Medium</t>
        </is>
      </c>
    </row>
    <row r="1009">
      <c r="A1009" t="inlineStr">
        <is>
          <t>ORD-01008</t>
        </is>
      </c>
      <c r="B1009" s="2" t="n">
        <v>45874</v>
      </c>
      <c r="C1009" s="2" t="n">
        <v>45878</v>
      </c>
      <c r="D1009" t="inlineStr">
        <is>
          <t>CUST-01008</t>
        </is>
      </c>
      <c r="E1009" t="inlineStr">
        <is>
          <t>Customer 1008</t>
        </is>
      </c>
      <c r="F1009" t="inlineStr">
        <is>
          <t>Consumer</t>
        </is>
      </c>
      <c r="G1009" t="inlineStr">
        <is>
          <t>P1006</t>
        </is>
      </c>
      <c r="H1009" t="inlineStr">
        <is>
          <t>Halo Planter</t>
        </is>
      </c>
      <c r="I1009" t="inlineStr">
        <is>
          <t>Home Decor</t>
        </is>
      </c>
      <c r="J1009" t="inlineStr">
        <is>
          <t>Lighting</t>
        </is>
      </c>
      <c r="K1009" t="inlineStr">
        <is>
          <t>West</t>
        </is>
      </c>
      <c r="L1009" t="inlineStr">
        <is>
          <t>Washington</t>
        </is>
      </c>
      <c r="M1009" t="inlineStr">
        <is>
          <t>Denver</t>
        </is>
      </c>
      <c r="N1009" t="inlineStr">
        <is>
          <t>Sophia Singh</t>
        </is>
      </c>
      <c r="O1009" t="n">
        <v>2</v>
      </c>
      <c r="P1009" s="3" t="n">
        <v>19.04</v>
      </c>
      <c r="Q1009" s="4" t="n">
        <v>0.055</v>
      </c>
      <c r="R1009" s="3" t="n">
        <v>35.99</v>
      </c>
      <c r="S1009" s="3" t="n">
        <v>21.37</v>
      </c>
      <c r="T1009" s="3" t="n">
        <v>6.02</v>
      </c>
      <c r="U1009" s="4" t="n">
        <v>0.1673</v>
      </c>
      <c r="V1009" s="3" t="n">
        <v>8.6</v>
      </c>
      <c r="W1009" t="inlineStr">
        <is>
          <t>Credit Card</t>
        </is>
      </c>
      <c r="X1009" t="inlineStr">
        <is>
          <t>High</t>
        </is>
      </c>
    </row>
    <row r="1010">
      <c r="A1010" t="inlineStr">
        <is>
          <t>ORD-01009</t>
        </is>
      </c>
      <c r="B1010" s="2" t="n">
        <v>45263</v>
      </c>
      <c r="C1010" s="2" t="n">
        <v>45270</v>
      </c>
      <c r="D1010" t="inlineStr">
        <is>
          <t>CUST-01009</t>
        </is>
      </c>
      <c r="E1010" t="inlineStr">
        <is>
          <t>Customer 1009</t>
        </is>
      </c>
      <c r="F1010" t="inlineStr">
        <is>
          <t>Corporate</t>
        </is>
      </c>
      <c r="G1010" t="inlineStr">
        <is>
          <t>P1015</t>
        </is>
      </c>
      <c r="H1010" t="inlineStr">
        <is>
          <t>Pulse Keyboard</t>
        </is>
      </c>
      <c r="I1010" t="inlineStr">
        <is>
          <t>Office Supplies</t>
        </is>
      </c>
      <c r="J1010" t="inlineStr">
        <is>
          <t>Desks</t>
        </is>
      </c>
      <c r="K1010" t="inlineStr">
        <is>
          <t>West</t>
        </is>
      </c>
      <c r="L1010" t="inlineStr">
        <is>
          <t>Washington</t>
        </is>
      </c>
      <c r="M1010" t="inlineStr">
        <is>
          <t>Seattle</t>
        </is>
      </c>
      <c r="N1010" t="inlineStr">
        <is>
          <t>Olivia Martin</t>
        </is>
      </c>
      <c r="O1010" t="n">
        <v>2</v>
      </c>
      <c r="P1010" s="3" t="n">
        <v>75.33</v>
      </c>
      <c r="Q1010" s="4" t="n">
        <v>0.032</v>
      </c>
      <c r="R1010" s="3" t="n">
        <v>145.84</v>
      </c>
      <c r="S1010" s="3" t="n">
        <v>71.7</v>
      </c>
      <c r="T1010" s="3" t="n">
        <v>65.54000000000001</v>
      </c>
      <c r="U1010" s="4" t="n">
        <v>0.4494</v>
      </c>
      <c r="V1010" s="3" t="n">
        <v>8.6</v>
      </c>
      <c r="W1010" t="inlineStr">
        <is>
          <t>Bank Transfer</t>
        </is>
      </c>
      <c r="X1010" t="inlineStr">
        <is>
          <t>Medium</t>
        </is>
      </c>
    </row>
    <row r="1011">
      <c r="A1011" t="inlineStr">
        <is>
          <t>ORD-01010</t>
        </is>
      </c>
      <c r="B1011" s="2" t="n">
        <v>45415</v>
      </c>
      <c r="C1011" s="2" t="n">
        <v>45420</v>
      </c>
      <c r="D1011" t="inlineStr">
        <is>
          <t>CUST-01010</t>
        </is>
      </c>
      <c r="E1011" t="inlineStr">
        <is>
          <t>Customer 1010</t>
        </is>
      </c>
      <c r="F1011" t="inlineStr">
        <is>
          <t>Home Office</t>
        </is>
      </c>
      <c r="G1011" t="inlineStr">
        <is>
          <t>P1019</t>
        </is>
      </c>
      <c r="H1011" t="inlineStr">
        <is>
          <t>Cove Wall Clock</t>
        </is>
      </c>
      <c r="I1011" t="inlineStr">
        <is>
          <t>Technology</t>
        </is>
      </c>
      <c r="J1011" t="inlineStr">
        <is>
          <t>Decor</t>
        </is>
      </c>
      <c r="K1011" t="inlineStr">
        <is>
          <t>East</t>
        </is>
      </c>
      <c r="L1011" t="inlineStr">
        <is>
          <t>New Jersey</t>
        </is>
      </c>
      <c r="M1011" t="inlineStr">
        <is>
          <t>Washington</t>
        </is>
      </c>
      <c r="N1011" t="inlineStr">
        <is>
          <t>Noah Kim</t>
        </is>
      </c>
      <c r="O1011" t="n">
        <v>1</v>
      </c>
      <c r="P1011" s="3" t="n">
        <v>56.62</v>
      </c>
      <c r="Q1011" s="4" t="n">
        <v>0.014</v>
      </c>
      <c r="R1011" s="3" t="n">
        <v>55.83</v>
      </c>
      <c r="S1011" s="3" t="n">
        <v>29.76</v>
      </c>
      <c r="T1011" s="3" t="n">
        <v>18.27</v>
      </c>
      <c r="U1011" s="4" t="n">
        <v>0.3272</v>
      </c>
      <c r="V1011" s="3" t="n">
        <v>7.8</v>
      </c>
      <c r="W1011" t="inlineStr">
        <is>
          <t>PayPal</t>
        </is>
      </c>
      <c r="X1011" t="inlineStr">
        <is>
          <t>Medium</t>
        </is>
      </c>
    </row>
    <row r="1012">
      <c r="A1012" t="inlineStr">
        <is>
          <t>ORD-01011</t>
        </is>
      </c>
      <c r="B1012" s="2" t="n">
        <v>44998</v>
      </c>
      <c r="C1012" s="2" t="n">
        <v>45001</v>
      </c>
      <c r="D1012" t="inlineStr">
        <is>
          <t>CUST-01011</t>
        </is>
      </c>
      <c r="E1012" t="inlineStr">
        <is>
          <t>Customer 1011</t>
        </is>
      </c>
      <c r="F1012" t="inlineStr">
        <is>
          <t>Consumer</t>
        </is>
      </c>
      <c r="G1012" t="inlineStr">
        <is>
          <t>P1004</t>
        </is>
      </c>
      <c r="H1012" t="inlineStr">
        <is>
          <t>Summit Patio Set</t>
        </is>
      </c>
      <c r="I1012" t="inlineStr">
        <is>
          <t>Outdoor</t>
        </is>
      </c>
      <c r="J1012" t="inlineStr">
        <is>
          <t>Accessories</t>
        </is>
      </c>
      <c r="K1012" t="inlineStr">
        <is>
          <t>East</t>
        </is>
      </c>
      <c r="L1012" t="inlineStr">
        <is>
          <t>Virginia</t>
        </is>
      </c>
      <c r="M1012" t="inlineStr">
        <is>
          <t>Philadelphia</t>
        </is>
      </c>
      <c r="N1012" t="inlineStr">
        <is>
          <t>Noah Kim</t>
        </is>
      </c>
      <c r="O1012" t="n">
        <v>3</v>
      </c>
      <c r="P1012" s="3" t="n">
        <v>628.46</v>
      </c>
      <c r="Q1012" s="4" t="n">
        <v>0.013</v>
      </c>
      <c r="R1012" s="3" t="n">
        <v>1860.87</v>
      </c>
      <c r="S1012" s="3" t="n">
        <v>1181.84</v>
      </c>
      <c r="T1012" s="3" t="n">
        <v>669.63</v>
      </c>
      <c r="U1012" s="4" t="n">
        <v>0.3598</v>
      </c>
      <c r="V1012" s="3" t="n">
        <v>9.4</v>
      </c>
      <c r="W1012" t="inlineStr">
        <is>
          <t>Debit Card</t>
        </is>
      </c>
      <c r="X1012" t="inlineStr">
        <is>
          <t>High</t>
        </is>
      </c>
    </row>
    <row r="1013">
      <c r="A1013" t="inlineStr">
        <is>
          <t>ORD-01012</t>
        </is>
      </c>
      <c r="B1013" s="2" t="n">
        <v>45902</v>
      </c>
      <c r="C1013" s="2" t="n">
        <v>45904</v>
      </c>
      <c r="D1013" t="inlineStr">
        <is>
          <t>CUST-01012</t>
        </is>
      </c>
      <c r="E1013" t="inlineStr">
        <is>
          <t>Customer 1012</t>
        </is>
      </c>
      <c r="F1013" t="inlineStr">
        <is>
          <t>Corporate</t>
        </is>
      </c>
      <c r="G1013" t="inlineStr">
        <is>
          <t>P1001</t>
        </is>
      </c>
      <c r="H1013" t="inlineStr">
        <is>
          <t>Harbor Rug</t>
        </is>
      </c>
      <c r="I1013" t="inlineStr">
        <is>
          <t>Outdoor</t>
        </is>
      </c>
      <c r="J1013" t="inlineStr">
        <is>
          <t>Desks</t>
        </is>
      </c>
      <c r="K1013" t="inlineStr">
        <is>
          <t>East</t>
        </is>
      </c>
      <c r="L1013" t="inlineStr">
        <is>
          <t>New York</t>
        </is>
      </c>
      <c r="M1013" t="inlineStr">
        <is>
          <t>New York</t>
        </is>
      </c>
      <c r="N1013" t="inlineStr">
        <is>
          <t>Ava Patel</t>
        </is>
      </c>
      <c r="O1013" t="n">
        <v>3</v>
      </c>
      <c r="P1013" s="3" t="n">
        <v>292.4</v>
      </c>
      <c r="Q1013" s="4" t="n">
        <v>0.012</v>
      </c>
      <c r="R1013" s="3" t="n">
        <v>866.67</v>
      </c>
      <c r="S1013" s="3" t="n">
        <v>511.4</v>
      </c>
      <c r="T1013" s="3" t="n">
        <v>345.87</v>
      </c>
      <c r="U1013" s="4" t="n">
        <v>0.3991</v>
      </c>
      <c r="V1013" s="3" t="n">
        <v>9.4</v>
      </c>
      <c r="W1013" t="inlineStr">
        <is>
          <t>PayPal</t>
        </is>
      </c>
      <c r="X1013" t="inlineStr">
        <is>
          <t>Low</t>
        </is>
      </c>
    </row>
    <row r="1014">
      <c r="A1014" t="inlineStr">
        <is>
          <t>ORD-01013</t>
        </is>
      </c>
      <c r="B1014" s="2" t="n">
        <v>45954</v>
      </c>
      <c r="C1014" s="2" t="n">
        <v>45955</v>
      </c>
      <c r="D1014" t="inlineStr">
        <is>
          <t>CUST-01013</t>
        </is>
      </c>
      <c r="E1014" t="inlineStr">
        <is>
          <t>Customer 1013</t>
        </is>
      </c>
      <c r="F1014" t="inlineStr">
        <is>
          <t>Home Office</t>
        </is>
      </c>
      <c r="G1014" t="inlineStr">
        <is>
          <t>P1009</t>
        </is>
      </c>
      <c r="H1014" t="inlineStr">
        <is>
          <t>Nova Laptop Stand</t>
        </is>
      </c>
      <c r="I1014" t="inlineStr">
        <is>
          <t>Outdoor</t>
        </is>
      </c>
      <c r="J1014" t="inlineStr">
        <is>
          <t>Binders</t>
        </is>
      </c>
      <c r="K1014" t="inlineStr">
        <is>
          <t>West</t>
        </is>
      </c>
      <c r="L1014" t="inlineStr">
        <is>
          <t>Oregon</t>
        </is>
      </c>
      <c r="M1014" t="inlineStr">
        <is>
          <t>Seattle</t>
        </is>
      </c>
      <c r="N1014" t="inlineStr">
        <is>
          <t>Ava Patel</t>
        </is>
      </c>
      <c r="O1014" t="n">
        <v>1</v>
      </c>
      <c r="P1014" s="3" t="n">
        <v>102.02</v>
      </c>
      <c r="Q1014" s="4" t="n">
        <v>0.013</v>
      </c>
      <c r="R1014" s="3" t="n">
        <v>100.69</v>
      </c>
      <c r="S1014" s="3" t="n">
        <v>58.83</v>
      </c>
      <c r="T1014" s="3" t="n">
        <v>34.06</v>
      </c>
      <c r="U1014" s="4" t="n">
        <v>0.3383</v>
      </c>
      <c r="V1014" s="3" t="n">
        <v>7.8</v>
      </c>
      <c r="W1014" t="inlineStr">
        <is>
          <t>PayPal</t>
        </is>
      </c>
      <c r="X1014" t="inlineStr">
        <is>
          <t>Low</t>
        </is>
      </c>
    </row>
    <row r="1015">
      <c r="A1015" t="inlineStr">
        <is>
          <t>ORD-01014</t>
        </is>
      </c>
      <c r="B1015" s="2" t="n">
        <v>45200</v>
      </c>
      <c r="C1015" s="2" t="n">
        <v>45206</v>
      </c>
      <c r="D1015" t="inlineStr">
        <is>
          <t>CUST-01014</t>
        </is>
      </c>
      <c r="E1015" t="inlineStr">
        <is>
          <t>Customer 1014</t>
        </is>
      </c>
      <c r="F1015" t="inlineStr">
        <is>
          <t>Consumer</t>
        </is>
      </c>
      <c r="G1015" t="inlineStr">
        <is>
          <t>P1016</t>
        </is>
      </c>
      <c r="H1015" t="inlineStr">
        <is>
          <t>Atlas Throw Pillow</t>
        </is>
      </c>
      <c r="I1015" t="inlineStr">
        <is>
          <t>Home Decor</t>
        </is>
      </c>
      <c r="J1015" t="inlineStr">
        <is>
          <t>Lighting</t>
        </is>
      </c>
      <c r="K1015" t="inlineStr">
        <is>
          <t>West</t>
        </is>
      </c>
      <c r="L1015" t="inlineStr">
        <is>
          <t>Washington</t>
        </is>
      </c>
      <c r="M1015" t="inlineStr">
        <is>
          <t>Denver</t>
        </is>
      </c>
      <c r="N1015" t="inlineStr">
        <is>
          <t>Mia Rodriguez</t>
        </is>
      </c>
      <c r="O1015" t="n">
        <v>3</v>
      </c>
      <c r="P1015" s="3" t="n">
        <v>42.04</v>
      </c>
      <c r="Q1015" s="4" t="n">
        <v>0.026</v>
      </c>
      <c r="R1015" s="3" t="n">
        <v>122.84</v>
      </c>
      <c r="S1015" s="3" t="n">
        <v>55.88</v>
      </c>
      <c r="T1015" s="3" t="n">
        <v>57.56</v>
      </c>
      <c r="U1015" s="4" t="n">
        <v>0.4686</v>
      </c>
      <c r="V1015" s="3" t="n">
        <v>9.4</v>
      </c>
      <c r="W1015" t="inlineStr">
        <is>
          <t>PayPal</t>
        </is>
      </c>
      <c r="X1015" t="inlineStr">
        <is>
          <t>Medium</t>
        </is>
      </c>
    </row>
    <row r="1016">
      <c r="A1016" t="inlineStr">
        <is>
          <t>ORD-01015</t>
        </is>
      </c>
      <c r="B1016" s="2" t="n">
        <v>45789</v>
      </c>
      <c r="C1016" s="2" t="n">
        <v>45795</v>
      </c>
      <c r="D1016" t="inlineStr">
        <is>
          <t>CUST-01015</t>
        </is>
      </c>
      <c r="E1016" t="inlineStr">
        <is>
          <t>Customer 1015</t>
        </is>
      </c>
      <c r="F1016" t="inlineStr">
        <is>
          <t>Consumer</t>
        </is>
      </c>
      <c r="G1016" t="inlineStr">
        <is>
          <t>P1009</t>
        </is>
      </c>
      <c r="H1016" t="inlineStr">
        <is>
          <t>CloudDrive File Box</t>
        </is>
      </c>
      <c r="I1016" t="inlineStr">
        <is>
          <t>Office Supplies</t>
        </is>
      </c>
      <c r="J1016" t="inlineStr">
        <is>
          <t>Chairs</t>
        </is>
      </c>
      <c r="K1016" t="inlineStr">
        <is>
          <t>East</t>
        </is>
      </c>
      <c r="L1016" t="inlineStr">
        <is>
          <t>Virginia</t>
        </is>
      </c>
      <c r="M1016" t="inlineStr">
        <is>
          <t>New York</t>
        </is>
      </c>
      <c r="N1016" t="inlineStr">
        <is>
          <t>Liam Chen</t>
        </is>
      </c>
      <c r="O1016" t="n">
        <v>1</v>
      </c>
      <c r="P1016" s="3" t="n">
        <v>89.73999999999999</v>
      </c>
      <c r="Q1016" s="4" t="n">
        <v>0.006</v>
      </c>
      <c r="R1016" s="3" t="n">
        <v>89.2</v>
      </c>
      <c r="S1016" s="3" t="n">
        <v>49.63</v>
      </c>
      <c r="T1016" s="3" t="n">
        <v>31.77</v>
      </c>
      <c r="U1016" s="4" t="n">
        <v>0.3562</v>
      </c>
      <c r="V1016" s="3" t="n">
        <v>7.8</v>
      </c>
      <c r="W1016" t="inlineStr">
        <is>
          <t>Bank Transfer</t>
        </is>
      </c>
      <c r="X1016" t="inlineStr">
        <is>
          <t>Low</t>
        </is>
      </c>
    </row>
    <row r="1017">
      <c r="A1017" t="inlineStr">
        <is>
          <t>ORD-01016</t>
        </is>
      </c>
      <c r="B1017" s="2" t="n">
        <v>45755</v>
      </c>
      <c r="C1017" s="2" t="n">
        <v>45758</v>
      </c>
      <c r="D1017" t="inlineStr">
        <is>
          <t>CUST-01016</t>
        </is>
      </c>
      <c r="E1017" t="inlineStr">
        <is>
          <t>Customer 1016</t>
        </is>
      </c>
      <c r="F1017" t="inlineStr">
        <is>
          <t>Home Office</t>
        </is>
      </c>
      <c r="G1017" t="inlineStr">
        <is>
          <t>P1012</t>
        </is>
      </c>
      <c r="H1017" t="inlineStr">
        <is>
          <t>Cove Wall Clock</t>
        </is>
      </c>
      <c r="I1017" t="inlineStr">
        <is>
          <t>Home Decor</t>
        </is>
      </c>
      <c r="J1017" t="inlineStr">
        <is>
          <t>Furniture</t>
        </is>
      </c>
      <c r="K1017" t="inlineStr">
        <is>
          <t>Central</t>
        </is>
      </c>
      <c r="L1017" t="inlineStr">
        <is>
          <t>Kansas</t>
        </is>
      </c>
      <c r="M1017" t="inlineStr">
        <is>
          <t>Minneapolis</t>
        </is>
      </c>
      <c r="N1017" t="inlineStr">
        <is>
          <t>James Carter</t>
        </is>
      </c>
      <c r="O1017" t="n">
        <v>5</v>
      </c>
      <c r="P1017" s="3" t="n">
        <v>126.17</v>
      </c>
      <c r="Q1017" s="4" t="n">
        <v>0.017</v>
      </c>
      <c r="R1017" s="3" t="n">
        <v>620.13</v>
      </c>
      <c r="S1017" s="3" t="n">
        <v>312.95</v>
      </c>
      <c r="T1017" s="3" t="n">
        <v>297.18</v>
      </c>
      <c r="U1017" s="4" t="n">
        <v>0.4792</v>
      </c>
      <c r="V1017" s="3" t="n">
        <v>10</v>
      </c>
      <c r="W1017" t="inlineStr">
        <is>
          <t>Debit Card</t>
        </is>
      </c>
      <c r="X1017" t="inlineStr">
        <is>
          <t>Low</t>
        </is>
      </c>
    </row>
    <row r="1018">
      <c r="A1018" t="inlineStr">
        <is>
          <t>ORD-01017</t>
        </is>
      </c>
      <c r="B1018" s="2" t="n">
        <v>45279</v>
      </c>
      <c r="C1018" s="2" t="n">
        <v>45284</v>
      </c>
      <c r="D1018" t="inlineStr">
        <is>
          <t>CUST-01017</t>
        </is>
      </c>
      <c r="E1018" t="inlineStr">
        <is>
          <t>Customer 1017</t>
        </is>
      </c>
      <c r="F1018" t="inlineStr">
        <is>
          <t>Home Office</t>
        </is>
      </c>
      <c r="G1018" t="inlineStr">
        <is>
          <t>P1014</t>
        </is>
      </c>
      <c r="H1018" t="inlineStr">
        <is>
          <t>Halo Planter</t>
        </is>
      </c>
      <c r="I1018" t="inlineStr">
        <is>
          <t>Office Supplies</t>
        </is>
      </c>
      <c r="J1018" t="inlineStr">
        <is>
          <t>Desks</t>
        </is>
      </c>
      <c r="K1018" t="inlineStr">
        <is>
          <t>South</t>
        </is>
      </c>
      <c r="L1018" t="inlineStr">
        <is>
          <t>Texas</t>
        </is>
      </c>
      <c r="M1018" t="inlineStr">
        <is>
          <t>Atlanta</t>
        </is>
      </c>
      <c r="N1018" t="inlineStr">
        <is>
          <t>Sophia Singh</t>
        </is>
      </c>
      <c r="O1018" t="n">
        <v>2</v>
      </c>
      <c r="P1018" s="3" t="n">
        <v>42.63</v>
      </c>
      <c r="Q1018" s="4" t="n">
        <v>0.008</v>
      </c>
      <c r="R1018" s="3" t="n">
        <v>84.58</v>
      </c>
      <c r="S1018" s="3" t="n">
        <v>38.9</v>
      </c>
      <c r="T1018" s="3" t="n">
        <v>38.08</v>
      </c>
      <c r="U1018" s="4" t="n">
        <v>0.4502</v>
      </c>
      <c r="V1018" s="3" t="n">
        <v>7.6</v>
      </c>
      <c r="W1018" t="inlineStr">
        <is>
          <t>Bank Transfer</t>
        </is>
      </c>
      <c r="X1018" t="inlineStr">
        <is>
          <t>Low</t>
        </is>
      </c>
    </row>
    <row r="1019">
      <c r="A1019" t="inlineStr">
        <is>
          <t>ORD-01018</t>
        </is>
      </c>
      <c r="B1019" s="2" t="n">
        <v>45635</v>
      </c>
      <c r="C1019" s="2" t="n">
        <v>45641</v>
      </c>
      <c r="D1019" t="inlineStr">
        <is>
          <t>CUST-01018</t>
        </is>
      </c>
      <c r="E1019" t="inlineStr">
        <is>
          <t>Customer 1018</t>
        </is>
      </c>
      <c r="F1019" t="inlineStr">
        <is>
          <t>Consumer</t>
        </is>
      </c>
      <c r="G1019" t="inlineStr">
        <is>
          <t>P1015</t>
        </is>
      </c>
      <c r="H1019" t="inlineStr">
        <is>
          <t>SmartInk Pen Set</t>
        </is>
      </c>
      <c r="I1019" t="inlineStr">
        <is>
          <t>Home Decor</t>
        </is>
      </c>
      <c r="J1019" t="inlineStr">
        <is>
          <t>Paper</t>
        </is>
      </c>
      <c r="K1019" t="inlineStr">
        <is>
          <t>South</t>
        </is>
      </c>
      <c r="L1019" t="inlineStr">
        <is>
          <t>Florida</t>
        </is>
      </c>
      <c r="M1019" t="inlineStr">
        <is>
          <t>Houston</t>
        </is>
      </c>
      <c r="N1019" t="inlineStr">
        <is>
          <t>Olivia Martin</t>
        </is>
      </c>
      <c r="O1019" t="n">
        <v>4</v>
      </c>
      <c r="P1019" s="3" t="n">
        <v>72</v>
      </c>
      <c r="Q1019" s="4" t="n">
        <v>0.026</v>
      </c>
      <c r="R1019" s="3" t="n">
        <v>280.51</v>
      </c>
      <c r="S1019" s="3" t="n">
        <v>128.32</v>
      </c>
      <c r="T1019" s="3" t="n">
        <v>142.99</v>
      </c>
      <c r="U1019" s="4" t="n">
        <v>0.5098</v>
      </c>
      <c r="V1019" s="3" t="n">
        <v>9.199999999999999</v>
      </c>
      <c r="W1019" t="inlineStr">
        <is>
          <t>Credit Card</t>
        </is>
      </c>
      <c r="X1019" t="inlineStr">
        <is>
          <t>High</t>
        </is>
      </c>
    </row>
    <row r="1020">
      <c r="A1020" t="inlineStr">
        <is>
          <t>ORD-01019</t>
        </is>
      </c>
      <c r="B1020" s="2" t="n">
        <v>45866</v>
      </c>
      <c r="C1020" s="2" t="n">
        <v>45871</v>
      </c>
      <c r="D1020" t="inlineStr">
        <is>
          <t>CUST-01019</t>
        </is>
      </c>
      <c r="E1020" t="inlineStr">
        <is>
          <t>Customer 1019</t>
        </is>
      </c>
      <c r="F1020" t="inlineStr">
        <is>
          <t>Consumer</t>
        </is>
      </c>
      <c r="G1020" t="inlineStr">
        <is>
          <t>P1016</t>
        </is>
      </c>
      <c r="H1020" t="inlineStr">
        <is>
          <t>Pulse Keyboard</t>
        </is>
      </c>
      <c r="I1020" t="inlineStr">
        <is>
          <t>Home Decor</t>
        </is>
      </c>
      <c r="J1020" t="inlineStr">
        <is>
          <t>Coolers</t>
        </is>
      </c>
      <c r="K1020" t="inlineStr">
        <is>
          <t>South</t>
        </is>
      </c>
      <c r="L1020" t="inlineStr">
        <is>
          <t>Georgia</t>
        </is>
      </c>
      <c r="M1020" t="inlineStr">
        <is>
          <t>Miami</t>
        </is>
      </c>
      <c r="N1020" t="inlineStr">
        <is>
          <t>Mia Rodriguez</t>
        </is>
      </c>
      <c r="O1020" t="n">
        <v>2</v>
      </c>
      <c r="P1020" s="3" t="n">
        <v>37.71</v>
      </c>
      <c r="Q1020" s="4" t="n">
        <v>0.022</v>
      </c>
      <c r="R1020" s="3" t="n">
        <v>73.76000000000001</v>
      </c>
      <c r="S1020" s="3" t="n">
        <v>31.93</v>
      </c>
      <c r="T1020" s="3" t="n">
        <v>34.23</v>
      </c>
      <c r="U1020" s="4" t="n">
        <v>0.4641</v>
      </c>
      <c r="V1020" s="3" t="n">
        <v>7.6</v>
      </c>
      <c r="W1020" t="inlineStr">
        <is>
          <t>Bank Transfer</t>
        </is>
      </c>
      <c r="X1020" t="inlineStr">
        <is>
          <t>Critical</t>
        </is>
      </c>
    </row>
    <row r="1021">
      <c r="A1021" t="inlineStr">
        <is>
          <t>ORD-01020</t>
        </is>
      </c>
      <c r="B1021" s="2" t="n">
        <v>45244</v>
      </c>
      <c r="C1021" s="2" t="n">
        <v>45246</v>
      </c>
      <c r="D1021" t="inlineStr">
        <is>
          <t>CUST-01020</t>
        </is>
      </c>
      <c r="E1021" t="inlineStr">
        <is>
          <t>Customer 1020</t>
        </is>
      </c>
      <c r="F1021" t="inlineStr">
        <is>
          <t>Consumer</t>
        </is>
      </c>
      <c r="G1021" t="inlineStr">
        <is>
          <t>P1008</t>
        </is>
      </c>
      <c r="H1021" t="inlineStr">
        <is>
          <t>Nimbus Monitor Arm</t>
        </is>
      </c>
      <c r="I1021" t="inlineStr">
        <is>
          <t>Home Decor</t>
        </is>
      </c>
      <c r="J1021" t="inlineStr">
        <is>
          <t>Flooring</t>
        </is>
      </c>
      <c r="K1021" t="inlineStr">
        <is>
          <t>West</t>
        </is>
      </c>
      <c r="L1021" t="inlineStr">
        <is>
          <t>Washington</t>
        </is>
      </c>
      <c r="M1021" t="inlineStr">
        <is>
          <t>Los Angeles</t>
        </is>
      </c>
      <c r="N1021" t="inlineStr">
        <is>
          <t>Mia Rodriguez</t>
        </is>
      </c>
      <c r="O1021" t="n">
        <v>3</v>
      </c>
      <c r="P1021" s="3" t="n">
        <v>40.38</v>
      </c>
      <c r="Q1021" s="4" t="n">
        <v>0.061</v>
      </c>
      <c r="R1021" s="3" t="n">
        <v>113.75</v>
      </c>
      <c r="S1021" s="3" t="n">
        <v>51.89</v>
      </c>
      <c r="T1021" s="3" t="n">
        <v>52.46</v>
      </c>
      <c r="U1021" s="4" t="n">
        <v>0.4612</v>
      </c>
      <c r="V1021" s="3" t="n">
        <v>9.4</v>
      </c>
      <c r="W1021" t="inlineStr">
        <is>
          <t>Debit Card</t>
        </is>
      </c>
      <c r="X1021" t="inlineStr">
        <is>
          <t>Critical</t>
        </is>
      </c>
    </row>
    <row r="1022">
      <c r="A1022" t="inlineStr">
        <is>
          <t>ORD-01021</t>
        </is>
      </c>
      <c r="B1022" s="2" t="n">
        <v>45866</v>
      </c>
      <c r="C1022" s="2" t="n">
        <v>45868</v>
      </c>
      <c r="D1022" t="inlineStr">
        <is>
          <t>CUST-01021</t>
        </is>
      </c>
      <c r="E1022" t="inlineStr">
        <is>
          <t>Customer 1021</t>
        </is>
      </c>
      <c r="F1022" t="inlineStr">
        <is>
          <t>Consumer</t>
        </is>
      </c>
      <c r="G1022" t="inlineStr">
        <is>
          <t>P1010</t>
        </is>
      </c>
      <c r="H1022" t="inlineStr">
        <is>
          <t>SmartInk Pen Set</t>
        </is>
      </c>
      <c r="I1022" t="inlineStr">
        <is>
          <t>Home Decor</t>
        </is>
      </c>
      <c r="J1022" t="inlineStr">
        <is>
          <t>Bags</t>
        </is>
      </c>
      <c r="K1022" t="inlineStr">
        <is>
          <t>North</t>
        </is>
      </c>
      <c r="L1022" t="inlineStr">
        <is>
          <t>Ontario</t>
        </is>
      </c>
      <c r="M1022" t="inlineStr">
        <is>
          <t>Vancouver</t>
        </is>
      </c>
      <c r="N1022" t="inlineStr">
        <is>
          <t>James Carter</t>
        </is>
      </c>
      <c r="O1022" t="n">
        <v>5</v>
      </c>
      <c r="P1022" s="3" t="n">
        <v>54.8</v>
      </c>
      <c r="Q1022" s="4" t="n">
        <v>0.022</v>
      </c>
      <c r="R1022" s="3" t="n">
        <v>267.97</v>
      </c>
      <c r="S1022" s="3" t="n">
        <v>117.32</v>
      </c>
      <c r="T1022" s="3" t="n">
        <v>140.65</v>
      </c>
      <c r="U1022" s="4" t="n">
        <v>0.5249</v>
      </c>
      <c r="V1022" s="3" t="n">
        <v>10</v>
      </c>
      <c r="W1022" t="inlineStr">
        <is>
          <t>PayPal</t>
        </is>
      </c>
      <c r="X1022" t="inlineStr">
        <is>
          <t>Critical</t>
        </is>
      </c>
    </row>
    <row r="1023">
      <c r="A1023" t="inlineStr">
        <is>
          <t>ORD-01022</t>
        </is>
      </c>
      <c r="B1023" s="2" t="n">
        <v>45104</v>
      </c>
      <c r="C1023" s="2" t="n">
        <v>45111</v>
      </c>
      <c r="D1023" t="inlineStr">
        <is>
          <t>CUST-01022</t>
        </is>
      </c>
      <c r="E1023" t="inlineStr">
        <is>
          <t>Customer 1022</t>
        </is>
      </c>
      <c r="F1023" t="inlineStr">
        <is>
          <t>Consumer</t>
        </is>
      </c>
      <c r="G1023" t="inlineStr">
        <is>
          <t>P1014</t>
        </is>
      </c>
      <c r="H1023" t="inlineStr">
        <is>
          <t>FlexNote Notebook</t>
        </is>
      </c>
      <c r="I1023" t="inlineStr">
        <is>
          <t>Outdoor</t>
        </is>
      </c>
      <c r="J1023" t="inlineStr">
        <is>
          <t>Peripherals</t>
        </is>
      </c>
      <c r="K1023" t="inlineStr">
        <is>
          <t>East</t>
        </is>
      </c>
      <c r="L1023" t="inlineStr">
        <is>
          <t>Virginia</t>
        </is>
      </c>
      <c r="M1023" t="inlineStr">
        <is>
          <t>Philadelphia</t>
        </is>
      </c>
      <c r="N1023" t="inlineStr">
        <is>
          <t>Liam Chen</t>
        </is>
      </c>
      <c r="O1023" t="n">
        <v>4</v>
      </c>
      <c r="P1023" s="3" t="n">
        <v>44.77</v>
      </c>
      <c r="Q1023" s="4" t="n">
        <v>0.04</v>
      </c>
      <c r="R1023" s="3" t="n">
        <v>171.92</v>
      </c>
      <c r="S1023" s="3" t="n">
        <v>73.34999999999999</v>
      </c>
      <c r="T1023" s="3" t="n">
        <v>88.37</v>
      </c>
      <c r="U1023" s="4" t="n">
        <v>0.514</v>
      </c>
      <c r="V1023" s="3" t="n">
        <v>10.2</v>
      </c>
      <c r="W1023" t="inlineStr">
        <is>
          <t>Credit Card</t>
        </is>
      </c>
      <c r="X1023" t="inlineStr">
        <is>
          <t>High</t>
        </is>
      </c>
    </row>
    <row r="1024">
      <c r="A1024" t="inlineStr">
        <is>
          <t>ORD-01023</t>
        </is>
      </c>
      <c r="B1024" s="2" t="n">
        <v>45734</v>
      </c>
      <c r="C1024" s="2" t="n">
        <v>45739</v>
      </c>
      <c r="D1024" t="inlineStr">
        <is>
          <t>CUST-01023</t>
        </is>
      </c>
      <c r="E1024" t="inlineStr">
        <is>
          <t>Customer 1023</t>
        </is>
      </c>
      <c r="F1024" t="inlineStr">
        <is>
          <t>Corporate</t>
        </is>
      </c>
      <c r="G1024" t="inlineStr">
        <is>
          <t>P1017</t>
        </is>
      </c>
      <c r="H1024" t="inlineStr">
        <is>
          <t>Nova Laptop Stand</t>
        </is>
      </c>
      <c r="I1024" t="inlineStr">
        <is>
          <t>Office Supplies</t>
        </is>
      </c>
      <c r="J1024" t="inlineStr">
        <is>
          <t>Bags</t>
        </is>
      </c>
      <c r="K1024" t="inlineStr">
        <is>
          <t>South</t>
        </is>
      </c>
      <c r="L1024" t="inlineStr">
        <is>
          <t>Texas</t>
        </is>
      </c>
      <c r="M1024" t="inlineStr">
        <is>
          <t>Atlanta</t>
        </is>
      </c>
      <c r="N1024" t="inlineStr">
        <is>
          <t>Mia Rodriguez</t>
        </is>
      </c>
      <c r="O1024" t="n">
        <v>4</v>
      </c>
      <c r="P1024" s="3" t="n">
        <v>543.86</v>
      </c>
      <c r="Q1024" s="4" t="n">
        <v>0.08299999999999999</v>
      </c>
      <c r="R1024" s="3" t="n">
        <v>1994.88</v>
      </c>
      <c r="S1024" s="3" t="n">
        <v>1321.79</v>
      </c>
      <c r="T1024" s="3" t="n">
        <v>663.89</v>
      </c>
      <c r="U1024" s="4" t="n">
        <v>0.3328</v>
      </c>
      <c r="V1024" s="3" t="n">
        <v>9.199999999999999</v>
      </c>
      <c r="W1024" t="inlineStr">
        <is>
          <t>Debit Card</t>
        </is>
      </c>
      <c r="X1024" t="inlineStr">
        <is>
          <t>Critical</t>
        </is>
      </c>
    </row>
    <row r="1025">
      <c r="A1025" t="inlineStr">
        <is>
          <t>ORD-01024</t>
        </is>
      </c>
      <c r="B1025" s="2" t="n">
        <v>45818</v>
      </c>
      <c r="C1025" s="2" t="n">
        <v>45825</v>
      </c>
      <c r="D1025" t="inlineStr">
        <is>
          <t>CUST-01024</t>
        </is>
      </c>
      <c r="E1025" t="inlineStr">
        <is>
          <t>Customer 1024</t>
        </is>
      </c>
      <c r="F1025" t="inlineStr">
        <is>
          <t>Home Office</t>
        </is>
      </c>
      <c r="G1025" t="inlineStr">
        <is>
          <t>P1003</t>
        </is>
      </c>
      <c r="H1025" t="inlineStr">
        <is>
          <t>Trail Tote</t>
        </is>
      </c>
      <c r="I1025" t="inlineStr">
        <is>
          <t>Technology</t>
        </is>
      </c>
      <c r="J1025" t="inlineStr">
        <is>
          <t>Chairs</t>
        </is>
      </c>
      <c r="K1025" t="inlineStr">
        <is>
          <t>West</t>
        </is>
      </c>
      <c r="L1025" t="inlineStr">
        <is>
          <t>Washington</t>
        </is>
      </c>
      <c r="M1025" t="inlineStr">
        <is>
          <t>Denver</t>
        </is>
      </c>
      <c r="N1025" t="inlineStr">
        <is>
          <t>Mia Rodriguez</t>
        </is>
      </c>
      <c r="O1025" t="n">
        <v>4</v>
      </c>
      <c r="P1025" s="3" t="n">
        <v>159.74</v>
      </c>
      <c r="Q1025" s="4" t="n">
        <v>0.01</v>
      </c>
      <c r="R1025" s="3" t="n">
        <v>632.5700000000001</v>
      </c>
      <c r="S1025" s="3" t="n">
        <v>330.01</v>
      </c>
      <c r="T1025" s="3" t="n">
        <v>292.36</v>
      </c>
      <c r="U1025" s="4" t="n">
        <v>0.4622</v>
      </c>
      <c r="V1025" s="3" t="n">
        <v>10.2</v>
      </c>
      <c r="W1025" t="inlineStr">
        <is>
          <t>Cash on Delivery</t>
        </is>
      </c>
      <c r="X1025" t="inlineStr">
        <is>
          <t>Low</t>
        </is>
      </c>
    </row>
    <row r="1026">
      <c r="A1026" t="inlineStr">
        <is>
          <t>ORD-01025</t>
        </is>
      </c>
      <c r="B1026" s="2" t="n">
        <v>45878</v>
      </c>
      <c r="C1026" s="2" t="n">
        <v>45881</v>
      </c>
      <c r="D1026" t="inlineStr">
        <is>
          <t>CUST-01025</t>
        </is>
      </c>
      <c r="E1026" t="inlineStr">
        <is>
          <t>Customer 1025</t>
        </is>
      </c>
      <c r="F1026" t="inlineStr">
        <is>
          <t>Consumer</t>
        </is>
      </c>
      <c r="G1026" t="inlineStr">
        <is>
          <t>P1004</t>
        </is>
      </c>
      <c r="H1026" t="inlineStr">
        <is>
          <t>Northstar Lantern</t>
        </is>
      </c>
      <c r="I1026" t="inlineStr">
        <is>
          <t>Home Decor</t>
        </is>
      </c>
      <c r="J1026" t="inlineStr">
        <is>
          <t>Video</t>
        </is>
      </c>
      <c r="K1026" t="inlineStr">
        <is>
          <t>North</t>
        </is>
      </c>
      <c r="L1026" t="inlineStr">
        <is>
          <t>Ontario</t>
        </is>
      </c>
      <c r="M1026" t="inlineStr">
        <is>
          <t>Montreal</t>
        </is>
      </c>
      <c r="N1026" t="inlineStr">
        <is>
          <t>Liam Chen</t>
        </is>
      </c>
      <c r="O1026" t="n">
        <v>4</v>
      </c>
      <c r="P1026" s="3" t="n">
        <v>650.78</v>
      </c>
      <c r="Q1026" s="4" t="n">
        <v>0.036</v>
      </c>
      <c r="R1026" s="3" t="n">
        <v>2509.41</v>
      </c>
      <c r="S1026" s="3" t="n">
        <v>1588.12</v>
      </c>
      <c r="T1026" s="3" t="n">
        <v>912.09</v>
      </c>
      <c r="U1026" s="4" t="n">
        <v>0.3635</v>
      </c>
      <c r="V1026" s="3" t="n">
        <v>9.199999999999999</v>
      </c>
      <c r="W1026" t="inlineStr">
        <is>
          <t>PayPal</t>
        </is>
      </c>
      <c r="X1026" t="inlineStr">
        <is>
          <t>High</t>
        </is>
      </c>
    </row>
    <row r="1027">
      <c r="A1027" t="inlineStr">
        <is>
          <t>ORD-01026</t>
        </is>
      </c>
      <c r="B1027" s="2" t="n">
        <v>45297</v>
      </c>
      <c r="C1027" s="2" t="n">
        <v>45304</v>
      </c>
      <c r="D1027" t="inlineStr">
        <is>
          <t>CUST-01026</t>
        </is>
      </c>
      <c r="E1027" t="inlineStr">
        <is>
          <t>Customer 1026</t>
        </is>
      </c>
      <c r="F1027" t="inlineStr">
        <is>
          <t>Home Office</t>
        </is>
      </c>
      <c r="G1027" t="inlineStr">
        <is>
          <t>P1016</t>
        </is>
      </c>
      <c r="H1027" t="inlineStr">
        <is>
          <t>Harbor Rug</t>
        </is>
      </c>
      <c r="I1027" t="inlineStr">
        <is>
          <t>Furniture</t>
        </is>
      </c>
      <c r="J1027" t="inlineStr">
        <is>
          <t>Flooring</t>
        </is>
      </c>
      <c r="K1027" t="inlineStr">
        <is>
          <t>North</t>
        </is>
      </c>
      <c r="L1027" t="inlineStr">
        <is>
          <t>Ontario</t>
        </is>
      </c>
      <c r="M1027" t="inlineStr">
        <is>
          <t>Montreal</t>
        </is>
      </c>
      <c r="N1027" t="inlineStr">
        <is>
          <t>Mia Rodriguez</t>
        </is>
      </c>
      <c r="O1027" t="n">
        <v>4</v>
      </c>
      <c r="P1027" s="3" t="n">
        <v>37.43</v>
      </c>
      <c r="Q1027" s="4" t="n">
        <v>0.043</v>
      </c>
      <c r="R1027" s="3" t="n">
        <v>143.28</v>
      </c>
      <c r="S1027" s="3" t="n">
        <v>57.69</v>
      </c>
      <c r="T1027" s="3" t="n">
        <v>76.39</v>
      </c>
      <c r="U1027" s="4" t="n">
        <v>0.5332</v>
      </c>
      <c r="V1027" s="3" t="n">
        <v>9.199999999999999</v>
      </c>
      <c r="W1027" t="inlineStr">
        <is>
          <t>Debit Card</t>
        </is>
      </c>
      <c r="X1027" t="inlineStr">
        <is>
          <t>High</t>
        </is>
      </c>
    </row>
    <row r="1028">
      <c r="A1028" t="inlineStr">
        <is>
          <t>ORD-01027</t>
        </is>
      </c>
      <c r="B1028" s="2" t="n">
        <v>45839</v>
      </c>
      <c r="C1028" s="2" t="n">
        <v>45842</v>
      </c>
      <c r="D1028" t="inlineStr">
        <is>
          <t>CUST-01027</t>
        </is>
      </c>
      <c r="E1028" t="inlineStr">
        <is>
          <t>Customer 1027</t>
        </is>
      </c>
      <c r="F1028" t="inlineStr">
        <is>
          <t>Consumer</t>
        </is>
      </c>
      <c r="G1028" t="inlineStr">
        <is>
          <t>P1014</t>
        </is>
      </c>
      <c r="H1028" t="inlineStr">
        <is>
          <t>Northstar Lantern</t>
        </is>
      </c>
      <c r="I1028" t="inlineStr">
        <is>
          <t>Office Supplies</t>
        </is>
      </c>
      <c r="J1028" t="inlineStr">
        <is>
          <t>Desks</t>
        </is>
      </c>
      <c r="K1028" t="inlineStr">
        <is>
          <t>West</t>
        </is>
      </c>
      <c r="L1028" t="inlineStr">
        <is>
          <t>Colorado</t>
        </is>
      </c>
      <c r="M1028" t="inlineStr">
        <is>
          <t>San Francisco</t>
        </is>
      </c>
      <c r="N1028" t="inlineStr">
        <is>
          <t>Sophia Singh</t>
        </is>
      </c>
      <c r="O1028" t="n">
        <v>4</v>
      </c>
      <c r="P1028" s="3" t="n">
        <v>45.04</v>
      </c>
      <c r="Q1028" s="4" t="n">
        <v>0.054</v>
      </c>
      <c r="R1028" s="3" t="n">
        <v>170.43</v>
      </c>
      <c r="S1028" s="3" t="n">
        <v>76.29000000000001</v>
      </c>
      <c r="T1028" s="3" t="n">
        <v>83.94</v>
      </c>
      <c r="U1028" s="4" t="n">
        <v>0.4925</v>
      </c>
      <c r="V1028" s="3" t="n">
        <v>10.2</v>
      </c>
      <c r="W1028" t="inlineStr">
        <is>
          <t>Credit Card</t>
        </is>
      </c>
      <c r="X1028" t="inlineStr">
        <is>
          <t>Critical</t>
        </is>
      </c>
    </row>
    <row r="1029">
      <c r="A1029" t="inlineStr">
        <is>
          <t>ORD-01028</t>
        </is>
      </c>
      <c r="B1029" s="2" t="n">
        <v>45966</v>
      </c>
      <c r="C1029" s="2" t="n">
        <v>45969</v>
      </c>
      <c r="D1029" t="inlineStr">
        <is>
          <t>CUST-01028</t>
        </is>
      </c>
      <c r="E1029" t="inlineStr">
        <is>
          <t>Customer 1028</t>
        </is>
      </c>
      <c r="F1029" t="inlineStr">
        <is>
          <t>Consumer</t>
        </is>
      </c>
      <c r="G1029" t="inlineStr">
        <is>
          <t>P1014</t>
        </is>
      </c>
      <c r="H1029" t="inlineStr">
        <is>
          <t>Atlas Throw Pillow</t>
        </is>
      </c>
      <c r="I1029" t="inlineStr">
        <is>
          <t>Furniture</t>
        </is>
      </c>
      <c r="J1029" t="inlineStr">
        <is>
          <t>Video</t>
        </is>
      </c>
      <c r="K1029" t="inlineStr">
        <is>
          <t>North</t>
        </is>
      </c>
      <c r="L1029" t="inlineStr">
        <is>
          <t>British Columbia</t>
        </is>
      </c>
      <c r="M1029" t="inlineStr">
        <is>
          <t>Vancouver</t>
        </is>
      </c>
      <c r="N1029" t="inlineStr">
        <is>
          <t>Noah Kim</t>
        </is>
      </c>
      <c r="O1029" t="n">
        <v>2</v>
      </c>
      <c r="P1029" s="3" t="n">
        <v>43.68</v>
      </c>
      <c r="Q1029" s="4" t="n">
        <v>0.021</v>
      </c>
      <c r="R1029" s="3" t="n">
        <v>85.53</v>
      </c>
      <c r="S1029" s="3" t="n">
        <v>43.55</v>
      </c>
      <c r="T1029" s="3" t="n">
        <v>34.38</v>
      </c>
      <c r="U1029" s="4" t="n">
        <v>0.402</v>
      </c>
      <c r="V1029" s="3" t="n">
        <v>7.6</v>
      </c>
      <c r="W1029" t="inlineStr">
        <is>
          <t>Debit Card</t>
        </is>
      </c>
      <c r="X1029" t="inlineStr">
        <is>
          <t>Medium</t>
        </is>
      </c>
    </row>
    <row r="1030">
      <c r="A1030" t="inlineStr">
        <is>
          <t>ORD-01029</t>
        </is>
      </c>
      <c r="B1030" s="2" t="n">
        <v>45545</v>
      </c>
      <c r="C1030" s="2" t="n">
        <v>45551</v>
      </c>
      <c r="D1030" t="inlineStr">
        <is>
          <t>CUST-01029</t>
        </is>
      </c>
      <c r="E1030" t="inlineStr">
        <is>
          <t>Customer 1029</t>
        </is>
      </c>
      <c r="F1030" t="inlineStr">
        <is>
          <t>Corporate</t>
        </is>
      </c>
      <c r="G1030" t="inlineStr">
        <is>
          <t>P1016</t>
        </is>
      </c>
      <c r="H1030" t="inlineStr">
        <is>
          <t>Lumen Desk Lamp</t>
        </is>
      </c>
      <c r="I1030" t="inlineStr">
        <is>
          <t>Furniture</t>
        </is>
      </c>
      <c r="J1030" t="inlineStr">
        <is>
          <t>Binders</t>
        </is>
      </c>
      <c r="K1030" t="inlineStr">
        <is>
          <t>South</t>
        </is>
      </c>
      <c r="L1030" t="inlineStr">
        <is>
          <t>Texas</t>
        </is>
      </c>
      <c r="M1030" t="inlineStr">
        <is>
          <t>Houston</t>
        </is>
      </c>
      <c r="N1030" t="inlineStr">
        <is>
          <t>Liam Chen</t>
        </is>
      </c>
      <c r="O1030" t="n">
        <v>3</v>
      </c>
      <c r="P1030" s="3" t="n">
        <v>38.06</v>
      </c>
      <c r="Q1030" s="4" t="n">
        <v>0.03</v>
      </c>
      <c r="R1030" s="3" t="n">
        <v>110.75</v>
      </c>
      <c r="S1030" s="3" t="n">
        <v>46.99</v>
      </c>
      <c r="T1030" s="3" t="n">
        <v>55.36</v>
      </c>
      <c r="U1030" s="4" t="n">
        <v>0.4999</v>
      </c>
      <c r="V1030" s="3" t="n">
        <v>8.4</v>
      </c>
      <c r="W1030" t="inlineStr">
        <is>
          <t>Bank Transfer</t>
        </is>
      </c>
      <c r="X1030" t="inlineStr">
        <is>
          <t>Medium</t>
        </is>
      </c>
    </row>
    <row r="1031">
      <c r="A1031" t="inlineStr">
        <is>
          <t>ORD-01030</t>
        </is>
      </c>
      <c r="B1031" s="2" t="n">
        <v>45925</v>
      </c>
      <c r="C1031" s="2" t="n">
        <v>45926</v>
      </c>
      <c r="D1031" t="inlineStr">
        <is>
          <t>CUST-01030</t>
        </is>
      </c>
      <c r="E1031" t="inlineStr">
        <is>
          <t>Customer 1030</t>
        </is>
      </c>
      <c r="F1031" t="inlineStr">
        <is>
          <t>Consumer</t>
        </is>
      </c>
      <c r="G1031" t="inlineStr">
        <is>
          <t>P1008</t>
        </is>
      </c>
      <c r="H1031" t="inlineStr">
        <is>
          <t>ErgoMesh Chair</t>
        </is>
      </c>
      <c r="I1031" t="inlineStr">
        <is>
          <t>Home Decor</t>
        </is>
      </c>
      <c r="J1031" t="inlineStr">
        <is>
          <t>Flooring</t>
        </is>
      </c>
      <c r="K1031" t="inlineStr">
        <is>
          <t>Central</t>
        </is>
      </c>
      <c r="L1031" t="inlineStr">
        <is>
          <t>Minnesota</t>
        </is>
      </c>
      <c r="M1031" t="inlineStr">
        <is>
          <t>Chicago</t>
        </is>
      </c>
      <c r="N1031" t="inlineStr">
        <is>
          <t>Ethan Brooks</t>
        </is>
      </c>
      <c r="O1031" t="n">
        <v>3</v>
      </c>
      <c r="P1031" s="3" t="n">
        <v>35.74</v>
      </c>
      <c r="Q1031" s="4" t="n">
        <v>0.017</v>
      </c>
      <c r="R1031" s="3" t="n">
        <v>105.4</v>
      </c>
      <c r="S1031" s="3" t="n">
        <v>50.15</v>
      </c>
      <c r="T1031" s="3" t="n">
        <v>46.85</v>
      </c>
      <c r="U1031" s="4" t="n">
        <v>0.4445</v>
      </c>
      <c r="V1031" s="3" t="n">
        <v>8.4</v>
      </c>
      <c r="W1031" t="inlineStr">
        <is>
          <t>Credit Card</t>
        </is>
      </c>
      <c r="X1031" t="inlineStr">
        <is>
          <t>Medium</t>
        </is>
      </c>
    </row>
    <row r="1032">
      <c r="A1032" t="inlineStr">
        <is>
          <t>ORD-01031</t>
        </is>
      </c>
      <c r="B1032" s="2" t="n">
        <v>45273</v>
      </c>
      <c r="C1032" s="2" t="n">
        <v>45274</v>
      </c>
      <c r="D1032" t="inlineStr">
        <is>
          <t>CUST-01031</t>
        </is>
      </c>
      <c r="E1032" t="inlineStr">
        <is>
          <t>Customer 1031</t>
        </is>
      </c>
      <c r="F1032" t="inlineStr">
        <is>
          <t>Consumer</t>
        </is>
      </c>
      <c r="G1032" t="inlineStr">
        <is>
          <t>P1018</t>
        </is>
      </c>
      <c r="H1032" t="inlineStr">
        <is>
          <t>Nimbus Monitor Arm</t>
        </is>
      </c>
      <c r="I1032" t="inlineStr">
        <is>
          <t>Outdoor</t>
        </is>
      </c>
      <c r="J1032" t="inlineStr">
        <is>
          <t>Decor</t>
        </is>
      </c>
      <c r="K1032" t="inlineStr">
        <is>
          <t>West</t>
        </is>
      </c>
      <c r="L1032" t="inlineStr">
        <is>
          <t>California</t>
        </is>
      </c>
      <c r="M1032" t="inlineStr">
        <is>
          <t>Denver</t>
        </is>
      </c>
      <c r="N1032" t="inlineStr">
        <is>
          <t>James Carter</t>
        </is>
      </c>
      <c r="O1032" t="n">
        <v>2</v>
      </c>
      <c r="P1032" s="3" t="n">
        <v>100.88</v>
      </c>
      <c r="Q1032" s="4" t="n">
        <v>0.006</v>
      </c>
      <c r="R1032" s="3" t="n">
        <v>200.55</v>
      </c>
      <c r="S1032" s="3" t="n">
        <v>93.84999999999999</v>
      </c>
      <c r="T1032" s="3" t="n">
        <v>98.09999999999999</v>
      </c>
      <c r="U1032" s="4" t="n">
        <v>0.4892</v>
      </c>
      <c r="V1032" s="3" t="n">
        <v>8.6</v>
      </c>
      <c r="W1032" t="inlineStr">
        <is>
          <t>PayPal</t>
        </is>
      </c>
      <c r="X1032" t="inlineStr">
        <is>
          <t>Medium</t>
        </is>
      </c>
    </row>
    <row r="1033">
      <c r="A1033" t="inlineStr">
        <is>
          <t>ORD-01032</t>
        </is>
      </c>
      <c r="B1033" s="2" t="n">
        <v>45313</v>
      </c>
      <c r="C1033" s="2" t="n">
        <v>45316</v>
      </c>
      <c r="D1033" t="inlineStr">
        <is>
          <t>CUST-01032</t>
        </is>
      </c>
      <c r="E1033" t="inlineStr">
        <is>
          <t>Customer 1032</t>
        </is>
      </c>
      <c r="F1033" t="inlineStr">
        <is>
          <t>Home Office</t>
        </is>
      </c>
      <c r="G1033" t="inlineStr">
        <is>
          <t>P1007</t>
        </is>
      </c>
      <c r="H1033" t="inlineStr">
        <is>
          <t>Echo Web Camera</t>
        </is>
      </c>
      <c r="I1033" t="inlineStr">
        <is>
          <t>Office Supplies</t>
        </is>
      </c>
      <c r="J1033" t="inlineStr">
        <is>
          <t>Video</t>
        </is>
      </c>
      <c r="K1033" t="inlineStr">
        <is>
          <t>East</t>
        </is>
      </c>
      <c r="L1033" t="inlineStr">
        <is>
          <t>New Jersey</t>
        </is>
      </c>
      <c r="M1033" t="inlineStr">
        <is>
          <t>New York</t>
        </is>
      </c>
      <c r="N1033" t="inlineStr">
        <is>
          <t>Olivia Martin</t>
        </is>
      </c>
      <c r="O1033" t="n">
        <v>3</v>
      </c>
      <c r="P1033" s="3" t="n">
        <v>23.27</v>
      </c>
      <c r="Q1033" s="4" t="n">
        <v>0.012</v>
      </c>
      <c r="R1033" s="3" t="n">
        <v>68.97</v>
      </c>
      <c r="S1033" s="3" t="n">
        <v>29.65</v>
      </c>
      <c r="T1033" s="3" t="n">
        <v>29.92</v>
      </c>
      <c r="U1033" s="4" t="n">
        <v>0.4338</v>
      </c>
      <c r="V1033" s="3" t="n">
        <v>9.4</v>
      </c>
      <c r="W1033" t="inlineStr">
        <is>
          <t>PayPal</t>
        </is>
      </c>
      <c r="X1033" t="inlineStr">
        <is>
          <t>Medium</t>
        </is>
      </c>
    </row>
    <row r="1034">
      <c r="A1034" t="inlineStr">
        <is>
          <t>ORD-01033</t>
        </is>
      </c>
      <c r="B1034" s="2" t="n">
        <v>45161</v>
      </c>
      <c r="C1034" s="2" t="n">
        <v>45166</v>
      </c>
      <c r="D1034" t="inlineStr">
        <is>
          <t>CUST-01033</t>
        </is>
      </c>
      <c r="E1034" t="inlineStr">
        <is>
          <t>Customer 1033</t>
        </is>
      </c>
      <c r="F1034" t="inlineStr">
        <is>
          <t>Consumer</t>
        </is>
      </c>
      <c r="G1034" t="inlineStr">
        <is>
          <t>P1003</t>
        </is>
      </c>
      <c r="H1034" t="inlineStr">
        <is>
          <t>ProClip Binder</t>
        </is>
      </c>
      <c r="I1034" t="inlineStr">
        <is>
          <t>Furniture</t>
        </is>
      </c>
      <c r="J1034" t="inlineStr">
        <is>
          <t>Bags</t>
        </is>
      </c>
      <c r="K1034" t="inlineStr">
        <is>
          <t>Central</t>
        </is>
      </c>
      <c r="L1034" t="inlineStr">
        <is>
          <t>Minnesota</t>
        </is>
      </c>
      <c r="M1034" t="inlineStr">
        <is>
          <t>St. Louis</t>
        </is>
      </c>
      <c r="N1034" t="inlineStr">
        <is>
          <t>Noah Kim</t>
        </is>
      </c>
      <c r="O1034" t="n">
        <v>1</v>
      </c>
      <c r="P1034" s="3" t="n">
        <v>152.83</v>
      </c>
      <c r="Q1034" s="4" t="n">
        <v>0.053</v>
      </c>
      <c r="R1034" s="3" t="n">
        <v>144.73</v>
      </c>
      <c r="S1034" s="3" t="n">
        <v>85.53</v>
      </c>
      <c r="T1034" s="3" t="n">
        <v>52.4</v>
      </c>
      <c r="U1034" s="4" t="n">
        <v>0.3621</v>
      </c>
      <c r="V1034" s="3" t="n">
        <v>6.8</v>
      </c>
      <c r="W1034" t="inlineStr">
        <is>
          <t>Debit Card</t>
        </is>
      </c>
      <c r="X1034" t="inlineStr">
        <is>
          <t>High</t>
        </is>
      </c>
    </row>
    <row r="1035">
      <c r="A1035" t="inlineStr">
        <is>
          <t>ORD-01034</t>
        </is>
      </c>
      <c r="B1035" s="2" t="n">
        <v>45234</v>
      </c>
      <c r="C1035" s="2" t="n">
        <v>45236</v>
      </c>
      <c r="D1035" t="inlineStr">
        <is>
          <t>CUST-01034</t>
        </is>
      </c>
      <c r="E1035" t="inlineStr">
        <is>
          <t>Customer 1034</t>
        </is>
      </c>
      <c r="F1035" t="inlineStr">
        <is>
          <t>Corporate</t>
        </is>
      </c>
      <c r="G1035" t="inlineStr">
        <is>
          <t>P1006</t>
        </is>
      </c>
      <c r="H1035" t="inlineStr">
        <is>
          <t>Lumen Desk Lamp</t>
        </is>
      </c>
      <c r="I1035" t="inlineStr">
        <is>
          <t>Technology</t>
        </is>
      </c>
      <c r="J1035" t="inlineStr">
        <is>
          <t>Lighting</t>
        </is>
      </c>
      <c r="K1035" t="inlineStr">
        <is>
          <t>West</t>
        </is>
      </c>
      <c r="L1035" t="inlineStr">
        <is>
          <t>Oregon</t>
        </is>
      </c>
      <c r="M1035" t="inlineStr">
        <is>
          <t>Denver</t>
        </is>
      </c>
      <c r="N1035" t="inlineStr">
        <is>
          <t>Sophia Singh</t>
        </is>
      </c>
      <c r="O1035" t="n">
        <v>3</v>
      </c>
      <c r="P1035" s="3" t="n">
        <v>21.25</v>
      </c>
      <c r="Q1035" s="4" t="n">
        <v>0.044</v>
      </c>
      <c r="R1035" s="3" t="n">
        <v>60.95</v>
      </c>
      <c r="S1035" s="3" t="n">
        <v>23.58</v>
      </c>
      <c r="T1035" s="3" t="n">
        <v>27.97</v>
      </c>
      <c r="U1035" s="4" t="n">
        <v>0.4589</v>
      </c>
      <c r="V1035" s="3" t="n">
        <v>9.4</v>
      </c>
      <c r="W1035" t="inlineStr">
        <is>
          <t>Credit Card</t>
        </is>
      </c>
      <c r="X1035" t="inlineStr">
        <is>
          <t>High</t>
        </is>
      </c>
    </row>
    <row r="1036">
      <c r="A1036" t="inlineStr">
        <is>
          <t>ORD-01035</t>
        </is>
      </c>
      <c r="B1036" s="2" t="n">
        <v>45139</v>
      </c>
      <c r="C1036" s="2" t="n">
        <v>45146</v>
      </c>
      <c r="D1036" t="inlineStr">
        <is>
          <t>CUST-01035</t>
        </is>
      </c>
      <c r="E1036" t="inlineStr">
        <is>
          <t>Customer 1035</t>
        </is>
      </c>
      <c r="F1036" t="inlineStr">
        <is>
          <t>Consumer</t>
        </is>
      </c>
      <c r="G1036" t="inlineStr">
        <is>
          <t>P1020</t>
        </is>
      </c>
      <c r="H1036" t="inlineStr">
        <is>
          <t>Atlas Throw Pillow</t>
        </is>
      </c>
      <c r="I1036" t="inlineStr">
        <is>
          <t>Furniture</t>
        </is>
      </c>
      <c r="J1036" t="inlineStr">
        <is>
          <t>Video</t>
        </is>
      </c>
      <c r="K1036" t="inlineStr">
        <is>
          <t>North</t>
        </is>
      </c>
      <c r="L1036" t="inlineStr">
        <is>
          <t>Ontario</t>
        </is>
      </c>
      <c r="M1036" t="inlineStr">
        <is>
          <t>Vancouver</t>
        </is>
      </c>
      <c r="N1036" t="inlineStr">
        <is>
          <t>Ethan Brooks</t>
        </is>
      </c>
      <c r="O1036" t="n">
        <v>1</v>
      </c>
      <c r="P1036" s="3" t="n">
        <v>77.5</v>
      </c>
      <c r="Q1036" s="4" t="n">
        <v>0.022</v>
      </c>
      <c r="R1036" s="3" t="n">
        <v>75.8</v>
      </c>
      <c r="S1036" s="3" t="n">
        <v>38.87</v>
      </c>
      <c r="T1036" s="3" t="n">
        <v>30.13</v>
      </c>
      <c r="U1036" s="4" t="n">
        <v>0.3975</v>
      </c>
      <c r="V1036" s="3" t="n">
        <v>6.8</v>
      </c>
      <c r="W1036" t="inlineStr">
        <is>
          <t>Credit Card</t>
        </is>
      </c>
      <c r="X1036" t="inlineStr">
        <is>
          <t>Medium</t>
        </is>
      </c>
    </row>
    <row r="1037">
      <c r="A1037" t="inlineStr">
        <is>
          <t>ORD-01036</t>
        </is>
      </c>
      <c r="B1037" s="2" t="n">
        <v>45798</v>
      </c>
      <c r="C1037" s="2" t="n">
        <v>45802</v>
      </c>
      <c r="D1037" t="inlineStr">
        <is>
          <t>CUST-01036</t>
        </is>
      </c>
      <c r="E1037" t="inlineStr">
        <is>
          <t>Customer 1036</t>
        </is>
      </c>
      <c r="F1037" t="inlineStr">
        <is>
          <t>Consumer</t>
        </is>
      </c>
      <c r="G1037" t="inlineStr">
        <is>
          <t>P1016</t>
        </is>
      </c>
      <c r="H1037" t="inlineStr">
        <is>
          <t>FlexNote Notebook</t>
        </is>
      </c>
      <c r="I1037" t="inlineStr">
        <is>
          <t>Outdoor</t>
        </is>
      </c>
      <c r="J1037" t="inlineStr">
        <is>
          <t>Binders</t>
        </is>
      </c>
      <c r="K1037" t="inlineStr">
        <is>
          <t>West</t>
        </is>
      </c>
      <c r="L1037" t="inlineStr">
        <is>
          <t>Colorado</t>
        </is>
      </c>
      <c r="M1037" t="inlineStr">
        <is>
          <t>Los Angeles</t>
        </is>
      </c>
      <c r="N1037" t="inlineStr">
        <is>
          <t>Mia Rodriguez</t>
        </is>
      </c>
      <c r="O1037" t="n">
        <v>3</v>
      </c>
      <c r="P1037" s="3" t="n">
        <v>38.19</v>
      </c>
      <c r="Q1037" s="4" t="n">
        <v>0.02</v>
      </c>
      <c r="R1037" s="3" t="n">
        <v>112.28</v>
      </c>
      <c r="S1037" s="3" t="n">
        <v>49.58</v>
      </c>
      <c r="T1037" s="3" t="n">
        <v>53.3</v>
      </c>
      <c r="U1037" s="4" t="n">
        <v>0.4747</v>
      </c>
      <c r="V1037" s="3" t="n">
        <v>9.4</v>
      </c>
      <c r="W1037" t="inlineStr">
        <is>
          <t>Credit Card</t>
        </is>
      </c>
      <c r="X1037" t="inlineStr">
        <is>
          <t>Medium</t>
        </is>
      </c>
    </row>
    <row r="1038">
      <c r="A1038" t="inlineStr">
        <is>
          <t>ORD-01037</t>
        </is>
      </c>
      <c r="B1038" s="2" t="n">
        <v>45353</v>
      </c>
      <c r="C1038" s="2" t="n">
        <v>45355</v>
      </c>
      <c r="D1038" t="inlineStr">
        <is>
          <t>CUST-01037</t>
        </is>
      </c>
      <c r="E1038" t="inlineStr">
        <is>
          <t>Customer 1037</t>
        </is>
      </c>
      <c r="F1038" t="inlineStr">
        <is>
          <t>Corporate</t>
        </is>
      </c>
      <c r="G1038" t="inlineStr">
        <is>
          <t>P1004</t>
        </is>
      </c>
      <c r="H1038" t="inlineStr">
        <is>
          <t>Echo Web Camera</t>
        </is>
      </c>
      <c r="I1038" t="inlineStr">
        <is>
          <t>Home Decor</t>
        </is>
      </c>
      <c r="J1038" t="inlineStr">
        <is>
          <t>Desks</t>
        </is>
      </c>
      <c r="K1038" t="inlineStr">
        <is>
          <t>East</t>
        </is>
      </c>
      <c r="L1038" t="inlineStr">
        <is>
          <t>Massachusetts</t>
        </is>
      </c>
      <c r="M1038" t="inlineStr">
        <is>
          <t>Boston</t>
        </is>
      </c>
      <c r="N1038" t="inlineStr">
        <is>
          <t>Mia Rodriguez</t>
        </is>
      </c>
      <c r="O1038" t="n">
        <v>3</v>
      </c>
      <c r="P1038" s="3" t="n">
        <v>596.9</v>
      </c>
      <c r="Q1038" s="4" t="n">
        <v>0.033</v>
      </c>
      <c r="R1038" s="3" t="n">
        <v>1731.61</v>
      </c>
      <c r="S1038" s="3" t="n">
        <v>1101.16</v>
      </c>
      <c r="T1038" s="3" t="n">
        <v>621.05</v>
      </c>
      <c r="U1038" s="4" t="n">
        <v>0.3587</v>
      </c>
      <c r="V1038" s="3" t="n">
        <v>9.4</v>
      </c>
      <c r="W1038" t="inlineStr">
        <is>
          <t>Credit Card</t>
        </is>
      </c>
      <c r="X1038" t="inlineStr">
        <is>
          <t>High</t>
        </is>
      </c>
    </row>
    <row r="1039">
      <c r="A1039" t="inlineStr">
        <is>
          <t>ORD-01038</t>
        </is>
      </c>
      <c r="B1039" s="2" t="n">
        <v>46015</v>
      </c>
      <c r="C1039" s="2" t="n">
        <v>46017</v>
      </c>
      <c r="D1039" t="inlineStr">
        <is>
          <t>CUST-01038</t>
        </is>
      </c>
      <c r="E1039" t="inlineStr">
        <is>
          <t>Customer 1038</t>
        </is>
      </c>
      <c r="F1039" t="inlineStr">
        <is>
          <t>Home Office</t>
        </is>
      </c>
      <c r="G1039" t="inlineStr">
        <is>
          <t>P1019</t>
        </is>
      </c>
      <c r="H1039" t="inlineStr">
        <is>
          <t>Aero Standing Desk</t>
        </is>
      </c>
      <c r="I1039" t="inlineStr">
        <is>
          <t>Office Supplies</t>
        </is>
      </c>
      <c r="J1039" t="inlineStr">
        <is>
          <t>Chairs</t>
        </is>
      </c>
      <c r="K1039" t="inlineStr">
        <is>
          <t>South</t>
        </is>
      </c>
      <c r="L1039" t="inlineStr">
        <is>
          <t>Florida</t>
        </is>
      </c>
      <c r="M1039" t="inlineStr">
        <is>
          <t>Miami</t>
        </is>
      </c>
      <c r="N1039" t="inlineStr">
        <is>
          <t>James Carter</t>
        </is>
      </c>
      <c r="O1039" t="n">
        <v>1</v>
      </c>
      <c r="P1039" s="3" t="n">
        <v>57.53</v>
      </c>
      <c r="Q1039" s="4" t="n">
        <v>0.021</v>
      </c>
      <c r="R1039" s="3" t="n">
        <v>56.32</v>
      </c>
      <c r="S1039" s="3" t="n">
        <v>32.49</v>
      </c>
      <c r="T1039" s="3" t="n">
        <v>17.03</v>
      </c>
      <c r="U1039" s="4" t="n">
        <v>0.3024</v>
      </c>
      <c r="V1039" s="3" t="n">
        <v>6.8</v>
      </c>
      <c r="W1039" t="inlineStr">
        <is>
          <t>Credit Card</t>
        </is>
      </c>
      <c r="X1039" t="inlineStr">
        <is>
          <t>Critical</t>
        </is>
      </c>
    </row>
    <row r="1040">
      <c r="A1040" t="inlineStr">
        <is>
          <t>ORD-01039</t>
        </is>
      </c>
      <c r="B1040" s="2" t="n">
        <v>45111</v>
      </c>
      <c r="C1040" s="2" t="n">
        <v>45115</v>
      </c>
      <c r="D1040" t="inlineStr">
        <is>
          <t>CUST-01039</t>
        </is>
      </c>
      <c r="E1040" t="inlineStr">
        <is>
          <t>Customer 1039</t>
        </is>
      </c>
      <c r="F1040" t="inlineStr">
        <is>
          <t>Consumer</t>
        </is>
      </c>
      <c r="G1040" t="inlineStr">
        <is>
          <t>P1002</t>
        </is>
      </c>
      <c r="H1040" t="inlineStr">
        <is>
          <t>Cove Wall Clock</t>
        </is>
      </c>
      <c r="I1040" t="inlineStr">
        <is>
          <t>Office Supplies</t>
        </is>
      </c>
      <c r="J1040" t="inlineStr">
        <is>
          <t>Storage</t>
        </is>
      </c>
      <c r="K1040" t="inlineStr">
        <is>
          <t>West</t>
        </is>
      </c>
      <c r="L1040" t="inlineStr">
        <is>
          <t>California</t>
        </is>
      </c>
      <c r="M1040" t="inlineStr">
        <is>
          <t>Seattle</t>
        </is>
      </c>
      <c r="N1040" t="inlineStr">
        <is>
          <t>Ethan Brooks</t>
        </is>
      </c>
      <c r="O1040" t="n">
        <v>3</v>
      </c>
      <c r="P1040" s="3" t="n">
        <v>87.45</v>
      </c>
      <c r="Q1040" s="4" t="n">
        <v>0.014</v>
      </c>
      <c r="R1040" s="3" t="n">
        <v>258.68</v>
      </c>
      <c r="S1040" s="3" t="n">
        <v>122.89</v>
      </c>
      <c r="T1040" s="3" t="n">
        <v>126.39</v>
      </c>
      <c r="U1040" s="4" t="n">
        <v>0.4886</v>
      </c>
      <c r="V1040" s="3" t="n">
        <v>9.4</v>
      </c>
      <c r="W1040" t="inlineStr">
        <is>
          <t>Bank Transfer</t>
        </is>
      </c>
      <c r="X1040" t="inlineStr">
        <is>
          <t>Low</t>
        </is>
      </c>
    </row>
    <row r="1041">
      <c r="A1041" t="inlineStr">
        <is>
          <t>ORD-01040</t>
        </is>
      </c>
      <c r="B1041" s="2" t="n">
        <v>45613</v>
      </c>
      <c r="C1041" s="2" t="n">
        <v>45616</v>
      </c>
      <c r="D1041" t="inlineStr">
        <is>
          <t>CUST-01040</t>
        </is>
      </c>
      <c r="E1041" t="inlineStr">
        <is>
          <t>Customer 1040</t>
        </is>
      </c>
      <c r="F1041" t="inlineStr">
        <is>
          <t>Corporate</t>
        </is>
      </c>
      <c r="G1041" t="inlineStr">
        <is>
          <t>P1004</t>
        </is>
      </c>
      <c r="H1041" t="inlineStr">
        <is>
          <t>Summit Patio Set</t>
        </is>
      </c>
      <c r="I1041" t="inlineStr">
        <is>
          <t>Technology</t>
        </is>
      </c>
      <c r="J1041" t="inlineStr">
        <is>
          <t>Storage</t>
        </is>
      </c>
      <c r="K1041" t="inlineStr">
        <is>
          <t>North</t>
        </is>
      </c>
      <c r="L1041" t="inlineStr">
        <is>
          <t>British Columbia</t>
        </is>
      </c>
      <c r="M1041" t="inlineStr">
        <is>
          <t>Vancouver</t>
        </is>
      </c>
      <c r="N1041" t="inlineStr">
        <is>
          <t>James Carter</t>
        </is>
      </c>
      <c r="O1041" t="n">
        <v>3</v>
      </c>
      <c r="P1041" s="3" t="n">
        <v>663.04</v>
      </c>
      <c r="Q1041" s="4" t="n">
        <v>0.024</v>
      </c>
      <c r="R1041" s="3" t="n">
        <v>1941.38</v>
      </c>
      <c r="S1041" s="3" t="n">
        <v>1234.33</v>
      </c>
      <c r="T1041" s="3" t="n">
        <v>698.65</v>
      </c>
      <c r="U1041" s="4" t="n">
        <v>0.3599</v>
      </c>
      <c r="V1041" s="3" t="n">
        <v>8.4</v>
      </c>
      <c r="W1041" t="inlineStr">
        <is>
          <t>Credit Card</t>
        </is>
      </c>
      <c r="X1041" t="inlineStr">
        <is>
          <t>Medium</t>
        </is>
      </c>
    </row>
    <row r="1042">
      <c r="A1042" t="inlineStr">
        <is>
          <t>ORD-01041</t>
        </is>
      </c>
      <c r="B1042" s="2" t="n">
        <v>45514</v>
      </c>
      <c r="C1042" s="2" t="n">
        <v>45516</v>
      </c>
      <c r="D1042" t="inlineStr">
        <is>
          <t>CUST-01041</t>
        </is>
      </c>
      <c r="E1042" t="inlineStr">
        <is>
          <t>Customer 1041</t>
        </is>
      </c>
      <c r="F1042" t="inlineStr">
        <is>
          <t>Home Office</t>
        </is>
      </c>
      <c r="G1042" t="inlineStr">
        <is>
          <t>P1002</t>
        </is>
      </c>
      <c r="H1042" t="inlineStr">
        <is>
          <t>Echo Web Camera</t>
        </is>
      </c>
      <c r="I1042" t="inlineStr">
        <is>
          <t>Furniture</t>
        </is>
      </c>
      <c r="J1042" t="inlineStr">
        <is>
          <t>Video</t>
        </is>
      </c>
      <c r="K1042" t="inlineStr">
        <is>
          <t>West</t>
        </is>
      </c>
      <c r="L1042" t="inlineStr">
        <is>
          <t>California</t>
        </is>
      </c>
      <c r="M1042" t="inlineStr">
        <is>
          <t>San Francisco</t>
        </is>
      </c>
      <c r="N1042" t="inlineStr">
        <is>
          <t>Ethan Brooks</t>
        </is>
      </c>
      <c r="O1042" t="n">
        <v>3</v>
      </c>
      <c r="P1042" s="3" t="n">
        <v>82.37</v>
      </c>
      <c r="Q1042" s="4" t="n">
        <v>0.039</v>
      </c>
      <c r="R1042" s="3" t="n">
        <v>237.47</v>
      </c>
      <c r="S1042" s="3" t="n">
        <v>110.46</v>
      </c>
      <c r="T1042" s="3" t="n">
        <v>117.61</v>
      </c>
      <c r="U1042" s="4" t="n">
        <v>0.4953</v>
      </c>
      <c r="V1042" s="3" t="n">
        <v>9.4</v>
      </c>
      <c r="W1042" t="inlineStr">
        <is>
          <t>Bank Transfer</t>
        </is>
      </c>
      <c r="X1042" t="inlineStr">
        <is>
          <t>High</t>
        </is>
      </c>
    </row>
    <row r="1043">
      <c r="A1043" t="inlineStr">
        <is>
          <t>ORD-01042</t>
        </is>
      </c>
      <c r="B1043" s="2" t="n">
        <v>45923</v>
      </c>
      <c r="C1043" s="2" t="n">
        <v>45927</v>
      </c>
      <c r="D1043" t="inlineStr">
        <is>
          <t>CUST-01042</t>
        </is>
      </c>
      <c r="E1043" t="inlineStr">
        <is>
          <t>Customer 1042</t>
        </is>
      </c>
      <c r="F1043" t="inlineStr">
        <is>
          <t>Corporate</t>
        </is>
      </c>
      <c r="G1043" t="inlineStr">
        <is>
          <t>P1007</t>
        </is>
      </c>
      <c r="H1043" t="inlineStr">
        <is>
          <t>Harbor Rug</t>
        </is>
      </c>
      <c r="I1043" t="inlineStr">
        <is>
          <t>Furniture</t>
        </is>
      </c>
      <c r="J1043" t="inlineStr">
        <is>
          <t>Desks</t>
        </is>
      </c>
      <c r="K1043" t="inlineStr">
        <is>
          <t>West</t>
        </is>
      </c>
      <c r="L1043" t="inlineStr">
        <is>
          <t>Washington</t>
        </is>
      </c>
      <c r="M1043" t="inlineStr">
        <is>
          <t>San Francisco</t>
        </is>
      </c>
      <c r="N1043" t="inlineStr">
        <is>
          <t>James Carter</t>
        </is>
      </c>
      <c r="O1043" t="n">
        <v>3</v>
      </c>
      <c r="P1043" s="3" t="n">
        <v>24.66</v>
      </c>
      <c r="Q1043" s="4" t="n">
        <v>0.049</v>
      </c>
      <c r="R1043" s="3" t="n">
        <v>70.34999999999999</v>
      </c>
      <c r="S1043" s="3" t="n">
        <v>33.19</v>
      </c>
      <c r="T1043" s="3" t="n">
        <v>27.76</v>
      </c>
      <c r="U1043" s="4" t="n">
        <v>0.3946</v>
      </c>
      <c r="V1043" s="3" t="n">
        <v>9.4</v>
      </c>
      <c r="W1043" t="inlineStr">
        <is>
          <t>Debit Card</t>
        </is>
      </c>
      <c r="X1043" t="inlineStr">
        <is>
          <t>Critical</t>
        </is>
      </c>
    </row>
    <row r="1044">
      <c r="A1044" t="inlineStr">
        <is>
          <t>ORD-01043</t>
        </is>
      </c>
      <c r="B1044" s="2" t="n">
        <v>45608</v>
      </c>
      <c r="C1044" s="2" t="n">
        <v>45615</v>
      </c>
      <c r="D1044" t="inlineStr">
        <is>
          <t>CUST-01043</t>
        </is>
      </c>
      <c r="E1044" t="inlineStr">
        <is>
          <t>Customer 1043</t>
        </is>
      </c>
      <c r="F1044" t="inlineStr">
        <is>
          <t>Consumer</t>
        </is>
      </c>
      <c r="G1044" t="inlineStr">
        <is>
          <t>P1015</t>
        </is>
      </c>
      <c r="H1044" t="inlineStr">
        <is>
          <t>Summit Patio Set</t>
        </is>
      </c>
      <c r="I1044" t="inlineStr">
        <is>
          <t>Furniture</t>
        </is>
      </c>
      <c r="J1044" t="inlineStr">
        <is>
          <t>Textiles</t>
        </is>
      </c>
      <c r="K1044" t="inlineStr">
        <is>
          <t>South</t>
        </is>
      </c>
      <c r="L1044" t="inlineStr">
        <is>
          <t>Florida</t>
        </is>
      </c>
      <c r="M1044" t="inlineStr">
        <is>
          <t>Miami</t>
        </is>
      </c>
      <c r="N1044" t="inlineStr">
        <is>
          <t>Mia Rodriguez</t>
        </is>
      </c>
      <c r="O1044" t="n">
        <v>2</v>
      </c>
      <c r="P1044" s="3" t="n">
        <v>68.02</v>
      </c>
      <c r="Q1044" s="4" t="n">
        <v>0.007</v>
      </c>
      <c r="R1044" s="3" t="n">
        <v>135.09</v>
      </c>
      <c r="S1044" s="3" t="n">
        <v>64.16</v>
      </c>
      <c r="T1044" s="3" t="n">
        <v>63.33</v>
      </c>
      <c r="U1044" s="4" t="n">
        <v>0.4688</v>
      </c>
      <c r="V1044" s="3" t="n">
        <v>7.6</v>
      </c>
      <c r="W1044" t="inlineStr">
        <is>
          <t>Debit Card</t>
        </is>
      </c>
      <c r="X1044" t="inlineStr">
        <is>
          <t>Medium</t>
        </is>
      </c>
    </row>
    <row r="1045">
      <c r="A1045" t="inlineStr">
        <is>
          <t>ORD-01044</t>
        </is>
      </c>
      <c r="B1045" s="2" t="n">
        <v>45562</v>
      </c>
      <c r="C1045" s="2" t="n">
        <v>45568</v>
      </c>
      <c r="D1045" t="inlineStr">
        <is>
          <t>CUST-01044</t>
        </is>
      </c>
      <c r="E1045" t="inlineStr">
        <is>
          <t>Customer 1044</t>
        </is>
      </c>
      <c r="F1045" t="inlineStr">
        <is>
          <t>Corporate</t>
        </is>
      </c>
      <c r="G1045" t="inlineStr">
        <is>
          <t>P1017</t>
        </is>
      </c>
      <c r="H1045" t="inlineStr">
        <is>
          <t>Trail Tote</t>
        </is>
      </c>
      <c r="I1045" t="inlineStr">
        <is>
          <t>Outdoor</t>
        </is>
      </c>
      <c r="J1045" t="inlineStr">
        <is>
          <t>Decor</t>
        </is>
      </c>
      <c r="K1045" t="inlineStr">
        <is>
          <t>Central</t>
        </is>
      </c>
      <c r="L1045" t="inlineStr">
        <is>
          <t>Illinois</t>
        </is>
      </c>
      <c r="M1045" t="inlineStr">
        <is>
          <t>Chicago</t>
        </is>
      </c>
      <c r="N1045" t="inlineStr">
        <is>
          <t>Noah Kim</t>
        </is>
      </c>
      <c r="O1045" t="n">
        <v>1</v>
      </c>
      <c r="P1045" s="3" t="n">
        <v>526.92</v>
      </c>
      <c r="Q1045" s="4" t="n">
        <v>0.033</v>
      </c>
      <c r="R1045" s="3" t="n">
        <v>509.53</v>
      </c>
      <c r="S1045" s="3" t="n">
        <v>347.54</v>
      </c>
      <c r="T1045" s="3" t="n">
        <v>155.19</v>
      </c>
      <c r="U1045" s="4" t="n">
        <v>0.3046</v>
      </c>
      <c r="V1045" s="3" t="n">
        <v>6.8</v>
      </c>
      <c r="W1045" t="inlineStr">
        <is>
          <t>Credit Card</t>
        </is>
      </c>
      <c r="X1045" t="inlineStr">
        <is>
          <t>High</t>
        </is>
      </c>
    </row>
    <row r="1046">
      <c r="A1046" t="inlineStr">
        <is>
          <t>ORD-01045</t>
        </is>
      </c>
      <c r="B1046" s="2" t="n">
        <v>45810</v>
      </c>
      <c r="C1046" s="2" t="n">
        <v>45815</v>
      </c>
      <c r="D1046" t="inlineStr">
        <is>
          <t>CUST-01045</t>
        </is>
      </c>
      <c r="E1046" t="inlineStr">
        <is>
          <t>Customer 1045</t>
        </is>
      </c>
      <c r="F1046" t="inlineStr">
        <is>
          <t>Corporate</t>
        </is>
      </c>
      <c r="G1046" t="inlineStr">
        <is>
          <t>P1014</t>
        </is>
      </c>
      <c r="H1046" t="inlineStr">
        <is>
          <t>Halo Planter</t>
        </is>
      </c>
      <c r="I1046" t="inlineStr">
        <is>
          <t>Technology</t>
        </is>
      </c>
      <c r="J1046" t="inlineStr">
        <is>
          <t>Decor</t>
        </is>
      </c>
      <c r="K1046" t="inlineStr">
        <is>
          <t>North</t>
        </is>
      </c>
      <c r="L1046" t="inlineStr">
        <is>
          <t>Ontario</t>
        </is>
      </c>
      <c r="M1046" t="inlineStr">
        <is>
          <t>Montreal</t>
        </is>
      </c>
      <c r="N1046" t="inlineStr">
        <is>
          <t>Ethan Brooks</t>
        </is>
      </c>
      <c r="O1046" t="n">
        <v>5</v>
      </c>
      <c r="P1046" s="3" t="n">
        <v>42.94</v>
      </c>
      <c r="Q1046" s="4" t="n">
        <v>0.066</v>
      </c>
      <c r="R1046" s="3" t="n">
        <v>200.53</v>
      </c>
      <c r="S1046" s="3" t="n">
        <v>89.06</v>
      </c>
      <c r="T1046" s="3" t="n">
        <v>101.47</v>
      </c>
      <c r="U1046" s="4" t="n">
        <v>0.506</v>
      </c>
      <c r="V1046" s="3" t="n">
        <v>10</v>
      </c>
      <c r="W1046" t="inlineStr">
        <is>
          <t>Credit Card</t>
        </is>
      </c>
      <c r="X1046" t="inlineStr">
        <is>
          <t>Critical</t>
        </is>
      </c>
    </row>
    <row r="1047">
      <c r="A1047" t="inlineStr">
        <is>
          <t>ORD-01046</t>
        </is>
      </c>
      <c r="B1047" s="2" t="n">
        <v>45476</v>
      </c>
      <c r="C1047" s="2" t="n">
        <v>45481</v>
      </c>
      <c r="D1047" t="inlineStr">
        <is>
          <t>CUST-01046</t>
        </is>
      </c>
      <c r="E1047" t="inlineStr">
        <is>
          <t>Customer 1046</t>
        </is>
      </c>
      <c r="F1047" t="inlineStr">
        <is>
          <t>Corporate</t>
        </is>
      </c>
      <c r="G1047" t="inlineStr">
        <is>
          <t>P1011</t>
        </is>
      </c>
      <c r="H1047" t="inlineStr">
        <is>
          <t>Nova Laptop Stand</t>
        </is>
      </c>
      <c r="I1047" t="inlineStr">
        <is>
          <t>Furniture</t>
        </is>
      </c>
      <c r="J1047" t="inlineStr">
        <is>
          <t>Lighting</t>
        </is>
      </c>
      <c r="K1047" t="inlineStr">
        <is>
          <t>East</t>
        </is>
      </c>
      <c r="L1047" t="inlineStr">
        <is>
          <t>New Jersey</t>
        </is>
      </c>
      <c r="M1047" t="inlineStr">
        <is>
          <t>New York</t>
        </is>
      </c>
      <c r="N1047" t="inlineStr">
        <is>
          <t>Ava Patel</t>
        </is>
      </c>
      <c r="O1047" t="n">
        <v>3</v>
      </c>
      <c r="P1047" s="3" t="n">
        <v>88.36</v>
      </c>
      <c r="Q1047" s="4" t="n">
        <v>0.016</v>
      </c>
      <c r="R1047" s="3" t="n">
        <v>260.84</v>
      </c>
      <c r="S1047" s="3" t="n">
        <v>131.53</v>
      </c>
      <c r="T1047" s="3" t="n">
        <v>119.91</v>
      </c>
      <c r="U1047" s="4" t="n">
        <v>0.4597</v>
      </c>
      <c r="V1047" s="3" t="n">
        <v>9.4</v>
      </c>
      <c r="W1047" t="inlineStr">
        <is>
          <t>Bank Transfer</t>
        </is>
      </c>
      <c r="X1047" t="inlineStr">
        <is>
          <t>Medium</t>
        </is>
      </c>
    </row>
    <row r="1048">
      <c r="A1048" t="inlineStr">
        <is>
          <t>ORD-01047</t>
        </is>
      </c>
      <c r="B1048" s="2" t="n">
        <v>45244</v>
      </c>
      <c r="C1048" s="2" t="n">
        <v>45249</v>
      </c>
      <c r="D1048" t="inlineStr">
        <is>
          <t>CUST-01047</t>
        </is>
      </c>
      <c r="E1048" t="inlineStr">
        <is>
          <t>Customer 1047</t>
        </is>
      </c>
      <c r="F1048" t="inlineStr">
        <is>
          <t>Consumer</t>
        </is>
      </c>
      <c r="G1048" t="inlineStr">
        <is>
          <t>P1017</t>
        </is>
      </c>
      <c r="H1048" t="inlineStr">
        <is>
          <t>Orbit Wireless Mouse</t>
        </is>
      </c>
      <c r="I1048" t="inlineStr">
        <is>
          <t>Technology</t>
        </is>
      </c>
      <c r="J1048" t="inlineStr">
        <is>
          <t>Furniture</t>
        </is>
      </c>
      <c r="K1048" t="inlineStr">
        <is>
          <t>West</t>
        </is>
      </c>
      <c r="L1048" t="inlineStr">
        <is>
          <t>Oregon</t>
        </is>
      </c>
      <c r="M1048" t="inlineStr">
        <is>
          <t>San Francisco</t>
        </is>
      </c>
      <c r="N1048" t="inlineStr">
        <is>
          <t>Noah Kim</t>
        </is>
      </c>
      <c r="O1048" t="n">
        <v>3</v>
      </c>
      <c r="P1048" s="3" t="n">
        <v>610.0599999999999</v>
      </c>
      <c r="Q1048" s="4" t="n">
        <v>0.025</v>
      </c>
      <c r="R1048" s="3" t="n">
        <v>1784.43</v>
      </c>
      <c r="S1048" s="3" t="n">
        <v>1188.25</v>
      </c>
      <c r="T1048" s="3" t="n">
        <v>586.78</v>
      </c>
      <c r="U1048" s="4" t="n">
        <v>0.3288</v>
      </c>
      <c r="V1048" s="3" t="n">
        <v>9.4</v>
      </c>
      <c r="W1048" t="inlineStr">
        <is>
          <t>PayPal</t>
        </is>
      </c>
      <c r="X1048" t="inlineStr">
        <is>
          <t>High</t>
        </is>
      </c>
    </row>
    <row r="1049">
      <c r="A1049" t="inlineStr">
        <is>
          <t>ORD-01048</t>
        </is>
      </c>
      <c r="B1049" s="2" t="n">
        <v>45102</v>
      </c>
      <c r="C1049" s="2" t="n">
        <v>45105</v>
      </c>
      <c r="D1049" t="inlineStr">
        <is>
          <t>CUST-01048</t>
        </is>
      </c>
      <c r="E1049" t="inlineStr">
        <is>
          <t>Customer 1048</t>
        </is>
      </c>
      <c r="F1049" t="inlineStr">
        <is>
          <t>Consumer</t>
        </is>
      </c>
      <c r="G1049" t="inlineStr">
        <is>
          <t>P1005</t>
        </is>
      </c>
      <c r="H1049" t="inlineStr">
        <is>
          <t>ProClip Binder</t>
        </is>
      </c>
      <c r="I1049" t="inlineStr">
        <is>
          <t>Outdoor</t>
        </is>
      </c>
      <c r="J1049" t="inlineStr">
        <is>
          <t>Storage</t>
        </is>
      </c>
      <c r="K1049" t="inlineStr">
        <is>
          <t>South</t>
        </is>
      </c>
      <c r="L1049" t="inlineStr">
        <is>
          <t>North Carolina</t>
        </is>
      </c>
      <c r="M1049" t="inlineStr">
        <is>
          <t>Atlanta</t>
        </is>
      </c>
      <c r="N1049" t="inlineStr">
        <is>
          <t>Ava Patel</t>
        </is>
      </c>
      <c r="O1049" t="n">
        <v>1</v>
      </c>
      <c r="P1049" s="3" t="n">
        <v>12.89</v>
      </c>
      <c r="Q1049" s="4" t="n">
        <v>0.027</v>
      </c>
      <c r="R1049" s="3" t="n">
        <v>12.54</v>
      </c>
      <c r="S1049" s="3" t="n">
        <v>9.699999999999999</v>
      </c>
      <c r="T1049" s="3" t="n">
        <v>-3.96</v>
      </c>
      <c r="U1049" s="4" t="n">
        <v>-0.3158</v>
      </c>
      <c r="V1049" s="3" t="n">
        <v>6.8</v>
      </c>
      <c r="W1049" t="inlineStr">
        <is>
          <t>Credit Card</t>
        </is>
      </c>
      <c r="X1049" t="inlineStr">
        <is>
          <t>Medium</t>
        </is>
      </c>
    </row>
    <row r="1050">
      <c r="A1050" t="inlineStr">
        <is>
          <t>ORD-01049</t>
        </is>
      </c>
      <c r="B1050" s="2" t="n">
        <v>45823</v>
      </c>
      <c r="C1050" s="2" t="n">
        <v>45825</v>
      </c>
      <c r="D1050" t="inlineStr">
        <is>
          <t>CUST-01049</t>
        </is>
      </c>
      <c r="E1050" t="inlineStr">
        <is>
          <t>Customer 1049</t>
        </is>
      </c>
      <c r="F1050" t="inlineStr">
        <is>
          <t>Corporate</t>
        </is>
      </c>
      <c r="G1050" t="inlineStr">
        <is>
          <t>P1014</t>
        </is>
      </c>
      <c r="H1050" t="inlineStr">
        <is>
          <t>Summit Patio Set</t>
        </is>
      </c>
      <c r="I1050" t="inlineStr">
        <is>
          <t>Technology</t>
        </is>
      </c>
      <c r="J1050" t="inlineStr">
        <is>
          <t>Writing</t>
        </is>
      </c>
      <c r="K1050" t="inlineStr">
        <is>
          <t>East</t>
        </is>
      </c>
      <c r="L1050" t="inlineStr">
        <is>
          <t>Massachusetts</t>
        </is>
      </c>
      <c r="M1050" t="inlineStr">
        <is>
          <t>Boston</t>
        </is>
      </c>
      <c r="N1050" t="inlineStr">
        <is>
          <t>Olivia Martin</t>
        </is>
      </c>
      <c r="O1050" t="n">
        <v>3</v>
      </c>
      <c r="P1050" s="3" t="n">
        <v>45.19</v>
      </c>
      <c r="Q1050" s="4" t="n">
        <v>0.051</v>
      </c>
      <c r="R1050" s="3" t="n">
        <v>128.66</v>
      </c>
      <c r="S1050" s="3" t="n">
        <v>54.72</v>
      </c>
      <c r="T1050" s="3" t="n">
        <v>64.54000000000001</v>
      </c>
      <c r="U1050" s="4" t="n">
        <v>0.5016</v>
      </c>
      <c r="V1050" s="3" t="n">
        <v>9.4</v>
      </c>
      <c r="W1050" t="inlineStr">
        <is>
          <t>PayPal</t>
        </is>
      </c>
      <c r="X1050" t="inlineStr">
        <is>
          <t>High</t>
        </is>
      </c>
    </row>
    <row r="1051">
      <c r="A1051" t="inlineStr">
        <is>
          <t>ORD-01050</t>
        </is>
      </c>
      <c r="B1051" s="2" t="n">
        <v>44970</v>
      </c>
      <c r="C1051" s="2" t="n">
        <v>44972</v>
      </c>
      <c r="D1051" t="inlineStr">
        <is>
          <t>CUST-01050</t>
        </is>
      </c>
      <c r="E1051" t="inlineStr">
        <is>
          <t>Customer 1050</t>
        </is>
      </c>
      <c r="F1051" t="inlineStr">
        <is>
          <t>Consumer</t>
        </is>
      </c>
      <c r="G1051" t="inlineStr">
        <is>
          <t>P1017</t>
        </is>
      </c>
      <c r="H1051" t="inlineStr">
        <is>
          <t>Echo Web Camera</t>
        </is>
      </c>
      <c r="I1051" t="inlineStr">
        <is>
          <t>Office Supplies</t>
        </is>
      </c>
      <c r="J1051" t="inlineStr">
        <is>
          <t>Flooring</t>
        </is>
      </c>
      <c r="K1051" t="inlineStr">
        <is>
          <t>West</t>
        </is>
      </c>
      <c r="L1051" t="inlineStr">
        <is>
          <t>Colorado</t>
        </is>
      </c>
      <c r="M1051" t="inlineStr">
        <is>
          <t>San Francisco</t>
        </is>
      </c>
      <c r="N1051" t="inlineStr">
        <is>
          <t>Noah Kim</t>
        </is>
      </c>
      <c r="O1051" t="n">
        <v>6</v>
      </c>
      <c r="P1051" s="3" t="n">
        <v>601.0599999999999</v>
      </c>
      <c r="Q1051" s="4" t="n">
        <v>0.039</v>
      </c>
      <c r="R1051" s="3" t="n">
        <v>3465.71</v>
      </c>
      <c r="S1051" s="3" t="n">
        <v>2295.6</v>
      </c>
      <c r="T1051" s="3" t="n">
        <v>1158.31</v>
      </c>
      <c r="U1051" s="4" t="n">
        <v>0.3342</v>
      </c>
      <c r="V1051" s="3" t="n">
        <v>11.8</v>
      </c>
      <c r="W1051" t="inlineStr">
        <is>
          <t>Credit Card</t>
        </is>
      </c>
      <c r="X1051" t="inlineStr">
        <is>
          <t>Critical</t>
        </is>
      </c>
    </row>
    <row r="1052">
      <c r="A1052" t="inlineStr">
        <is>
          <t>ORD-01051</t>
        </is>
      </c>
      <c r="B1052" s="2" t="n">
        <v>46000</v>
      </c>
      <c r="C1052" s="2" t="n">
        <v>46001</v>
      </c>
      <c r="D1052" t="inlineStr">
        <is>
          <t>CUST-01051</t>
        </is>
      </c>
      <c r="E1052" t="inlineStr">
        <is>
          <t>Customer 1051</t>
        </is>
      </c>
      <c r="F1052" t="inlineStr">
        <is>
          <t>Corporate</t>
        </is>
      </c>
      <c r="G1052" t="inlineStr">
        <is>
          <t>P1020</t>
        </is>
      </c>
      <c r="H1052" t="inlineStr">
        <is>
          <t>Nova Laptop Stand</t>
        </is>
      </c>
      <c r="I1052" t="inlineStr">
        <is>
          <t>Furniture</t>
        </is>
      </c>
      <c r="J1052" t="inlineStr">
        <is>
          <t>Peripherals</t>
        </is>
      </c>
      <c r="K1052" t="inlineStr">
        <is>
          <t>Central</t>
        </is>
      </c>
      <c r="L1052" t="inlineStr">
        <is>
          <t>Kansas</t>
        </is>
      </c>
      <c r="M1052" t="inlineStr">
        <is>
          <t>St. Louis</t>
        </is>
      </c>
      <c r="N1052" t="inlineStr">
        <is>
          <t>Sophia Singh</t>
        </is>
      </c>
      <c r="O1052" t="n">
        <v>2</v>
      </c>
      <c r="P1052" s="3" t="n">
        <v>80.91</v>
      </c>
      <c r="Q1052" s="4" t="n">
        <v>0.046</v>
      </c>
      <c r="R1052" s="3" t="n">
        <v>154.38</v>
      </c>
      <c r="S1052" s="3" t="n">
        <v>77.06999999999999</v>
      </c>
      <c r="T1052" s="3" t="n">
        <v>69.70999999999999</v>
      </c>
      <c r="U1052" s="4" t="n">
        <v>0.4515</v>
      </c>
      <c r="V1052" s="3" t="n">
        <v>7.6</v>
      </c>
      <c r="W1052" t="inlineStr">
        <is>
          <t>Bank Transfer</t>
        </is>
      </c>
      <c r="X1052" t="inlineStr">
        <is>
          <t>High</t>
        </is>
      </c>
    </row>
    <row r="1053">
      <c r="A1053" t="inlineStr">
        <is>
          <t>ORD-01052</t>
        </is>
      </c>
      <c r="B1053" s="2" t="n">
        <v>45324</v>
      </c>
      <c r="C1053" s="2" t="n">
        <v>45329</v>
      </c>
      <c r="D1053" t="inlineStr">
        <is>
          <t>CUST-01052</t>
        </is>
      </c>
      <c r="E1053" t="inlineStr">
        <is>
          <t>Customer 1052</t>
        </is>
      </c>
      <c r="F1053" t="inlineStr">
        <is>
          <t>Home Office</t>
        </is>
      </c>
      <c r="G1053" t="inlineStr">
        <is>
          <t>P1002</t>
        </is>
      </c>
      <c r="H1053" t="inlineStr">
        <is>
          <t>Lumen Desk Lamp</t>
        </is>
      </c>
      <c r="I1053" t="inlineStr">
        <is>
          <t>Home Decor</t>
        </is>
      </c>
      <c r="J1053" t="inlineStr">
        <is>
          <t>Lighting</t>
        </is>
      </c>
      <c r="K1053" t="inlineStr">
        <is>
          <t>East</t>
        </is>
      </c>
      <c r="L1053" t="inlineStr">
        <is>
          <t>Virginia</t>
        </is>
      </c>
      <c r="M1053" t="inlineStr">
        <is>
          <t>New York</t>
        </is>
      </c>
      <c r="N1053" t="inlineStr">
        <is>
          <t>Noah Kim</t>
        </is>
      </c>
      <c r="O1053" t="n">
        <v>2</v>
      </c>
      <c r="P1053" s="3" t="n">
        <v>81.73999999999999</v>
      </c>
      <c r="Q1053" s="4" t="n">
        <v>0.011</v>
      </c>
      <c r="R1053" s="3" t="n">
        <v>161.68</v>
      </c>
      <c r="S1053" s="3" t="n">
        <v>83.08</v>
      </c>
      <c r="T1053" s="3" t="n">
        <v>70</v>
      </c>
      <c r="U1053" s="4" t="n">
        <v>0.433</v>
      </c>
      <c r="V1053" s="3" t="n">
        <v>8.6</v>
      </c>
      <c r="W1053" t="inlineStr">
        <is>
          <t>Cash on Delivery</t>
        </is>
      </c>
      <c r="X1053" t="inlineStr">
        <is>
          <t>Medium</t>
        </is>
      </c>
    </row>
    <row r="1054">
      <c r="A1054" t="inlineStr">
        <is>
          <t>ORD-01053</t>
        </is>
      </c>
      <c r="B1054" s="2" t="n">
        <v>45919</v>
      </c>
      <c r="C1054" s="2" t="n">
        <v>45922</v>
      </c>
      <c r="D1054" t="inlineStr">
        <is>
          <t>CUST-01053</t>
        </is>
      </c>
      <c r="E1054" t="inlineStr">
        <is>
          <t>Customer 1053</t>
        </is>
      </c>
      <c r="F1054" t="inlineStr">
        <is>
          <t>Home Office</t>
        </is>
      </c>
      <c r="G1054" t="inlineStr">
        <is>
          <t>P1007</t>
        </is>
      </c>
      <c r="H1054" t="inlineStr">
        <is>
          <t>Atlas Throw Pillow</t>
        </is>
      </c>
      <c r="I1054" t="inlineStr">
        <is>
          <t>Technology</t>
        </is>
      </c>
      <c r="J1054" t="inlineStr">
        <is>
          <t>Lighting</t>
        </is>
      </c>
      <c r="K1054" t="inlineStr">
        <is>
          <t>West</t>
        </is>
      </c>
      <c r="L1054" t="inlineStr">
        <is>
          <t>Washington</t>
        </is>
      </c>
      <c r="M1054" t="inlineStr">
        <is>
          <t>Seattle</t>
        </is>
      </c>
      <c r="N1054" t="inlineStr">
        <is>
          <t>Noah Kim</t>
        </is>
      </c>
      <c r="O1054" t="n">
        <v>2</v>
      </c>
      <c r="P1054" s="3" t="n">
        <v>24.61</v>
      </c>
      <c r="Q1054" s="4" t="n">
        <v>0.006</v>
      </c>
      <c r="R1054" s="3" t="n">
        <v>48.92</v>
      </c>
      <c r="S1054" s="3" t="n">
        <v>20.13</v>
      </c>
      <c r="T1054" s="3" t="n">
        <v>20.19</v>
      </c>
      <c r="U1054" s="4" t="n">
        <v>0.4127</v>
      </c>
      <c r="V1054" s="3" t="n">
        <v>8.6</v>
      </c>
      <c r="W1054" t="inlineStr">
        <is>
          <t>Bank Transfer</t>
        </is>
      </c>
      <c r="X1054" t="inlineStr">
        <is>
          <t>Low</t>
        </is>
      </c>
    </row>
    <row r="1055">
      <c r="A1055" t="inlineStr">
        <is>
          <t>ORD-01054</t>
        </is>
      </c>
      <c r="B1055" s="2" t="n">
        <v>45824</v>
      </c>
      <c r="C1055" s="2" t="n">
        <v>45828</v>
      </c>
      <c r="D1055" t="inlineStr">
        <is>
          <t>CUST-01054</t>
        </is>
      </c>
      <c r="E1055" t="inlineStr">
        <is>
          <t>Customer 1054</t>
        </is>
      </c>
      <c r="F1055" t="inlineStr">
        <is>
          <t>Consumer</t>
        </is>
      </c>
      <c r="G1055" t="inlineStr">
        <is>
          <t>P1004</t>
        </is>
      </c>
      <c r="H1055" t="inlineStr">
        <is>
          <t>Atlas Throw Pillow</t>
        </is>
      </c>
      <c r="I1055" t="inlineStr">
        <is>
          <t>Office Supplies</t>
        </is>
      </c>
      <c r="J1055" t="inlineStr">
        <is>
          <t>Peripherals</t>
        </is>
      </c>
      <c r="K1055" t="inlineStr">
        <is>
          <t>West</t>
        </is>
      </c>
      <c r="L1055" t="inlineStr">
        <is>
          <t>Oregon</t>
        </is>
      </c>
      <c r="M1055" t="inlineStr">
        <is>
          <t>Seattle</t>
        </is>
      </c>
      <c r="N1055" t="inlineStr">
        <is>
          <t>Olivia Martin</t>
        </is>
      </c>
      <c r="O1055" t="n">
        <v>4</v>
      </c>
      <c r="P1055" s="3" t="n">
        <v>669.47</v>
      </c>
      <c r="Q1055" s="4" t="n">
        <v>0.016</v>
      </c>
      <c r="R1055" s="3" t="n">
        <v>2635.03</v>
      </c>
      <c r="S1055" s="3" t="n">
        <v>1666.78</v>
      </c>
      <c r="T1055" s="3" t="n">
        <v>958.05</v>
      </c>
      <c r="U1055" s="4" t="n">
        <v>0.3636</v>
      </c>
      <c r="V1055" s="3" t="n">
        <v>10.2</v>
      </c>
      <c r="W1055" t="inlineStr">
        <is>
          <t>Bank Transfer</t>
        </is>
      </c>
      <c r="X1055" t="inlineStr">
        <is>
          <t>Medium</t>
        </is>
      </c>
    </row>
    <row r="1056">
      <c r="A1056" t="inlineStr">
        <is>
          <t>ORD-01055</t>
        </is>
      </c>
      <c r="B1056" s="2" t="n">
        <v>45819</v>
      </c>
      <c r="C1056" s="2" t="n">
        <v>45822</v>
      </c>
      <c r="D1056" t="inlineStr">
        <is>
          <t>CUST-01055</t>
        </is>
      </c>
      <c r="E1056" t="inlineStr">
        <is>
          <t>Customer 1055</t>
        </is>
      </c>
      <c r="F1056" t="inlineStr">
        <is>
          <t>Consumer</t>
        </is>
      </c>
      <c r="G1056" t="inlineStr">
        <is>
          <t>P1008</t>
        </is>
      </c>
      <c r="H1056" t="inlineStr">
        <is>
          <t>ErgoMesh Chair</t>
        </is>
      </c>
      <c r="I1056" t="inlineStr">
        <is>
          <t>Home Decor</t>
        </is>
      </c>
      <c r="J1056" t="inlineStr">
        <is>
          <t>Peripherals</t>
        </is>
      </c>
      <c r="K1056" t="inlineStr">
        <is>
          <t>Central</t>
        </is>
      </c>
      <c r="L1056" t="inlineStr">
        <is>
          <t>Kansas</t>
        </is>
      </c>
      <c r="M1056" t="inlineStr">
        <is>
          <t>Minneapolis</t>
        </is>
      </c>
      <c r="N1056" t="inlineStr">
        <is>
          <t>Liam Chen</t>
        </is>
      </c>
      <c r="O1056" t="n">
        <v>3</v>
      </c>
      <c r="P1056" s="3" t="n">
        <v>35.07</v>
      </c>
      <c r="Q1056" s="4" t="n">
        <v>0.024</v>
      </c>
      <c r="R1056" s="3" t="n">
        <v>102.68</v>
      </c>
      <c r="S1056" s="3" t="n">
        <v>46.9</v>
      </c>
      <c r="T1056" s="3" t="n">
        <v>47.38</v>
      </c>
      <c r="U1056" s="4" t="n">
        <v>0.4614</v>
      </c>
      <c r="V1056" s="3" t="n">
        <v>8.4</v>
      </c>
      <c r="W1056" t="inlineStr">
        <is>
          <t>PayPal</t>
        </is>
      </c>
      <c r="X1056" t="inlineStr">
        <is>
          <t>High</t>
        </is>
      </c>
    </row>
    <row r="1057">
      <c r="A1057" t="inlineStr">
        <is>
          <t>ORD-01056</t>
        </is>
      </c>
      <c r="B1057" s="2" t="n">
        <v>45547</v>
      </c>
      <c r="C1057" s="2" t="n">
        <v>45549</v>
      </c>
      <c r="D1057" t="inlineStr">
        <is>
          <t>CUST-01056</t>
        </is>
      </c>
      <c r="E1057" t="inlineStr">
        <is>
          <t>Customer 1056</t>
        </is>
      </c>
      <c r="F1057" t="inlineStr">
        <is>
          <t>Corporate</t>
        </is>
      </c>
      <c r="G1057" t="inlineStr">
        <is>
          <t>P1001</t>
        </is>
      </c>
      <c r="H1057" t="inlineStr">
        <is>
          <t>Pulse Keyboard</t>
        </is>
      </c>
      <c r="I1057" t="inlineStr">
        <is>
          <t>Furniture</t>
        </is>
      </c>
      <c r="J1057" t="inlineStr">
        <is>
          <t>Textiles</t>
        </is>
      </c>
      <c r="K1057" t="inlineStr">
        <is>
          <t>West</t>
        </is>
      </c>
      <c r="L1057" t="inlineStr">
        <is>
          <t>Washington</t>
        </is>
      </c>
      <c r="M1057" t="inlineStr">
        <is>
          <t>Denver</t>
        </is>
      </c>
      <c r="N1057" t="inlineStr">
        <is>
          <t>Ethan Brooks</t>
        </is>
      </c>
      <c r="O1057" t="n">
        <v>4</v>
      </c>
      <c r="P1057" s="3" t="n">
        <v>306.84</v>
      </c>
      <c r="Q1057" s="4" t="n">
        <v>0.054</v>
      </c>
      <c r="R1057" s="3" t="n">
        <v>1161.08</v>
      </c>
      <c r="S1057" s="3" t="n">
        <v>680.48</v>
      </c>
      <c r="T1057" s="3" t="n">
        <v>470.4</v>
      </c>
      <c r="U1057" s="4" t="n">
        <v>0.4051</v>
      </c>
      <c r="V1057" s="3" t="n">
        <v>10.2</v>
      </c>
      <c r="W1057" t="inlineStr">
        <is>
          <t>Credit Card</t>
        </is>
      </c>
      <c r="X1057" t="inlineStr">
        <is>
          <t>Critical</t>
        </is>
      </c>
    </row>
    <row r="1058">
      <c r="A1058" t="inlineStr">
        <is>
          <t>ORD-01057</t>
        </is>
      </c>
      <c r="B1058" s="2" t="n">
        <v>45713</v>
      </c>
      <c r="C1058" s="2" t="n">
        <v>45720</v>
      </c>
      <c r="D1058" t="inlineStr">
        <is>
          <t>CUST-01057</t>
        </is>
      </c>
      <c r="E1058" t="inlineStr">
        <is>
          <t>Customer 1057</t>
        </is>
      </c>
      <c r="F1058" t="inlineStr">
        <is>
          <t>Corporate</t>
        </is>
      </c>
      <c r="G1058" t="inlineStr">
        <is>
          <t>P1010</t>
        </is>
      </c>
      <c r="H1058" t="inlineStr">
        <is>
          <t>Nimbus Monitor Arm</t>
        </is>
      </c>
      <c r="I1058" t="inlineStr">
        <is>
          <t>Furniture</t>
        </is>
      </c>
      <c r="J1058" t="inlineStr">
        <is>
          <t>Storage</t>
        </is>
      </c>
      <c r="K1058" t="inlineStr">
        <is>
          <t>East</t>
        </is>
      </c>
      <c r="L1058" t="inlineStr">
        <is>
          <t>Virginia</t>
        </is>
      </c>
      <c r="M1058" t="inlineStr">
        <is>
          <t>Washington</t>
        </is>
      </c>
      <c r="N1058" t="inlineStr">
        <is>
          <t>James Carter</t>
        </is>
      </c>
      <c r="O1058" t="n">
        <v>4</v>
      </c>
      <c r="P1058" s="3" t="n">
        <v>55.9</v>
      </c>
      <c r="Q1058" s="4" t="n">
        <v>0.04500000000000001</v>
      </c>
      <c r="R1058" s="3" t="n">
        <v>213.54</v>
      </c>
      <c r="S1058" s="3" t="n">
        <v>91.89</v>
      </c>
      <c r="T1058" s="3" t="n">
        <v>111.45</v>
      </c>
      <c r="U1058" s="4" t="n">
        <v>0.5219</v>
      </c>
      <c r="V1058" s="3" t="n">
        <v>10.2</v>
      </c>
      <c r="W1058" t="inlineStr">
        <is>
          <t>Bank Transfer</t>
        </is>
      </c>
      <c r="X1058" t="inlineStr">
        <is>
          <t>High</t>
        </is>
      </c>
    </row>
    <row r="1059">
      <c r="A1059" t="inlineStr">
        <is>
          <t>ORD-01058</t>
        </is>
      </c>
      <c r="B1059" s="2" t="n">
        <v>45505</v>
      </c>
      <c r="C1059" s="2" t="n">
        <v>45512</v>
      </c>
      <c r="D1059" t="inlineStr">
        <is>
          <t>CUST-01058</t>
        </is>
      </c>
      <c r="E1059" t="inlineStr">
        <is>
          <t>Customer 1058</t>
        </is>
      </c>
      <c r="F1059" t="inlineStr">
        <is>
          <t>Home Office</t>
        </is>
      </c>
      <c r="G1059" t="inlineStr">
        <is>
          <t>P1001</t>
        </is>
      </c>
      <c r="H1059" t="inlineStr">
        <is>
          <t>Lumen Desk Lamp</t>
        </is>
      </c>
      <c r="I1059" t="inlineStr">
        <is>
          <t>Furniture</t>
        </is>
      </c>
      <c r="J1059" t="inlineStr">
        <is>
          <t>Lighting</t>
        </is>
      </c>
      <c r="K1059" t="inlineStr">
        <is>
          <t>East</t>
        </is>
      </c>
      <c r="L1059" t="inlineStr">
        <is>
          <t>Massachusetts</t>
        </is>
      </c>
      <c r="M1059" t="inlineStr">
        <is>
          <t>Washington</t>
        </is>
      </c>
      <c r="N1059" t="inlineStr">
        <is>
          <t>Mia Rodriguez</t>
        </is>
      </c>
      <c r="O1059" t="n">
        <v>4</v>
      </c>
      <c r="P1059" s="3" t="n">
        <v>299.25</v>
      </c>
      <c r="Q1059" s="4" t="n">
        <v>0.017</v>
      </c>
      <c r="R1059" s="3" t="n">
        <v>1176.65</v>
      </c>
      <c r="S1059" s="3" t="n">
        <v>686.5</v>
      </c>
      <c r="T1059" s="3" t="n">
        <v>479.95</v>
      </c>
      <c r="U1059" s="4" t="n">
        <v>0.4079</v>
      </c>
      <c r="V1059" s="3" t="n">
        <v>10.2</v>
      </c>
      <c r="W1059" t="inlineStr">
        <is>
          <t>Debit Card</t>
        </is>
      </c>
      <c r="X1059" t="inlineStr">
        <is>
          <t>High</t>
        </is>
      </c>
    </row>
    <row r="1060">
      <c r="A1060" t="inlineStr">
        <is>
          <t>ORD-01059</t>
        </is>
      </c>
      <c r="B1060" s="2" t="n">
        <v>45567</v>
      </c>
      <c r="C1060" s="2" t="n">
        <v>45574</v>
      </c>
      <c r="D1060" t="inlineStr">
        <is>
          <t>CUST-01059</t>
        </is>
      </c>
      <c r="E1060" t="inlineStr">
        <is>
          <t>Customer 1059</t>
        </is>
      </c>
      <c r="F1060" t="inlineStr">
        <is>
          <t>Corporate</t>
        </is>
      </c>
      <c r="G1060" t="inlineStr">
        <is>
          <t>P1001</t>
        </is>
      </c>
      <c r="H1060" t="inlineStr">
        <is>
          <t>Cove Wall Clock</t>
        </is>
      </c>
      <c r="I1060" t="inlineStr">
        <is>
          <t>Technology</t>
        </is>
      </c>
      <c r="J1060" t="inlineStr">
        <is>
          <t>Decor</t>
        </is>
      </c>
      <c r="K1060" t="inlineStr">
        <is>
          <t>North</t>
        </is>
      </c>
      <c r="L1060" t="inlineStr">
        <is>
          <t>Alberta</t>
        </is>
      </c>
      <c r="M1060" t="inlineStr">
        <is>
          <t>Vancouver</t>
        </is>
      </c>
      <c r="N1060" t="inlineStr">
        <is>
          <t>James Carter</t>
        </is>
      </c>
      <c r="O1060" t="n">
        <v>2</v>
      </c>
      <c r="P1060" s="3" t="n">
        <v>329.36</v>
      </c>
      <c r="Q1060" s="4" t="n">
        <v>0.026</v>
      </c>
      <c r="R1060" s="3" t="n">
        <v>641.59</v>
      </c>
      <c r="S1060" s="3" t="n">
        <v>377.85</v>
      </c>
      <c r="T1060" s="3" t="n">
        <v>256.14</v>
      </c>
      <c r="U1060" s="4" t="n">
        <v>0.3992</v>
      </c>
      <c r="V1060" s="3" t="n">
        <v>7.6</v>
      </c>
      <c r="W1060" t="inlineStr">
        <is>
          <t>Bank Transfer</t>
        </is>
      </c>
      <c r="X1060" t="inlineStr">
        <is>
          <t>Low</t>
        </is>
      </c>
    </row>
    <row r="1061">
      <c r="A1061" t="inlineStr">
        <is>
          <t>ORD-01060</t>
        </is>
      </c>
      <c r="B1061" s="2" t="n">
        <v>45612</v>
      </c>
      <c r="C1061" s="2" t="n">
        <v>45617</v>
      </c>
      <c r="D1061" t="inlineStr">
        <is>
          <t>CUST-01060</t>
        </is>
      </c>
      <c r="E1061" t="inlineStr">
        <is>
          <t>Customer 1060</t>
        </is>
      </c>
      <c r="F1061" t="inlineStr">
        <is>
          <t>Consumer</t>
        </is>
      </c>
      <c r="G1061" t="inlineStr">
        <is>
          <t>P1004</t>
        </is>
      </c>
      <c r="H1061" t="inlineStr">
        <is>
          <t>ErgoMesh Chair</t>
        </is>
      </c>
      <c r="I1061" t="inlineStr">
        <is>
          <t>Technology</t>
        </is>
      </c>
      <c r="J1061" t="inlineStr">
        <is>
          <t>Furniture</t>
        </is>
      </c>
      <c r="K1061" t="inlineStr">
        <is>
          <t>West</t>
        </is>
      </c>
      <c r="L1061" t="inlineStr">
        <is>
          <t>Colorado</t>
        </is>
      </c>
      <c r="M1061" t="inlineStr">
        <is>
          <t>Seattle</t>
        </is>
      </c>
      <c r="N1061" t="inlineStr">
        <is>
          <t>Mia Rodriguez</t>
        </is>
      </c>
      <c r="O1061" t="n">
        <v>1</v>
      </c>
      <c r="P1061" s="3" t="n">
        <v>706.25</v>
      </c>
      <c r="Q1061" s="4" t="n">
        <v>0.019</v>
      </c>
      <c r="R1061" s="3" t="n">
        <v>692.83</v>
      </c>
      <c r="S1061" s="3" t="n">
        <v>444.65</v>
      </c>
      <c r="T1061" s="3" t="n">
        <v>240.38</v>
      </c>
      <c r="U1061" s="4" t="n">
        <v>0.347</v>
      </c>
      <c r="V1061" s="3" t="n">
        <v>7.8</v>
      </c>
      <c r="W1061" t="inlineStr">
        <is>
          <t>PayPal</t>
        </is>
      </c>
      <c r="X1061" t="inlineStr">
        <is>
          <t>High</t>
        </is>
      </c>
    </row>
    <row r="1062">
      <c r="A1062" t="inlineStr">
        <is>
          <t>ORD-01061</t>
        </is>
      </c>
      <c r="B1062" s="2" t="n">
        <v>45743</v>
      </c>
      <c r="C1062" s="2" t="n">
        <v>45744</v>
      </c>
      <c r="D1062" t="inlineStr">
        <is>
          <t>CUST-01061</t>
        </is>
      </c>
      <c r="E1062" t="inlineStr">
        <is>
          <t>Customer 1061</t>
        </is>
      </c>
      <c r="F1062" t="inlineStr">
        <is>
          <t>Corporate</t>
        </is>
      </c>
      <c r="G1062" t="inlineStr">
        <is>
          <t>P1017</t>
        </is>
      </c>
      <c r="H1062" t="inlineStr">
        <is>
          <t>ProClip Binder</t>
        </is>
      </c>
      <c r="I1062" t="inlineStr">
        <is>
          <t>Outdoor</t>
        </is>
      </c>
      <c r="J1062" t="inlineStr">
        <is>
          <t>Furniture</t>
        </is>
      </c>
      <c r="K1062" t="inlineStr">
        <is>
          <t>East</t>
        </is>
      </c>
      <c r="L1062" t="inlineStr">
        <is>
          <t>Massachusetts</t>
        </is>
      </c>
      <c r="M1062" t="inlineStr">
        <is>
          <t>New York</t>
        </is>
      </c>
      <c r="N1062" t="inlineStr">
        <is>
          <t>Ethan Brooks</t>
        </is>
      </c>
      <c r="O1062" t="n">
        <v>1</v>
      </c>
      <c r="P1062" s="3" t="n">
        <v>561.83</v>
      </c>
      <c r="Q1062" s="4" t="n">
        <v>0.062</v>
      </c>
      <c r="R1062" s="3" t="n">
        <v>527</v>
      </c>
      <c r="S1062" s="3" t="n">
        <v>356.83</v>
      </c>
      <c r="T1062" s="3" t="n">
        <v>162.37</v>
      </c>
      <c r="U1062" s="4" t="n">
        <v>0.3081</v>
      </c>
      <c r="V1062" s="3" t="n">
        <v>7.8</v>
      </c>
      <c r="W1062" t="inlineStr">
        <is>
          <t>Credit Card</t>
        </is>
      </c>
      <c r="X1062" t="inlineStr">
        <is>
          <t>High</t>
        </is>
      </c>
    </row>
    <row r="1063">
      <c r="A1063" t="inlineStr">
        <is>
          <t>ORD-01062</t>
        </is>
      </c>
      <c r="B1063" s="2" t="n">
        <v>45993</v>
      </c>
      <c r="C1063" s="2" t="n">
        <v>45999</v>
      </c>
      <c r="D1063" t="inlineStr">
        <is>
          <t>CUST-01062</t>
        </is>
      </c>
      <c r="E1063" t="inlineStr">
        <is>
          <t>Customer 1062</t>
        </is>
      </c>
      <c r="F1063" t="inlineStr">
        <is>
          <t>Corporate</t>
        </is>
      </c>
      <c r="G1063" t="inlineStr">
        <is>
          <t>P1005</t>
        </is>
      </c>
      <c r="H1063" t="inlineStr">
        <is>
          <t>SmartInk Pen Set</t>
        </is>
      </c>
      <c r="I1063" t="inlineStr">
        <is>
          <t>Technology</t>
        </is>
      </c>
      <c r="J1063" t="inlineStr">
        <is>
          <t>Peripherals</t>
        </is>
      </c>
      <c r="K1063" t="inlineStr">
        <is>
          <t>East</t>
        </is>
      </c>
      <c r="L1063" t="inlineStr">
        <is>
          <t>New York</t>
        </is>
      </c>
      <c r="M1063" t="inlineStr">
        <is>
          <t>Boston</t>
        </is>
      </c>
      <c r="N1063" t="inlineStr">
        <is>
          <t>Mia Rodriguez</t>
        </is>
      </c>
      <c r="O1063" t="n">
        <v>3</v>
      </c>
      <c r="P1063" s="3" t="n">
        <v>13.1</v>
      </c>
      <c r="Q1063" s="4" t="n">
        <v>0.013</v>
      </c>
      <c r="R1063" s="3" t="n">
        <v>38.79</v>
      </c>
      <c r="S1063" s="3" t="n">
        <v>24.46</v>
      </c>
      <c r="T1063" s="3" t="n">
        <v>4.93</v>
      </c>
      <c r="U1063" s="4" t="n">
        <v>0.1271</v>
      </c>
      <c r="V1063" s="3" t="n">
        <v>9.4</v>
      </c>
      <c r="W1063" t="inlineStr">
        <is>
          <t>Credit Card</t>
        </is>
      </c>
      <c r="X1063" t="inlineStr">
        <is>
          <t>Medium</t>
        </is>
      </c>
    </row>
    <row r="1064">
      <c r="A1064" t="inlineStr">
        <is>
          <t>ORD-01063</t>
        </is>
      </c>
      <c r="B1064" s="2" t="n">
        <v>45926</v>
      </c>
      <c r="C1064" s="2" t="n">
        <v>45929</v>
      </c>
      <c r="D1064" t="inlineStr">
        <is>
          <t>CUST-01063</t>
        </is>
      </c>
      <c r="E1064" t="inlineStr">
        <is>
          <t>Customer 1063</t>
        </is>
      </c>
      <c r="F1064" t="inlineStr">
        <is>
          <t>Corporate</t>
        </is>
      </c>
      <c r="G1064" t="inlineStr">
        <is>
          <t>P1014</t>
        </is>
      </c>
      <c r="H1064" t="inlineStr">
        <is>
          <t>Lumen Desk Lamp</t>
        </is>
      </c>
      <c r="I1064" t="inlineStr">
        <is>
          <t>Office Supplies</t>
        </is>
      </c>
      <c r="J1064" t="inlineStr">
        <is>
          <t>Chairs</t>
        </is>
      </c>
      <c r="K1064" t="inlineStr">
        <is>
          <t>East</t>
        </is>
      </c>
      <c r="L1064" t="inlineStr">
        <is>
          <t>Virginia</t>
        </is>
      </c>
      <c r="M1064" t="inlineStr">
        <is>
          <t>Boston</t>
        </is>
      </c>
      <c r="N1064" t="inlineStr">
        <is>
          <t>James Carter</t>
        </is>
      </c>
      <c r="O1064" t="n">
        <v>4</v>
      </c>
      <c r="P1064" s="3" t="n">
        <v>42.77</v>
      </c>
      <c r="Q1064" s="4" t="n">
        <v>0.051</v>
      </c>
      <c r="R1064" s="3" t="n">
        <v>162.35</v>
      </c>
      <c r="S1064" s="3" t="n">
        <v>70.06999999999999</v>
      </c>
      <c r="T1064" s="3" t="n">
        <v>82.08</v>
      </c>
      <c r="U1064" s="4" t="n">
        <v>0.5056</v>
      </c>
      <c r="V1064" s="3" t="n">
        <v>10.2</v>
      </c>
      <c r="W1064" t="inlineStr">
        <is>
          <t>PayPal</t>
        </is>
      </c>
      <c r="X1064" t="inlineStr">
        <is>
          <t>Critical</t>
        </is>
      </c>
    </row>
    <row r="1065">
      <c r="A1065" t="inlineStr">
        <is>
          <t>ORD-01064</t>
        </is>
      </c>
      <c r="B1065" s="2" t="n">
        <v>45615</v>
      </c>
      <c r="C1065" s="2" t="n">
        <v>45616</v>
      </c>
      <c r="D1065" t="inlineStr">
        <is>
          <t>CUST-01064</t>
        </is>
      </c>
      <c r="E1065" t="inlineStr">
        <is>
          <t>Customer 1064</t>
        </is>
      </c>
      <c r="F1065" t="inlineStr">
        <is>
          <t>Corporate</t>
        </is>
      </c>
      <c r="G1065" t="inlineStr">
        <is>
          <t>P1006</t>
        </is>
      </c>
      <c r="H1065" t="inlineStr">
        <is>
          <t>Lumen Desk Lamp</t>
        </is>
      </c>
      <c r="I1065" t="inlineStr">
        <is>
          <t>Office Supplies</t>
        </is>
      </c>
      <c r="J1065" t="inlineStr">
        <is>
          <t>Lighting</t>
        </is>
      </c>
      <c r="K1065" t="inlineStr">
        <is>
          <t>East</t>
        </is>
      </c>
      <c r="L1065" t="inlineStr">
        <is>
          <t>Massachusetts</t>
        </is>
      </c>
      <c r="M1065" t="inlineStr">
        <is>
          <t>New York</t>
        </is>
      </c>
      <c r="N1065" t="inlineStr">
        <is>
          <t>Ava Patel</t>
        </is>
      </c>
      <c r="O1065" t="n">
        <v>4</v>
      </c>
      <c r="P1065" s="3" t="n">
        <v>19.62</v>
      </c>
      <c r="Q1065" s="4" t="n">
        <v>0.025</v>
      </c>
      <c r="R1065" s="3" t="n">
        <v>76.52</v>
      </c>
      <c r="S1065" s="3" t="n">
        <v>30.42</v>
      </c>
      <c r="T1065" s="3" t="n">
        <v>35.9</v>
      </c>
      <c r="U1065" s="4" t="n">
        <v>0.4692</v>
      </c>
      <c r="V1065" s="3" t="n">
        <v>10.2</v>
      </c>
      <c r="W1065" t="inlineStr">
        <is>
          <t>PayPal</t>
        </is>
      </c>
      <c r="X1065" t="inlineStr">
        <is>
          <t>Low</t>
        </is>
      </c>
    </row>
    <row r="1066">
      <c r="A1066" t="inlineStr">
        <is>
          <t>ORD-01065</t>
        </is>
      </c>
      <c r="B1066" s="2" t="n">
        <v>45483</v>
      </c>
      <c r="C1066" s="2" t="n">
        <v>45490</v>
      </c>
      <c r="D1066" t="inlineStr">
        <is>
          <t>CUST-01065</t>
        </is>
      </c>
      <c r="E1066" t="inlineStr">
        <is>
          <t>Customer 1065</t>
        </is>
      </c>
      <c r="F1066" t="inlineStr">
        <is>
          <t>Consumer</t>
        </is>
      </c>
      <c r="G1066" t="inlineStr">
        <is>
          <t>P1007</t>
        </is>
      </c>
      <c r="H1066" t="inlineStr">
        <is>
          <t>Halo Planter</t>
        </is>
      </c>
      <c r="I1066" t="inlineStr">
        <is>
          <t>Furniture</t>
        </is>
      </c>
      <c r="J1066" t="inlineStr">
        <is>
          <t>Chairs</t>
        </is>
      </c>
      <c r="K1066" t="inlineStr">
        <is>
          <t>Central</t>
        </is>
      </c>
      <c r="L1066" t="inlineStr">
        <is>
          <t>Illinois</t>
        </is>
      </c>
      <c r="M1066" t="inlineStr">
        <is>
          <t>Kansas City</t>
        </is>
      </c>
      <c r="N1066" t="inlineStr">
        <is>
          <t>Sophia Singh</t>
        </is>
      </c>
      <c r="O1066" t="n">
        <v>2</v>
      </c>
      <c r="P1066" s="3" t="n">
        <v>23.93</v>
      </c>
      <c r="Q1066" s="4" t="n">
        <v>0.003</v>
      </c>
      <c r="R1066" s="3" t="n">
        <v>47.72</v>
      </c>
      <c r="S1066" s="3" t="n">
        <v>21.91</v>
      </c>
      <c r="T1066" s="3" t="n">
        <v>18.21</v>
      </c>
      <c r="U1066" s="4" t="n">
        <v>0.3816</v>
      </c>
      <c r="V1066" s="3" t="n">
        <v>7.6</v>
      </c>
      <c r="W1066" t="inlineStr">
        <is>
          <t>Bank Transfer</t>
        </is>
      </c>
      <c r="X1066" t="inlineStr">
        <is>
          <t>Medium</t>
        </is>
      </c>
    </row>
    <row r="1067">
      <c r="A1067" t="inlineStr">
        <is>
          <t>ORD-01066</t>
        </is>
      </c>
      <c r="B1067" s="2" t="n">
        <v>45888</v>
      </c>
      <c r="C1067" s="2" t="n">
        <v>45890</v>
      </c>
      <c r="D1067" t="inlineStr">
        <is>
          <t>CUST-01066</t>
        </is>
      </c>
      <c r="E1067" t="inlineStr">
        <is>
          <t>Customer 1066</t>
        </is>
      </c>
      <c r="F1067" t="inlineStr">
        <is>
          <t>Consumer</t>
        </is>
      </c>
      <c r="G1067" t="inlineStr">
        <is>
          <t>P1008</t>
        </is>
      </c>
      <c r="H1067" t="inlineStr">
        <is>
          <t>FlexNote Notebook</t>
        </is>
      </c>
      <c r="I1067" t="inlineStr">
        <is>
          <t>Furniture</t>
        </is>
      </c>
      <c r="J1067" t="inlineStr">
        <is>
          <t>Desks</t>
        </is>
      </c>
      <c r="K1067" t="inlineStr">
        <is>
          <t>South</t>
        </is>
      </c>
      <c r="L1067" t="inlineStr">
        <is>
          <t>Florida</t>
        </is>
      </c>
      <c r="M1067" t="inlineStr">
        <is>
          <t>Houston</t>
        </is>
      </c>
      <c r="N1067" t="inlineStr">
        <is>
          <t>James Carter</t>
        </is>
      </c>
      <c r="O1067" t="n">
        <v>2</v>
      </c>
      <c r="P1067" s="3" t="n">
        <v>35.21</v>
      </c>
      <c r="Q1067" s="4" t="n">
        <v>0.003</v>
      </c>
      <c r="R1067" s="3" t="n">
        <v>70.20999999999999</v>
      </c>
      <c r="S1067" s="3" t="n">
        <v>37.93</v>
      </c>
      <c r="T1067" s="3" t="n">
        <v>24.68</v>
      </c>
      <c r="U1067" s="4" t="n">
        <v>0.3515</v>
      </c>
      <c r="V1067" s="3" t="n">
        <v>7.6</v>
      </c>
      <c r="W1067" t="inlineStr">
        <is>
          <t>Credit Card</t>
        </is>
      </c>
      <c r="X1067" t="inlineStr">
        <is>
          <t>Medium</t>
        </is>
      </c>
    </row>
    <row r="1068">
      <c r="A1068" t="inlineStr">
        <is>
          <t>ORD-01067</t>
        </is>
      </c>
      <c r="B1068" s="2" t="n">
        <v>45270</v>
      </c>
      <c r="C1068" s="2" t="n">
        <v>45274</v>
      </c>
      <c r="D1068" t="inlineStr">
        <is>
          <t>CUST-01067</t>
        </is>
      </c>
      <c r="E1068" t="inlineStr">
        <is>
          <t>Customer 1067</t>
        </is>
      </c>
      <c r="F1068" t="inlineStr">
        <is>
          <t>Consumer</t>
        </is>
      </c>
      <c r="G1068" t="inlineStr">
        <is>
          <t>P1018</t>
        </is>
      </c>
      <c r="H1068" t="inlineStr">
        <is>
          <t>Harbor Rug</t>
        </is>
      </c>
      <c r="I1068" t="inlineStr">
        <is>
          <t>Outdoor</t>
        </is>
      </c>
      <c r="J1068" t="inlineStr">
        <is>
          <t>Writing</t>
        </is>
      </c>
      <c r="K1068" t="inlineStr">
        <is>
          <t>Central</t>
        </is>
      </c>
      <c r="L1068" t="inlineStr">
        <is>
          <t>Minnesota</t>
        </is>
      </c>
      <c r="M1068" t="inlineStr">
        <is>
          <t>St. Louis</t>
        </is>
      </c>
      <c r="N1068" t="inlineStr">
        <is>
          <t>Ava Patel</t>
        </is>
      </c>
      <c r="O1068" t="n">
        <v>5</v>
      </c>
      <c r="P1068" s="3" t="n">
        <v>95.59999999999999</v>
      </c>
      <c r="Q1068" s="4" t="n">
        <v>0.054</v>
      </c>
      <c r="R1068" s="3" t="n">
        <v>452.19</v>
      </c>
      <c r="S1068" s="3" t="n">
        <v>202.47</v>
      </c>
      <c r="T1068" s="3" t="n">
        <v>239.72</v>
      </c>
      <c r="U1068" s="4" t="n">
        <v>0.5301</v>
      </c>
      <c r="V1068" s="3" t="n">
        <v>10</v>
      </c>
      <c r="W1068" t="inlineStr">
        <is>
          <t>Bank Transfer</t>
        </is>
      </c>
      <c r="X1068" t="inlineStr">
        <is>
          <t>Critical</t>
        </is>
      </c>
    </row>
    <row r="1069">
      <c r="A1069" t="inlineStr">
        <is>
          <t>ORD-01068</t>
        </is>
      </c>
      <c r="B1069" s="2" t="n">
        <v>45276</v>
      </c>
      <c r="C1069" s="2" t="n">
        <v>45279</v>
      </c>
      <c r="D1069" t="inlineStr">
        <is>
          <t>CUST-01068</t>
        </is>
      </c>
      <c r="E1069" t="inlineStr">
        <is>
          <t>Customer 1068</t>
        </is>
      </c>
      <c r="F1069" t="inlineStr">
        <is>
          <t>Consumer</t>
        </is>
      </c>
      <c r="G1069" t="inlineStr">
        <is>
          <t>P1004</t>
        </is>
      </c>
      <c r="H1069" t="inlineStr">
        <is>
          <t>Northstar Lantern</t>
        </is>
      </c>
      <c r="I1069" t="inlineStr">
        <is>
          <t>Furniture</t>
        </is>
      </c>
      <c r="J1069" t="inlineStr">
        <is>
          <t>Bags</t>
        </is>
      </c>
      <c r="K1069" t="inlineStr">
        <is>
          <t>East</t>
        </is>
      </c>
      <c r="L1069" t="inlineStr">
        <is>
          <t>New Jersey</t>
        </is>
      </c>
      <c r="M1069" t="inlineStr">
        <is>
          <t>Washington</t>
        </is>
      </c>
      <c r="N1069" t="inlineStr">
        <is>
          <t>James Carter</t>
        </is>
      </c>
      <c r="O1069" t="n">
        <v>3</v>
      </c>
      <c r="P1069" s="3" t="n">
        <v>670.04</v>
      </c>
      <c r="Q1069" s="4" t="n">
        <v>0.015</v>
      </c>
      <c r="R1069" s="3" t="n">
        <v>1979.97</v>
      </c>
      <c r="S1069" s="3" t="n">
        <v>1256.06</v>
      </c>
      <c r="T1069" s="3" t="n">
        <v>714.51</v>
      </c>
      <c r="U1069" s="4" t="n">
        <v>0.3609</v>
      </c>
      <c r="V1069" s="3" t="n">
        <v>9.4</v>
      </c>
      <c r="W1069" t="inlineStr">
        <is>
          <t>Debit Card</t>
        </is>
      </c>
      <c r="X1069" t="inlineStr">
        <is>
          <t>High</t>
        </is>
      </c>
    </row>
    <row r="1070">
      <c r="A1070" t="inlineStr">
        <is>
          <t>ORD-01069</t>
        </is>
      </c>
      <c r="B1070" s="2" t="n">
        <v>45486</v>
      </c>
      <c r="C1070" s="2" t="n">
        <v>45492</v>
      </c>
      <c r="D1070" t="inlineStr">
        <is>
          <t>CUST-01069</t>
        </is>
      </c>
      <c r="E1070" t="inlineStr">
        <is>
          <t>Customer 1069</t>
        </is>
      </c>
      <c r="F1070" t="inlineStr">
        <is>
          <t>Consumer</t>
        </is>
      </c>
      <c r="G1070" t="inlineStr">
        <is>
          <t>P1003</t>
        </is>
      </c>
      <c r="H1070" t="inlineStr">
        <is>
          <t>Northstar Lantern</t>
        </is>
      </c>
      <c r="I1070" t="inlineStr">
        <is>
          <t>Office Supplies</t>
        </is>
      </c>
      <c r="J1070" t="inlineStr">
        <is>
          <t>Chairs</t>
        </is>
      </c>
      <c r="K1070" t="inlineStr">
        <is>
          <t>West</t>
        </is>
      </c>
      <c r="L1070" t="inlineStr">
        <is>
          <t>Oregon</t>
        </is>
      </c>
      <c r="M1070" t="inlineStr">
        <is>
          <t>Los Angeles</t>
        </is>
      </c>
      <c r="N1070" t="inlineStr">
        <is>
          <t>James Carter</t>
        </is>
      </c>
      <c r="O1070" t="n">
        <v>4</v>
      </c>
      <c r="P1070" s="3" t="n">
        <v>155.51</v>
      </c>
      <c r="Q1070" s="4" t="n">
        <v>0.018</v>
      </c>
      <c r="R1070" s="3" t="n">
        <v>610.84</v>
      </c>
      <c r="S1070" s="3" t="n">
        <v>320.26</v>
      </c>
      <c r="T1070" s="3" t="n">
        <v>280.38</v>
      </c>
      <c r="U1070" s="4" t="n">
        <v>0.459</v>
      </c>
      <c r="V1070" s="3" t="n">
        <v>10.2</v>
      </c>
      <c r="W1070" t="inlineStr">
        <is>
          <t>Debit Card</t>
        </is>
      </c>
      <c r="X1070" t="inlineStr">
        <is>
          <t>Medium</t>
        </is>
      </c>
    </row>
    <row r="1071">
      <c r="A1071" t="inlineStr">
        <is>
          <t>ORD-01070</t>
        </is>
      </c>
      <c r="B1071" s="2" t="n">
        <v>45062</v>
      </c>
      <c r="C1071" s="2" t="n">
        <v>45064</v>
      </c>
      <c r="D1071" t="inlineStr">
        <is>
          <t>CUST-01070</t>
        </is>
      </c>
      <c r="E1071" t="inlineStr">
        <is>
          <t>Customer 1070</t>
        </is>
      </c>
      <c r="F1071" t="inlineStr">
        <is>
          <t>Home Office</t>
        </is>
      </c>
      <c r="G1071" t="inlineStr">
        <is>
          <t>P1004</t>
        </is>
      </c>
      <c r="H1071" t="inlineStr">
        <is>
          <t>Halo Planter</t>
        </is>
      </c>
      <c r="I1071" t="inlineStr">
        <is>
          <t>Furniture</t>
        </is>
      </c>
      <c r="J1071" t="inlineStr">
        <is>
          <t>Peripherals</t>
        </is>
      </c>
      <c r="K1071" t="inlineStr">
        <is>
          <t>West</t>
        </is>
      </c>
      <c r="L1071" t="inlineStr">
        <is>
          <t>California</t>
        </is>
      </c>
      <c r="M1071" t="inlineStr">
        <is>
          <t>Denver</t>
        </is>
      </c>
      <c r="N1071" t="inlineStr">
        <is>
          <t>Liam Chen</t>
        </is>
      </c>
      <c r="O1071" t="n">
        <v>1</v>
      </c>
      <c r="P1071" s="3" t="n">
        <v>616.27</v>
      </c>
      <c r="Q1071" s="4" t="n">
        <v>0.037</v>
      </c>
      <c r="R1071" s="3" t="n">
        <v>593.47</v>
      </c>
      <c r="S1071" s="3" t="n">
        <v>378.08</v>
      </c>
      <c r="T1071" s="3" t="n">
        <v>207.59</v>
      </c>
      <c r="U1071" s="4" t="n">
        <v>0.3498</v>
      </c>
      <c r="V1071" s="3" t="n">
        <v>7.8</v>
      </c>
      <c r="W1071" t="inlineStr">
        <is>
          <t>Debit Card</t>
        </is>
      </c>
      <c r="X1071" t="inlineStr">
        <is>
          <t>Critical</t>
        </is>
      </c>
    </row>
    <row r="1072">
      <c r="A1072" t="inlineStr">
        <is>
          <t>ORD-01071</t>
        </is>
      </c>
      <c r="B1072" s="2" t="n">
        <v>45095</v>
      </c>
      <c r="C1072" s="2" t="n">
        <v>45100</v>
      </c>
      <c r="D1072" t="inlineStr">
        <is>
          <t>CUST-01071</t>
        </is>
      </c>
      <c r="E1072" t="inlineStr">
        <is>
          <t>Customer 1071</t>
        </is>
      </c>
      <c r="F1072" t="inlineStr">
        <is>
          <t>Consumer</t>
        </is>
      </c>
      <c r="G1072" t="inlineStr">
        <is>
          <t>P1016</t>
        </is>
      </c>
      <c r="H1072" t="inlineStr">
        <is>
          <t>ErgoMesh Chair</t>
        </is>
      </c>
      <c r="I1072" t="inlineStr">
        <is>
          <t>Home Decor</t>
        </is>
      </c>
      <c r="J1072" t="inlineStr">
        <is>
          <t>Flooring</t>
        </is>
      </c>
      <c r="K1072" t="inlineStr">
        <is>
          <t>West</t>
        </is>
      </c>
      <c r="L1072" t="inlineStr">
        <is>
          <t>Colorado</t>
        </is>
      </c>
      <c r="M1072" t="inlineStr">
        <is>
          <t>San Francisco</t>
        </is>
      </c>
      <c r="N1072" t="inlineStr">
        <is>
          <t>Liam Chen</t>
        </is>
      </c>
      <c r="O1072" t="n">
        <v>3</v>
      </c>
      <c r="P1072" s="3" t="n">
        <v>40.21</v>
      </c>
      <c r="Q1072" s="4" t="n">
        <v>0.017</v>
      </c>
      <c r="R1072" s="3" t="n">
        <v>118.58</v>
      </c>
      <c r="S1072" s="3" t="n">
        <v>54.23</v>
      </c>
      <c r="T1072" s="3" t="n">
        <v>54.95</v>
      </c>
      <c r="U1072" s="4" t="n">
        <v>0.4634</v>
      </c>
      <c r="V1072" s="3" t="n">
        <v>9.4</v>
      </c>
      <c r="W1072" t="inlineStr">
        <is>
          <t>Debit Card</t>
        </is>
      </c>
      <c r="X1072" t="inlineStr">
        <is>
          <t>Low</t>
        </is>
      </c>
    </row>
    <row r="1073">
      <c r="A1073" t="inlineStr">
        <is>
          <t>ORD-01072</t>
        </is>
      </c>
      <c r="B1073" s="2" t="n">
        <v>45101</v>
      </c>
      <c r="C1073" s="2" t="n">
        <v>45104</v>
      </c>
      <c r="D1073" t="inlineStr">
        <is>
          <t>CUST-01072</t>
        </is>
      </c>
      <c r="E1073" t="inlineStr">
        <is>
          <t>Customer 1072</t>
        </is>
      </c>
      <c r="F1073" t="inlineStr">
        <is>
          <t>Home Office</t>
        </is>
      </c>
      <c r="G1073" t="inlineStr">
        <is>
          <t>P1013</t>
        </is>
      </c>
      <c r="H1073" t="inlineStr">
        <is>
          <t>Nimbus Monitor Arm</t>
        </is>
      </c>
      <c r="I1073" t="inlineStr">
        <is>
          <t>Technology</t>
        </is>
      </c>
      <c r="J1073" t="inlineStr">
        <is>
          <t>Accessories</t>
        </is>
      </c>
      <c r="K1073" t="inlineStr">
        <is>
          <t>East</t>
        </is>
      </c>
      <c r="L1073" t="inlineStr">
        <is>
          <t>New Jersey</t>
        </is>
      </c>
      <c r="M1073" t="inlineStr">
        <is>
          <t>Boston</t>
        </is>
      </c>
      <c r="N1073" t="inlineStr">
        <is>
          <t>Ethan Brooks</t>
        </is>
      </c>
      <c r="O1073" t="n">
        <v>1</v>
      </c>
      <c r="P1073" s="3" t="n">
        <v>176.77</v>
      </c>
      <c r="Q1073" s="4" t="n">
        <v>0.029</v>
      </c>
      <c r="R1073" s="3" t="n">
        <v>171.64</v>
      </c>
      <c r="S1073" s="3" t="n">
        <v>104.28</v>
      </c>
      <c r="T1073" s="3" t="n">
        <v>59.56</v>
      </c>
      <c r="U1073" s="4" t="n">
        <v>0.347</v>
      </c>
      <c r="V1073" s="3" t="n">
        <v>7.8</v>
      </c>
      <c r="W1073" t="inlineStr">
        <is>
          <t>Credit Card</t>
        </is>
      </c>
      <c r="X1073" t="inlineStr">
        <is>
          <t>Medium</t>
        </is>
      </c>
    </row>
    <row r="1074">
      <c r="A1074" t="inlineStr">
        <is>
          <t>ORD-01073</t>
        </is>
      </c>
      <c r="B1074" s="2" t="n">
        <v>45054</v>
      </c>
      <c r="C1074" s="2" t="n">
        <v>45055</v>
      </c>
      <c r="D1074" t="inlineStr">
        <is>
          <t>CUST-01073</t>
        </is>
      </c>
      <c r="E1074" t="inlineStr">
        <is>
          <t>Customer 1073</t>
        </is>
      </c>
      <c r="F1074" t="inlineStr">
        <is>
          <t>Consumer</t>
        </is>
      </c>
      <c r="G1074" t="inlineStr">
        <is>
          <t>P1011</t>
        </is>
      </c>
      <c r="H1074" t="inlineStr">
        <is>
          <t>Tide Cooler</t>
        </is>
      </c>
      <c r="I1074" t="inlineStr">
        <is>
          <t>Technology</t>
        </is>
      </c>
      <c r="J1074" t="inlineStr">
        <is>
          <t>Storage</t>
        </is>
      </c>
      <c r="K1074" t="inlineStr">
        <is>
          <t>South</t>
        </is>
      </c>
      <c r="L1074" t="inlineStr">
        <is>
          <t>Georgia</t>
        </is>
      </c>
      <c r="M1074" t="inlineStr">
        <is>
          <t>Atlanta</t>
        </is>
      </c>
      <c r="N1074" t="inlineStr">
        <is>
          <t>James Carter</t>
        </is>
      </c>
      <c r="O1074" t="n">
        <v>3</v>
      </c>
      <c r="P1074" s="3" t="n">
        <v>88.78</v>
      </c>
      <c r="Q1074" s="4" t="n">
        <v>0.016</v>
      </c>
      <c r="R1074" s="3" t="n">
        <v>262.08</v>
      </c>
      <c r="S1074" s="3" t="n">
        <v>125.77</v>
      </c>
      <c r="T1074" s="3" t="n">
        <v>127.91</v>
      </c>
      <c r="U1074" s="4" t="n">
        <v>0.4881</v>
      </c>
      <c r="V1074" s="3" t="n">
        <v>8.4</v>
      </c>
      <c r="W1074" t="inlineStr">
        <is>
          <t>Credit Card</t>
        </is>
      </c>
      <c r="X1074" t="inlineStr">
        <is>
          <t>Medium</t>
        </is>
      </c>
    </row>
    <row r="1075">
      <c r="A1075" t="inlineStr">
        <is>
          <t>ORD-01074</t>
        </is>
      </c>
      <c r="B1075" s="2" t="n">
        <v>45070</v>
      </c>
      <c r="C1075" s="2" t="n">
        <v>45077</v>
      </c>
      <c r="D1075" t="inlineStr">
        <is>
          <t>CUST-01074</t>
        </is>
      </c>
      <c r="E1075" t="inlineStr">
        <is>
          <t>Customer 1074</t>
        </is>
      </c>
      <c r="F1075" t="inlineStr">
        <is>
          <t>Consumer</t>
        </is>
      </c>
      <c r="G1075" t="inlineStr">
        <is>
          <t>P1011</t>
        </is>
      </c>
      <c r="H1075" t="inlineStr">
        <is>
          <t>Summit Patio Set</t>
        </is>
      </c>
      <c r="I1075" t="inlineStr">
        <is>
          <t>Outdoor</t>
        </is>
      </c>
      <c r="J1075" t="inlineStr">
        <is>
          <t>Video</t>
        </is>
      </c>
      <c r="K1075" t="inlineStr">
        <is>
          <t>West</t>
        </is>
      </c>
      <c r="L1075" t="inlineStr">
        <is>
          <t>Colorado</t>
        </is>
      </c>
      <c r="M1075" t="inlineStr">
        <is>
          <t>Denver</t>
        </is>
      </c>
      <c r="N1075" t="inlineStr">
        <is>
          <t>Olivia Martin</t>
        </is>
      </c>
      <c r="O1075" t="n">
        <v>3</v>
      </c>
      <c r="P1075" s="3" t="n">
        <v>89.83</v>
      </c>
      <c r="Q1075" s="4" t="n">
        <v>0.012</v>
      </c>
      <c r="R1075" s="3" t="n">
        <v>266.26</v>
      </c>
      <c r="S1075" s="3" t="n">
        <v>127.27</v>
      </c>
      <c r="T1075" s="3" t="n">
        <v>129.59</v>
      </c>
      <c r="U1075" s="4" t="n">
        <v>0.4867</v>
      </c>
      <c r="V1075" s="3" t="n">
        <v>9.4</v>
      </c>
      <c r="W1075" t="inlineStr">
        <is>
          <t>Credit Card</t>
        </is>
      </c>
      <c r="X1075" t="inlineStr">
        <is>
          <t>Low</t>
        </is>
      </c>
    </row>
    <row r="1076">
      <c r="A1076" t="inlineStr">
        <is>
          <t>ORD-01075</t>
        </is>
      </c>
      <c r="B1076" s="2" t="n">
        <v>45979</v>
      </c>
      <c r="C1076" s="2" t="n">
        <v>45982</v>
      </c>
      <c r="D1076" t="inlineStr">
        <is>
          <t>CUST-01075</t>
        </is>
      </c>
      <c r="E1076" t="inlineStr">
        <is>
          <t>Customer 1075</t>
        </is>
      </c>
      <c r="F1076" t="inlineStr">
        <is>
          <t>Consumer</t>
        </is>
      </c>
      <c r="G1076" t="inlineStr">
        <is>
          <t>P1005</t>
        </is>
      </c>
      <c r="H1076" t="inlineStr">
        <is>
          <t>CloudDrive File Box</t>
        </is>
      </c>
      <c r="I1076" t="inlineStr">
        <is>
          <t>Home Decor</t>
        </is>
      </c>
      <c r="J1076" t="inlineStr">
        <is>
          <t>Lighting</t>
        </is>
      </c>
      <c r="K1076" t="inlineStr">
        <is>
          <t>East</t>
        </is>
      </c>
      <c r="L1076" t="inlineStr">
        <is>
          <t>Virginia</t>
        </is>
      </c>
      <c r="M1076" t="inlineStr">
        <is>
          <t>Philadelphia</t>
        </is>
      </c>
      <c r="N1076" t="inlineStr">
        <is>
          <t>Noah Kim</t>
        </is>
      </c>
      <c r="O1076" t="n">
        <v>3</v>
      </c>
      <c r="P1076" s="3" t="n">
        <v>13.81</v>
      </c>
      <c r="Q1076" s="4" t="n">
        <v>0.073</v>
      </c>
      <c r="R1076" s="3" t="n">
        <v>38.41</v>
      </c>
      <c r="S1076" s="3" t="n">
        <v>17.57</v>
      </c>
      <c r="T1076" s="3" t="n">
        <v>11.44</v>
      </c>
      <c r="U1076" s="4" t="n">
        <v>0.2978</v>
      </c>
      <c r="V1076" s="3" t="n">
        <v>9.4</v>
      </c>
      <c r="W1076" t="inlineStr">
        <is>
          <t>Bank Transfer</t>
        </is>
      </c>
      <c r="X1076" t="inlineStr">
        <is>
          <t>Critical</t>
        </is>
      </c>
    </row>
    <row r="1077">
      <c r="A1077" t="inlineStr">
        <is>
          <t>ORD-01076</t>
        </is>
      </c>
      <c r="B1077" s="2" t="n">
        <v>45335</v>
      </c>
      <c r="C1077" s="2" t="n">
        <v>45337</v>
      </c>
      <c r="D1077" t="inlineStr">
        <is>
          <t>CUST-01076</t>
        </is>
      </c>
      <c r="E1077" t="inlineStr">
        <is>
          <t>Customer 1076</t>
        </is>
      </c>
      <c r="F1077" t="inlineStr">
        <is>
          <t>Consumer</t>
        </is>
      </c>
      <c r="G1077" t="inlineStr">
        <is>
          <t>P1020</t>
        </is>
      </c>
      <c r="H1077" t="inlineStr">
        <is>
          <t>Pulse Keyboard</t>
        </is>
      </c>
      <c r="I1077" t="inlineStr">
        <is>
          <t>Furniture</t>
        </is>
      </c>
      <c r="J1077" t="inlineStr">
        <is>
          <t>Chairs</t>
        </is>
      </c>
      <c r="K1077" t="inlineStr">
        <is>
          <t>South</t>
        </is>
      </c>
      <c r="L1077" t="inlineStr">
        <is>
          <t>Georgia</t>
        </is>
      </c>
      <c r="M1077" t="inlineStr">
        <is>
          <t>Atlanta</t>
        </is>
      </c>
      <c r="N1077" t="inlineStr">
        <is>
          <t>Liam Chen</t>
        </is>
      </c>
      <c r="O1077" t="n">
        <v>5</v>
      </c>
      <c r="P1077" s="3" t="n">
        <v>71.47</v>
      </c>
      <c r="Q1077" s="4" t="n">
        <v>0.029</v>
      </c>
      <c r="R1077" s="3" t="n">
        <v>346.99</v>
      </c>
      <c r="S1077" s="3" t="n">
        <v>166.77</v>
      </c>
      <c r="T1077" s="3" t="n">
        <v>170.22</v>
      </c>
      <c r="U1077" s="4" t="n">
        <v>0.4906</v>
      </c>
      <c r="V1077" s="3" t="n">
        <v>10</v>
      </c>
      <c r="W1077" t="inlineStr">
        <is>
          <t>PayPal</t>
        </is>
      </c>
      <c r="X1077" t="inlineStr">
        <is>
          <t>Medium</t>
        </is>
      </c>
    </row>
    <row r="1078">
      <c r="A1078" t="inlineStr">
        <is>
          <t>ORD-01077</t>
        </is>
      </c>
      <c r="B1078" s="2" t="n">
        <v>45560</v>
      </c>
      <c r="C1078" s="2" t="n">
        <v>45562</v>
      </c>
      <c r="D1078" t="inlineStr">
        <is>
          <t>CUST-01077</t>
        </is>
      </c>
      <c r="E1078" t="inlineStr">
        <is>
          <t>Customer 1077</t>
        </is>
      </c>
      <c r="F1078" t="inlineStr">
        <is>
          <t>Home Office</t>
        </is>
      </c>
      <c r="G1078" t="inlineStr">
        <is>
          <t>P1001</t>
        </is>
      </c>
      <c r="H1078" t="inlineStr">
        <is>
          <t>Trail Tote</t>
        </is>
      </c>
      <c r="I1078" t="inlineStr">
        <is>
          <t>Outdoor</t>
        </is>
      </c>
      <c r="J1078" t="inlineStr">
        <is>
          <t>Bags</t>
        </is>
      </c>
      <c r="K1078" t="inlineStr">
        <is>
          <t>East</t>
        </is>
      </c>
      <c r="L1078" t="inlineStr">
        <is>
          <t>Massachusetts</t>
        </is>
      </c>
      <c r="M1078" t="inlineStr">
        <is>
          <t>New York</t>
        </is>
      </c>
      <c r="N1078" t="inlineStr">
        <is>
          <t>Liam Chen</t>
        </is>
      </c>
      <c r="O1078" t="n">
        <v>4</v>
      </c>
      <c r="P1078" s="3" t="n">
        <v>303.01</v>
      </c>
      <c r="Q1078" s="4" t="n">
        <v>0.018</v>
      </c>
      <c r="R1078" s="3" t="n">
        <v>1190.22</v>
      </c>
      <c r="S1078" s="3" t="n">
        <v>698.3</v>
      </c>
      <c r="T1078" s="3" t="n">
        <v>481.72</v>
      </c>
      <c r="U1078" s="4" t="n">
        <v>0.4047</v>
      </c>
      <c r="V1078" s="3" t="n">
        <v>10.2</v>
      </c>
      <c r="W1078" t="inlineStr">
        <is>
          <t>PayPal</t>
        </is>
      </c>
      <c r="X1078" t="inlineStr">
        <is>
          <t>Low</t>
        </is>
      </c>
    </row>
    <row r="1079">
      <c r="A1079" t="inlineStr">
        <is>
          <t>ORD-01078</t>
        </is>
      </c>
      <c r="B1079" s="2" t="n">
        <v>45743</v>
      </c>
      <c r="C1079" s="2" t="n">
        <v>45750</v>
      </c>
      <c r="D1079" t="inlineStr">
        <is>
          <t>CUST-01078</t>
        </is>
      </c>
      <c r="E1079" t="inlineStr">
        <is>
          <t>Customer 1078</t>
        </is>
      </c>
      <c r="F1079" t="inlineStr">
        <is>
          <t>Consumer</t>
        </is>
      </c>
      <c r="G1079" t="inlineStr">
        <is>
          <t>P1014</t>
        </is>
      </c>
      <c r="H1079" t="inlineStr">
        <is>
          <t>CloudDrive File Box</t>
        </is>
      </c>
      <c r="I1079" t="inlineStr">
        <is>
          <t>Outdoor</t>
        </is>
      </c>
      <c r="J1079" t="inlineStr">
        <is>
          <t>Decor</t>
        </is>
      </c>
      <c r="K1079" t="inlineStr">
        <is>
          <t>Central</t>
        </is>
      </c>
      <c r="L1079" t="inlineStr">
        <is>
          <t>Missouri</t>
        </is>
      </c>
      <c r="M1079" t="inlineStr">
        <is>
          <t>St. Louis</t>
        </is>
      </c>
      <c r="N1079" t="inlineStr">
        <is>
          <t>Sophia Singh</t>
        </is>
      </c>
      <c r="O1079" t="n">
        <v>5</v>
      </c>
      <c r="P1079" s="3" t="n">
        <v>41.6</v>
      </c>
      <c r="Q1079" s="4" t="n">
        <v>0.013</v>
      </c>
      <c r="R1079" s="3" t="n">
        <v>205.3</v>
      </c>
      <c r="S1079" s="3" t="n">
        <v>88.88</v>
      </c>
      <c r="T1079" s="3" t="n">
        <v>106.42</v>
      </c>
      <c r="U1079" s="4" t="n">
        <v>0.5184</v>
      </c>
      <c r="V1079" s="3" t="n">
        <v>10</v>
      </c>
      <c r="W1079" t="inlineStr">
        <is>
          <t>Cash on Delivery</t>
        </is>
      </c>
      <c r="X1079" t="inlineStr">
        <is>
          <t>Medium</t>
        </is>
      </c>
    </row>
    <row r="1080">
      <c r="A1080" t="inlineStr">
        <is>
          <t>ORD-01079</t>
        </is>
      </c>
      <c r="B1080" s="2" t="n">
        <v>45053</v>
      </c>
      <c r="C1080" s="2" t="n">
        <v>45054</v>
      </c>
      <c r="D1080" t="inlineStr">
        <is>
          <t>CUST-01079</t>
        </is>
      </c>
      <c r="E1080" t="inlineStr">
        <is>
          <t>Customer 1079</t>
        </is>
      </c>
      <c r="F1080" t="inlineStr">
        <is>
          <t>Consumer</t>
        </is>
      </c>
      <c r="G1080" t="inlineStr">
        <is>
          <t>P1020</t>
        </is>
      </c>
      <c r="H1080" t="inlineStr">
        <is>
          <t>ProClip Binder</t>
        </is>
      </c>
      <c r="I1080" t="inlineStr">
        <is>
          <t>Office Supplies</t>
        </is>
      </c>
      <c r="J1080" t="inlineStr">
        <is>
          <t>Plants</t>
        </is>
      </c>
      <c r="K1080" t="inlineStr">
        <is>
          <t>Central</t>
        </is>
      </c>
      <c r="L1080" t="inlineStr">
        <is>
          <t>Illinois</t>
        </is>
      </c>
      <c r="M1080" t="inlineStr">
        <is>
          <t>Chicago</t>
        </is>
      </c>
      <c r="N1080" t="inlineStr">
        <is>
          <t>Liam Chen</t>
        </is>
      </c>
      <c r="O1080" t="n">
        <v>1</v>
      </c>
      <c r="P1080" s="3" t="n">
        <v>72.72</v>
      </c>
      <c r="Q1080" s="4" t="n">
        <v>0.001</v>
      </c>
      <c r="R1080" s="3" t="n">
        <v>72.65000000000001</v>
      </c>
      <c r="S1080" s="3" t="n">
        <v>39.71</v>
      </c>
      <c r="T1080" s="3" t="n">
        <v>26.14</v>
      </c>
      <c r="U1080" s="4" t="n">
        <v>0.3598</v>
      </c>
      <c r="V1080" s="3" t="n">
        <v>6.8</v>
      </c>
      <c r="W1080" t="inlineStr">
        <is>
          <t>Debit Card</t>
        </is>
      </c>
      <c r="X1080" t="inlineStr">
        <is>
          <t>Medium</t>
        </is>
      </c>
    </row>
    <row r="1081">
      <c r="A1081" t="inlineStr">
        <is>
          <t>ORD-01080</t>
        </is>
      </c>
      <c r="B1081" s="2" t="n">
        <v>45716</v>
      </c>
      <c r="C1081" s="2" t="n">
        <v>45722</v>
      </c>
      <c r="D1081" t="inlineStr">
        <is>
          <t>CUST-01080</t>
        </is>
      </c>
      <c r="E1081" t="inlineStr">
        <is>
          <t>Customer 1080</t>
        </is>
      </c>
      <c r="F1081" t="inlineStr">
        <is>
          <t>Home Office</t>
        </is>
      </c>
      <c r="G1081" t="inlineStr">
        <is>
          <t>P1019</t>
        </is>
      </c>
      <c r="H1081" t="inlineStr">
        <is>
          <t>ProClip Binder</t>
        </is>
      </c>
      <c r="I1081" t="inlineStr">
        <is>
          <t>Home Decor</t>
        </is>
      </c>
      <c r="J1081" t="inlineStr">
        <is>
          <t>Desks</t>
        </is>
      </c>
      <c r="K1081" t="inlineStr">
        <is>
          <t>West</t>
        </is>
      </c>
      <c r="L1081" t="inlineStr">
        <is>
          <t>California</t>
        </is>
      </c>
      <c r="M1081" t="inlineStr">
        <is>
          <t>Los Angeles</t>
        </is>
      </c>
      <c r="N1081" t="inlineStr">
        <is>
          <t>Olivia Martin</t>
        </is>
      </c>
      <c r="O1081" t="n">
        <v>3</v>
      </c>
      <c r="P1081" s="3" t="n">
        <v>56.51</v>
      </c>
      <c r="Q1081" s="4" t="n">
        <v>0.026</v>
      </c>
      <c r="R1081" s="3" t="n">
        <v>165.12</v>
      </c>
      <c r="S1081" s="3" t="n">
        <v>75.90000000000001</v>
      </c>
      <c r="T1081" s="3" t="n">
        <v>79.81999999999999</v>
      </c>
      <c r="U1081" s="4" t="n">
        <v>0.4834</v>
      </c>
      <c r="V1081" s="3" t="n">
        <v>9.4</v>
      </c>
      <c r="W1081" t="inlineStr">
        <is>
          <t>Bank Transfer</t>
        </is>
      </c>
      <c r="X1081" t="inlineStr">
        <is>
          <t>High</t>
        </is>
      </c>
    </row>
    <row r="1082">
      <c r="A1082" t="inlineStr">
        <is>
          <t>ORD-01081</t>
        </is>
      </c>
      <c r="B1082" s="2" t="n">
        <v>45798</v>
      </c>
      <c r="C1082" s="2" t="n">
        <v>45800</v>
      </c>
      <c r="D1082" t="inlineStr">
        <is>
          <t>CUST-01081</t>
        </is>
      </c>
      <c r="E1082" t="inlineStr">
        <is>
          <t>Customer 1081</t>
        </is>
      </c>
      <c r="F1082" t="inlineStr">
        <is>
          <t>Consumer</t>
        </is>
      </c>
      <c r="G1082" t="inlineStr">
        <is>
          <t>P1005</t>
        </is>
      </c>
      <c r="H1082" t="inlineStr">
        <is>
          <t>ProClip Binder</t>
        </is>
      </c>
      <c r="I1082" t="inlineStr">
        <is>
          <t>Home Decor</t>
        </is>
      </c>
      <c r="J1082" t="inlineStr">
        <is>
          <t>Bags</t>
        </is>
      </c>
      <c r="K1082" t="inlineStr">
        <is>
          <t>North</t>
        </is>
      </c>
      <c r="L1082" t="inlineStr">
        <is>
          <t>British Columbia</t>
        </is>
      </c>
      <c r="M1082" t="inlineStr">
        <is>
          <t>Vancouver</t>
        </is>
      </c>
      <c r="N1082" t="inlineStr">
        <is>
          <t>Noah Kim</t>
        </is>
      </c>
      <c r="O1082" t="n">
        <v>3</v>
      </c>
      <c r="P1082" s="3" t="n">
        <v>12.43</v>
      </c>
      <c r="Q1082" s="4" t="n">
        <v>0.03</v>
      </c>
      <c r="R1082" s="3" t="n">
        <v>36.17</v>
      </c>
      <c r="S1082" s="3" t="n">
        <v>18.78</v>
      </c>
      <c r="T1082" s="3" t="n">
        <v>8.99</v>
      </c>
      <c r="U1082" s="4" t="n">
        <v>0.2485</v>
      </c>
      <c r="V1082" s="3" t="n">
        <v>8.4</v>
      </c>
      <c r="W1082" t="inlineStr">
        <is>
          <t>PayPal</t>
        </is>
      </c>
      <c r="X1082" t="inlineStr">
        <is>
          <t>Medium</t>
        </is>
      </c>
    </row>
    <row r="1083">
      <c r="A1083" t="inlineStr">
        <is>
          <t>ORD-01082</t>
        </is>
      </c>
      <c r="B1083" s="2" t="n">
        <v>45222</v>
      </c>
      <c r="C1083" s="2" t="n">
        <v>45225</v>
      </c>
      <c r="D1083" t="inlineStr">
        <is>
          <t>CUST-01082</t>
        </is>
      </c>
      <c r="E1083" t="inlineStr">
        <is>
          <t>Customer 1082</t>
        </is>
      </c>
      <c r="F1083" t="inlineStr">
        <is>
          <t>Consumer</t>
        </is>
      </c>
      <c r="G1083" t="inlineStr">
        <is>
          <t>P1020</t>
        </is>
      </c>
      <c r="H1083" t="inlineStr">
        <is>
          <t>Lumen Desk Lamp</t>
        </is>
      </c>
      <c r="I1083" t="inlineStr">
        <is>
          <t>Home Decor</t>
        </is>
      </c>
      <c r="J1083" t="inlineStr">
        <is>
          <t>Writing</t>
        </is>
      </c>
      <c r="K1083" t="inlineStr">
        <is>
          <t>West</t>
        </is>
      </c>
      <c r="L1083" t="inlineStr">
        <is>
          <t>Oregon</t>
        </is>
      </c>
      <c r="M1083" t="inlineStr">
        <is>
          <t>Los Angeles</t>
        </is>
      </c>
      <c r="N1083" t="inlineStr">
        <is>
          <t>Mia Rodriguez</t>
        </is>
      </c>
      <c r="O1083" t="n">
        <v>1</v>
      </c>
      <c r="P1083" s="3" t="n">
        <v>80.34999999999999</v>
      </c>
      <c r="Q1083" s="4" t="n">
        <v>0.028</v>
      </c>
      <c r="R1083" s="3" t="n">
        <v>78.09999999999999</v>
      </c>
      <c r="S1083" s="3" t="n">
        <v>39.88</v>
      </c>
      <c r="T1083" s="3" t="n">
        <v>30.42</v>
      </c>
      <c r="U1083" s="4" t="n">
        <v>0.3895</v>
      </c>
      <c r="V1083" s="3" t="n">
        <v>7.8</v>
      </c>
      <c r="W1083" t="inlineStr">
        <is>
          <t>Cash on Delivery</t>
        </is>
      </c>
      <c r="X1083" t="inlineStr">
        <is>
          <t>Medium</t>
        </is>
      </c>
    </row>
    <row r="1084">
      <c r="A1084" t="inlineStr">
        <is>
          <t>ORD-01083</t>
        </is>
      </c>
      <c r="B1084" s="2" t="n">
        <v>45650</v>
      </c>
      <c r="C1084" s="2" t="n">
        <v>45657</v>
      </c>
      <c r="D1084" t="inlineStr">
        <is>
          <t>CUST-01083</t>
        </is>
      </c>
      <c r="E1084" t="inlineStr">
        <is>
          <t>Customer 1083</t>
        </is>
      </c>
      <c r="F1084" t="inlineStr">
        <is>
          <t>Consumer</t>
        </is>
      </c>
      <c r="G1084" t="inlineStr">
        <is>
          <t>P1006</t>
        </is>
      </c>
      <c r="H1084" t="inlineStr">
        <is>
          <t>Orbit Wireless Mouse</t>
        </is>
      </c>
      <c r="I1084" t="inlineStr">
        <is>
          <t>Outdoor</t>
        </is>
      </c>
      <c r="J1084" t="inlineStr">
        <is>
          <t>Chairs</t>
        </is>
      </c>
      <c r="K1084" t="inlineStr">
        <is>
          <t>North</t>
        </is>
      </c>
      <c r="L1084" t="inlineStr">
        <is>
          <t>Ontario</t>
        </is>
      </c>
      <c r="M1084" t="inlineStr">
        <is>
          <t>Vancouver</t>
        </is>
      </c>
      <c r="N1084" t="inlineStr">
        <is>
          <t>James Carter</t>
        </is>
      </c>
      <c r="O1084" t="n">
        <v>4</v>
      </c>
      <c r="P1084" s="3" t="n">
        <v>19.85</v>
      </c>
      <c r="Q1084" s="4" t="n">
        <v>0.053</v>
      </c>
      <c r="R1084" s="3" t="n">
        <v>75.19</v>
      </c>
      <c r="S1084" s="3" t="n">
        <v>29.3</v>
      </c>
      <c r="T1084" s="3" t="n">
        <v>36.69</v>
      </c>
      <c r="U1084" s="4" t="n">
        <v>0.488</v>
      </c>
      <c r="V1084" s="3" t="n">
        <v>9.199999999999999</v>
      </c>
      <c r="W1084" t="inlineStr">
        <is>
          <t>PayPal</t>
        </is>
      </c>
      <c r="X1084" t="inlineStr">
        <is>
          <t>High</t>
        </is>
      </c>
    </row>
    <row r="1085">
      <c r="A1085" t="inlineStr">
        <is>
          <t>ORD-01084</t>
        </is>
      </c>
      <c r="B1085" s="2" t="n">
        <v>45772</v>
      </c>
      <c r="C1085" s="2" t="n">
        <v>45778</v>
      </c>
      <c r="D1085" t="inlineStr">
        <is>
          <t>CUST-01084</t>
        </is>
      </c>
      <c r="E1085" t="inlineStr">
        <is>
          <t>Customer 1084</t>
        </is>
      </c>
      <c r="F1085" t="inlineStr">
        <is>
          <t>Consumer</t>
        </is>
      </c>
      <c r="G1085" t="inlineStr">
        <is>
          <t>P1019</t>
        </is>
      </c>
      <c r="H1085" t="inlineStr">
        <is>
          <t>Orbit Wireless Mouse</t>
        </is>
      </c>
      <c r="I1085" t="inlineStr">
        <is>
          <t>Home Decor</t>
        </is>
      </c>
      <c r="J1085" t="inlineStr">
        <is>
          <t>Paper</t>
        </is>
      </c>
      <c r="K1085" t="inlineStr">
        <is>
          <t>North</t>
        </is>
      </c>
      <c r="L1085" t="inlineStr">
        <is>
          <t>Ontario</t>
        </is>
      </c>
      <c r="M1085" t="inlineStr">
        <is>
          <t>Toronto</t>
        </is>
      </c>
      <c r="N1085" t="inlineStr">
        <is>
          <t>Ava Patel</t>
        </is>
      </c>
      <c r="O1085" t="n">
        <v>2</v>
      </c>
      <c r="P1085" s="3" t="n">
        <v>55.72</v>
      </c>
      <c r="Q1085" s="4" t="n">
        <v>0.001</v>
      </c>
      <c r="R1085" s="3" t="n">
        <v>111.33</v>
      </c>
      <c r="S1085" s="3" t="n">
        <v>56.04</v>
      </c>
      <c r="T1085" s="3" t="n">
        <v>47.69</v>
      </c>
      <c r="U1085" s="4" t="n">
        <v>0.4284</v>
      </c>
      <c r="V1085" s="3" t="n">
        <v>7.6</v>
      </c>
      <c r="W1085" t="inlineStr">
        <is>
          <t>Credit Card</t>
        </is>
      </c>
      <c r="X1085" t="inlineStr">
        <is>
          <t>Low</t>
        </is>
      </c>
    </row>
    <row r="1086">
      <c r="A1086" t="inlineStr">
        <is>
          <t>ORD-01085</t>
        </is>
      </c>
      <c r="B1086" s="2" t="n">
        <v>45856</v>
      </c>
      <c r="C1086" s="2" t="n">
        <v>45857</v>
      </c>
      <c r="D1086" t="inlineStr">
        <is>
          <t>CUST-01085</t>
        </is>
      </c>
      <c r="E1086" t="inlineStr">
        <is>
          <t>Customer 1085</t>
        </is>
      </c>
      <c r="F1086" t="inlineStr">
        <is>
          <t>Consumer</t>
        </is>
      </c>
      <c r="G1086" t="inlineStr">
        <is>
          <t>P1012</t>
        </is>
      </c>
      <c r="H1086" t="inlineStr">
        <is>
          <t>Nova Laptop Stand</t>
        </is>
      </c>
      <c r="I1086" t="inlineStr">
        <is>
          <t>Outdoor</t>
        </is>
      </c>
      <c r="J1086" t="inlineStr">
        <is>
          <t>Decor</t>
        </is>
      </c>
      <c r="K1086" t="inlineStr">
        <is>
          <t>Central</t>
        </is>
      </c>
      <c r="L1086" t="inlineStr">
        <is>
          <t>Missouri</t>
        </is>
      </c>
      <c r="M1086" t="inlineStr">
        <is>
          <t>Kansas City</t>
        </is>
      </c>
      <c r="N1086" t="inlineStr">
        <is>
          <t>Ava Patel</t>
        </is>
      </c>
      <c r="O1086" t="n">
        <v>4</v>
      </c>
      <c r="P1086" s="3" t="n">
        <v>134.99</v>
      </c>
      <c r="Q1086" s="4" t="n">
        <v>0.05</v>
      </c>
      <c r="R1086" s="3" t="n">
        <v>512.96</v>
      </c>
      <c r="S1086" s="3" t="n">
        <v>262.2</v>
      </c>
      <c r="T1086" s="3" t="n">
        <v>241.56</v>
      </c>
      <c r="U1086" s="4" t="n">
        <v>0.4709</v>
      </c>
      <c r="V1086" s="3" t="n">
        <v>9.199999999999999</v>
      </c>
      <c r="W1086" t="inlineStr">
        <is>
          <t>Bank Transfer</t>
        </is>
      </c>
      <c r="X1086" t="inlineStr">
        <is>
          <t>High</t>
        </is>
      </c>
    </row>
    <row r="1087">
      <c r="A1087" t="inlineStr">
        <is>
          <t>ORD-01086</t>
        </is>
      </c>
      <c r="B1087" s="2" t="n">
        <v>45479</v>
      </c>
      <c r="C1087" s="2" t="n">
        <v>45481</v>
      </c>
      <c r="D1087" t="inlineStr">
        <is>
          <t>CUST-01086</t>
        </is>
      </c>
      <c r="E1087" t="inlineStr">
        <is>
          <t>Customer 1086</t>
        </is>
      </c>
      <c r="F1087" t="inlineStr">
        <is>
          <t>Consumer</t>
        </is>
      </c>
      <c r="G1087" t="inlineStr">
        <is>
          <t>P1014</t>
        </is>
      </c>
      <c r="H1087" t="inlineStr">
        <is>
          <t>Nimbus Monitor Arm</t>
        </is>
      </c>
      <c r="I1087" t="inlineStr">
        <is>
          <t>Furniture</t>
        </is>
      </c>
      <c r="J1087" t="inlineStr">
        <is>
          <t>Binders</t>
        </is>
      </c>
      <c r="K1087" t="inlineStr">
        <is>
          <t>East</t>
        </is>
      </c>
      <c r="L1087" t="inlineStr">
        <is>
          <t>New York</t>
        </is>
      </c>
      <c r="M1087" t="inlineStr">
        <is>
          <t>Boston</t>
        </is>
      </c>
      <c r="N1087" t="inlineStr">
        <is>
          <t>Olivia Martin</t>
        </is>
      </c>
      <c r="O1087" t="n">
        <v>1</v>
      </c>
      <c r="P1087" s="3" t="n">
        <v>42.47</v>
      </c>
      <c r="Q1087" s="4" t="n">
        <v>0.023</v>
      </c>
      <c r="R1087" s="3" t="n">
        <v>41.49</v>
      </c>
      <c r="S1087" s="3" t="n">
        <v>20.67</v>
      </c>
      <c r="T1087" s="3" t="n">
        <v>13.02</v>
      </c>
      <c r="U1087" s="4" t="n">
        <v>0.3138</v>
      </c>
      <c r="V1087" s="3" t="n">
        <v>7.8</v>
      </c>
      <c r="W1087" t="inlineStr">
        <is>
          <t>Debit Card</t>
        </is>
      </c>
      <c r="X1087" t="inlineStr">
        <is>
          <t>Medium</t>
        </is>
      </c>
    </row>
    <row r="1088">
      <c r="A1088" t="inlineStr">
        <is>
          <t>ORD-01087</t>
        </is>
      </c>
      <c r="B1088" s="2" t="n">
        <v>45605</v>
      </c>
      <c r="C1088" s="2" t="n">
        <v>45612</v>
      </c>
      <c r="D1088" t="inlineStr">
        <is>
          <t>CUST-01087</t>
        </is>
      </c>
      <c r="E1088" t="inlineStr">
        <is>
          <t>Customer 1087</t>
        </is>
      </c>
      <c r="F1088" t="inlineStr">
        <is>
          <t>Home Office</t>
        </is>
      </c>
      <c r="G1088" t="inlineStr">
        <is>
          <t>P1017</t>
        </is>
      </c>
      <c r="H1088" t="inlineStr">
        <is>
          <t>Lumen Desk Lamp</t>
        </is>
      </c>
      <c r="I1088" t="inlineStr">
        <is>
          <t>Furniture</t>
        </is>
      </c>
      <c r="J1088" t="inlineStr">
        <is>
          <t>Writing</t>
        </is>
      </c>
      <c r="K1088" t="inlineStr">
        <is>
          <t>South</t>
        </is>
      </c>
      <c r="L1088" t="inlineStr">
        <is>
          <t>Georgia</t>
        </is>
      </c>
      <c r="M1088" t="inlineStr">
        <is>
          <t>Atlanta</t>
        </is>
      </c>
      <c r="N1088" t="inlineStr">
        <is>
          <t>Ava Patel</t>
        </is>
      </c>
      <c r="O1088" t="n">
        <v>3</v>
      </c>
      <c r="P1088" s="3" t="n">
        <v>572.63</v>
      </c>
      <c r="Q1088" s="4" t="n">
        <v>0.004</v>
      </c>
      <c r="R1088" s="3" t="n">
        <v>1711.02</v>
      </c>
      <c r="S1088" s="3" t="n">
        <v>1137.52</v>
      </c>
      <c r="T1088" s="3" t="n">
        <v>565.1</v>
      </c>
      <c r="U1088" s="4" t="n">
        <v>0.3303</v>
      </c>
      <c r="V1088" s="3" t="n">
        <v>8.4</v>
      </c>
      <c r="W1088" t="inlineStr">
        <is>
          <t>Credit Card</t>
        </is>
      </c>
      <c r="X1088" t="inlineStr">
        <is>
          <t>Medium</t>
        </is>
      </c>
    </row>
    <row r="1089">
      <c r="A1089" t="inlineStr">
        <is>
          <t>ORD-01088</t>
        </is>
      </c>
      <c r="B1089" s="2" t="n">
        <v>45205</v>
      </c>
      <c r="C1089" s="2" t="n">
        <v>45207</v>
      </c>
      <c r="D1089" t="inlineStr">
        <is>
          <t>CUST-01088</t>
        </is>
      </c>
      <c r="E1089" t="inlineStr">
        <is>
          <t>Customer 1088</t>
        </is>
      </c>
      <c r="F1089" t="inlineStr">
        <is>
          <t>Home Office</t>
        </is>
      </c>
      <c r="G1089" t="inlineStr">
        <is>
          <t>P1007</t>
        </is>
      </c>
      <c r="H1089" t="inlineStr">
        <is>
          <t>Aero Standing Desk</t>
        </is>
      </c>
      <c r="I1089" t="inlineStr">
        <is>
          <t>Office Supplies</t>
        </is>
      </c>
      <c r="J1089" t="inlineStr">
        <is>
          <t>Video</t>
        </is>
      </c>
      <c r="K1089" t="inlineStr">
        <is>
          <t>Central</t>
        </is>
      </c>
      <c r="L1089" t="inlineStr">
        <is>
          <t>Minnesota</t>
        </is>
      </c>
      <c r="M1089" t="inlineStr">
        <is>
          <t>St. Louis</t>
        </is>
      </c>
      <c r="N1089" t="inlineStr">
        <is>
          <t>Noah Kim</t>
        </is>
      </c>
      <c r="O1089" t="n">
        <v>3</v>
      </c>
      <c r="P1089" s="3" t="n">
        <v>26.35</v>
      </c>
      <c r="Q1089" s="4" t="n">
        <v>0.024</v>
      </c>
      <c r="R1089" s="3" t="n">
        <v>77.15000000000001</v>
      </c>
      <c r="S1089" s="3" t="n">
        <v>29.77</v>
      </c>
      <c r="T1089" s="3" t="n">
        <v>38.98</v>
      </c>
      <c r="U1089" s="4" t="n">
        <v>0.5052</v>
      </c>
      <c r="V1089" s="3" t="n">
        <v>8.4</v>
      </c>
      <c r="W1089" t="inlineStr">
        <is>
          <t>Credit Card</t>
        </is>
      </c>
      <c r="X1089" t="inlineStr">
        <is>
          <t>Medium</t>
        </is>
      </c>
    </row>
    <row r="1090">
      <c r="A1090" t="inlineStr">
        <is>
          <t>ORD-01089</t>
        </is>
      </c>
      <c r="B1090" s="2" t="n">
        <v>45856</v>
      </c>
      <c r="C1090" s="2" t="n">
        <v>45859</v>
      </c>
      <c r="D1090" t="inlineStr">
        <is>
          <t>CUST-01089</t>
        </is>
      </c>
      <c r="E1090" t="inlineStr">
        <is>
          <t>Customer 1089</t>
        </is>
      </c>
      <c r="F1090" t="inlineStr">
        <is>
          <t>Consumer</t>
        </is>
      </c>
      <c r="G1090" t="inlineStr">
        <is>
          <t>P1001</t>
        </is>
      </c>
      <c r="H1090" t="inlineStr">
        <is>
          <t>CloudDrive File Box</t>
        </is>
      </c>
      <c r="I1090" t="inlineStr">
        <is>
          <t>Outdoor</t>
        </is>
      </c>
      <c r="J1090" t="inlineStr">
        <is>
          <t>Writing</t>
        </is>
      </c>
      <c r="K1090" t="inlineStr">
        <is>
          <t>East</t>
        </is>
      </c>
      <c r="L1090" t="inlineStr">
        <is>
          <t>Massachusetts</t>
        </is>
      </c>
      <c r="M1090" t="inlineStr">
        <is>
          <t>New York</t>
        </is>
      </c>
      <c r="N1090" t="inlineStr">
        <is>
          <t>Sophia Singh</t>
        </is>
      </c>
      <c r="O1090" t="n">
        <v>3</v>
      </c>
      <c r="P1090" s="3" t="n">
        <v>311.06</v>
      </c>
      <c r="Q1090" s="4" t="n">
        <v>0.008</v>
      </c>
      <c r="R1090" s="3" t="n">
        <v>925.71</v>
      </c>
      <c r="S1090" s="3" t="n">
        <v>542.47</v>
      </c>
      <c r="T1090" s="3" t="n">
        <v>373.84</v>
      </c>
      <c r="U1090" s="4" t="n">
        <v>0.4038</v>
      </c>
      <c r="V1090" s="3" t="n">
        <v>9.4</v>
      </c>
      <c r="W1090" t="inlineStr">
        <is>
          <t>Bank Transfer</t>
        </is>
      </c>
      <c r="X1090" t="inlineStr">
        <is>
          <t>Medium</t>
        </is>
      </c>
    </row>
    <row r="1091">
      <c r="A1091" t="inlineStr">
        <is>
          <t>ORD-01090</t>
        </is>
      </c>
      <c r="B1091" s="2" t="n">
        <v>45186</v>
      </c>
      <c r="C1091" s="2" t="n">
        <v>45188</v>
      </c>
      <c r="D1091" t="inlineStr">
        <is>
          <t>CUST-01090</t>
        </is>
      </c>
      <c r="E1091" t="inlineStr">
        <is>
          <t>Customer 1090</t>
        </is>
      </c>
      <c r="F1091" t="inlineStr">
        <is>
          <t>Consumer</t>
        </is>
      </c>
      <c r="G1091" t="inlineStr">
        <is>
          <t>P1017</t>
        </is>
      </c>
      <c r="H1091" t="inlineStr">
        <is>
          <t>Nova Laptop Stand</t>
        </is>
      </c>
      <c r="I1091" t="inlineStr">
        <is>
          <t>Office Supplies</t>
        </is>
      </c>
      <c r="J1091" t="inlineStr">
        <is>
          <t>Coolers</t>
        </is>
      </c>
      <c r="K1091" t="inlineStr">
        <is>
          <t>Central</t>
        </is>
      </c>
      <c r="L1091" t="inlineStr">
        <is>
          <t>Minnesota</t>
        </is>
      </c>
      <c r="M1091" t="inlineStr">
        <is>
          <t>St. Louis</t>
        </is>
      </c>
      <c r="N1091" t="inlineStr">
        <is>
          <t>James Carter</t>
        </is>
      </c>
      <c r="O1091" t="n">
        <v>2</v>
      </c>
      <c r="P1091" s="3" t="n">
        <v>532.61</v>
      </c>
      <c r="Q1091" s="4" t="n">
        <v>0.002</v>
      </c>
      <c r="R1091" s="3" t="n">
        <v>1063.09</v>
      </c>
      <c r="S1091" s="3" t="n">
        <v>708.1799999999999</v>
      </c>
      <c r="T1091" s="3" t="n">
        <v>347.31</v>
      </c>
      <c r="U1091" s="4" t="n">
        <v>0.3267</v>
      </c>
      <c r="V1091" s="3" t="n">
        <v>7.6</v>
      </c>
      <c r="W1091" t="inlineStr">
        <is>
          <t>Debit Card</t>
        </is>
      </c>
      <c r="X1091" t="inlineStr">
        <is>
          <t>Medium</t>
        </is>
      </c>
    </row>
    <row r="1092">
      <c r="A1092" t="inlineStr">
        <is>
          <t>ORD-01091</t>
        </is>
      </c>
      <c r="B1092" s="2" t="n">
        <v>45973</v>
      </c>
      <c r="C1092" s="2" t="n">
        <v>45980</v>
      </c>
      <c r="D1092" t="inlineStr">
        <is>
          <t>CUST-01091</t>
        </is>
      </c>
      <c r="E1092" t="inlineStr">
        <is>
          <t>Customer 1091</t>
        </is>
      </c>
      <c r="F1092" t="inlineStr">
        <is>
          <t>Consumer</t>
        </is>
      </c>
      <c r="G1092" t="inlineStr">
        <is>
          <t>P1006</t>
        </is>
      </c>
      <c r="H1092" t="inlineStr">
        <is>
          <t>Lumen Desk Lamp</t>
        </is>
      </c>
      <c r="I1092" t="inlineStr">
        <is>
          <t>Outdoor</t>
        </is>
      </c>
      <c r="J1092" t="inlineStr">
        <is>
          <t>Textiles</t>
        </is>
      </c>
      <c r="K1092" t="inlineStr">
        <is>
          <t>Central</t>
        </is>
      </c>
      <c r="L1092" t="inlineStr">
        <is>
          <t>Minnesota</t>
        </is>
      </c>
      <c r="M1092" t="inlineStr">
        <is>
          <t>St. Louis</t>
        </is>
      </c>
      <c r="N1092" t="inlineStr">
        <is>
          <t>Noah Kim</t>
        </is>
      </c>
      <c r="O1092" t="n">
        <v>3</v>
      </c>
      <c r="P1092" s="3" t="n">
        <v>19.61</v>
      </c>
      <c r="Q1092" s="4" t="n">
        <v>0.022</v>
      </c>
      <c r="R1092" s="3" t="n">
        <v>57.54</v>
      </c>
      <c r="S1092" s="3" t="n">
        <v>22.44</v>
      </c>
      <c r="T1092" s="3" t="n">
        <v>26.7</v>
      </c>
      <c r="U1092" s="4" t="n">
        <v>0.464</v>
      </c>
      <c r="V1092" s="3" t="n">
        <v>8.4</v>
      </c>
      <c r="W1092" t="inlineStr">
        <is>
          <t>Debit Card</t>
        </is>
      </c>
      <c r="X1092" t="inlineStr">
        <is>
          <t>Medium</t>
        </is>
      </c>
    </row>
    <row r="1093">
      <c r="A1093" t="inlineStr">
        <is>
          <t>ORD-01092</t>
        </is>
      </c>
      <c r="B1093" s="2" t="n">
        <v>45294</v>
      </c>
      <c r="C1093" s="2" t="n">
        <v>45297</v>
      </c>
      <c r="D1093" t="inlineStr">
        <is>
          <t>CUST-01092</t>
        </is>
      </c>
      <c r="E1093" t="inlineStr">
        <is>
          <t>Customer 1092</t>
        </is>
      </c>
      <c r="F1093" t="inlineStr">
        <is>
          <t>Corporate</t>
        </is>
      </c>
      <c r="G1093" t="inlineStr">
        <is>
          <t>P1004</t>
        </is>
      </c>
      <c r="H1093" t="inlineStr">
        <is>
          <t>Atlas Throw Pillow</t>
        </is>
      </c>
      <c r="I1093" t="inlineStr">
        <is>
          <t>Home Decor</t>
        </is>
      </c>
      <c r="J1093" t="inlineStr">
        <is>
          <t>Accessories</t>
        </is>
      </c>
      <c r="K1093" t="inlineStr">
        <is>
          <t>North</t>
        </is>
      </c>
      <c r="L1093" t="inlineStr">
        <is>
          <t>Ontario</t>
        </is>
      </c>
      <c r="M1093" t="inlineStr">
        <is>
          <t>Montreal</t>
        </is>
      </c>
      <c r="N1093" t="inlineStr">
        <is>
          <t>Olivia Martin</t>
        </is>
      </c>
      <c r="O1093" t="n">
        <v>3</v>
      </c>
      <c r="P1093" s="3" t="n">
        <v>622.6</v>
      </c>
      <c r="Q1093" s="4" t="n">
        <v>0.017</v>
      </c>
      <c r="R1093" s="3" t="n">
        <v>1836.05</v>
      </c>
      <c r="S1093" s="3" t="n">
        <v>1166.44</v>
      </c>
      <c r="T1093" s="3" t="n">
        <v>661.21</v>
      </c>
      <c r="U1093" s="4" t="n">
        <v>0.3601</v>
      </c>
      <c r="V1093" s="3" t="n">
        <v>8.4</v>
      </c>
      <c r="W1093" t="inlineStr">
        <is>
          <t>Credit Card</t>
        </is>
      </c>
      <c r="X1093" t="inlineStr">
        <is>
          <t>Low</t>
        </is>
      </c>
    </row>
    <row r="1094">
      <c r="A1094" t="inlineStr">
        <is>
          <t>ORD-01093</t>
        </is>
      </c>
      <c r="B1094" s="2" t="n">
        <v>45470</v>
      </c>
      <c r="C1094" s="2" t="n">
        <v>45475</v>
      </c>
      <c r="D1094" t="inlineStr">
        <is>
          <t>CUST-01093</t>
        </is>
      </c>
      <c r="E1094" t="inlineStr">
        <is>
          <t>Customer 1093</t>
        </is>
      </c>
      <c r="F1094" t="inlineStr">
        <is>
          <t>Consumer</t>
        </is>
      </c>
      <c r="G1094" t="inlineStr">
        <is>
          <t>P1014</t>
        </is>
      </c>
      <c r="H1094" t="inlineStr">
        <is>
          <t>ProClip Binder</t>
        </is>
      </c>
      <c r="I1094" t="inlineStr">
        <is>
          <t>Home Decor</t>
        </is>
      </c>
      <c r="J1094" t="inlineStr">
        <is>
          <t>Writing</t>
        </is>
      </c>
      <c r="K1094" t="inlineStr">
        <is>
          <t>South</t>
        </is>
      </c>
      <c r="L1094" t="inlineStr">
        <is>
          <t>Texas</t>
        </is>
      </c>
      <c r="M1094" t="inlineStr">
        <is>
          <t>Miami</t>
        </is>
      </c>
      <c r="N1094" t="inlineStr">
        <is>
          <t>James Carter</t>
        </is>
      </c>
      <c r="O1094" t="n">
        <v>2</v>
      </c>
      <c r="P1094" s="3" t="n">
        <v>42.1</v>
      </c>
      <c r="Q1094" s="4" t="n">
        <v>0.012</v>
      </c>
      <c r="R1094" s="3" t="n">
        <v>83.19</v>
      </c>
      <c r="S1094" s="3" t="n">
        <v>42.33</v>
      </c>
      <c r="T1094" s="3" t="n">
        <v>33.26</v>
      </c>
      <c r="U1094" s="4" t="n">
        <v>0.3998</v>
      </c>
      <c r="V1094" s="3" t="n">
        <v>7.6</v>
      </c>
      <c r="W1094" t="inlineStr">
        <is>
          <t>Credit Card</t>
        </is>
      </c>
      <c r="X1094" t="inlineStr">
        <is>
          <t>Medium</t>
        </is>
      </c>
    </row>
    <row r="1095">
      <c r="A1095" t="inlineStr">
        <is>
          <t>ORD-01094</t>
        </is>
      </c>
      <c r="B1095" s="2" t="n">
        <v>45631</v>
      </c>
      <c r="C1095" s="2" t="n">
        <v>45638</v>
      </c>
      <c r="D1095" t="inlineStr">
        <is>
          <t>CUST-01094</t>
        </is>
      </c>
      <c r="E1095" t="inlineStr">
        <is>
          <t>Customer 1094</t>
        </is>
      </c>
      <c r="F1095" t="inlineStr">
        <is>
          <t>Home Office</t>
        </is>
      </c>
      <c r="G1095" t="inlineStr">
        <is>
          <t>P1008</t>
        </is>
      </c>
      <c r="H1095" t="inlineStr">
        <is>
          <t>CloudDrive File Box</t>
        </is>
      </c>
      <c r="I1095" t="inlineStr">
        <is>
          <t>Home Decor</t>
        </is>
      </c>
      <c r="J1095" t="inlineStr">
        <is>
          <t>Decor</t>
        </is>
      </c>
      <c r="K1095" t="inlineStr">
        <is>
          <t>West</t>
        </is>
      </c>
      <c r="L1095" t="inlineStr">
        <is>
          <t>California</t>
        </is>
      </c>
      <c r="M1095" t="inlineStr">
        <is>
          <t>San Francisco</t>
        </is>
      </c>
      <c r="N1095" t="inlineStr">
        <is>
          <t>Ava Patel</t>
        </is>
      </c>
      <c r="O1095" t="n">
        <v>5</v>
      </c>
      <c r="P1095" s="3" t="n">
        <v>41.24</v>
      </c>
      <c r="Q1095" s="4" t="n">
        <v>0.042</v>
      </c>
      <c r="R1095" s="3" t="n">
        <v>197.54</v>
      </c>
      <c r="S1095" s="3" t="n">
        <v>82.62</v>
      </c>
      <c r="T1095" s="3" t="n">
        <v>103.92</v>
      </c>
      <c r="U1095" s="4" t="n">
        <v>0.5261</v>
      </c>
      <c r="V1095" s="3" t="n">
        <v>11</v>
      </c>
      <c r="W1095" t="inlineStr">
        <is>
          <t>Bank Transfer</t>
        </is>
      </c>
      <c r="X1095" t="inlineStr">
        <is>
          <t>High</t>
        </is>
      </c>
    </row>
    <row r="1096">
      <c r="A1096" t="inlineStr">
        <is>
          <t>ORD-01095</t>
        </is>
      </c>
      <c r="B1096" s="2" t="n">
        <v>45206</v>
      </c>
      <c r="C1096" s="2" t="n">
        <v>45212</v>
      </c>
      <c r="D1096" t="inlineStr">
        <is>
          <t>CUST-01095</t>
        </is>
      </c>
      <c r="E1096" t="inlineStr">
        <is>
          <t>Customer 1095</t>
        </is>
      </c>
      <c r="F1096" t="inlineStr">
        <is>
          <t>Corporate</t>
        </is>
      </c>
      <c r="G1096" t="inlineStr">
        <is>
          <t>P1018</t>
        </is>
      </c>
      <c r="H1096" t="inlineStr">
        <is>
          <t>Nimbus Monitor Arm</t>
        </is>
      </c>
      <c r="I1096" t="inlineStr">
        <is>
          <t>Furniture</t>
        </is>
      </c>
      <c r="J1096" t="inlineStr">
        <is>
          <t>Lighting</t>
        </is>
      </c>
      <c r="K1096" t="inlineStr">
        <is>
          <t>South</t>
        </is>
      </c>
      <c r="L1096" t="inlineStr">
        <is>
          <t>Georgia</t>
        </is>
      </c>
      <c r="M1096" t="inlineStr">
        <is>
          <t>Dallas</t>
        </is>
      </c>
      <c r="N1096" t="inlineStr">
        <is>
          <t>Olivia Martin</t>
        </is>
      </c>
      <c r="O1096" t="n">
        <v>5</v>
      </c>
      <c r="P1096" s="3" t="n">
        <v>92.08</v>
      </c>
      <c r="Q1096" s="4" t="n">
        <v>0.028</v>
      </c>
      <c r="R1096" s="3" t="n">
        <v>447.51</v>
      </c>
      <c r="S1096" s="3" t="n">
        <v>202.51</v>
      </c>
      <c r="T1096" s="3" t="n">
        <v>235</v>
      </c>
      <c r="U1096" s="4" t="n">
        <v>0.5251</v>
      </c>
      <c r="V1096" s="3" t="n">
        <v>10</v>
      </c>
      <c r="W1096" t="inlineStr">
        <is>
          <t>Debit Card</t>
        </is>
      </c>
      <c r="X1096" t="inlineStr">
        <is>
          <t>Medium</t>
        </is>
      </c>
    </row>
    <row r="1097">
      <c r="A1097" t="inlineStr">
        <is>
          <t>ORD-01096</t>
        </is>
      </c>
      <c r="B1097" s="2" t="n">
        <v>45148</v>
      </c>
      <c r="C1097" s="2" t="n">
        <v>45151</v>
      </c>
      <c r="D1097" t="inlineStr">
        <is>
          <t>CUST-01096</t>
        </is>
      </c>
      <c r="E1097" t="inlineStr">
        <is>
          <t>Customer 1096</t>
        </is>
      </c>
      <c r="F1097" t="inlineStr">
        <is>
          <t>Consumer</t>
        </is>
      </c>
      <c r="G1097" t="inlineStr">
        <is>
          <t>P1020</t>
        </is>
      </c>
      <c r="H1097" t="inlineStr">
        <is>
          <t>Pulse Keyboard</t>
        </is>
      </c>
      <c r="I1097" t="inlineStr">
        <is>
          <t>Outdoor</t>
        </is>
      </c>
      <c r="J1097" t="inlineStr">
        <is>
          <t>Flooring</t>
        </is>
      </c>
      <c r="K1097" t="inlineStr">
        <is>
          <t>Central</t>
        </is>
      </c>
      <c r="L1097" t="inlineStr">
        <is>
          <t>Illinois</t>
        </is>
      </c>
      <c r="M1097" t="inlineStr">
        <is>
          <t>Chicago</t>
        </is>
      </c>
      <c r="N1097" t="inlineStr">
        <is>
          <t>Noah Kim</t>
        </is>
      </c>
      <c r="O1097" t="n">
        <v>2</v>
      </c>
      <c r="P1097" s="3" t="n">
        <v>77.79000000000001</v>
      </c>
      <c r="Q1097" s="4" t="n">
        <v>0.013</v>
      </c>
      <c r="R1097" s="3" t="n">
        <v>153.56</v>
      </c>
      <c r="S1097" s="3" t="n">
        <v>73.27</v>
      </c>
      <c r="T1097" s="3" t="n">
        <v>72.69</v>
      </c>
      <c r="U1097" s="4" t="n">
        <v>0.4734</v>
      </c>
      <c r="V1097" s="3" t="n">
        <v>7.6</v>
      </c>
      <c r="W1097" t="inlineStr">
        <is>
          <t>Debit Card</t>
        </is>
      </c>
      <c r="X1097" t="inlineStr">
        <is>
          <t>Low</t>
        </is>
      </c>
    </row>
    <row r="1098">
      <c r="A1098" t="inlineStr">
        <is>
          <t>ORD-01097</t>
        </is>
      </c>
      <c r="B1098" s="2" t="n">
        <v>45148</v>
      </c>
      <c r="C1098" s="2" t="n">
        <v>45152</v>
      </c>
      <c r="D1098" t="inlineStr">
        <is>
          <t>CUST-01097</t>
        </is>
      </c>
      <c r="E1098" t="inlineStr">
        <is>
          <t>Customer 1097</t>
        </is>
      </c>
      <c r="F1098" t="inlineStr">
        <is>
          <t>Corporate</t>
        </is>
      </c>
      <c r="G1098" t="inlineStr">
        <is>
          <t>P1013</t>
        </is>
      </c>
      <c r="H1098" t="inlineStr">
        <is>
          <t>Trail Tote</t>
        </is>
      </c>
      <c r="I1098" t="inlineStr">
        <is>
          <t>Home Decor</t>
        </is>
      </c>
      <c r="J1098" t="inlineStr">
        <is>
          <t>Writing</t>
        </is>
      </c>
      <c r="K1098" t="inlineStr">
        <is>
          <t>West</t>
        </is>
      </c>
      <c r="L1098" t="inlineStr">
        <is>
          <t>Oregon</t>
        </is>
      </c>
      <c r="M1098" t="inlineStr">
        <is>
          <t>Los Angeles</t>
        </is>
      </c>
      <c r="N1098" t="inlineStr">
        <is>
          <t>Noah Kim</t>
        </is>
      </c>
      <c r="O1098" t="n">
        <v>4</v>
      </c>
      <c r="P1098" s="3" t="n">
        <v>170.7</v>
      </c>
      <c r="Q1098" s="4" t="n">
        <v>0.08500000000000001</v>
      </c>
      <c r="R1098" s="3" t="n">
        <v>624.76</v>
      </c>
      <c r="S1098" s="3" t="n">
        <v>354.08</v>
      </c>
      <c r="T1098" s="3" t="n">
        <v>260.48</v>
      </c>
      <c r="U1098" s="4" t="n">
        <v>0.4169</v>
      </c>
      <c r="V1098" s="3" t="n">
        <v>10.2</v>
      </c>
      <c r="W1098" t="inlineStr">
        <is>
          <t>Credit Card</t>
        </is>
      </c>
      <c r="X1098" t="inlineStr">
        <is>
          <t>Critical</t>
        </is>
      </c>
    </row>
    <row r="1099">
      <c r="A1099" t="inlineStr">
        <is>
          <t>ORD-01098</t>
        </is>
      </c>
      <c r="B1099" s="2" t="n">
        <v>45065</v>
      </c>
      <c r="C1099" s="2" t="n">
        <v>45067</v>
      </c>
      <c r="D1099" t="inlineStr">
        <is>
          <t>CUST-01098</t>
        </is>
      </c>
      <c r="E1099" t="inlineStr">
        <is>
          <t>Customer 1098</t>
        </is>
      </c>
      <c r="F1099" t="inlineStr">
        <is>
          <t>Consumer</t>
        </is>
      </c>
      <c r="G1099" t="inlineStr">
        <is>
          <t>P1008</t>
        </is>
      </c>
      <c r="H1099" t="inlineStr">
        <is>
          <t>FlexNote Notebook</t>
        </is>
      </c>
      <c r="I1099" t="inlineStr">
        <is>
          <t>Furniture</t>
        </is>
      </c>
      <c r="J1099" t="inlineStr">
        <is>
          <t>Lighting</t>
        </is>
      </c>
      <c r="K1099" t="inlineStr">
        <is>
          <t>West</t>
        </is>
      </c>
      <c r="L1099" t="inlineStr">
        <is>
          <t>Oregon</t>
        </is>
      </c>
      <c r="M1099" t="inlineStr">
        <is>
          <t>Denver</t>
        </is>
      </c>
      <c r="N1099" t="inlineStr">
        <is>
          <t>Noah Kim</t>
        </is>
      </c>
      <c r="O1099" t="n">
        <v>4</v>
      </c>
      <c r="P1099" s="3" t="n">
        <v>37.45</v>
      </c>
      <c r="Q1099" s="4" t="n">
        <v>0.028</v>
      </c>
      <c r="R1099" s="3" t="n">
        <v>145.61</v>
      </c>
      <c r="S1099" s="3" t="n">
        <v>61.87</v>
      </c>
      <c r="T1099" s="3" t="n">
        <v>73.54000000000001</v>
      </c>
      <c r="U1099" s="4" t="n">
        <v>0.505</v>
      </c>
      <c r="V1099" s="3" t="n">
        <v>10.2</v>
      </c>
      <c r="W1099" t="inlineStr">
        <is>
          <t>Credit Card</t>
        </is>
      </c>
      <c r="X1099" t="inlineStr">
        <is>
          <t>High</t>
        </is>
      </c>
    </row>
    <row r="1100">
      <c r="A1100" t="inlineStr">
        <is>
          <t>ORD-01099</t>
        </is>
      </c>
      <c r="B1100" s="2" t="n">
        <v>45863</v>
      </c>
      <c r="C1100" s="2" t="n">
        <v>45868</v>
      </c>
      <c r="D1100" t="inlineStr">
        <is>
          <t>CUST-01099</t>
        </is>
      </c>
      <c r="E1100" t="inlineStr">
        <is>
          <t>Customer 1099</t>
        </is>
      </c>
      <c r="F1100" t="inlineStr">
        <is>
          <t>Consumer</t>
        </is>
      </c>
      <c r="G1100" t="inlineStr">
        <is>
          <t>P1016</t>
        </is>
      </c>
      <c r="H1100" t="inlineStr">
        <is>
          <t>Echo Web Camera</t>
        </is>
      </c>
      <c r="I1100" t="inlineStr">
        <is>
          <t>Home Decor</t>
        </is>
      </c>
      <c r="J1100" t="inlineStr">
        <is>
          <t>Lighting</t>
        </is>
      </c>
      <c r="K1100" t="inlineStr">
        <is>
          <t>East</t>
        </is>
      </c>
      <c r="L1100" t="inlineStr">
        <is>
          <t>New Jersey</t>
        </is>
      </c>
      <c r="M1100" t="inlineStr">
        <is>
          <t>New York</t>
        </is>
      </c>
      <c r="N1100" t="inlineStr">
        <is>
          <t>Mia Rodriguez</t>
        </is>
      </c>
      <c r="O1100" t="n">
        <v>4</v>
      </c>
      <c r="P1100" s="3" t="n">
        <v>39.06</v>
      </c>
      <c r="Q1100" s="4" t="n">
        <v>0.07199999999999999</v>
      </c>
      <c r="R1100" s="3" t="n">
        <v>144.99</v>
      </c>
      <c r="S1100" s="3" t="n">
        <v>56.9</v>
      </c>
      <c r="T1100" s="3" t="n">
        <v>77.89</v>
      </c>
      <c r="U1100" s="4" t="n">
        <v>0.5372</v>
      </c>
      <c r="V1100" s="3" t="n">
        <v>10.2</v>
      </c>
      <c r="W1100" t="inlineStr">
        <is>
          <t>Credit Card</t>
        </is>
      </c>
      <c r="X1100" t="inlineStr">
        <is>
          <t>Critical</t>
        </is>
      </c>
    </row>
    <row r="1101">
      <c r="A1101" t="inlineStr">
        <is>
          <t>ORD-01100</t>
        </is>
      </c>
      <c r="B1101" s="2" t="n">
        <v>45561</v>
      </c>
      <c r="C1101" s="2" t="n">
        <v>45567</v>
      </c>
      <c r="D1101" t="inlineStr">
        <is>
          <t>CUST-01100</t>
        </is>
      </c>
      <c r="E1101" t="inlineStr">
        <is>
          <t>Customer 1100</t>
        </is>
      </c>
      <c r="F1101" t="inlineStr">
        <is>
          <t>Consumer</t>
        </is>
      </c>
      <c r="G1101" t="inlineStr">
        <is>
          <t>P1005</t>
        </is>
      </c>
      <c r="H1101" t="inlineStr">
        <is>
          <t>Pulse Keyboard</t>
        </is>
      </c>
      <c r="I1101" t="inlineStr">
        <is>
          <t>Furniture</t>
        </is>
      </c>
      <c r="J1101" t="inlineStr">
        <is>
          <t>Binders</t>
        </is>
      </c>
      <c r="K1101" t="inlineStr">
        <is>
          <t>West</t>
        </is>
      </c>
      <c r="L1101" t="inlineStr">
        <is>
          <t>Oregon</t>
        </is>
      </c>
      <c r="M1101" t="inlineStr">
        <is>
          <t>San Francisco</t>
        </is>
      </c>
      <c r="N1101" t="inlineStr">
        <is>
          <t>Noah Kim</t>
        </is>
      </c>
      <c r="O1101" t="n">
        <v>1</v>
      </c>
      <c r="P1101" s="3" t="n">
        <v>12.97</v>
      </c>
      <c r="Q1101" s="4" t="n">
        <v>0.016</v>
      </c>
      <c r="R1101" s="3" t="n">
        <v>12.76</v>
      </c>
      <c r="S1101" s="3" t="n">
        <v>8.75</v>
      </c>
      <c r="T1101" s="3" t="n">
        <v>-3.79</v>
      </c>
      <c r="U1101" s="4" t="n">
        <v>-0.297</v>
      </c>
      <c r="V1101" s="3" t="n">
        <v>7.8</v>
      </c>
      <c r="W1101" t="inlineStr">
        <is>
          <t>Credit Card</t>
        </is>
      </c>
      <c r="X1101" t="inlineStr">
        <is>
          <t>Medium</t>
        </is>
      </c>
    </row>
    <row r="1102">
      <c r="A1102" t="inlineStr">
        <is>
          <t>ORD-01101</t>
        </is>
      </c>
      <c r="B1102" s="2" t="n">
        <v>45105</v>
      </c>
      <c r="C1102" s="2" t="n">
        <v>45106</v>
      </c>
      <c r="D1102" t="inlineStr">
        <is>
          <t>CUST-01101</t>
        </is>
      </c>
      <c r="E1102" t="inlineStr">
        <is>
          <t>Customer 1101</t>
        </is>
      </c>
      <c r="F1102" t="inlineStr">
        <is>
          <t>Consumer</t>
        </is>
      </c>
      <c r="G1102" t="inlineStr">
        <is>
          <t>P1003</t>
        </is>
      </c>
      <c r="H1102" t="inlineStr">
        <is>
          <t>FlexNote Notebook</t>
        </is>
      </c>
      <c r="I1102" t="inlineStr">
        <is>
          <t>Outdoor</t>
        </is>
      </c>
      <c r="J1102" t="inlineStr">
        <is>
          <t>Video</t>
        </is>
      </c>
      <c r="K1102" t="inlineStr">
        <is>
          <t>West</t>
        </is>
      </c>
      <c r="L1102" t="inlineStr">
        <is>
          <t>Oregon</t>
        </is>
      </c>
      <c r="M1102" t="inlineStr">
        <is>
          <t>San Francisco</t>
        </is>
      </c>
      <c r="N1102" t="inlineStr">
        <is>
          <t>Olivia Martin</t>
        </is>
      </c>
      <c r="O1102" t="n">
        <v>2</v>
      </c>
      <c r="P1102" s="3" t="n">
        <v>167.01</v>
      </c>
      <c r="Q1102" s="4" t="n">
        <v>0.023</v>
      </c>
      <c r="R1102" s="3" t="n">
        <v>326.34</v>
      </c>
      <c r="S1102" s="3" t="n">
        <v>171.42</v>
      </c>
      <c r="T1102" s="3" t="n">
        <v>146.32</v>
      </c>
      <c r="U1102" s="4" t="n">
        <v>0.4484</v>
      </c>
      <c r="V1102" s="3" t="n">
        <v>8.6</v>
      </c>
      <c r="W1102" t="inlineStr">
        <is>
          <t>Credit Card</t>
        </is>
      </c>
      <c r="X1102" t="inlineStr">
        <is>
          <t>Low</t>
        </is>
      </c>
    </row>
    <row r="1103">
      <c r="A1103" t="inlineStr">
        <is>
          <t>ORD-01102</t>
        </is>
      </c>
      <c r="B1103" s="2" t="n">
        <v>45934</v>
      </c>
      <c r="C1103" s="2" t="n">
        <v>45938</v>
      </c>
      <c r="D1103" t="inlineStr">
        <is>
          <t>CUST-01102</t>
        </is>
      </c>
      <c r="E1103" t="inlineStr">
        <is>
          <t>Customer 1102</t>
        </is>
      </c>
      <c r="F1103" t="inlineStr">
        <is>
          <t>Corporate</t>
        </is>
      </c>
      <c r="G1103" t="inlineStr">
        <is>
          <t>P1013</t>
        </is>
      </c>
      <c r="H1103" t="inlineStr">
        <is>
          <t>Trail Tote</t>
        </is>
      </c>
      <c r="I1103" t="inlineStr">
        <is>
          <t>Furniture</t>
        </is>
      </c>
      <c r="J1103" t="inlineStr">
        <is>
          <t>Lighting</t>
        </is>
      </c>
      <c r="K1103" t="inlineStr">
        <is>
          <t>South</t>
        </is>
      </c>
      <c r="L1103" t="inlineStr">
        <is>
          <t>Georgia</t>
        </is>
      </c>
      <c r="M1103" t="inlineStr">
        <is>
          <t>Houston</t>
        </is>
      </c>
      <c r="N1103" t="inlineStr">
        <is>
          <t>Sophia Singh</t>
        </is>
      </c>
      <c r="O1103" t="n">
        <v>1</v>
      </c>
      <c r="P1103" s="3" t="n">
        <v>175.46</v>
      </c>
      <c r="Q1103" s="4" t="n">
        <v>0.019</v>
      </c>
      <c r="R1103" s="3" t="n">
        <v>172.13</v>
      </c>
      <c r="S1103" s="3" t="n">
        <v>107.41</v>
      </c>
      <c r="T1103" s="3" t="n">
        <v>57.92</v>
      </c>
      <c r="U1103" s="4" t="n">
        <v>0.3365</v>
      </c>
      <c r="V1103" s="3" t="n">
        <v>6.8</v>
      </c>
      <c r="W1103" t="inlineStr">
        <is>
          <t>Credit Card</t>
        </is>
      </c>
      <c r="X1103" t="inlineStr">
        <is>
          <t>Medium</t>
        </is>
      </c>
    </row>
    <row r="1104">
      <c r="A1104" t="inlineStr">
        <is>
          <t>ORD-01103</t>
        </is>
      </c>
      <c r="B1104" s="2" t="n">
        <v>45971</v>
      </c>
      <c r="C1104" s="2" t="n">
        <v>45972</v>
      </c>
      <c r="D1104" t="inlineStr">
        <is>
          <t>CUST-01103</t>
        </is>
      </c>
      <c r="E1104" t="inlineStr">
        <is>
          <t>Customer 1103</t>
        </is>
      </c>
      <c r="F1104" t="inlineStr">
        <is>
          <t>Corporate</t>
        </is>
      </c>
      <c r="G1104" t="inlineStr">
        <is>
          <t>P1015</t>
        </is>
      </c>
      <c r="H1104" t="inlineStr">
        <is>
          <t>Trail Tote</t>
        </is>
      </c>
      <c r="I1104" t="inlineStr">
        <is>
          <t>Technology</t>
        </is>
      </c>
      <c r="J1104" t="inlineStr">
        <is>
          <t>Furniture</t>
        </is>
      </c>
      <c r="K1104" t="inlineStr">
        <is>
          <t>West</t>
        </is>
      </c>
      <c r="L1104" t="inlineStr">
        <is>
          <t>Colorado</t>
        </is>
      </c>
      <c r="M1104" t="inlineStr">
        <is>
          <t>San Francisco</t>
        </is>
      </c>
      <c r="N1104" t="inlineStr">
        <is>
          <t>Mia Rodriguez</t>
        </is>
      </c>
      <c r="O1104" t="n">
        <v>2</v>
      </c>
      <c r="P1104" s="3" t="n">
        <v>78.72</v>
      </c>
      <c r="Q1104" s="4" t="n">
        <v>0.028</v>
      </c>
      <c r="R1104" s="3" t="n">
        <v>153.03</v>
      </c>
      <c r="S1104" s="3" t="n">
        <v>74.88</v>
      </c>
      <c r="T1104" s="3" t="n">
        <v>69.55</v>
      </c>
      <c r="U1104" s="4" t="n">
        <v>0.4545</v>
      </c>
      <c r="V1104" s="3" t="n">
        <v>8.6</v>
      </c>
      <c r="W1104" t="inlineStr">
        <is>
          <t>Bank Transfer</t>
        </is>
      </c>
      <c r="X1104" t="inlineStr">
        <is>
          <t>Medium</t>
        </is>
      </c>
    </row>
    <row r="1105">
      <c r="A1105" t="inlineStr">
        <is>
          <t>ORD-01104</t>
        </is>
      </c>
      <c r="B1105" s="2" t="n">
        <v>45734</v>
      </c>
      <c r="C1105" s="2" t="n">
        <v>45741</v>
      </c>
      <c r="D1105" t="inlineStr">
        <is>
          <t>CUST-01104</t>
        </is>
      </c>
      <c r="E1105" t="inlineStr">
        <is>
          <t>Customer 1104</t>
        </is>
      </c>
      <c r="F1105" t="inlineStr">
        <is>
          <t>Consumer</t>
        </is>
      </c>
      <c r="G1105" t="inlineStr">
        <is>
          <t>P1004</t>
        </is>
      </c>
      <c r="H1105" t="inlineStr">
        <is>
          <t>Nimbus Monitor Arm</t>
        </is>
      </c>
      <c r="I1105" t="inlineStr">
        <is>
          <t>Furniture</t>
        </is>
      </c>
      <c r="J1105" t="inlineStr">
        <is>
          <t>Video</t>
        </is>
      </c>
      <c r="K1105" t="inlineStr">
        <is>
          <t>East</t>
        </is>
      </c>
      <c r="L1105" t="inlineStr">
        <is>
          <t>Virginia</t>
        </is>
      </c>
      <c r="M1105" t="inlineStr">
        <is>
          <t>Boston</t>
        </is>
      </c>
      <c r="N1105" t="inlineStr">
        <is>
          <t>Ethan Brooks</t>
        </is>
      </c>
      <c r="O1105" t="n">
        <v>3</v>
      </c>
      <c r="P1105" s="3" t="n">
        <v>584.64</v>
      </c>
      <c r="Q1105" s="4" t="n">
        <v>0.04</v>
      </c>
      <c r="R1105" s="3" t="n">
        <v>1683.76</v>
      </c>
      <c r="S1105" s="3" t="n">
        <v>1066.9</v>
      </c>
      <c r="T1105" s="3" t="n">
        <v>607.46</v>
      </c>
      <c r="U1105" s="4" t="n">
        <v>0.3608</v>
      </c>
      <c r="V1105" s="3" t="n">
        <v>9.4</v>
      </c>
      <c r="W1105" t="inlineStr">
        <is>
          <t>PayPal</t>
        </is>
      </c>
      <c r="X1105" t="inlineStr">
        <is>
          <t>High</t>
        </is>
      </c>
    </row>
    <row r="1106">
      <c r="A1106" t="inlineStr">
        <is>
          <t>ORD-01105</t>
        </is>
      </c>
      <c r="B1106" s="2" t="n">
        <v>45841</v>
      </c>
      <c r="C1106" s="2" t="n">
        <v>45845</v>
      </c>
      <c r="D1106" t="inlineStr">
        <is>
          <t>CUST-01105</t>
        </is>
      </c>
      <c r="E1106" t="inlineStr">
        <is>
          <t>Customer 1105</t>
        </is>
      </c>
      <c r="F1106" t="inlineStr">
        <is>
          <t>Home Office</t>
        </is>
      </c>
      <c r="G1106" t="inlineStr">
        <is>
          <t>P1003</t>
        </is>
      </c>
      <c r="H1106" t="inlineStr">
        <is>
          <t>Nova Laptop Stand</t>
        </is>
      </c>
      <c r="I1106" t="inlineStr">
        <is>
          <t>Home Decor</t>
        </is>
      </c>
      <c r="J1106" t="inlineStr">
        <is>
          <t>Bags</t>
        </is>
      </c>
      <c r="K1106" t="inlineStr">
        <is>
          <t>West</t>
        </is>
      </c>
      <c r="L1106" t="inlineStr">
        <is>
          <t>California</t>
        </is>
      </c>
      <c r="M1106" t="inlineStr">
        <is>
          <t>San Francisco</t>
        </is>
      </c>
      <c r="N1106" t="inlineStr">
        <is>
          <t>Ethan Brooks</t>
        </is>
      </c>
      <c r="O1106" t="n">
        <v>5</v>
      </c>
      <c r="P1106" s="3" t="n">
        <v>167.99</v>
      </c>
      <c r="Q1106" s="4" t="n">
        <v>0.051</v>
      </c>
      <c r="R1106" s="3" t="n">
        <v>797.11</v>
      </c>
      <c r="S1106" s="3" t="n">
        <v>414.51</v>
      </c>
      <c r="T1106" s="3" t="n">
        <v>371.6</v>
      </c>
      <c r="U1106" s="4" t="n">
        <v>0.4662</v>
      </c>
      <c r="V1106" s="3" t="n">
        <v>11</v>
      </c>
      <c r="W1106" t="inlineStr">
        <is>
          <t>Bank Transfer</t>
        </is>
      </c>
      <c r="X1106" t="inlineStr">
        <is>
          <t>High</t>
        </is>
      </c>
    </row>
    <row r="1107">
      <c r="A1107" t="inlineStr">
        <is>
          <t>ORD-01106</t>
        </is>
      </c>
      <c r="B1107" s="2" t="n">
        <v>45098</v>
      </c>
      <c r="C1107" s="2" t="n">
        <v>45103</v>
      </c>
      <c r="D1107" t="inlineStr">
        <is>
          <t>CUST-01106</t>
        </is>
      </c>
      <c r="E1107" t="inlineStr">
        <is>
          <t>Customer 1106</t>
        </is>
      </c>
      <c r="F1107" t="inlineStr">
        <is>
          <t>Consumer</t>
        </is>
      </c>
      <c r="G1107" t="inlineStr">
        <is>
          <t>P1002</t>
        </is>
      </c>
      <c r="H1107" t="inlineStr">
        <is>
          <t>Tide Cooler</t>
        </is>
      </c>
      <c r="I1107" t="inlineStr">
        <is>
          <t>Home Decor</t>
        </is>
      </c>
      <c r="J1107" t="inlineStr">
        <is>
          <t>Accessories</t>
        </is>
      </c>
      <c r="K1107" t="inlineStr">
        <is>
          <t>Central</t>
        </is>
      </c>
      <c r="L1107" t="inlineStr">
        <is>
          <t>Kansas</t>
        </is>
      </c>
      <c r="M1107" t="inlineStr">
        <is>
          <t>Kansas City</t>
        </is>
      </c>
      <c r="N1107" t="inlineStr">
        <is>
          <t>James Carter</t>
        </is>
      </c>
      <c r="O1107" t="n">
        <v>4</v>
      </c>
      <c r="P1107" s="3" t="n">
        <v>82.86</v>
      </c>
      <c r="Q1107" s="4" t="n">
        <v>0.005</v>
      </c>
      <c r="R1107" s="3" t="n">
        <v>329.78</v>
      </c>
      <c r="S1107" s="3" t="n">
        <v>153.76</v>
      </c>
      <c r="T1107" s="3" t="n">
        <v>166.82</v>
      </c>
      <c r="U1107" s="4" t="n">
        <v>0.5059</v>
      </c>
      <c r="V1107" s="3" t="n">
        <v>9.199999999999999</v>
      </c>
      <c r="W1107" t="inlineStr">
        <is>
          <t>Credit Card</t>
        </is>
      </c>
      <c r="X1107" t="inlineStr">
        <is>
          <t>Medium</t>
        </is>
      </c>
    </row>
    <row r="1108">
      <c r="A1108" t="inlineStr">
        <is>
          <t>ORD-01107</t>
        </is>
      </c>
      <c r="B1108" s="2" t="n">
        <v>45568</v>
      </c>
      <c r="C1108" s="2" t="n">
        <v>45574</v>
      </c>
      <c r="D1108" t="inlineStr">
        <is>
          <t>CUST-01107</t>
        </is>
      </c>
      <c r="E1108" t="inlineStr">
        <is>
          <t>Customer 1107</t>
        </is>
      </c>
      <c r="F1108" t="inlineStr">
        <is>
          <t>Consumer</t>
        </is>
      </c>
      <c r="G1108" t="inlineStr">
        <is>
          <t>P1004</t>
        </is>
      </c>
      <c r="H1108" t="inlineStr">
        <is>
          <t>Echo Web Camera</t>
        </is>
      </c>
      <c r="I1108" t="inlineStr">
        <is>
          <t>Home Decor</t>
        </is>
      </c>
      <c r="J1108" t="inlineStr">
        <is>
          <t>Decor</t>
        </is>
      </c>
      <c r="K1108" t="inlineStr">
        <is>
          <t>North</t>
        </is>
      </c>
      <c r="L1108" t="inlineStr">
        <is>
          <t>Alberta</t>
        </is>
      </c>
      <c r="M1108" t="inlineStr">
        <is>
          <t>Vancouver</t>
        </is>
      </c>
      <c r="N1108" t="inlineStr">
        <is>
          <t>Noah Kim</t>
        </is>
      </c>
      <c r="O1108" t="n">
        <v>3</v>
      </c>
      <c r="P1108" s="3" t="n">
        <v>662.54</v>
      </c>
      <c r="Q1108" s="4" t="n">
        <v>0.026</v>
      </c>
      <c r="R1108" s="3" t="n">
        <v>1935.94</v>
      </c>
      <c r="S1108" s="3" t="n">
        <v>1229.15</v>
      </c>
      <c r="T1108" s="3" t="n">
        <v>698.39</v>
      </c>
      <c r="U1108" s="4" t="n">
        <v>0.3607</v>
      </c>
      <c r="V1108" s="3" t="n">
        <v>8.4</v>
      </c>
      <c r="W1108" t="inlineStr">
        <is>
          <t>Credit Card</t>
        </is>
      </c>
      <c r="X1108" t="inlineStr">
        <is>
          <t>Critical</t>
        </is>
      </c>
    </row>
    <row r="1109">
      <c r="A1109" t="inlineStr">
        <is>
          <t>ORD-01108</t>
        </is>
      </c>
      <c r="B1109" s="2" t="n">
        <v>45752</v>
      </c>
      <c r="C1109" s="2" t="n">
        <v>45757</v>
      </c>
      <c r="D1109" t="inlineStr">
        <is>
          <t>CUST-01108</t>
        </is>
      </c>
      <c r="E1109" t="inlineStr">
        <is>
          <t>Customer 1108</t>
        </is>
      </c>
      <c r="F1109" t="inlineStr">
        <is>
          <t>Consumer</t>
        </is>
      </c>
      <c r="G1109" t="inlineStr">
        <is>
          <t>P1006</t>
        </is>
      </c>
      <c r="H1109" t="inlineStr">
        <is>
          <t>Aero Standing Desk</t>
        </is>
      </c>
      <c r="I1109" t="inlineStr">
        <is>
          <t>Outdoor</t>
        </is>
      </c>
      <c r="J1109" t="inlineStr">
        <is>
          <t>Accessories</t>
        </is>
      </c>
      <c r="K1109" t="inlineStr">
        <is>
          <t>East</t>
        </is>
      </c>
      <c r="L1109" t="inlineStr">
        <is>
          <t>New York</t>
        </is>
      </c>
      <c r="M1109" t="inlineStr">
        <is>
          <t>Washington</t>
        </is>
      </c>
      <c r="N1109" t="inlineStr">
        <is>
          <t>Liam Chen</t>
        </is>
      </c>
      <c r="O1109" t="n">
        <v>1</v>
      </c>
      <c r="P1109" s="3" t="n">
        <v>18.56</v>
      </c>
      <c r="Q1109" s="4" t="n">
        <v>0.018</v>
      </c>
      <c r="R1109" s="3" t="n">
        <v>18.23</v>
      </c>
      <c r="S1109" s="3" t="n">
        <v>12</v>
      </c>
      <c r="T1109" s="3" t="n">
        <v>-1.57</v>
      </c>
      <c r="U1109" s="4" t="n">
        <v>-0.0861</v>
      </c>
      <c r="V1109" s="3" t="n">
        <v>7.8</v>
      </c>
      <c r="W1109" t="inlineStr">
        <is>
          <t>PayPal</t>
        </is>
      </c>
      <c r="X1109" t="inlineStr">
        <is>
          <t>Low</t>
        </is>
      </c>
    </row>
    <row r="1110">
      <c r="A1110" t="inlineStr">
        <is>
          <t>ORD-01109</t>
        </is>
      </c>
      <c r="B1110" s="2" t="n">
        <v>45916</v>
      </c>
      <c r="C1110" s="2" t="n">
        <v>45921</v>
      </c>
      <c r="D1110" t="inlineStr">
        <is>
          <t>CUST-01109</t>
        </is>
      </c>
      <c r="E1110" t="inlineStr">
        <is>
          <t>Customer 1109</t>
        </is>
      </c>
      <c r="F1110" t="inlineStr">
        <is>
          <t>Corporate</t>
        </is>
      </c>
      <c r="G1110" t="inlineStr">
        <is>
          <t>P1004</t>
        </is>
      </c>
      <c r="H1110" t="inlineStr">
        <is>
          <t>SmartInk Pen Set</t>
        </is>
      </c>
      <c r="I1110" t="inlineStr">
        <is>
          <t>Home Decor</t>
        </is>
      </c>
      <c r="J1110" t="inlineStr">
        <is>
          <t>Accessories</t>
        </is>
      </c>
      <c r="K1110" t="inlineStr">
        <is>
          <t>West</t>
        </is>
      </c>
      <c r="L1110" t="inlineStr">
        <is>
          <t>Colorado</t>
        </is>
      </c>
      <c r="M1110" t="inlineStr">
        <is>
          <t>Denver</t>
        </is>
      </c>
      <c r="N1110" t="inlineStr">
        <is>
          <t>Ava Patel</t>
        </is>
      </c>
      <c r="O1110" t="n">
        <v>2</v>
      </c>
      <c r="P1110" s="3" t="n">
        <v>645.95</v>
      </c>
      <c r="Q1110" s="4" t="n">
        <v>0.042</v>
      </c>
      <c r="R1110" s="3" t="n">
        <v>1237.64</v>
      </c>
      <c r="S1110" s="3" t="n">
        <v>786.55</v>
      </c>
      <c r="T1110" s="3" t="n">
        <v>442.49</v>
      </c>
      <c r="U1110" s="4" t="n">
        <v>0.3575</v>
      </c>
      <c r="V1110" s="3" t="n">
        <v>8.6</v>
      </c>
      <c r="W1110" t="inlineStr">
        <is>
          <t>Credit Card</t>
        </is>
      </c>
      <c r="X1110" t="inlineStr">
        <is>
          <t>Critical</t>
        </is>
      </c>
    </row>
    <row r="1111">
      <c r="A1111" t="inlineStr">
        <is>
          <t>ORD-01110</t>
        </is>
      </c>
      <c r="B1111" s="2" t="n">
        <v>45250</v>
      </c>
      <c r="C1111" s="2" t="n">
        <v>45254</v>
      </c>
      <c r="D1111" t="inlineStr">
        <is>
          <t>CUST-01110</t>
        </is>
      </c>
      <c r="E1111" t="inlineStr">
        <is>
          <t>Customer 1110</t>
        </is>
      </c>
      <c r="F1111" t="inlineStr">
        <is>
          <t>Home Office</t>
        </is>
      </c>
      <c r="G1111" t="inlineStr">
        <is>
          <t>P1017</t>
        </is>
      </c>
      <c r="H1111" t="inlineStr">
        <is>
          <t>Trail Tote</t>
        </is>
      </c>
      <c r="I1111" t="inlineStr">
        <is>
          <t>Office Supplies</t>
        </is>
      </c>
      <c r="J1111" t="inlineStr">
        <is>
          <t>Textiles</t>
        </is>
      </c>
      <c r="K1111" t="inlineStr">
        <is>
          <t>Central</t>
        </is>
      </c>
      <c r="L1111" t="inlineStr">
        <is>
          <t>Missouri</t>
        </is>
      </c>
      <c r="M1111" t="inlineStr">
        <is>
          <t>Minneapolis</t>
        </is>
      </c>
      <c r="N1111" t="inlineStr">
        <is>
          <t>Mia Rodriguez</t>
        </is>
      </c>
      <c r="O1111" t="n">
        <v>1</v>
      </c>
      <c r="P1111" s="3" t="n">
        <v>613.0599999999999</v>
      </c>
      <c r="Q1111" s="4" t="n">
        <v>0.049</v>
      </c>
      <c r="R1111" s="3" t="n">
        <v>583.02</v>
      </c>
      <c r="S1111" s="3" t="n">
        <v>391.33</v>
      </c>
      <c r="T1111" s="3" t="n">
        <v>184.89</v>
      </c>
      <c r="U1111" s="4" t="n">
        <v>0.3171</v>
      </c>
      <c r="V1111" s="3" t="n">
        <v>6.8</v>
      </c>
      <c r="W1111" t="inlineStr">
        <is>
          <t>Credit Card</t>
        </is>
      </c>
      <c r="X1111" t="inlineStr">
        <is>
          <t>High</t>
        </is>
      </c>
    </row>
    <row r="1112">
      <c r="A1112" t="inlineStr">
        <is>
          <t>ORD-01111</t>
        </is>
      </c>
      <c r="B1112" s="2" t="n">
        <v>45821</v>
      </c>
      <c r="C1112" s="2" t="n">
        <v>45824</v>
      </c>
      <c r="D1112" t="inlineStr">
        <is>
          <t>CUST-01111</t>
        </is>
      </c>
      <c r="E1112" t="inlineStr">
        <is>
          <t>Customer 1111</t>
        </is>
      </c>
      <c r="F1112" t="inlineStr">
        <is>
          <t>Corporate</t>
        </is>
      </c>
      <c r="G1112" t="inlineStr">
        <is>
          <t>P1007</t>
        </is>
      </c>
      <c r="H1112" t="inlineStr">
        <is>
          <t>Pulse Keyboard</t>
        </is>
      </c>
      <c r="I1112" t="inlineStr">
        <is>
          <t>Home Decor</t>
        </is>
      </c>
      <c r="J1112" t="inlineStr">
        <is>
          <t>Binders</t>
        </is>
      </c>
      <c r="K1112" t="inlineStr">
        <is>
          <t>East</t>
        </is>
      </c>
      <c r="L1112" t="inlineStr">
        <is>
          <t>Virginia</t>
        </is>
      </c>
      <c r="M1112" t="inlineStr">
        <is>
          <t>Philadelphia</t>
        </is>
      </c>
      <c r="N1112" t="inlineStr">
        <is>
          <t>Liam Chen</t>
        </is>
      </c>
      <c r="O1112" t="n">
        <v>3</v>
      </c>
      <c r="P1112" s="3" t="n">
        <v>25.23</v>
      </c>
      <c r="Q1112" s="4" t="n">
        <v>0.011</v>
      </c>
      <c r="R1112" s="3" t="n">
        <v>74.86</v>
      </c>
      <c r="S1112" s="3" t="n">
        <v>29.54</v>
      </c>
      <c r="T1112" s="3" t="n">
        <v>35.92</v>
      </c>
      <c r="U1112" s="4" t="n">
        <v>0.4798</v>
      </c>
      <c r="V1112" s="3" t="n">
        <v>9.4</v>
      </c>
      <c r="W1112" t="inlineStr">
        <is>
          <t>Bank Transfer</t>
        </is>
      </c>
      <c r="X1112" t="inlineStr">
        <is>
          <t>Medium</t>
        </is>
      </c>
    </row>
    <row r="1113">
      <c r="A1113" t="inlineStr">
        <is>
          <t>ORD-01112</t>
        </is>
      </c>
      <c r="B1113" s="2" t="n">
        <v>45271</v>
      </c>
      <c r="C1113" s="2" t="n">
        <v>45277</v>
      </c>
      <c r="D1113" t="inlineStr">
        <is>
          <t>CUST-01112</t>
        </is>
      </c>
      <c r="E1113" t="inlineStr">
        <is>
          <t>Customer 1112</t>
        </is>
      </c>
      <c r="F1113" t="inlineStr">
        <is>
          <t>Home Office</t>
        </is>
      </c>
      <c r="G1113" t="inlineStr">
        <is>
          <t>P1018</t>
        </is>
      </c>
      <c r="H1113" t="inlineStr">
        <is>
          <t>Lumen Desk Lamp</t>
        </is>
      </c>
      <c r="I1113" t="inlineStr">
        <is>
          <t>Technology</t>
        </is>
      </c>
      <c r="J1113" t="inlineStr">
        <is>
          <t>Storage</t>
        </is>
      </c>
      <c r="K1113" t="inlineStr">
        <is>
          <t>West</t>
        </is>
      </c>
      <c r="L1113" t="inlineStr">
        <is>
          <t>Colorado</t>
        </is>
      </c>
      <c r="M1113" t="inlineStr">
        <is>
          <t>Los Angeles</t>
        </is>
      </c>
      <c r="N1113" t="inlineStr">
        <is>
          <t>Olivia Martin</t>
        </is>
      </c>
      <c r="O1113" t="n">
        <v>3</v>
      </c>
      <c r="P1113" s="3" t="n">
        <v>97.13</v>
      </c>
      <c r="Q1113" s="4" t="n">
        <v>0.04899999999999999</v>
      </c>
      <c r="R1113" s="3" t="n">
        <v>277.11</v>
      </c>
      <c r="S1113" s="3" t="n">
        <v>128.83</v>
      </c>
      <c r="T1113" s="3" t="n">
        <v>138.88</v>
      </c>
      <c r="U1113" s="4" t="n">
        <v>0.5012</v>
      </c>
      <c r="V1113" s="3" t="n">
        <v>9.4</v>
      </c>
      <c r="W1113" t="inlineStr">
        <is>
          <t>Bank Transfer</t>
        </is>
      </c>
      <c r="X1113" t="inlineStr">
        <is>
          <t>High</t>
        </is>
      </c>
    </row>
    <row r="1114">
      <c r="A1114" t="inlineStr">
        <is>
          <t>ORD-01113</t>
        </is>
      </c>
      <c r="B1114" s="2" t="n">
        <v>45286</v>
      </c>
      <c r="C1114" s="2" t="n">
        <v>45287</v>
      </c>
      <c r="D1114" t="inlineStr">
        <is>
          <t>CUST-01113</t>
        </is>
      </c>
      <c r="E1114" t="inlineStr">
        <is>
          <t>Customer 1113</t>
        </is>
      </c>
      <c r="F1114" t="inlineStr">
        <is>
          <t>Consumer</t>
        </is>
      </c>
      <c r="G1114" t="inlineStr">
        <is>
          <t>P1010</t>
        </is>
      </c>
      <c r="H1114" t="inlineStr">
        <is>
          <t>Echo Web Camera</t>
        </is>
      </c>
      <c r="I1114" t="inlineStr">
        <is>
          <t>Office Supplies</t>
        </is>
      </c>
      <c r="J1114" t="inlineStr">
        <is>
          <t>Flooring</t>
        </is>
      </c>
      <c r="K1114" t="inlineStr">
        <is>
          <t>South</t>
        </is>
      </c>
      <c r="L1114" t="inlineStr">
        <is>
          <t>Texas</t>
        </is>
      </c>
      <c r="M1114" t="inlineStr">
        <is>
          <t>Atlanta</t>
        </is>
      </c>
      <c r="N1114" t="inlineStr">
        <is>
          <t>Ava Patel</t>
        </is>
      </c>
      <c r="O1114" t="n">
        <v>3</v>
      </c>
      <c r="P1114" s="3" t="n">
        <v>58.98</v>
      </c>
      <c r="Q1114" s="4" t="n">
        <v>0.05</v>
      </c>
      <c r="R1114" s="3" t="n">
        <v>168.09</v>
      </c>
      <c r="S1114" s="3" t="n">
        <v>77.93000000000001</v>
      </c>
      <c r="T1114" s="3" t="n">
        <v>81.76000000000001</v>
      </c>
      <c r="U1114" s="4" t="n">
        <v>0.4864</v>
      </c>
      <c r="V1114" s="3" t="n">
        <v>8.4</v>
      </c>
      <c r="W1114" t="inlineStr">
        <is>
          <t>Credit Card</t>
        </is>
      </c>
      <c r="X1114" t="inlineStr">
        <is>
          <t>High</t>
        </is>
      </c>
    </row>
    <row r="1115">
      <c r="A1115" t="inlineStr">
        <is>
          <t>ORD-01114</t>
        </is>
      </c>
      <c r="B1115" s="2" t="n">
        <v>45335</v>
      </c>
      <c r="C1115" s="2" t="n">
        <v>45338</v>
      </c>
      <c r="D1115" t="inlineStr">
        <is>
          <t>CUST-01114</t>
        </is>
      </c>
      <c r="E1115" t="inlineStr">
        <is>
          <t>Customer 1114</t>
        </is>
      </c>
      <c r="F1115" t="inlineStr">
        <is>
          <t>Consumer</t>
        </is>
      </c>
      <c r="G1115" t="inlineStr">
        <is>
          <t>P1017</t>
        </is>
      </c>
      <c r="H1115" t="inlineStr">
        <is>
          <t>Nova Laptop Stand</t>
        </is>
      </c>
      <c r="I1115" t="inlineStr">
        <is>
          <t>Technology</t>
        </is>
      </c>
      <c r="J1115" t="inlineStr">
        <is>
          <t>Storage</t>
        </is>
      </c>
      <c r="K1115" t="inlineStr">
        <is>
          <t>West</t>
        </is>
      </c>
      <c r="L1115" t="inlineStr">
        <is>
          <t>Oregon</t>
        </is>
      </c>
      <c r="M1115" t="inlineStr">
        <is>
          <t>Denver</t>
        </is>
      </c>
      <c r="N1115" t="inlineStr">
        <is>
          <t>Sophia Singh</t>
        </is>
      </c>
      <c r="O1115" t="n">
        <v>2</v>
      </c>
      <c r="P1115" s="3" t="n">
        <v>568.01</v>
      </c>
      <c r="Q1115" s="4" t="n">
        <v>0.013</v>
      </c>
      <c r="R1115" s="3" t="n">
        <v>1121.25</v>
      </c>
      <c r="S1115" s="3" t="n">
        <v>749.6799999999999</v>
      </c>
      <c r="T1115" s="3" t="n">
        <v>362.97</v>
      </c>
      <c r="U1115" s="4" t="n">
        <v>0.3237</v>
      </c>
      <c r="V1115" s="3" t="n">
        <v>8.6</v>
      </c>
      <c r="W1115" t="inlineStr">
        <is>
          <t>Bank Transfer</t>
        </is>
      </c>
      <c r="X1115" t="inlineStr">
        <is>
          <t>Low</t>
        </is>
      </c>
    </row>
    <row r="1116">
      <c r="A1116" t="inlineStr">
        <is>
          <t>ORD-01115</t>
        </is>
      </c>
      <c r="B1116" s="2" t="n">
        <v>45401</v>
      </c>
      <c r="C1116" s="2" t="n">
        <v>45404</v>
      </c>
      <c r="D1116" t="inlineStr">
        <is>
          <t>CUST-01115</t>
        </is>
      </c>
      <c r="E1116" t="inlineStr">
        <is>
          <t>Customer 1115</t>
        </is>
      </c>
      <c r="F1116" t="inlineStr">
        <is>
          <t>Corporate</t>
        </is>
      </c>
      <c r="G1116" t="inlineStr">
        <is>
          <t>P1004</t>
        </is>
      </c>
      <c r="H1116" t="inlineStr">
        <is>
          <t>ProClip Binder</t>
        </is>
      </c>
      <c r="I1116" t="inlineStr">
        <is>
          <t>Furniture</t>
        </is>
      </c>
      <c r="J1116" t="inlineStr">
        <is>
          <t>Storage</t>
        </is>
      </c>
      <c r="K1116" t="inlineStr">
        <is>
          <t>West</t>
        </is>
      </c>
      <c r="L1116" t="inlineStr">
        <is>
          <t>Colorado</t>
        </is>
      </c>
      <c r="M1116" t="inlineStr">
        <is>
          <t>San Francisco</t>
        </is>
      </c>
      <c r="N1116" t="inlineStr">
        <is>
          <t>Liam Chen</t>
        </is>
      </c>
      <c r="O1116" t="n">
        <v>5</v>
      </c>
      <c r="P1116" s="3" t="n">
        <v>644.1900000000001</v>
      </c>
      <c r="Q1116" s="4" t="n">
        <v>0.02</v>
      </c>
      <c r="R1116" s="3" t="n">
        <v>3156.53</v>
      </c>
      <c r="S1116" s="3" t="n">
        <v>1994.47</v>
      </c>
      <c r="T1116" s="3" t="n">
        <v>1151.06</v>
      </c>
      <c r="U1116" s="4" t="n">
        <v>0.3647</v>
      </c>
      <c r="V1116" s="3" t="n">
        <v>11</v>
      </c>
      <c r="W1116" t="inlineStr">
        <is>
          <t>Debit Card</t>
        </is>
      </c>
      <c r="X1116" t="inlineStr">
        <is>
          <t>Medium</t>
        </is>
      </c>
    </row>
    <row r="1117">
      <c r="A1117" t="inlineStr">
        <is>
          <t>ORD-01116</t>
        </is>
      </c>
      <c r="B1117" s="2" t="n">
        <v>45654</v>
      </c>
      <c r="C1117" s="2" t="n">
        <v>45656</v>
      </c>
      <c r="D1117" t="inlineStr">
        <is>
          <t>CUST-01116</t>
        </is>
      </c>
      <c r="E1117" t="inlineStr">
        <is>
          <t>Customer 1116</t>
        </is>
      </c>
      <c r="F1117" t="inlineStr">
        <is>
          <t>Corporate</t>
        </is>
      </c>
      <c r="G1117" t="inlineStr">
        <is>
          <t>P1019</t>
        </is>
      </c>
      <c r="H1117" t="inlineStr">
        <is>
          <t>SmartInk Pen Set</t>
        </is>
      </c>
      <c r="I1117" t="inlineStr">
        <is>
          <t>Technology</t>
        </is>
      </c>
      <c r="J1117" t="inlineStr">
        <is>
          <t>Writing</t>
        </is>
      </c>
      <c r="K1117" t="inlineStr">
        <is>
          <t>North</t>
        </is>
      </c>
      <c r="L1117" t="inlineStr">
        <is>
          <t>British Columbia</t>
        </is>
      </c>
      <c r="M1117" t="inlineStr">
        <is>
          <t>Vancouver</t>
        </is>
      </c>
      <c r="N1117" t="inlineStr">
        <is>
          <t>James Carter</t>
        </is>
      </c>
      <c r="O1117" t="n">
        <v>3</v>
      </c>
      <c r="P1117" s="3" t="n">
        <v>61.6</v>
      </c>
      <c r="Q1117" s="4" t="n">
        <v>0.039</v>
      </c>
      <c r="R1117" s="3" t="n">
        <v>177.59</v>
      </c>
      <c r="S1117" s="3" t="n">
        <v>79.38</v>
      </c>
      <c r="T1117" s="3" t="n">
        <v>89.81</v>
      </c>
      <c r="U1117" s="4" t="n">
        <v>0.5057</v>
      </c>
      <c r="V1117" s="3" t="n">
        <v>8.4</v>
      </c>
      <c r="W1117" t="inlineStr">
        <is>
          <t>Debit Card</t>
        </is>
      </c>
      <c r="X1117" t="inlineStr">
        <is>
          <t>Medium</t>
        </is>
      </c>
    </row>
    <row r="1118">
      <c r="A1118" t="inlineStr">
        <is>
          <t>ORD-01117</t>
        </is>
      </c>
      <c r="B1118" s="2" t="n">
        <v>45266</v>
      </c>
      <c r="C1118" s="2" t="n">
        <v>45273</v>
      </c>
      <c r="D1118" t="inlineStr">
        <is>
          <t>CUST-01117</t>
        </is>
      </c>
      <c r="E1118" t="inlineStr">
        <is>
          <t>Customer 1117</t>
        </is>
      </c>
      <c r="F1118" t="inlineStr">
        <is>
          <t>Consumer</t>
        </is>
      </c>
      <c r="G1118" t="inlineStr">
        <is>
          <t>P1007</t>
        </is>
      </c>
      <c r="H1118" t="inlineStr">
        <is>
          <t>ProClip Binder</t>
        </is>
      </c>
      <c r="I1118" t="inlineStr">
        <is>
          <t>Office Supplies</t>
        </is>
      </c>
      <c r="J1118" t="inlineStr">
        <is>
          <t>Paper</t>
        </is>
      </c>
      <c r="K1118" t="inlineStr">
        <is>
          <t>East</t>
        </is>
      </c>
      <c r="L1118" t="inlineStr">
        <is>
          <t>Massachusetts</t>
        </is>
      </c>
      <c r="M1118" t="inlineStr">
        <is>
          <t>Washington</t>
        </is>
      </c>
      <c r="N1118" t="inlineStr">
        <is>
          <t>Sophia Singh</t>
        </is>
      </c>
      <c r="O1118" t="n">
        <v>3</v>
      </c>
      <c r="P1118" s="3" t="n">
        <v>26.75</v>
      </c>
      <c r="Q1118" s="4" t="n">
        <v>0.02</v>
      </c>
      <c r="R1118" s="3" t="n">
        <v>78.64</v>
      </c>
      <c r="S1118" s="3" t="n">
        <v>33</v>
      </c>
      <c r="T1118" s="3" t="n">
        <v>36.24</v>
      </c>
      <c r="U1118" s="4" t="n">
        <v>0.4608</v>
      </c>
      <c r="V1118" s="3" t="n">
        <v>9.4</v>
      </c>
      <c r="W1118" t="inlineStr">
        <is>
          <t>Bank Transfer</t>
        </is>
      </c>
      <c r="X1118" t="inlineStr">
        <is>
          <t>Medium</t>
        </is>
      </c>
    </row>
    <row r="1119">
      <c r="A1119" t="inlineStr">
        <is>
          <t>ORD-01118</t>
        </is>
      </c>
      <c r="B1119" s="2" t="n">
        <v>45712</v>
      </c>
      <c r="C1119" s="2" t="n">
        <v>45713</v>
      </c>
      <c r="D1119" t="inlineStr">
        <is>
          <t>CUST-01118</t>
        </is>
      </c>
      <c r="E1119" t="inlineStr">
        <is>
          <t>Customer 1118</t>
        </is>
      </c>
      <c r="F1119" t="inlineStr">
        <is>
          <t>Home Office</t>
        </is>
      </c>
      <c r="G1119" t="inlineStr">
        <is>
          <t>P1013</t>
        </is>
      </c>
      <c r="H1119" t="inlineStr">
        <is>
          <t>Tide Cooler</t>
        </is>
      </c>
      <c r="I1119" t="inlineStr">
        <is>
          <t>Technology</t>
        </is>
      </c>
      <c r="J1119" t="inlineStr">
        <is>
          <t>Bags</t>
        </is>
      </c>
      <c r="K1119" t="inlineStr">
        <is>
          <t>East</t>
        </is>
      </c>
      <c r="L1119" t="inlineStr">
        <is>
          <t>New Jersey</t>
        </is>
      </c>
      <c r="M1119" t="inlineStr">
        <is>
          <t>New York</t>
        </is>
      </c>
      <c r="N1119" t="inlineStr">
        <is>
          <t>Sophia Singh</t>
        </is>
      </c>
      <c r="O1119" t="n">
        <v>4</v>
      </c>
      <c r="P1119" s="3" t="n">
        <v>167.53</v>
      </c>
      <c r="Q1119" s="4" t="n">
        <v>0.01</v>
      </c>
      <c r="R1119" s="3" t="n">
        <v>663.42</v>
      </c>
      <c r="S1119" s="3" t="n">
        <v>383.43</v>
      </c>
      <c r="T1119" s="3" t="n">
        <v>269.79</v>
      </c>
      <c r="U1119" s="4" t="n">
        <v>0.4067</v>
      </c>
      <c r="V1119" s="3" t="n">
        <v>10.2</v>
      </c>
      <c r="W1119" t="inlineStr">
        <is>
          <t>PayPal</t>
        </is>
      </c>
      <c r="X1119" t="inlineStr">
        <is>
          <t>Low</t>
        </is>
      </c>
    </row>
    <row r="1120">
      <c r="A1120" t="inlineStr">
        <is>
          <t>ORD-01119</t>
        </is>
      </c>
      <c r="B1120" s="2" t="n">
        <v>44939</v>
      </c>
      <c r="C1120" s="2" t="n">
        <v>44943</v>
      </c>
      <c r="D1120" t="inlineStr">
        <is>
          <t>CUST-01119</t>
        </is>
      </c>
      <c r="E1120" t="inlineStr">
        <is>
          <t>Customer 1119</t>
        </is>
      </c>
      <c r="F1120" t="inlineStr">
        <is>
          <t>Consumer</t>
        </is>
      </c>
      <c r="G1120" t="inlineStr">
        <is>
          <t>P1003</t>
        </is>
      </c>
      <c r="H1120" t="inlineStr">
        <is>
          <t>Harbor Rug</t>
        </is>
      </c>
      <c r="I1120" t="inlineStr">
        <is>
          <t>Office Supplies</t>
        </is>
      </c>
      <c r="J1120" t="inlineStr">
        <is>
          <t>Chairs</t>
        </is>
      </c>
      <c r="K1120" t="inlineStr">
        <is>
          <t>East</t>
        </is>
      </c>
      <c r="L1120" t="inlineStr">
        <is>
          <t>Virginia</t>
        </is>
      </c>
      <c r="M1120" t="inlineStr">
        <is>
          <t>Boston</t>
        </is>
      </c>
      <c r="N1120" t="inlineStr">
        <is>
          <t>Olivia Martin</t>
        </is>
      </c>
      <c r="O1120" t="n">
        <v>1</v>
      </c>
      <c r="P1120" s="3" t="n">
        <v>147.77</v>
      </c>
      <c r="Q1120" s="4" t="n">
        <v>0.002</v>
      </c>
      <c r="R1120" s="3" t="n">
        <v>147.47</v>
      </c>
      <c r="S1120" s="3" t="n">
        <v>82.40000000000001</v>
      </c>
      <c r="T1120" s="3" t="n">
        <v>57.27</v>
      </c>
      <c r="U1120" s="4" t="n">
        <v>0.3884</v>
      </c>
      <c r="V1120" s="3" t="n">
        <v>7.8</v>
      </c>
      <c r="W1120" t="inlineStr">
        <is>
          <t>Bank Transfer</t>
        </is>
      </c>
      <c r="X1120" t="inlineStr">
        <is>
          <t>Medium</t>
        </is>
      </c>
    </row>
    <row r="1121">
      <c r="A1121" t="inlineStr">
        <is>
          <t>ORD-01120</t>
        </is>
      </c>
      <c r="B1121" s="2" t="n">
        <v>45013</v>
      </c>
      <c r="C1121" s="2" t="n">
        <v>45020</v>
      </c>
      <c r="D1121" t="inlineStr">
        <is>
          <t>CUST-01120</t>
        </is>
      </c>
      <c r="E1121" t="inlineStr">
        <is>
          <t>Customer 1120</t>
        </is>
      </c>
      <c r="F1121" t="inlineStr">
        <is>
          <t>Consumer</t>
        </is>
      </c>
      <c r="G1121" t="inlineStr">
        <is>
          <t>P1008</t>
        </is>
      </c>
      <c r="H1121" t="inlineStr">
        <is>
          <t>Nova Laptop Stand</t>
        </is>
      </c>
      <c r="I1121" t="inlineStr">
        <is>
          <t>Office Supplies</t>
        </is>
      </c>
      <c r="J1121" t="inlineStr">
        <is>
          <t>Flooring</t>
        </is>
      </c>
      <c r="K1121" t="inlineStr">
        <is>
          <t>West</t>
        </is>
      </c>
      <c r="L1121" t="inlineStr">
        <is>
          <t>California</t>
        </is>
      </c>
      <c r="M1121" t="inlineStr">
        <is>
          <t>Los Angeles</t>
        </is>
      </c>
      <c r="N1121" t="inlineStr">
        <is>
          <t>Olivia Martin</t>
        </is>
      </c>
      <c r="O1121" t="n">
        <v>2</v>
      </c>
      <c r="P1121" s="3" t="n">
        <v>37.97</v>
      </c>
      <c r="Q1121" s="4" t="n">
        <v>0.021</v>
      </c>
      <c r="R1121" s="3" t="n">
        <v>74.34999999999999</v>
      </c>
      <c r="S1121" s="3" t="n">
        <v>32.73</v>
      </c>
      <c r="T1121" s="3" t="n">
        <v>33.02</v>
      </c>
      <c r="U1121" s="4" t="n">
        <v>0.4441</v>
      </c>
      <c r="V1121" s="3" t="n">
        <v>8.6</v>
      </c>
      <c r="W1121" t="inlineStr">
        <is>
          <t>Bank Transfer</t>
        </is>
      </c>
      <c r="X1121" t="inlineStr">
        <is>
          <t>Medium</t>
        </is>
      </c>
    </row>
    <row r="1122">
      <c r="A1122" t="inlineStr">
        <is>
          <t>ORD-01121</t>
        </is>
      </c>
      <c r="B1122" s="2" t="n">
        <v>45995</v>
      </c>
      <c r="C1122" s="2" t="n">
        <v>45997</v>
      </c>
      <c r="D1122" t="inlineStr">
        <is>
          <t>CUST-01121</t>
        </is>
      </c>
      <c r="E1122" t="inlineStr">
        <is>
          <t>Customer 1121</t>
        </is>
      </c>
      <c r="F1122" t="inlineStr">
        <is>
          <t>Corporate</t>
        </is>
      </c>
      <c r="G1122" t="inlineStr">
        <is>
          <t>P1011</t>
        </is>
      </c>
      <c r="H1122" t="inlineStr">
        <is>
          <t>Northstar Lantern</t>
        </is>
      </c>
      <c r="I1122" t="inlineStr">
        <is>
          <t>Technology</t>
        </is>
      </c>
      <c r="J1122" t="inlineStr">
        <is>
          <t>Storage</t>
        </is>
      </c>
      <c r="K1122" t="inlineStr">
        <is>
          <t>West</t>
        </is>
      </c>
      <c r="L1122" t="inlineStr">
        <is>
          <t>Washington</t>
        </is>
      </c>
      <c r="M1122" t="inlineStr">
        <is>
          <t>Seattle</t>
        </is>
      </c>
      <c r="N1122" t="inlineStr">
        <is>
          <t>Liam Chen</t>
        </is>
      </c>
      <c r="O1122" t="n">
        <v>3</v>
      </c>
      <c r="P1122" s="3" t="n">
        <v>100.59</v>
      </c>
      <c r="Q1122" s="4" t="n">
        <v>0.049</v>
      </c>
      <c r="R1122" s="3" t="n">
        <v>286.98</v>
      </c>
      <c r="S1122" s="3" t="n">
        <v>138.83</v>
      </c>
      <c r="T1122" s="3" t="n">
        <v>138.75</v>
      </c>
      <c r="U1122" s="4" t="n">
        <v>0.4835</v>
      </c>
      <c r="V1122" s="3" t="n">
        <v>9.4</v>
      </c>
      <c r="W1122" t="inlineStr">
        <is>
          <t>PayPal</t>
        </is>
      </c>
      <c r="X1122" t="inlineStr">
        <is>
          <t>High</t>
        </is>
      </c>
    </row>
    <row r="1123">
      <c r="A1123" t="inlineStr">
        <is>
          <t>ORD-01122</t>
        </is>
      </c>
      <c r="B1123" s="2" t="n">
        <v>45741</v>
      </c>
      <c r="C1123" s="2" t="n">
        <v>45743</v>
      </c>
      <c r="D1123" t="inlineStr">
        <is>
          <t>CUST-01122</t>
        </is>
      </c>
      <c r="E1123" t="inlineStr">
        <is>
          <t>Customer 1122</t>
        </is>
      </c>
      <c r="F1123" t="inlineStr">
        <is>
          <t>Corporate</t>
        </is>
      </c>
      <c r="G1123" t="inlineStr">
        <is>
          <t>P1016</t>
        </is>
      </c>
      <c r="H1123" t="inlineStr">
        <is>
          <t>Aero Standing Desk</t>
        </is>
      </c>
      <c r="I1123" t="inlineStr">
        <is>
          <t>Technology</t>
        </is>
      </c>
      <c r="J1123" t="inlineStr">
        <is>
          <t>Peripherals</t>
        </is>
      </c>
      <c r="K1123" t="inlineStr">
        <is>
          <t>East</t>
        </is>
      </c>
      <c r="L1123" t="inlineStr">
        <is>
          <t>New York</t>
        </is>
      </c>
      <c r="M1123" t="inlineStr">
        <is>
          <t>Philadelphia</t>
        </is>
      </c>
      <c r="N1123" t="inlineStr">
        <is>
          <t>Liam Chen</t>
        </is>
      </c>
      <c r="O1123" t="n">
        <v>3</v>
      </c>
      <c r="P1123" s="3" t="n">
        <v>39.4</v>
      </c>
      <c r="Q1123" s="4" t="n">
        <v>0.015</v>
      </c>
      <c r="R1123" s="3" t="n">
        <v>116.43</v>
      </c>
      <c r="S1123" s="3" t="n">
        <v>52.88</v>
      </c>
      <c r="T1123" s="3" t="n">
        <v>54.15</v>
      </c>
      <c r="U1123" s="4" t="n">
        <v>0.4651</v>
      </c>
      <c r="V1123" s="3" t="n">
        <v>9.4</v>
      </c>
      <c r="W1123" t="inlineStr">
        <is>
          <t>Bank Transfer</t>
        </is>
      </c>
      <c r="X1123" t="inlineStr">
        <is>
          <t>Medium</t>
        </is>
      </c>
    </row>
    <row r="1124">
      <c r="A1124" t="inlineStr">
        <is>
          <t>ORD-01123</t>
        </is>
      </c>
      <c r="B1124" s="2" t="n">
        <v>45860</v>
      </c>
      <c r="C1124" s="2" t="n">
        <v>45867</v>
      </c>
      <c r="D1124" t="inlineStr">
        <is>
          <t>CUST-01123</t>
        </is>
      </c>
      <c r="E1124" t="inlineStr">
        <is>
          <t>Customer 1123</t>
        </is>
      </c>
      <c r="F1124" t="inlineStr">
        <is>
          <t>Consumer</t>
        </is>
      </c>
      <c r="G1124" t="inlineStr">
        <is>
          <t>P1020</t>
        </is>
      </c>
      <c r="H1124" t="inlineStr">
        <is>
          <t>Aero Standing Desk</t>
        </is>
      </c>
      <c r="I1124" t="inlineStr">
        <is>
          <t>Office Supplies</t>
        </is>
      </c>
      <c r="J1124" t="inlineStr">
        <is>
          <t>Bags</t>
        </is>
      </c>
      <c r="K1124" t="inlineStr">
        <is>
          <t>Central</t>
        </is>
      </c>
      <c r="L1124" t="inlineStr">
        <is>
          <t>Minnesota</t>
        </is>
      </c>
      <c r="M1124" t="inlineStr">
        <is>
          <t>St. Louis</t>
        </is>
      </c>
      <c r="N1124" t="inlineStr">
        <is>
          <t>Mia Rodriguez</t>
        </is>
      </c>
      <c r="O1124" t="n">
        <v>3</v>
      </c>
      <c r="P1124" s="3" t="n">
        <v>75.27</v>
      </c>
      <c r="Q1124" s="4" t="n">
        <v>0.016</v>
      </c>
      <c r="R1124" s="3" t="n">
        <v>222.2</v>
      </c>
      <c r="S1124" s="3" t="n">
        <v>109.47</v>
      </c>
      <c r="T1124" s="3" t="n">
        <v>104.33</v>
      </c>
      <c r="U1124" s="4" t="n">
        <v>0.4695</v>
      </c>
      <c r="V1124" s="3" t="n">
        <v>8.4</v>
      </c>
      <c r="W1124" t="inlineStr">
        <is>
          <t>Bank Transfer</t>
        </is>
      </c>
      <c r="X1124" t="inlineStr">
        <is>
          <t>High</t>
        </is>
      </c>
    </row>
    <row r="1125">
      <c r="A1125" t="inlineStr">
        <is>
          <t>ORD-01124</t>
        </is>
      </c>
      <c r="B1125" s="2" t="n">
        <v>45966</v>
      </c>
      <c r="C1125" s="2" t="n">
        <v>45971</v>
      </c>
      <c r="D1125" t="inlineStr">
        <is>
          <t>CUST-01124</t>
        </is>
      </c>
      <c r="E1125" t="inlineStr">
        <is>
          <t>Customer 1124</t>
        </is>
      </c>
      <c r="F1125" t="inlineStr">
        <is>
          <t>Consumer</t>
        </is>
      </c>
      <c r="G1125" t="inlineStr">
        <is>
          <t>P1019</t>
        </is>
      </c>
      <c r="H1125" t="inlineStr">
        <is>
          <t>Harbor Rug</t>
        </is>
      </c>
      <c r="I1125" t="inlineStr">
        <is>
          <t>Office Supplies</t>
        </is>
      </c>
      <c r="J1125" t="inlineStr">
        <is>
          <t>Writing</t>
        </is>
      </c>
      <c r="K1125" t="inlineStr">
        <is>
          <t>Central</t>
        </is>
      </c>
      <c r="L1125" t="inlineStr">
        <is>
          <t>Kansas</t>
        </is>
      </c>
      <c r="M1125" t="inlineStr">
        <is>
          <t>Chicago</t>
        </is>
      </c>
      <c r="N1125" t="inlineStr">
        <is>
          <t>Sophia Singh</t>
        </is>
      </c>
      <c r="O1125" t="n">
        <v>4</v>
      </c>
      <c r="P1125" s="3" t="n">
        <v>62.91</v>
      </c>
      <c r="Q1125" s="4" t="n">
        <v>0.039</v>
      </c>
      <c r="R1125" s="3" t="n">
        <v>241.83</v>
      </c>
      <c r="S1125" s="3" t="n">
        <v>107.13</v>
      </c>
      <c r="T1125" s="3" t="n">
        <v>125.5</v>
      </c>
      <c r="U1125" s="4" t="n">
        <v>0.519</v>
      </c>
      <c r="V1125" s="3" t="n">
        <v>9.199999999999999</v>
      </c>
      <c r="W1125" t="inlineStr">
        <is>
          <t>Debit Card</t>
        </is>
      </c>
      <c r="X1125" t="inlineStr">
        <is>
          <t>High</t>
        </is>
      </c>
    </row>
    <row r="1126">
      <c r="A1126" t="inlineStr">
        <is>
          <t>ORD-01125</t>
        </is>
      </c>
      <c r="B1126" s="2" t="n">
        <v>45676</v>
      </c>
      <c r="C1126" s="2" t="n">
        <v>45680</v>
      </c>
      <c r="D1126" t="inlineStr">
        <is>
          <t>CUST-01125</t>
        </is>
      </c>
      <c r="E1126" t="inlineStr">
        <is>
          <t>Customer 1125</t>
        </is>
      </c>
      <c r="F1126" t="inlineStr">
        <is>
          <t>Consumer</t>
        </is>
      </c>
      <c r="G1126" t="inlineStr">
        <is>
          <t>P1009</t>
        </is>
      </c>
      <c r="H1126" t="inlineStr">
        <is>
          <t>Pulse Keyboard</t>
        </is>
      </c>
      <c r="I1126" t="inlineStr">
        <is>
          <t>Technology</t>
        </is>
      </c>
      <c r="J1126" t="inlineStr">
        <is>
          <t>Lighting</t>
        </is>
      </c>
      <c r="K1126" t="inlineStr">
        <is>
          <t>West</t>
        </is>
      </c>
      <c r="L1126" t="inlineStr">
        <is>
          <t>California</t>
        </is>
      </c>
      <c r="M1126" t="inlineStr">
        <is>
          <t>San Francisco</t>
        </is>
      </c>
      <c r="N1126" t="inlineStr">
        <is>
          <t>James Carter</t>
        </is>
      </c>
      <c r="O1126" t="n">
        <v>2</v>
      </c>
      <c r="P1126" s="3" t="n">
        <v>93.69</v>
      </c>
      <c r="Q1126" s="4" t="n">
        <v>0.04099999999999999</v>
      </c>
      <c r="R1126" s="3" t="n">
        <v>179.7</v>
      </c>
      <c r="S1126" s="3" t="n">
        <v>94.37</v>
      </c>
      <c r="T1126" s="3" t="n">
        <v>76.73</v>
      </c>
      <c r="U1126" s="4" t="n">
        <v>0.427</v>
      </c>
      <c r="V1126" s="3" t="n">
        <v>8.6</v>
      </c>
      <c r="W1126" t="inlineStr">
        <is>
          <t>Credit Card</t>
        </is>
      </c>
      <c r="X1126" t="inlineStr">
        <is>
          <t>High</t>
        </is>
      </c>
    </row>
    <row r="1127">
      <c r="A1127" t="inlineStr">
        <is>
          <t>ORD-01126</t>
        </is>
      </c>
      <c r="B1127" s="2" t="n">
        <v>45509</v>
      </c>
      <c r="C1127" s="2" t="n">
        <v>45512</v>
      </c>
      <c r="D1127" t="inlineStr">
        <is>
          <t>CUST-01126</t>
        </is>
      </c>
      <c r="E1127" t="inlineStr">
        <is>
          <t>Customer 1126</t>
        </is>
      </c>
      <c r="F1127" t="inlineStr">
        <is>
          <t>Corporate</t>
        </is>
      </c>
      <c r="G1127" t="inlineStr">
        <is>
          <t>P1010</t>
        </is>
      </c>
      <c r="H1127" t="inlineStr">
        <is>
          <t>Lumen Desk Lamp</t>
        </is>
      </c>
      <c r="I1127" t="inlineStr">
        <is>
          <t>Technology</t>
        </is>
      </c>
      <c r="J1127" t="inlineStr">
        <is>
          <t>Writing</t>
        </is>
      </c>
      <c r="K1127" t="inlineStr">
        <is>
          <t>West</t>
        </is>
      </c>
      <c r="L1127" t="inlineStr">
        <is>
          <t>Oregon</t>
        </is>
      </c>
      <c r="M1127" t="inlineStr">
        <is>
          <t>Seattle</t>
        </is>
      </c>
      <c r="N1127" t="inlineStr">
        <is>
          <t>James Carter</t>
        </is>
      </c>
      <c r="O1127" t="n">
        <v>1</v>
      </c>
      <c r="P1127" s="3" t="n">
        <v>57.31</v>
      </c>
      <c r="Q1127" s="4" t="n">
        <v>0.018</v>
      </c>
      <c r="R1127" s="3" t="n">
        <v>56.28</v>
      </c>
      <c r="S1127" s="3" t="n">
        <v>27.53</v>
      </c>
      <c r="T1127" s="3" t="n">
        <v>20.95</v>
      </c>
      <c r="U1127" s="4" t="n">
        <v>0.3722</v>
      </c>
      <c r="V1127" s="3" t="n">
        <v>7.8</v>
      </c>
      <c r="W1127" t="inlineStr">
        <is>
          <t>Credit Card</t>
        </is>
      </c>
      <c r="X1127" t="inlineStr">
        <is>
          <t>Medium</t>
        </is>
      </c>
    </row>
    <row r="1128">
      <c r="A1128" t="inlineStr">
        <is>
          <t>ORD-01127</t>
        </is>
      </c>
      <c r="B1128" s="2" t="n">
        <v>45067</v>
      </c>
      <c r="C1128" s="2" t="n">
        <v>45073</v>
      </c>
      <c r="D1128" t="inlineStr">
        <is>
          <t>CUST-01127</t>
        </is>
      </c>
      <c r="E1128" t="inlineStr">
        <is>
          <t>Customer 1127</t>
        </is>
      </c>
      <c r="F1128" t="inlineStr">
        <is>
          <t>Corporate</t>
        </is>
      </c>
      <c r="G1128" t="inlineStr">
        <is>
          <t>P1006</t>
        </is>
      </c>
      <c r="H1128" t="inlineStr">
        <is>
          <t>ProClip Binder</t>
        </is>
      </c>
      <c r="I1128" t="inlineStr">
        <is>
          <t>Furniture</t>
        </is>
      </c>
      <c r="J1128" t="inlineStr">
        <is>
          <t>Textiles</t>
        </is>
      </c>
      <c r="K1128" t="inlineStr">
        <is>
          <t>East</t>
        </is>
      </c>
      <c r="L1128" t="inlineStr">
        <is>
          <t>New York</t>
        </is>
      </c>
      <c r="M1128" t="inlineStr">
        <is>
          <t>New York</t>
        </is>
      </c>
      <c r="N1128" t="inlineStr">
        <is>
          <t>Liam Chen</t>
        </is>
      </c>
      <c r="O1128" t="n">
        <v>2</v>
      </c>
      <c r="P1128" s="3" t="n">
        <v>17.67</v>
      </c>
      <c r="Q1128" s="4" t="n">
        <v>0.051</v>
      </c>
      <c r="R1128" s="3" t="n">
        <v>33.54</v>
      </c>
      <c r="S1128" s="3" t="n">
        <v>16.23</v>
      </c>
      <c r="T1128" s="3" t="n">
        <v>8.710000000000001</v>
      </c>
      <c r="U1128" s="4" t="n">
        <v>0.2597</v>
      </c>
      <c r="V1128" s="3" t="n">
        <v>8.6</v>
      </c>
      <c r="W1128" t="inlineStr">
        <is>
          <t>Debit Card</t>
        </is>
      </c>
      <c r="X1128" t="inlineStr">
        <is>
          <t>High</t>
        </is>
      </c>
    </row>
    <row r="1129">
      <c r="A1129" t="inlineStr">
        <is>
          <t>ORD-01128</t>
        </is>
      </c>
      <c r="B1129" s="2" t="n">
        <v>45610</v>
      </c>
      <c r="C1129" s="2" t="n">
        <v>45613</v>
      </c>
      <c r="D1129" t="inlineStr">
        <is>
          <t>CUST-01128</t>
        </is>
      </c>
      <c r="E1129" t="inlineStr">
        <is>
          <t>Customer 1128</t>
        </is>
      </c>
      <c r="F1129" t="inlineStr">
        <is>
          <t>Corporate</t>
        </is>
      </c>
      <c r="G1129" t="inlineStr">
        <is>
          <t>P1003</t>
        </is>
      </c>
      <c r="H1129" t="inlineStr">
        <is>
          <t>Echo Web Camera</t>
        </is>
      </c>
      <c r="I1129" t="inlineStr">
        <is>
          <t>Outdoor</t>
        </is>
      </c>
      <c r="J1129" t="inlineStr">
        <is>
          <t>Video</t>
        </is>
      </c>
      <c r="K1129" t="inlineStr">
        <is>
          <t>West</t>
        </is>
      </c>
      <c r="L1129" t="inlineStr">
        <is>
          <t>Oregon</t>
        </is>
      </c>
      <c r="M1129" t="inlineStr">
        <is>
          <t>Seattle</t>
        </is>
      </c>
      <c r="N1129" t="inlineStr">
        <is>
          <t>Olivia Martin</t>
        </is>
      </c>
      <c r="O1129" t="n">
        <v>5</v>
      </c>
      <c r="P1129" s="3" t="n">
        <v>161.95</v>
      </c>
      <c r="Q1129" s="4" t="n">
        <v>0.027</v>
      </c>
      <c r="R1129" s="3" t="n">
        <v>787.89</v>
      </c>
      <c r="S1129" s="3" t="n">
        <v>412.85</v>
      </c>
      <c r="T1129" s="3" t="n">
        <v>364.04</v>
      </c>
      <c r="U1129" s="4" t="n">
        <v>0.462</v>
      </c>
      <c r="V1129" s="3" t="n">
        <v>11</v>
      </c>
      <c r="W1129" t="inlineStr">
        <is>
          <t>PayPal</t>
        </is>
      </c>
      <c r="X1129" t="inlineStr">
        <is>
          <t>Low</t>
        </is>
      </c>
    </row>
    <row r="1130">
      <c r="A1130" t="inlineStr">
        <is>
          <t>ORD-01129</t>
        </is>
      </c>
      <c r="B1130" s="2" t="n">
        <v>45440</v>
      </c>
      <c r="C1130" s="2" t="n">
        <v>45443</v>
      </c>
      <c r="D1130" t="inlineStr">
        <is>
          <t>CUST-01129</t>
        </is>
      </c>
      <c r="E1130" t="inlineStr">
        <is>
          <t>Customer 1129</t>
        </is>
      </c>
      <c r="F1130" t="inlineStr">
        <is>
          <t>Consumer</t>
        </is>
      </c>
      <c r="G1130" t="inlineStr">
        <is>
          <t>P1020</t>
        </is>
      </c>
      <c r="H1130" t="inlineStr">
        <is>
          <t>CloudDrive File Box</t>
        </is>
      </c>
      <c r="I1130" t="inlineStr">
        <is>
          <t>Furniture</t>
        </is>
      </c>
      <c r="J1130" t="inlineStr">
        <is>
          <t>Peripherals</t>
        </is>
      </c>
      <c r="K1130" t="inlineStr">
        <is>
          <t>West</t>
        </is>
      </c>
      <c r="L1130" t="inlineStr">
        <is>
          <t>California</t>
        </is>
      </c>
      <c r="M1130" t="inlineStr">
        <is>
          <t>Denver</t>
        </is>
      </c>
      <c r="N1130" t="inlineStr">
        <is>
          <t>Sophia Singh</t>
        </is>
      </c>
      <c r="O1130" t="n">
        <v>4</v>
      </c>
      <c r="P1130" s="3" t="n">
        <v>74.25</v>
      </c>
      <c r="Q1130" s="4" t="n">
        <v>0.038</v>
      </c>
      <c r="R1130" s="3" t="n">
        <v>285.71</v>
      </c>
      <c r="S1130" s="3" t="n">
        <v>133.61</v>
      </c>
      <c r="T1130" s="3" t="n">
        <v>141.9</v>
      </c>
      <c r="U1130" s="4" t="n">
        <v>0.4967</v>
      </c>
      <c r="V1130" s="3" t="n">
        <v>10.2</v>
      </c>
      <c r="W1130" t="inlineStr">
        <is>
          <t>Credit Card</t>
        </is>
      </c>
      <c r="X1130" t="inlineStr">
        <is>
          <t>Critical</t>
        </is>
      </c>
    </row>
    <row r="1131">
      <c r="A1131" t="inlineStr">
        <is>
          <t>ORD-01130</t>
        </is>
      </c>
      <c r="B1131" s="2" t="n">
        <v>45227</v>
      </c>
      <c r="C1131" s="2" t="n">
        <v>45232</v>
      </c>
      <c r="D1131" t="inlineStr">
        <is>
          <t>CUST-01130</t>
        </is>
      </c>
      <c r="E1131" t="inlineStr">
        <is>
          <t>Customer 1130</t>
        </is>
      </c>
      <c r="F1131" t="inlineStr">
        <is>
          <t>Home Office</t>
        </is>
      </c>
      <c r="G1131" t="inlineStr">
        <is>
          <t>P1008</t>
        </is>
      </c>
      <c r="H1131" t="inlineStr">
        <is>
          <t>FlexNote Notebook</t>
        </is>
      </c>
      <c r="I1131" t="inlineStr">
        <is>
          <t>Outdoor</t>
        </is>
      </c>
      <c r="J1131" t="inlineStr">
        <is>
          <t>Accessories</t>
        </is>
      </c>
      <c r="K1131" t="inlineStr">
        <is>
          <t>South</t>
        </is>
      </c>
      <c r="L1131" t="inlineStr">
        <is>
          <t>Florida</t>
        </is>
      </c>
      <c r="M1131" t="inlineStr">
        <is>
          <t>Dallas</t>
        </is>
      </c>
      <c r="N1131" t="inlineStr">
        <is>
          <t>Noah Kim</t>
        </is>
      </c>
      <c r="O1131" t="n">
        <v>2</v>
      </c>
      <c r="P1131" s="3" t="n">
        <v>37.67</v>
      </c>
      <c r="Q1131" s="4" t="n">
        <v>0.041</v>
      </c>
      <c r="R1131" s="3" t="n">
        <v>72.25</v>
      </c>
      <c r="S1131" s="3" t="n">
        <v>35.12</v>
      </c>
      <c r="T1131" s="3" t="n">
        <v>29.53</v>
      </c>
      <c r="U1131" s="4" t="n">
        <v>0.4087</v>
      </c>
      <c r="V1131" s="3" t="n">
        <v>7.6</v>
      </c>
      <c r="W1131" t="inlineStr">
        <is>
          <t>Credit Card</t>
        </is>
      </c>
      <c r="X1131" t="inlineStr">
        <is>
          <t>Critical</t>
        </is>
      </c>
    </row>
    <row r="1132">
      <c r="A1132" t="inlineStr">
        <is>
          <t>ORD-01131</t>
        </is>
      </c>
      <c r="B1132" s="2" t="n">
        <v>45904</v>
      </c>
      <c r="C1132" s="2" t="n">
        <v>45907</v>
      </c>
      <c r="D1132" t="inlineStr">
        <is>
          <t>CUST-01131</t>
        </is>
      </c>
      <c r="E1132" t="inlineStr">
        <is>
          <t>Customer 1131</t>
        </is>
      </c>
      <c r="F1132" t="inlineStr">
        <is>
          <t>Home Office</t>
        </is>
      </c>
      <c r="G1132" t="inlineStr">
        <is>
          <t>P1006</t>
        </is>
      </c>
      <c r="H1132" t="inlineStr">
        <is>
          <t>Trail Tote</t>
        </is>
      </c>
      <c r="I1132" t="inlineStr">
        <is>
          <t>Outdoor</t>
        </is>
      </c>
      <c r="J1132" t="inlineStr">
        <is>
          <t>Writing</t>
        </is>
      </c>
      <c r="K1132" t="inlineStr">
        <is>
          <t>South</t>
        </is>
      </c>
      <c r="L1132" t="inlineStr">
        <is>
          <t>Texas</t>
        </is>
      </c>
      <c r="M1132" t="inlineStr">
        <is>
          <t>Houston</t>
        </is>
      </c>
      <c r="N1132" t="inlineStr">
        <is>
          <t>Noah Kim</t>
        </is>
      </c>
      <c r="O1132" t="n">
        <v>2</v>
      </c>
      <c r="P1132" s="3" t="n">
        <v>18.07</v>
      </c>
      <c r="Q1132" s="4" t="n">
        <v>0.02</v>
      </c>
      <c r="R1132" s="3" t="n">
        <v>35.42</v>
      </c>
      <c r="S1132" s="3" t="n">
        <v>19.6</v>
      </c>
      <c r="T1132" s="3" t="n">
        <v>8.220000000000001</v>
      </c>
      <c r="U1132" s="4" t="n">
        <v>0.2321</v>
      </c>
      <c r="V1132" s="3" t="n">
        <v>7.6</v>
      </c>
      <c r="W1132" t="inlineStr">
        <is>
          <t>Credit Card</t>
        </is>
      </c>
      <c r="X1132" t="inlineStr">
        <is>
          <t>Medium</t>
        </is>
      </c>
    </row>
    <row r="1133">
      <c r="A1133" t="inlineStr">
        <is>
          <t>ORD-01132</t>
        </is>
      </c>
      <c r="B1133" s="2" t="n">
        <v>45394</v>
      </c>
      <c r="C1133" s="2" t="n">
        <v>45395</v>
      </c>
      <c r="D1133" t="inlineStr">
        <is>
          <t>CUST-01132</t>
        </is>
      </c>
      <c r="E1133" t="inlineStr">
        <is>
          <t>Customer 1132</t>
        </is>
      </c>
      <c r="F1133" t="inlineStr">
        <is>
          <t>Consumer</t>
        </is>
      </c>
      <c r="G1133" t="inlineStr">
        <is>
          <t>P1008</t>
        </is>
      </c>
      <c r="H1133" t="inlineStr">
        <is>
          <t>Nova Laptop Stand</t>
        </is>
      </c>
      <c r="I1133" t="inlineStr">
        <is>
          <t>Technology</t>
        </is>
      </c>
      <c r="J1133" t="inlineStr">
        <is>
          <t>Bags</t>
        </is>
      </c>
      <c r="K1133" t="inlineStr">
        <is>
          <t>North</t>
        </is>
      </c>
      <c r="L1133" t="inlineStr">
        <is>
          <t>Ontario</t>
        </is>
      </c>
      <c r="M1133" t="inlineStr">
        <is>
          <t>Calgary</t>
        </is>
      </c>
      <c r="N1133" t="inlineStr">
        <is>
          <t>Noah Kim</t>
        </is>
      </c>
      <c r="O1133" t="n">
        <v>4</v>
      </c>
      <c r="P1133" s="3" t="n">
        <v>35.64</v>
      </c>
      <c r="Q1133" s="4" t="n">
        <v>0.026</v>
      </c>
      <c r="R1133" s="3" t="n">
        <v>138.85</v>
      </c>
      <c r="S1133" s="3" t="n">
        <v>60.15</v>
      </c>
      <c r="T1133" s="3" t="n">
        <v>69.5</v>
      </c>
      <c r="U1133" s="4" t="n">
        <v>0.5004999999999999</v>
      </c>
      <c r="V1133" s="3" t="n">
        <v>9.199999999999999</v>
      </c>
      <c r="W1133" t="inlineStr">
        <is>
          <t>Credit Card</t>
        </is>
      </c>
      <c r="X1133" t="inlineStr">
        <is>
          <t>Critical</t>
        </is>
      </c>
    </row>
    <row r="1134">
      <c r="A1134" t="inlineStr">
        <is>
          <t>ORD-01133</t>
        </is>
      </c>
      <c r="B1134" s="2" t="n">
        <v>44932</v>
      </c>
      <c r="C1134" s="2" t="n">
        <v>44935</v>
      </c>
      <c r="D1134" t="inlineStr">
        <is>
          <t>CUST-01133</t>
        </is>
      </c>
      <c r="E1134" t="inlineStr">
        <is>
          <t>Customer 1133</t>
        </is>
      </c>
      <c r="F1134" t="inlineStr">
        <is>
          <t>Consumer</t>
        </is>
      </c>
      <c r="G1134" t="inlineStr">
        <is>
          <t>P1014</t>
        </is>
      </c>
      <c r="H1134" t="inlineStr">
        <is>
          <t>Aero Standing Desk</t>
        </is>
      </c>
      <c r="I1134" t="inlineStr">
        <is>
          <t>Technology</t>
        </is>
      </c>
      <c r="J1134" t="inlineStr">
        <is>
          <t>Decor</t>
        </is>
      </c>
      <c r="K1134" t="inlineStr">
        <is>
          <t>Central</t>
        </is>
      </c>
      <c r="L1134" t="inlineStr">
        <is>
          <t>Illinois</t>
        </is>
      </c>
      <c r="M1134" t="inlineStr">
        <is>
          <t>Minneapolis</t>
        </is>
      </c>
      <c r="N1134" t="inlineStr">
        <is>
          <t>Sophia Singh</t>
        </is>
      </c>
      <c r="O1134" t="n">
        <v>2</v>
      </c>
      <c r="P1134" s="3" t="n">
        <v>41.34</v>
      </c>
      <c r="Q1134" s="4" t="n">
        <v>0.02</v>
      </c>
      <c r="R1134" s="3" t="n">
        <v>81.03</v>
      </c>
      <c r="S1134" s="3" t="n">
        <v>36.89</v>
      </c>
      <c r="T1134" s="3" t="n">
        <v>36.54</v>
      </c>
      <c r="U1134" s="4" t="n">
        <v>0.4509</v>
      </c>
      <c r="V1134" s="3" t="n">
        <v>7.6</v>
      </c>
      <c r="W1134" t="inlineStr">
        <is>
          <t>Debit Card</t>
        </is>
      </c>
      <c r="X1134" t="inlineStr">
        <is>
          <t>High</t>
        </is>
      </c>
    </row>
    <row r="1135">
      <c r="A1135" t="inlineStr">
        <is>
          <t>ORD-01134</t>
        </is>
      </c>
      <c r="B1135" s="2" t="n">
        <v>45096</v>
      </c>
      <c r="C1135" s="2" t="n">
        <v>45099</v>
      </c>
      <c r="D1135" t="inlineStr">
        <is>
          <t>CUST-01134</t>
        </is>
      </c>
      <c r="E1135" t="inlineStr">
        <is>
          <t>Customer 1134</t>
        </is>
      </c>
      <c r="F1135" t="inlineStr">
        <is>
          <t>Consumer</t>
        </is>
      </c>
      <c r="G1135" t="inlineStr">
        <is>
          <t>P1008</t>
        </is>
      </c>
      <c r="H1135" t="inlineStr">
        <is>
          <t>Nova Laptop Stand</t>
        </is>
      </c>
      <c r="I1135" t="inlineStr">
        <is>
          <t>Home Decor</t>
        </is>
      </c>
      <c r="J1135" t="inlineStr">
        <is>
          <t>Desks</t>
        </is>
      </c>
      <c r="K1135" t="inlineStr">
        <is>
          <t>East</t>
        </is>
      </c>
      <c r="L1135" t="inlineStr">
        <is>
          <t>Massachusetts</t>
        </is>
      </c>
      <c r="M1135" t="inlineStr">
        <is>
          <t>Boston</t>
        </is>
      </c>
      <c r="N1135" t="inlineStr">
        <is>
          <t>Sophia Singh</t>
        </is>
      </c>
      <c r="O1135" t="n">
        <v>3</v>
      </c>
      <c r="P1135" s="3" t="n">
        <v>38.88</v>
      </c>
      <c r="Q1135" s="4" t="n">
        <v>0</v>
      </c>
      <c r="R1135" s="3" t="n">
        <v>116.64</v>
      </c>
      <c r="S1135" s="3" t="n">
        <v>50.58</v>
      </c>
      <c r="T1135" s="3" t="n">
        <v>56.66</v>
      </c>
      <c r="U1135" s="4" t="n">
        <v>0.4858</v>
      </c>
      <c r="V1135" s="3" t="n">
        <v>9.4</v>
      </c>
      <c r="W1135" t="inlineStr">
        <is>
          <t>Credit Card</t>
        </is>
      </c>
      <c r="X1135" t="inlineStr">
        <is>
          <t>Low</t>
        </is>
      </c>
    </row>
    <row r="1136">
      <c r="A1136" t="inlineStr">
        <is>
          <t>ORD-01135</t>
        </is>
      </c>
      <c r="B1136" s="2" t="n">
        <v>45787</v>
      </c>
      <c r="C1136" s="2" t="n">
        <v>45788</v>
      </c>
      <c r="D1136" t="inlineStr">
        <is>
          <t>CUST-01135</t>
        </is>
      </c>
      <c r="E1136" t="inlineStr">
        <is>
          <t>Customer 1135</t>
        </is>
      </c>
      <c r="F1136" t="inlineStr">
        <is>
          <t>Consumer</t>
        </is>
      </c>
      <c r="G1136" t="inlineStr">
        <is>
          <t>P1011</t>
        </is>
      </c>
      <c r="H1136" t="inlineStr">
        <is>
          <t>Echo Web Camera</t>
        </is>
      </c>
      <c r="I1136" t="inlineStr">
        <is>
          <t>Outdoor</t>
        </is>
      </c>
      <c r="J1136" t="inlineStr">
        <is>
          <t>Accessories</t>
        </is>
      </c>
      <c r="K1136" t="inlineStr">
        <is>
          <t>Central</t>
        </is>
      </c>
      <c r="L1136" t="inlineStr">
        <is>
          <t>Illinois</t>
        </is>
      </c>
      <c r="M1136" t="inlineStr">
        <is>
          <t>Kansas City</t>
        </is>
      </c>
      <c r="N1136" t="inlineStr">
        <is>
          <t>Liam Chen</t>
        </is>
      </c>
      <c r="O1136" t="n">
        <v>3</v>
      </c>
      <c r="P1136" s="3" t="n">
        <v>85.75</v>
      </c>
      <c r="Q1136" s="4" t="n">
        <v>0.043</v>
      </c>
      <c r="R1136" s="3" t="n">
        <v>246.19</v>
      </c>
      <c r="S1136" s="3" t="n">
        <v>119.39</v>
      </c>
      <c r="T1136" s="3" t="n">
        <v>118.4</v>
      </c>
      <c r="U1136" s="4" t="n">
        <v>0.4809</v>
      </c>
      <c r="V1136" s="3" t="n">
        <v>8.4</v>
      </c>
      <c r="W1136" t="inlineStr">
        <is>
          <t>Credit Card</t>
        </is>
      </c>
      <c r="X1136" t="inlineStr">
        <is>
          <t>High</t>
        </is>
      </c>
    </row>
    <row r="1137">
      <c r="A1137" t="inlineStr">
        <is>
          <t>ORD-01136</t>
        </is>
      </c>
      <c r="B1137" s="2" t="n">
        <v>45231</v>
      </c>
      <c r="C1137" s="2" t="n">
        <v>45236</v>
      </c>
      <c r="D1137" t="inlineStr">
        <is>
          <t>CUST-01136</t>
        </is>
      </c>
      <c r="E1137" t="inlineStr">
        <is>
          <t>Customer 1136</t>
        </is>
      </c>
      <c r="F1137" t="inlineStr">
        <is>
          <t>Home Office</t>
        </is>
      </c>
      <c r="G1137" t="inlineStr">
        <is>
          <t>P1010</t>
        </is>
      </c>
      <c r="H1137" t="inlineStr">
        <is>
          <t>Aero Standing Desk</t>
        </is>
      </c>
      <c r="I1137" t="inlineStr">
        <is>
          <t>Office Supplies</t>
        </is>
      </c>
      <c r="J1137" t="inlineStr">
        <is>
          <t>Accessories</t>
        </is>
      </c>
      <c r="K1137" t="inlineStr">
        <is>
          <t>East</t>
        </is>
      </c>
      <c r="L1137" t="inlineStr">
        <is>
          <t>Massachusetts</t>
        </is>
      </c>
      <c r="M1137" t="inlineStr">
        <is>
          <t>Philadelphia</t>
        </is>
      </c>
      <c r="N1137" t="inlineStr">
        <is>
          <t>Liam Chen</t>
        </is>
      </c>
      <c r="O1137" t="n">
        <v>3</v>
      </c>
      <c r="P1137" s="3" t="n">
        <v>57.54</v>
      </c>
      <c r="Q1137" s="4" t="n">
        <v>0.052</v>
      </c>
      <c r="R1137" s="3" t="n">
        <v>163.64</v>
      </c>
      <c r="S1137" s="3" t="n">
        <v>74.93000000000001</v>
      </c>
      <c r="T1137" s="3" t="n">
        <v>79.31</v>
      </c>
      <c r="U1137" s="4" t="n">
        <v>0.4847</v>
      </c>
      <c r="V1137" s="3" t="n">
        <v>9.4</v>
      </c>
      <c r="W1137" t="inlineStr">
        <is>
          <t>Credit Card</t>
        </is>
      </c>
      <c r="X1137" t="inlineStr">
        <is>
          <t>Critical</t>
        </is>
      </c>
    </row>
    <row r="1138">
      <c r="A1138" t="inlineStr">
        <is>
          <t>ORD-01137</t>
        </is>
      </c>
      <c r="B1138" s="2" t="n">
        <v>45984</v>
      </c>
      <c r="C1138" s="2" t="n">
        <v>45986</v>
      </c>
      <c r="D1138" t="inlineStr">
        <is>
          <t>CUST-01137</t>
        </is>
      </c>
      <c r="E1138" t="inlineStr">
        <is>
          <t>Customer 1137</t>
        </is>
      </c>
      <c r="F1138" t="inlineStr">
        <is>
          <t>Corporate</t>
        </is>
      </c>
      <c r="G1138" t="inlineStr">
        <is>
          <t>P1010</t>
        </is>
      </c>
      <c r="H1138" t="inlineStr">
        <is>
          <t>Summit Patio Set</t>
        </is>
      </c>
      <c r="I1138" t="inlineStr">
        <is>
          <t>Technology</t>
        </is>
      </c>
      <c r="J1138" t="inlineStr">
        <is>
          <t>Paper</t>
        </is>
      </c>
      <c r="K1138" t="inlineStr">
        <is>
          <t>West</t>
        </is>
      </c>
      <c r="L1138" t="inlineStr">
        <is>
          <t>Oregon</t>
        </is>
      </c>
      <c r="M1138" t="inlineStr">
        <is>
          <t>Denver</t>
        </is>
      </c>
      <c r="N1138" t="inlineStr">
        <is>
          <t>Mia Rodriguez</t>
        </is>
      </c>
      <c r="O1138" t="n">
        <v>3</v>
      </c>
      <c r="P1138" s="3" t="n">
        <v>63.1</v>
      </c>
      <c r="Q1138" s="4" t="n">
        <v>0.02</v>
      </c>
      <c r="R1138" s="3" t="n">
        <v>185.51</v>
      </c>
      <c r="S1138" s="3" t="n">
        <v>87.58</v>
      </c>
      <c r="T1138" s="3" t="n">
        <v>88.53</v>
      </c>
      <c r="U1138" s="4" t="n">
        <v>0.4772</v>
      </c>
      <c r="V1138" s="3" t="n">
        <v>9.4</v>
      </c>
      <c r="W1138" t="inlineStr">
        <is>
          <t>Cash on Delivery</t>
        </is>
      </c>
      <c r="X1138" t="inlineStr">
        <is>
          <t>Medium</t>
        </is>
      </c>
    </row>
    <row r="1139">
      <c r="A1139" t="inlineStr">
        <is>
          <t>ORD-01138</t>
        </is>
      </c>
      <c r="B1139" s="2" t="n">
        <v>45496</v>
      </c>
      <c r="C1139" s="2" t="n">
        <v>45500</v>
      </c>
      <c r="D1139" t="inlineStr">
        <is>
          <t>CUST-01138</t>
        </is>
      </c>
      <c r="E1139" t="inlineStr">
        <is>
          <t>Customer 1138</t>
        </is>
      </c>
      <c r="F1139" t="inlineStr">
        <is>
          <t>Home Office</t>
        </is>
      </c>
      <c r="G1139" t="inlineStr">
        <is>
          <t>P1011</t>
        </is>
      </c>
      <c r="H1139" t="inlineStr">
        <is>
          <t>Trail Tote</t>
        </is>
      </c>
      <c r="I1139" t="inlineStr">
        <is>
          <t>Furniture</t>
        </is>
      </c>
      <c r="J1139" t="inlineStr">
        <is>
          <t>Accessories</t>
        </is>
      </c>
      <c r="K1139" t="inlineStr">
        <is>
          <t>South</t>
        </is>
      </c>
      <c r="L1139" t="inlineStr">
        <is>
          <t>Florida</t>
        </is>
      </c>
      <c r="M1139" t="inlineStr">
        <is>
          <t>Atlanta</t>
        </is>
      </c>
      <c r="N1139" t="inlineStr">
        <is>
          <t>Olivia Martin</t>
        </is>
      </c>
      <c r="O1139" t="n">
        <v>4</v>
      </c>
      <c r="P1139" s="3" t="n">
        <v>84.69</v>
      </c>
      <c r="Q1139" s="4" t="n">
        <v>0.025</v>
      </c>
      <c r="R1139" s="3" t="n">
        <v>330.29</v>
      </c>
      <c r="S1139" s="3" t="n">
        <v>159.28</v>
      </c>
      <c r="T1139" s="3" t="n">
        <v>161.81</v>
      </c>
      <c r="U1139" s="4" t="n">
        <v>0.4899</v>
      </c>
      <c r="V1139" s="3" t="n">
        <v>9.199999999999999</v>
      </c>
      <c r="W1139" t="inlineStr">
        <is>
          <t>Credit Card</t>
        </is>
      </c>
      <c r="X1139" t="inlineStr">
        <is>
          <t>Critical</t>
        </is>
      </c>
    </row>
    <row r="1140">
      <c r="A1140" t="inlineStr">
        <is>
          <t>ORD-01139</t>
        </is>
      </c>
      <c r="B1140" s="2" t="n">
        <v>45563</v>
      </c>
      <c r="C1140" s="2" t="n">
        <v>45568</v>
      </c>
      <c r="D1140" t="inlineStr">
        <is>
          <t>CUST-01139</t>
        </is>
      </c>
      <c r="E1140" t="inlineStr">
        <is>
          <t>Customer 1139</t>
        </is>
      </c>
      <c r="F1140" t="inlineStr">
        <is>
          <t>Consumer</t>
        </is>
      </c>
      <c r="G1140" t="inlineStr">
        <is>
          <t>P1001</t>
        </is>
      </c>
      <c r="H1140" t="inlineStr">
        <is>
          <t>Lumen Desk Lamp</t>
        </is>
      </c>
      <c r="I1140" t="inlineStr">
        <is>
          <t>Office Supplies</t>
        </is>
      </c>
      <c r="J1140" t="inlineStr">
        <is>
          <t>Chairs</t>
        </is>
      </c>
      <c r="K1140" t="inlineStr">
        <is>
          <t>West</t>
        </is>
      </c>
      <c r="L1140" t="inlineStr">
        <is>
          <t>Oregon</t>
        </is>
      </c>
      <c r="M1140" t="inlineStr">
        <is>
          <t>Los Angeles</t>
        </is>
      </c>
      <c r="N1140" t="inlineStr">
        <is>
          <t>Mia Rodriguez</t>
        </is>
      </c>
      <c r="O1140" t="n">
        <v>1</v>
      </c>
      <c r="P1140" s="3" t="n">
        <v>293.02</v>
      </c>
      <c r="Q1140" s="4" t="n">
        <v>0.019</v>
      </c>
      <c r="R1140" s="3" t="n">
        <v>287.45</v>
      </c>
      <c r="S1140" s="3" t="n">
        <v>175.03</v>
      </c>
      <c r="T1140" s="3" t="n">
        <v>104.62</v>
      </c>
      <c r="U1140" s="4" t="n">
        <v>0.364</v>
      </c>
      <c r="V1140" s="3" t="n">
        <v>7.8</v>
      </c>
      <c r="W1140" t="inlineStr">
        <is>
          <t>Debit Card</t>
        </is>
      </c>
      <c r="X1140" t="inlineStr">
        <is>
          <t>Medium</t>
        </is>
      </c>
    </row>
    <row r="1141">
      <c r="A1141" t="inlineStr">
        <is>
          <t>ORD-01140</t>
        </is>
      </c>
      <c r="B1141" s="2" t="n">
        <v>45520</v>
      </c>
      <c r="C1141" s="2" t="n">
        <v>45523</v>
      </c>
      <c r="D1141" t="inlineStr">
        <is>
          <t>CUST-01140</t>
        </is>
      </c>
      <c r="E1141" t="inlineStr">
        <is>
          <t>Customer 1140</t>
        </is>
      </c>
      <c r="F1141" t="inlineStr">
        <is>
          <t>Corporate</t>
        </is>
      </c>
      <c r="G1141" t="inlineStr">
        <is>
          <t>P1015</t>
        </is>
      </c>
      <c r="H1141" t="inlineStr">
        <is>
          <t>Harbor Rug</t>
        </is>
      </c>
      <c r="I1141" t="inlineStr">
        <is>
          <t>Home Decor</t>
        </is>
      </c>
      <c r="J1141" t="inlineStr">
        <is>
          <t>Coolers</t>
        </is>
      </c>
      <c r="K1141" t="inlineStr">
        <is>
          <t>South</t>
        </is>
      </c>
      <c r="L1141" t="inlineStr">
        <is>
          <t>Texas</t>
        </is>
      </c>
      <c r="M1141" t="inlineStr">
        <is>
          <t>Miami</t>
        </is>
      </c>
      <c r="N1141" t="inlineStr">
        <is>
          <t>Mia Rodriguez</t>
        </is>
      </c>
      <c r="O1141" t="n">
        <v>2</v>
      </c>
      <c r="P1141" s="3" t="n">
        <v>64.95999999999999</v>
      </c>
      <c r="Q1141" s="4" t="n">
        <v>0.065</v>
      </c>
      <c r="R1141" s="3" t="n">
        <v>121.48</v>
      </c>
      <c r="S1141" s="3" t="n">
        <v>57.18</v>
      </c>
      <c r="T1141" s="3" t="n">
        <v>56.7</v>
      </c>
      <c r="U1141" s="4" t="n">
        <v>0.4667</v>
      </c>
      <c r="V1141" s="3" t="n">
        <v>7.6</v>
      </c>
      <c r="W1141" t="inlineStr">
        <is>
          <t>PayPal</t>
        </is>
      </c>
      <c r="X1141" t="inlineStr">
        <is>
          <t>High</t>
        </is>
      </c>
    </row>
    <row r="1142">
      <c r="A1142" t="inlineStr">
        <is>
          <t>ORD-01141</t>
        </is>
      </c>
      <c r="B1142" s="2" t="n">
        <v>45965</v>
      </c>
      <c r="C1142" s="2" t="n">
        <v>45967</v>
      </c>
      <c r="D1142" t="inlineStr">
        <is>
          <t>CUST-01141</t>
        </is>
      </c>
      <c r="E1142" t="inlineStr">
        <is>
          <t>Customer 1141</t>
        </is>
      </c>
      <c r="F1142" t="inlineStr">
        <is>
          <t>Consumer</t>
        </is>
      </c>
      <c r="G1142" t="inlineStr">
        <is>
          <t>P1005</t>
        </is>
      </c>
      <c r="H1142" t="inlineStr">
        <is>
          <t>Halo Planter</t>
        </is>
      </c>
      <c r="I1142" t="inlineStr">
        <is>
          <t>Home Decor</t>
        </is>
      </c>
      <c r="J1142" t="inlineStr">
        <is>
          <t>Flooring</t>
        </is>
      </c>
      <c r="K1142" t="inlineStr">
        <is>
          <t>Central</t>
        </is>
      </c>
      <c r="L1142" t="inlineStr">
        <is>
          <t>Illinois</t>
        </is>
      </c>
      <c r="M1142" t="inlineStr">
        <is>
          <t>Kansas City</t>
        </is>
      </c>
      <c r="N1142" t="inlineStr">
        <is>
          <t>Olivia Martin</t>
        </is>
      </c>
      <c r="O1142" t="n">
        <v>5</v>
      </c>
      <c r="P1142" s="3" t="n">
        <v>13.4</v>
      </c>
      <c r="Q1142" s="4" t="n">
        <v>0.01</v>
      </c>
      <c r="R1142" s="3" t="n">
        <v>66.33</v>
      </c>
      <c r="S1142" s="3" t="n">
        <v>34.47</v>
      </c>
      <c r="T1142" s="3" t="n">
        <v>21.86</v>
      </c>
      <c r="U1142" s="4" t="n">
        <v>0.3296</v>
      </c>
      <c r="V1142" s="3" t="n">
        <v>10</v>
      </c>
      <c r="W1142" t="inlineStr">
        <is>
          <t>Credit Card</t>
        </is>
      </c>
      <c r="X1142" t="inlineStr">
        <is>
          <t>Medium</t>
        </is>
      </c>
    </row>
    <row r="1143">
      <c r="A1143" t="inlineStr">
        <is>
          <t>ORD-01142</t>
        </is>
      </c>
      <c r="B1143" s="2" t="n">
        <v>45452</v>
      </c>
      <c r="C1143" s="2" t="n">
        <v>45456</v>
      </c>
      <c r="D1143" t="inlineStr">
        <is>
          <t>CUST-01142</t>
        </is>
      </c>
      <c r="E1143" t="inlineStr">
        <is>
          <t>Customer 1142</t>
        </is>
      </c>
      <c r="F1143" t="inlineStr">
        <is>
          <t>Consumer</t>
        </is>
      </c>
      <c r="G1143" t="inlineStr">
        <is>
          <t>P1014</t>
        </is>
      </c>
      <c r="H1143" t="inlineStr">
        <is>
          <t>CloudDrive File Box</t>
        </is>
      </c>
      <c r="I1143" t="inlineStr">
        <is>
          <t>Home Decor</t>
        </is>
      </c>
      <c r="J1143" t="inlineStr">
        <is>
          <t>Desks</t>
        </is>
      </c>
      <c r="K1143" t="inlineStr">
        <is>
          <t>Central</t>
        </is>
      </c>
      <c r="L1143" t="inlineStr">
        <is>
          <t>Illinois</t>
        </is>
      </c>
      <c r="M1143" t="inlineStr">
        <is>
          <t>Kansas City</t>
        </is>
      </c>
      <c r="N1143" t="inlineStr">
        <is>
          <t>Ethan Brooks</t>
        </is>
      </c>
      <c r="O1143" t="n">
        <v>4</v>
      </c>
      <c r="P1143" s="3" t="n">
        <v>43.62</v>
      </c>
      <c r="Q1143" s="4" t="n">
        <v>0.011</v>
      </c>
      <c r="R1143" s="3" t="n">
        <v>172.56</v>
      </c>
      <c r="S1143" s="3" t="n">
        <v>73.84999999999999</v>
      </c>
      <c r="T1143" s="3" t="n">
        <v>89.51000000000001</v>
      </c>
      <c r="U1143" s="4" t="n">
        <v>0.5187</v>
      </c>
      <c r="V1143" s="3" t="n">
        <v>9.199999999999999</v>
      </c>
      <c r="W1143" t="inlineStr">
        <is>
          <t>Cash on Delivery</t>
        </is>
      </c>
      <c r="X1143" t="inlineStr">
        <is>
          <t>Medium</t>
        </is>
      </c>
    </row>
    <row r="1144">
      <c r="A1144" t="inlineStr">
        <is>
          <t>ORD-01143</t>
        </is>
      </c>
      <c r="B1144" s="2" t="n">
        <v>45805</v>
      </c>
      <c r="C1144" s="2" t="n">
        <v>45809</v>
      </c>
      <c r="D1144" t="inlineStr">
        <is>
          <t>CUST-01143</t>
        </is>
      </c>
      <c r="E1144" t="inlineStr">
        <is>
          <t>Customer 1143</t>
        </is>
      </c>
      <c r="F1144" t="inlineStr">
        <is>
          <t>Corporate</t>
        </is>
      </c>
      <c r="G1144" t="inlineStr">
        <is>
          <t>P1020</t>
        </is>
      </c>
      <c r="H1144" t="inlineStr">
        <is>
          <t>ProClip Binder</t>
        </is>
      </c>
      <c r="I1144" t="inlineStr">
        <is>
          <t>Furniture</t>
        </is>
      </c>
      <c r="J1144" t="inlineStr">
        <is>
          <t>Coolers</t>
        </is>
      </c>
      <c r="K1144" t="inlineStr">
        <is>
          <t>East</t>
        </is>
      </c>
      <c r="L1144" t="inlineStr">
        <is>
          <t>Virginia</t>
        </is>
      </c>
      <c r="M1144" t="inlineStr">
        <is>
          <t>Philadelphia</t>
        </is>
      </c>
      <c r="N1144" t="inlineStr">
        <is>
          <t>Ava Patel</t>
        </is>
      </c>
      <c r="O1144" t="n">
        <v>1</v>
      </c>
      <c r="P1144" s="3" t="n">
        <v>72.83</v>
      </c>
      <c r="Q1144" s="4" t="n">
        <v>0.029</v>
      </c>
      <c r="R1144" s="3" t="n">
        <v>70.72</v>
      </c>
      <c r="S1144" s="3" t="n">
        <v>39.15</v>
      </c>
      <c r="T1144" s="3" t="n">
        <v>23.77</v>
      </c>
      <c r="U1144" s="4" t="n">
        <v>0.3361</v>
      </c>
      <c r="V1144" s="3" t="n">
        <v>7.8</v>
      </c>
      <c r="W1144" t="inlineStr">
        <is>
          <t>Credit Card</t>
        </is>
      </c>
      <c r="X1144" t="inlineStr">
        <is>
          <t>Medium</t>
        </is>
      </c>
    </row>
    <row r="1145">
      <c r="A1145" t="inlineStr">
        <is>
          <t>ORD-01144</t>
        </is>
      </c>
      <c r="B1145" s="2" t="n">
        <v>45430</v>
      </c>
      <c r="C1145" s="2" t="n">
        <v>45434</v>
      </c>
      <c r="D1145" t="inlineStr">
        <is>
          <t>CUST-01144</t>
        </is>
      </c>
      <c r="E1145" t="inlineStr">
        <is>
          <t>Customer 1144</t>
        </is>
      </c>
      <c r="F1145" t="inlineStr">
        <is>
          <t>Consumer</t>
        </is>
      </c>
      <c r="G1145" t="inlineStr">
        <is>
          <t>P1008</t>
        </is>
      </c>
      <c r="H1145" t="inlineStr">
        <is>
          <t>Nova Laptop Stand</t>
        </is>
      </c>
      <c r="I1145" t="inlineStr">
        <is>
          <t>Furniture</t>
        </is>
      </c>
      <c r="J1145" t="inlineStr">
        <is>
          <t>Accessories</t>
        </is>
      </c>
      <c r="K1145" t="inlineStr">
        <is>
          <t>South</t>
        </is>
      </c>
      <c r="L1145" t="inlineStr">
        <is>
          <t>North Carolina</t>
        </is>
      </c>
      <c r="M1145" t="inlineStr">
        <is>
          <t>Houston</t>
        </is>
      </c>
      <c r="N1145" t="inlineStr">
        <is>
          <t>Noah Kim</t>
        </is>
      </c>
      <c r="O1145" t="n">
        <v>3</v>
      </c>
      <c r="P1145" s="3" t="n">
        <v>33.72</v>
      </c>
      <c r="Q1145" s="4" t="n">
        <v>0.028</v>
      </c>
      <c r="R1145" s="3" t="n">
        <v>98.33</v>
      </c>
      <c r="S1145" s="3" t="n">
        <v>47.5</v>
      </c>
      <c r="T1145" s="3" t="n">
        <v>42.43</v>
      </c>
      <c r="U1145" s="4" t="n">
        <v>0.4315</v>
      </c>
      <c r="V1145" s="3" t="n">
        <v>8.4</v>
      </c>
      <c r="W1145" t="inlineStr">
        <is>
          <t>Bank Transfer</t>
        </is>
      </c>
      <c r="X1145" t="inlineStr">
        <is>
          <t>Medium</t>
        </is>
      </c>
    </row>
    <row r="1146">
      <c r="A1146" t="inlineStr">
        <is>
          <t>ORD-01145</t>
        </is>
      </c>
      <c r="B1146" s="2" t="n">
        <v>45155</v>
      </c>
      <c r="C1146" s="2" t="n">
        <v>45156</v>
      </c>
      <c r="D1146" t="inlineStr">
        <is>
          <t>CUST-01145</t>
        </is>
      </c>
      <c r="E1146" t="inlineStr">
        <is>
          <t>Customer 1145</t>
        </is>
      </c>
      <c r="F1146" t="inlineStr">
        <is>
          <t>Corporate</t>
        </is>
      </c>
      <c r="G1146" t="inlineStr">
        <is>
          <t>P1017</t>
        </is>
      </c>
      <c r="H1146" t="inlineStr">
        <is>
          <t>Pulse Keyboard</t>
        </is>
      </c>
      <c r="I1146" t="inlineStr">
        <is>
          <t>Outdoor</t>
        </is>
      </c>
      <c r="J1146" t="inlineStr">
        <is>
          <t>Writing</t>
        </is>
      </c>
      <c r="K1146" t="inlineStr">
        <is>
          <t>North</t>
        </is>
      </c>
      <c r="L1146" t="inlineStr">
        <is>
          <t>Alberta</t>
        </is>
      </c>
      <c r="M1146" t="inlineStr">
        <is>
          <t>Toronto</t>
        </is>
      </c>
      <c r="N1146" t="inlineStr">
        <is>
          <t>Sophia Singh</t>
        </is>
      </c>
      <c r="O1146" t="n">
        <v>1</v>
      </c>
      <c r="P1146" s="3" t="n">
        <v>586.21</v>
      </c>
      <c r="Q1146" s="4" t="n">
        <v>0.015</v>
      </c>
      <c r="R1146" s="3" t="n">
        <v>577.42</v>
      </c>
      <c r="S1146" s="3" t="n">
        <v>392.58</v>
      </c>
      <c r="T1146" s="3" t="n">
        <v>178.04</v>
      </c>
      <c r="U1146" s="4" t="n">
        <v>0.3083</v>
      </c>
      <c r="V1146" s="3" t="n">
        <v>6.8</v>
      </c>
      <c r="W1146" t="inlineStr">
        <is>
          <t>Debit Card</t>
        </is>
      </c>
      <c r="X1146" t="inlineStr">
        <is>
          <t>Medium</t>
        </is>
      </c>
    </row>
    <row r="1147">
      <c r="A1147" t="inlineStr">
        <is>
          <t>ORD-01146</t>
        </is>
      </c>
      <c r="B1147" s="2" t="n">
        <v>45853</v>
      </c>
      <c r="C1147" s="2" t="n">
        <v>45854</v>
      </c>
      <c r="D1147" t="inlineStr">
        <is>
          <t>CUST-01146</t>
        </is>
      </c>
      <c r="E1147" t="inlineStr">
        <is>
          <t>Customer 1146</t>
        </is>
      </c>
      <c r="F1147" t="inlineStr">
        <is>
          <t>Corporate</t>
        </is>
      </c>
      <c r="G1147" t="inlineStr">
        <is>
          <t>P1004</t>
        </is>
      </c>
      <c r="H1147" t="inlineStr">
        <is>
          <t>Echo Web Camera</t>
        </is>
      </c>
      <c r="I1147" t="inlineStr">
        <is>
          <t>Office Supplies</t>
        </is>
      </c>
      <c r="J1147" t="inlineStr">
        <is>
          <t>Plants</t>
        </is>
      </c>
      <c r="K1147" t="inlineStr">
        <is>
          <t>Central</t>
        </is>
      </c>
      <c r="L1147" t="inlineStr">
        <is>
          <t>Missouri</t>
        </is>
      </c>
      <c r="M1147" t="inlineStr">
        <is>
          <t>St. Louis</t>
        </is>
      </c>
      <c r="N1147" t="inlineStr">
        <is>
          <t>Ethan Brooks</t>
        </is>
      </c>
      <c r="O1147" t="n">
        <v>3</v>
      </c>
      <c r="P1147" s="3" t="n">
        <v>605.77</v>
      </c>
      <c r="Q1147" s="4" t="n">
        <v>0.011</v>
      </c>
      <c r="R1147" s="3" t="n">
        <v>1797.32</v>
      </c>
      <c r="S1147" s="3" t="n">
        <v>1139.26</v>
      </c>
      <c r="T1147" s="3" t="n">
        <v>649.66</v>
      </c>
      <c r="U1147" s="4" t="n">
        <v>0.3615</v>
      </c>
      <c r="V1147" s="3" t="n">
        <v>8.4</v>
      </c>
      <c r="W1147" t="inlineStr">
        <is>
          <t>Debit Card</t>
        </is>
      </c>
      <c r="X1147" t="inlineStr">
        <is>
          <t>Medium</t>
        </is>
      </c>
    </row>
    <row r="1148">
      <c r="A1148" t="inlineStr">
        <is>
          <t>ORD-01147</t>
        </is>
      </c>
      <c r="B1148" s="2" t="n">
        <v>45827</v>
      </c>
      <c r="C1148" s="2" t="n">
        <v>45829</v>
      </c>
      <c r="D1148" t="inlineStr">
        <is>
          <t>CUST-01147</t>
        </is>
      </c>
      <c r="E1148" t="inlineStr">
        <is>
          <t>Customer 1147</t>
        </is>
      </c>
      <c r="F1148" t="inlineStr">
        <is>
          <t>Home Office</t>
        </is>
      </c>
      <c r="G1148" t="inlineStr">
        <is>
          <t>P1004</t>
        </is>
      </c>
      <c r="H1148" t="inlineStr">
        <is>
          <t>Lumen Desk Lamp</t>
        </is>
      </c>
      <c r="I1148" t="inlineStr">
        <is>
          <t>Outdoor</t>
        </is>
      </c>
      <c r="J1148" t="inlineStr">
        <is>
          <t>Flooring</t>
        </is>
      </c>
      <c r="K1148" t="inlineStr">
        <is>
          <t>South</t>
        </is>
      </c>
      <c r="L1148" t="inlineStr">
        <is>
          <t>North Carolina</t>
        </is>
      </c>
      <c r="M1148" t="inlineStr">
        <is>
          <t>Atlanta</t>
        </is>
      </c>
      <c r="N1148" t="inlineStr">
        <is>
          <t>James Carter</t>
        </is>
      </c>
      <c r="O1148" t="n">
        <v>1</v>
      </c>
      <c r="P1148" s="3" t="n">
        <v>631.39</v>
      </c>
      <c r="Q1148" s="4" t="n">
        <v>0.06</v>
      </c>
      <c r="R1148" s="3" t="n">
        <v>593.51</v>
      </c>
      <c r="S1148" s="3" t="n">
        <v>384.26</v>
      </c>
      <c r="T1148" s="3" t="n">
        <v>202.45</v>
      </c>
      <c r="U1148" s="4" t="n">
        <v>0.3411</v>
      </c>
      <c r="V1148" s="3" t="n">
        <v>6.8</v>
      </c>
      <c r="W1148" t="inlineStr">
        <is>
          <t>Debit Card</t>
        </is>
      </c>
      <c r="X1148" t="inlineStr">
        <is>
          <t>Critical</t>
        </is>
      </c>
    </row>
    <row r="1149">
      <c r="A1149" t="inlineStr">
        <is>
          <t>ORD-01148</t>
        </is>
      </c>
      <c r="B1149" s="2" t="n">
        <v>45695</v>
      </c>
      <c r="C1149" s="2" t="n">
        <v>45698</v>
      </c>
      <c r="D1149" t="inlineStr">
        <is>
          <t>CUST-01148</t>
        </is>
      </c>
      <c r="E1149" t="inlineStr">
        <is>
          <t>Customer 1148</t>
        </is>
      </c>
      <c r="F1149" t="inlineStr">
        <is>
          <t>Consumer</t>
        </is>
      </c>
      <c r="G1149" t="inlineStr">
        <is>
          <t>P1018</t>
        </is>
      </c>
      <c r="H1149" t="inlineStr">
        <is>
          <t>Lumen Desk Lamp</t>
        </is>
      </c>
      <c r="I1149" t="inlineStr">
        <is>
          <t>Technology</t>
        </is>
      </c>
      <c r="J1149" t="inlineStr">
        <is>
          <t>Lighting</t>
        </is>
      </c>
      <c r="K1149" t="inlineStr">
        <is>
          <t>North</t>
        </is>
      </c>
      <c r="L1149" t="inlineStr">
        <is>
          <t>British Columbia</t>
        </is>
      </c>
      <c r="M1149" t="inlineStr">
        <is>
          <t>Montreal</t>
        </is>
      </c>
      <c r="N1149" t="inlineStr">
        <is>
          <t>Noah Kim</t>
        </is>
      </c>
      <c r="O1149" t="n">
        <v>2</v>
      </c>
      <c r="P1149" s="3" t="n">
        <v>89.51000000000001</v>
      </c>
      <c r="Q1149" s="4" t="n">
        <v>0.034</v>
      </c>
      <c r="R1149" s="3" t="n">
        <v>172.93</v>
      </c>
      <c r="S1149" s="3" t="n">
        <v>81.77</v>
      </c>
      <c r="T1149" s="3" t="n">
        <v>83.56</v>
      </c>
      <c r="U1149" s="4" t="n">
        <v>0.4832</v>
      </c>
      <c r="V1149" s="3" t="n">
        <v>7.6</v>
      </c>
      <c r="W1149" t="inlineStr">
        <is>
          <t>Cash on Delivery</t>
        </is>
      </c>
      <c r="X1149" t="inlineStr">
        <is>
          <t>High</t>
        </is>
      </c>
    </row>
    <row r="1150">
      <c r="A1150" t="inlineStr">
        <is>
          <t>ORD-01149</t>
        </is>
      </c>
      <c r="B1150" s="2" t="n">
        <v>45955</v>
      </c>
      <c r="C1150" s="2" t="n">
        <v>45962</v>
      </c>
      <c r="D1150" t="inlineStr">
        <is>
          <t>CUST-01149</t>
        </is>
      </c>
      <c r="E1150" t="inlineStr">
        <is>
          <t>Customer 1149</t>
        </is>
      </c>
      <c r="F1150" t="inlineStr">
        <is>
          <t>Corporate</t>
        </is>
      </c>
      <c r="G1150" t="inlineStr">
        <is>
          <t>P1019</t>
        </is>
      </c>
      <c r="H1150" t="inlineStr">
        <is>
          <t>Pulse Keyboard</t>
        </is>
      </c>
      <c r="I1150" t="inlineStr">
        <is>
          <t>Office Supplies</t>
        </is>
      </c>
      <c r="J1150" t="inlineStr">
        <is>
          <t>Peripherals</t>
        </is>
      </c>
      <c r="K1150" t="inlineStr">
        <is>
          <t>East</t>
        </is>
      </c>
      <c r="L1150" t="inlineStr">
        <is>
          <t>New York</t>
        </is>
      </c>
      <c r="M1150" t="inlineStr">
        <is>
          <t>Philadelphia</t>
        </is>
      </c>
      <c r="N1150" t="inlineStr">
        <is>
          <t>Sophia Singh</t>
        </is>
      </c>
      <c r="O1150" t="n">
        <v>3</v>
      </c>
      <c r="P1150" s="3" t="n">
        <v>61.36</v>
      </c>
      <c r="Q1150" s="4" t="n">
        <v>0.012</v>
      </c>
      <c r="R1150" s="3" t="n">
        <v>181.87</v>
      </c>
      <c r="S1150" s="3" t="n">
        <v>77.01000000000001</v>
      </c>
      <c r="T1150" s="3" t="n">
        <v>95.45999999999999</v>
      </c>
      <c r="U1150" s="4" t="n">
        <v>0.5249</v>
      </c>
      <c r="V1150" s="3" t="n">
        <v>9.4</v>
      </c>
      <c r="W1150" t="inlineStr">
        <is>
          <t>PayPal</t>
        </is>
      </c>
      <c r="X1150" t="inlineStr">
        <is>
          <t>Low</t>
        </is>
      </c>
    </row>
    <row r="1151">
      <c r="A1151" t="inlineStr">
        <is>
          <t>ORD-01150</t>
        </is>
      </c>
      <c r="B1151" s="2" t="n">
        <v>45765</v>
      </c>
      <c r="C1151" s="2" t="n">
        <v>45767</v>
      </c>
      <c r="D1151" t="inlineStr">
        <is>
          <t>CUST-01150</t>
        </is>
      </c>
      <c r="E1151" t="inlineStr">
        <is>
          <t>Customer 1150</t>
        </is>
      </c>
      <c r="F1151" t="inlineStr">
        <is>
          <t>Home Office</t>
        </is>
      </c>
      <c r="G1151" t="inlineStr">
        <is>
          <t>P1003</t>
        </is>
      </c>
      <c r="H1151" t="inlineStr">
        <is>
          <t>CloudDrive File Box</t>
        </is>
      </c>
      <c r="I1151" t="inlineStr">
        <is>
          <t>Office Supplies</t>
        </is>
      </c>
      <c r="J1151" t="inlineStr">
        <is>
          <t>Desks</t>
        </is>
      </c>
      <c r="K1151" t="inlineStr">
        <is>
          <t>East</t>
        </is>
      </c>
      <c r="L1151" t="inlineStr">
        <is>
          <t>Virginia</t>
        </is>
      </c>
      <c r="M1151" t="inlineStr">
        <is>
          <t>New York</t>
        </is>
      </c>
      <c r="N1151" t="inlineStr">
        <is>
          <t>James Carter</t>
        </is>
      </c>
      <c r="O1151" t="n">
        <v>2</v>
      </c>
      <c r="P1151" s="3" t="n">
        <v>144.53</v>
      </c>
      <c r="Q1151" s="4" t="n">
        <v>0.075</v>
      </c>
      <c r="R1151" s="3" t="n">
        <v>267.38</v>
      </c>
      <c r="S1151" s="3" t="n">
        <v>142.03</v>
      </c>
      <c r="T1151" s="3" t="n">
        <v>116.75</v>
      </c>
      <c r="U1151" s="4" t="n">
        <v>0.4366</v>
      </c>
      <c r="V1151" s="3" t="n">
        <v>8.6</v>
      </c>
      <c r="W1151" t="inlineStr">
        <is>
          <t>Bank Transfer</t>
        </is>
      </c>
      <c r="X1151" t="inlineStr">
        <is>
          <t>Critical</t>
        </is>
      </c>
    </row>
    <row r="1152">
      <c r="A1152" t="inlineStr">
        <is>
          <t>ORD-01151</t>
        </is>
      </c>
      <c r="B1152" s="2" t="n">
        <v>45753</v>
      </c>
      <c r="C1152" s="2" t="n">
        <v>45756</v>
      </c>
      <c r="D1152" t="inlineStr">
        <is>
          <t>CUST-01151</t>
        </is>
      </c>
      <c r="E1152" t="inlineStr">
        <is>
          <t>Customer 1151</t>
        </is>
      </c>
      <c r="F1152" t="inlineStr">
        <is>
          <t>Home Office</t>
        </is>
      </c>
      <c r="G1152" t="inlineStr">
        <is>
          <t>P1009</t>
        </is>
      </c>
      <c r="H1152" t="inlineStr">
        <is>
          <t>ProClip Binder</t>
        </is>
      </c>
      <c r="I1152" t="inlineStr">
        <is>
          <t>Furniture</t>
        </is>
      </c>
      <c r="J1152" t="inlineStr">
        <is>
          <t>Coolers</t>
        </is>
      </c>
      <c r="K1152" t="inlineStr">
        <is>
          <t>Central</t>
        </is>
      </c>
      <c r="L1152" t="inlineStr">
        <is>
          <t>Kansas</t>
        </is>
      </c>
      <c r="M1152" t="inlineStr">
        <is>
          <t>Chicago</t>
        </is>
      </c>
      <c r="N1152" t="inlineStr">
        <is>
          <t>Ethan Brooks</t>
        </is>
      </c>
      <c r="O1152" t="n">
        <v>3</v>
      </c>
      <c r="P1152" s="3" t="n">
        <v>91.62</v>
      </c>
      <c r="Q1152" s="4" t="n">
        <v>0.006</v>
      </c>
      <c r="R1152" s="3" t="n">
        <v>273.21</v>
      </c>
      <c r="S1152" s="3" t="n">
        <v>139.1</v>
      </c>
      <c r="T1152" s="3" t="n">
        <v>125.71</v>
      </c>
      <c r="U1152" s="4" t="n">
        <v>0.4601</v>
      </c>
      <c r="V1152" s="3" t="n">
        <v>8.4</v>
      </c>
      <c r="W1152" t="inlineStr">
        <is>
          <t>Credit Card</t>
        </is>
      </c>
      <c r="X1152" t="inlineStr">
        <is>
          <t>Medium</t>
        </is>
      </c>
    </row>
    <row r="1153">
      <c r="A1153" t="inlineStr">
        <is>
          <t>ORD-01152</t>
        </is>
      </c>
      <c r="B1153" s="2" t="n">
        <v>45827</v>
      </c>
      <c r="C1153" s="2" t="n">
        <v>45832</v>
      </c>
      <c r="D1153" t="inlineStr">
        <is>
          <t>CUST-01152</t>
        </is>
      </c>
      <c r="E1153" t="inlineStr">
        <is>
          <t>Customer 1152</t>
        </is>
      </c>
      <c r="F1153" t="inlineStr">
        <is>
          <t>Corporate</t>
        </is>
      </c>
      <c r="G1153" t="inlineStr">
        <is>
          <t>P1007</t>
        </is>
      </c>
      <c r="H1153" t="inlineStr">
        <is>
          <t>Tide Cooler</t>
        </is>
      </c>
      <c r="I1153" t="inlineStr">
        <is>
          <t>Office Supplies</t>
        </is>
      </c>
      <c r="J1153" t="inlineStr">
        <is>
          <t>Accessories</t>
        </is>
      </c>
      <c r="K1153" t="inlineStr">
        <is>
          <t>South</t>
        </is>
      </c>
      <c r="L1153" t="inlineStr">
        <is>
          <t>North Carolina</t>
        </is>
      </c>
      <c r="M1153" t="inlineStr">
        <is>
          <t>Dallas</t>
        </is>
      </c>
      <c r="N1153" t="inlineStr">
        <is>
          <t>James Carter</t>
        </is>
      </c>
      <c r="O1153" t="n">
        <v>6</v>
      </c>
      <c r="P1153" s="3" t="n">
        <v>23.75</v>
      </c>
      <c r="Q1153" s="4" t="n">
        <v>0.031</v>
      </c>
      <c r="R1153" s="3" t="n">
        <v>138.08</v>
      </c>
      <c r="S1153" s="3" t="n">
        <v>53.79</v>
      </c>
      <c r="T1153" s="3" t="n">
        <v>73.48999999999999</v>
      </c>
      <c r="U1153" s="4" t="n">
        <v>0.5322</v>
      </c>
      <c r="V1153" s="3" t="n">
        <v>10.8</v>
      </c>
      <c r="W1153" t="inlineStr">
        <is>
          <t>Bank Transfer</t>
        </is>
      </c>
      <c r="X1153" t="inlineStr">
        <is>
          <t>High</t>
        </is>
      </c>
    </row>
    <row r="1154">
      <c r="A1154" t="inlineStr">
        <is>
          <t>ORD-01153</t>
        </is>
      </c>
      <c r="B1154" s="2" t="n">
        <v>45768</v>
      </c>
      <c r="C1154" s="2" t="n">
        <v>45775</v>
      </c>
      <c r="D1154" t="inlineStr">
        <is>
          <t>CUST-01153</t>
        </is>
      </c>
      <c r="E1154" t="inlineStr">
        <is>
          <t>Customer 1153</t>
        </is>
      </c>
      <c r="F1154" t="inlineStr">
        <is>
          <t>Corporate</t>
        </is>
      </c>
      <c r="G1154" t="inlineStr">
        <is>
          <t>P1002</t>
        </is>
      </c>
      <c r="H1154" t="inlineStr">
        <is>
          <t>Pulse Keyboard</t>
        </is>
      </c>
      <c r="I1154" t="inlineStr">
        <is>
          <t>Outdoor</t>
        </is>
      </c>
      <c r="J1154" t="inlineStr">
        <is>
          <t>Lighting</t>
        </is>
      </c>
      <c r="K1154" t="inlineStr">
        <is>
          <t>East</t>
        </is>
      </c>
      <c r="L1154" t="inlineStr">
        <is>
          <t>New York</t>
        </is>
      </c>
      <c r="M1154" t="inlineStr">
        <is>
          <t>Philadelphia</t>
        </is>
      </c>
      <c r="N1154" t="inlineStr">
        <is>
          <t>Ava Patel</t>
        </is>
      </c>
      <c r="O1154" t="n">
        <v>2</v>
      </c>
      <c r="P1154" s="3" t="n">
        <v>82.51000000000001</v>
      </c>
      <c r="Q1154" s="4" t="n">
        <v>0.034</v>
      </c>
      <c r="R1154" s="3" t="n">
        <v>159.41</v>
      </c>
      <c r="S1154" s="3" t="n">
        <v>77.09999999999999</v>
      </c>
      <c r="T1154" s="3" t="n">
        <v>73.70999999999999</v>
      </c>
      <c r="U1154" s="4" t="n">
        <v>0.4624</v>
      </c>
      <c r="V1154" s="3" t="n">
        <v>8.6</v>
      </c>
      <c r="W1154" t="inlineStr">
        <is>
          <t>Credit Card</t>
        </is>
      </c>
      <c r="X1154" t="inlineStr">
        <is>
          <t>Medium</t>
        </is>
      </c>
    </row>
    <row r="1155">
      <c r="A1155" t="inlineStr">
        <is>
          <t>ORD-01154</t>
        </is>
      </c>
      <c r="B1155" s="2" t="n">
        <v>45881</v>
      </c>
      <c r="C1155" s="2" t="n">
        <v>45885</v>
      </c>
      <c r="D1155" t="inlineStr">
        <is>
          <t>CUST-01154</t>
        </is>
      </c>
      <c r="E1155" t="inlineStr">
        <is>
          <t>Customer 1154</t>
        </is>
      </c>
      <c r="F1155" t="inlineStr">
        <is>
          <t>Consumer</t>
        </is>
      </c>
      <c r="G1155" t="inlineStr">
        <is>
          <t>P1009</t>
        </is>
      </c>
      <c r="H1155" t="inlineStr">
        <is>
          <t>ProClip Binder</t>
        </is>
      </c>
      <c r="I1155" t="inlineStr">
        <is>
          <t>Office Supplies</t>
        </is>
      </c>
      <c r="J1155" t="inlineStr">
        <is>
          <t>Video</t>
        </is>
      </c>
      <c r="K1155" t="inlineStr">
        <is>
          <t>West</t>
        </is>
      </c>
      <c r="L1155" t="inlineStr">
        <is>
          <t>Colorado</t>
        </is>
      </c>
      <c r="M1155" t="inlineStr">
        <is>
          <t>Los Angeles</t>
        </is>
      </c>
      <c r="N1155" t="inlineStr">
        <is>
          <t>Sophia Singh</t>
        </is>
      </c>
      <c r="O1155" t="n">
        <v>3</v>
      </c>
      <c r="P1155" s="3" t="n">
        <v>101.12</v>
      </c>
      <c r="Q1155" s="4" t="n">
        <v>0.021</v>
      </c>
      <c r="R1155" s="3" t="n">
        <v>296.99</v>
      </c>
      <c r="S1155" s="3" t="n">
        <v>148.81</v>
      </c>
      <c r="T1155" s="3" t="n">
        <v>138.78</v>
      </c>
      <c r="U1155" s="4" t="n">
        <v>0.4673</v>
      </c>
      <c r="V1155" s="3" t="n">
        <v>9.4</v>
      </c>
      <c r="W1155" t="inlineStr">
        <is>
          <t>Credit Card</t>
        </is>
      </c>
      <c r="X1155" t="inlineStr">
        <is>
          <t>Medium</t>
        </is>
      </c>
    </row>
    <row r="1156">
      <c r="A1156" t="inlineStr">
        <is>
          <t>ORD-01155</t>
        </is>
      </c>
      <c r="B1156" s="2" t="n">
        <v>45468</v>
      </c>
      <c r="C1156" s="2" t="n">
        <v>45472</v>
      </c>
      <c r="D1156" t="inlineStr">
        <is>
          <t>CUST-01155</t>
        </is>
      </c>
      <c r="E1156" t="inlineStr">
        <is>
          <t>Customer 1155</t>
        </is>
      </c>
      <c r="F1156" t="inlineStr">
        <is>
          <t>Corporate</t>
        </is>
      </c>
      <c r="G1156" t="inlineStr">
        <is>
          <t>P1006</t>
        </is>
      </c>
      <c r="H1156" t="inlineStr">
        <is>
          <t>Nova Laptop Stand</t>
        </is>
      </c>
      <c r="I1156" t="inlineStr">
        <is>
          <t>Furniture</t>
        </is>
      </c>
      <c r="J1156" t="inlineStr">
        <is>
          <t>Desks</t>
        </is>
      </c>
      <c r="K1156" t="inlineStr">
        <is>
          <t>East</t>
        </is>
      </c>
      <c r="L1156" t="inlineStr">
        <is>
          <t>New York</t>
        </is>
      </c>
      <c r="M1156" t="inlineStr">
        <is>
          <t>Philadelphia</t>
        </is>
      </c>
      <c r="N1156" t="inlineStr">
        <is>
          <t>Mia Rodriguez</t>
        </is>
      </c>
      <c r="O1156" t="n">
        <v>3</v>
      </c>
      <c r="P1156" s="3" t="n">
        <v>19.98</v>
      </c>
      <c r="Q1156" s="4" t="n">
        <v>0.018</v>
      </c>
      <c r="R1156" s="3" t="n">
        <v>58.86</v>
      </c>
      <c r="S1156" s="3" t="n">
        <v>25.54</v>
      </c>
      <c r="T1156" s="3" t="n">
        <v>23.92</v>
      </c>
      <c r="U1156" s="4" t="n">
        <v>0.4064</v>
      </c>
      <c r="V1156" s="3" t="n">
        <v>9.4</v>
      </c>
      <c r="W1156" t="inlineStr">
        <is>
          <t>Credit Card</t>
        </is>
      </c>
      <c r="X1156" t="inlineStr">
        <is>
          <t>Low</t>
        </is>
      </c>
    </row>
    <row r="1157">
      <c r="A1157" t="inlineStr">
        <is>
          <t>ORD-01156</t>
        </is>
      </c>
      <c r="B1157" s="2" t="n">
        <v>45841</v>
      </c>
      <c r="C1157" s="2" t="n">
        <v>45842</v>
      </c>
      <c r="D1157" t="inlineStr">
        <is>
          <t>CUST-01156</t>
        </is>
      </c>
      <c r="E1157" t="inlineStr">
        <is>
          <t>Customer 1156</t>
        </is>
      </c>
      <c r="F1157" t="inlineStr">
        <is>
          <t>Corporate</t>
        </is>
      </c>
      <c r="G1157" t="inlineStr">
        <is>
          <t>P1006</t>
        </is>
      </c>
      <c r="H1157" t="inlineStr">
        <is>
          <t>Cove Wall Clock</t>
        </is>
      </c>
      <c r="I1157" t="inlineStr">
        <is>
          <t>Outdoor</t>
        </is>
      </c>
      <c r="J1157" t="inlineStr">
        <is>
          <t>Decor</t>
        </is>
      </c>
      <c r="K1157" t="inlineStr">
        <is>
          <t>South</t>
        </is>
      </c>
      <c r="L1157" t="inlineStr">
        <is>
          <t>Georgia</t>
        </is>
      </c>
      <c r="M1157" t="inlineStr">
        <is>
          <t>Dallas</t>
        </is>
      </c>
      <c r="N1157" t="inlineStr">
        <is>
          <t>Ethan Brooks</t>
        </is>
      </c>
      <c r="O1157" t="n">
        <v>4</v>
      </c>
      <c r="P1157" s="3" t="n">
        <v>18.01</v>
      </c>
      <c r="Q1157" s="4" t="n">
        <v>0.067</v>
      </c>
      <c r="R1157" s="3" t="n">
        <v>67.20999999999999</v>
      </c>
      <c r="S1157" s="3" t="n">
        <v>27.41</v>
      </c>
      <c r="T1157" s="3" t="n">
        <v>30.6</v>
      </c>
      <c r="U1157" s="4" t="n">
        <v>0.4553</v>
      </c>
      <c r="V1157" s="3" t="n">
        <v>9.199999999999999</v>
      </c>
      <c r="W1157" t="inlineStr">
        <is>
          <t>Cash on Delivery</t>
        </is>
      </c>
      <c r="X1157" t="inlineStr">
        <is>
          <t>High</t>
        </is>
      </c>
    </row>
    <row r="1158">
      <c r="A1158" t="inlineStr">
        <is>
          <t>ORD-01157</t>
        </is>
      </c>
      <c r="B1158" s="2" t="n">
        <v>45139</v>
      </c>
      <c r="C1158" s="2" t="n">
        <v>45146</v>
      </c>
      <c r="D1158" t="inlineStr">
        <is>
          <t>CUST-01157</t>
        </is>
      </c>
      <c r="E1158" t="inlineStr">
        <is>
          <t>Customer 1157</t>
        </is>
      </c>
      <c r="F1158" t="inlineStr">
        <is>
          <t>Corporate</t>
        </is>
      </c>
      <c r="G1158" t="inlineStr">
        <is>
          <t>P1016</t>
        </is>
      </c>
      <c r="H1158" t="inlineStr">
        <is>
          <t>Northstar Lantern</t>
        </is>
      </c>
      <c r="I1158" t="inlineStr">
        <is>
          <t>Furniture</t>
        </is>
      </c>
      <c r="J1158" t="inlineStr">
        <is>
          <t>Textiles</t>
        </is>
      </c>
      <c r="K1158" t="inlineStr">
        <is>
          <t>East</t>
        </is>
      </c>
      <c r="L1158" t="inlineStr">
        <is>
          <t>New York</t>
        </is>
      </c>
      <c r="M1158" t="inlineStr">
        <is>
          <t>Washington</t>
        </is>
      </c>
      <c r="N1158" t="inlineStr">
        <is>
          <t>Noah Kim</t>
        </is>
      </c>
      <c r="O1158" t="n">
        <v>2</v>
      </c>
      <c r="P1158" s="3" t="n">
        <v>42.29</v>
      </c>
      <c r="Q1158" s="4" t="n">
        <v>0.036</v>
      </c>
      <c r="R1158" s="3" t="n">
        <v>81.54000000000001</v>
      </c>
      <c r="S1158" s="3" t="n">
        <v>34.68</v>
      </c>
      <c r="T1158" s="3" t="n">
        <v>38.26</v>
      </c>
      <c r="U1158" s="4" t="n">
        <v>0.4692</v>
      </c>
      <c r="V1158" s="3" t="n">
        <v>8.6</v>
      </c>
      <c r="W1158" t="inlineStr">
        <is>
          <t>Debit Card</t>
        </is>
      </c>
      <c r="X1158" t="inlineStr">
        <is>
          <t>Medium</t>
        </is>
      </c>
    </row>
    <row r="1159">
      <c r="A1159" t="inlineStr">
        <is>
          <t>ORD-01158</t>
        </is>
      </c>
      <c r="B1159" s="2" t="n">
        <v>45752</v>
      </c>
      <c r="C1159" s="2" t="n">
        <v>45757</v>
      </c>
      <c r="D1159" t="inlineStr">
        <is>
          <t>CUST-01158</t>
        </is>
      </c>
      <c r="E1159" t="inlineStr">
        <is>
          <t>Customer 1158</t>
        </is>
      </c>
      <c r="F1159" t="inlineStr">
        <is>
          <t>Corporate</t>
        </is>
      </c>
      <c r="G1159" t="inlineStr">
        <is>
          <t>P1002</t>
        </is>
      </c>
      <c r="H1159" t="inlineStr">
        <is>
          <t>ProClip Binder</t>
        </is>
      </c>
      <c r="I1159" t="inlineStr">
        <is>
          <t>Home Decor</t>
        </is>
      </c>
      <c r="J1159" t="inlineStr">
        <is>
          <t>Desks</t>
        </is>
      </c>
      <c r="K1159" t="inlineStr">
        <is>
          <t>East</t>
        </is>
      </c>
      <c r="L1159" t="inlineStr">
        <is>
          <t>New Jersey</t>
        </is>
      </c>
      <c r="M1159" t="inlineStr">
        <is>
          <t>Philadelphia</t>
        </is>
      </c>
      <c r="N1159" t="inlineStr">
        <is>
          <t>Noah Kim</t>
        </is>
      </c>
      <c r="O1159" t="n">
        <v>3</v>
      </c>
      <c r="P1159" s="3" t="n">
        <v>80.91</v>
      </c>
      <c r="Q1159" s="4" t="n">
        <v>0.021</v>
      </c>
      <c r="R1159" s="3" t="n">
        <v>237.63</v>
      </c>
      <c r="S1159" s="3" t="n">
        <v>113.4</v>
      </c>
      <c r="T1159" s="3" t="n">
        <v>114.83</v>
      </c>
      <c r="U1159" s="4" t="n">
        <v>0.4832</v>
      </c>
      <c r="V1159" s="3" t="n">
        <v>9.4</v>
      </c>
      <c r="W1159" t="inlineStr">
        <is>
          <t>Credit Card</t>
        </is>
      </c>
      <c r="X1159" t="inlineStr">
        <is>
          <t>Low</t>
        </is>
      </c>
    </row>
    <row r="1160">
      <c r="A1160" t="inlineStr">
        <is>
          <t>ORD-01159</t>
        </is>
      </c>
      <c r="B1160" s="2" t="n">
        <v>45717</v>
      </c>
      <c r="C1160" s="2" t="n">
        <v>45723</v>
      </c>
      <c r="D1160" t="inlineStr">
        <is>
          <t>CUST-01159</t>
        </is>
      </c>
      <c r="E1160" t="inlineStr">
        <is>
          <t>Customer 1159</t>
        </is>
      </c>
      <c r="F1160" t="inlineStr">
        <is>
          <t>Consumer</t>
        </is>
      </c>
      <c r="G1160" t="inlineStr">
        <is>
          <t>P1016</t>
        </is>
      </c>
      <c r="H1160" t="inlineStr">
        <is>
          <t>Trail Tote</t>
        </is>
      </c>
      <c r="I1160" t="inlineStr">
        <is>
          <t>Outdoor</t>
        </is>
      </c>
      <c r="J1160" t="inlineStr">
        <is>
          <t>Video</t>
        </is>
      </c>
      <c r="K1160" t="inlineStr">
        <is>
          <t>West</t>
        </is>
      </c>
      <c r="L1160" t="inlineStr">
        <is>
          <t>Oregon</t>
        </is>
      </c>
      <c r="M1160" t="inlineStr">
        <is>
          <t>Denver</t>
        </is>
      </c>
      <c r="N1160" t="inlineStr">
        <is>
          <t>Noah Kim</t>
        </is>
      </c>
      <c r="O1160" t="n">
        <v>3</v>
      </c>
      <c r="P1160" s="3" t="n">
        <v>39.06</v>
      </c>
      <c r="Q1160" s="4" t="n">
        <v>0.02</v>
      </c>
      <c r="R1160" s="3" t="n">
        <v>114.84</v>
      </c>
      <c r="S1160" s="3" t="n">
        <v>49.46</v>
      </c>
      <c r="T1160" s="3" t="n">
        <v>55.98</v>
      </c>
      <c r="U1160" s="4" t="n">
        <v>0.4875</v>
      </c>
      <c r="V1160" s="3" t="n">
        <v>9.4</v>
      </c>
      <c r="W1160" t="inlineStr">
        <is>
          <t>Debit Card</t>
        </is>
      </c>
      <c r="X1160" t="inlineStr">
        <is>
          <t>Medium</t>
        </is>
      </c>
    </row>
    <row r="1161">
      <c r="A1161" t="inlineStr">
        <is>
          <t>ORD-01160</t>
        </is>
      </c>
      <c r="B1161" s="2" t="n">
        <v>45238</v>
      </c>
      <c r="C1161" s="2" t="n">
        <v>45243</v>
      </c>
      <c r="D1161" t="inlineStr">
        <is>
          <t>CUST-01160</t>
        </is>
      </c>
      <c r="E1161" t="inlineStr">
        <is>
          <t>Customer 1160</t>
        </is>
      </c>
      <c r="F1161" t="inlineStr">
        <is>
          <t>Consumer</t>
        </is>
      </c>
      <c r="G1161" t="inlineStr">
        <is>
          <t>P1003</t>
        </is>
      </c>
      <c r="H1161" t="inlineStr">
        <is>
          <t>Northstar Lantern</t>
        </is>
      </c>
      <c r="I1161" t="inlineStr">
        <is>
          <t>Technology</t>
        </is>
      </c>
      <c r="J1161" t="inlineStr">
        <is>
          <t>Lighting</t>
        </is>
      </c>
      <c r="K1161" t="inlineStr">
        <is>
          <t>East</t>
        </is>
      </c>
      <c r="L1161" t="inlineStr">
        <is>
          <t>New York</t>
        </is>
      </c>
      <c r="M1161" t="inlineStr">
        <is>
          <t>Washington</t>
        </is>
      </c>
      <c r="N1161" t="inlineStr">
        <is>
          <t>Ava Patel</t>
        </is>
      </c>
      <c r="O1161" t="n">
        <v>6</v>
      </c>
      <c r="P1161" s="3" t="n">
        <v>171.78</v>
      </c>
      <c r="Q1161" s="4" t="n">
        <v>0.027</v>
      </c>
      <c r="R1161" s="3" t="n">
        <v>1002.85</v>
      </c>
      <c r="S1161" s="3" t="n">
        <v>517.46</v>
      </c>
      <c r="T1161" s="3" t="n">
        <v>473.59</v>
      </c>
      <c r="U1161" s="4" t="n">
        <v>0.4722</v>
      </c>
      <c r="V1161" s="3" t="n">
        <v>11.8</v>
      </c>
      <c r="W1161" t="inlineStr">
        <is>
          <t>Debit Card</t>
        </is>
      </c>
      <c r="X1161" t="inlineStr">
        <is>
          <t>Medium</t>
        </is>
      </c>
    </row>
    <row r="1162">
      <c r="A1162" t="inlineStr">
        <is>
          <t>ORD-01161</t>
        </is>
      </c>
      <c r="B1162" s="2" t="n">
        <v>45815</v>
      </c>
      <c r="C1162" s="2" t="n">
        <v>45818</v>
      </c>
      <c r="D1162" t="inlineStr">
        <is>
          <t>CUST-01161</t>
        </is>
      </c>
      <c r="E1162" t="inlineStr">
        <is>
          <t>Customer 1161</t>
        </is>
      </c>
      <c r="F1162" t="inlineStr">
        <is>
          <t>Corporate</t>
        </is>
      </c>
      <c r="G1162" t="inlineStr">
        <is>
          <t>P1016</t>
        </is>
      </c>
      <c r="H1162" t="inlineStr">
        <is>
          <t>Orbit Wireless Mouse</t>
        </is>
      </c>
      <c r="I1162" t="inlineStr">
        <is>
          <t>Outdoor</t>
        </is>
      </c>
      <c r="J1162" t="inlineStr">
        <is>
          <t>Lighting</t>
        </is>
      </c>
      <c r="K1162" t="inlineStr">
        <is>
          <t>West</t>
        </is>
      </c>
      <c r="L1162" t="inlineStr">
        <is>
          <t>Colorado</t>
        </is>
      </c>
      <c r="M1162" t="inlineStr">
        <is>
          <t>Seattle</t>
        </is>
      </c>
      <c r="N1162" t="inlineStr">
        <is>
          <t>Ethan Brooks</t>
        </is>
      </c>
      <c r="O1162" t="n">
        <v>2</v>
      </c>
      <c r="P1162" s="3" t="n">
        <v>40.56</v>
      </c>
      <c r="Q1162" s="4" t="n">
        <v>0.07300000000000001</v>
      </c>
      <c r="R1162" s="3" t="n">
        <v>75.2</v>
      </c>
      <c r="S1162" s="3" t="n">
        <v>35.12</v>
      </c>
      <c r="T1162" s="3" t="n">
        <v>31.48</v>
      </c>
      <c r="U1162" s="4" t="n">
        <v>0.4186</v>
      </c>
      <c r="V1162" s="3" t="n">
        <v>8.6</v>
      </c>
      <c r="W1162" t="inlineStr">
        <is>
          <t>Credit Card</t>
        </is>
      </c>
      <c r="X1162" t="inlineStr">
        <is>
          <t>High</t>
        </is>
      </c>
    </row>
    <row r="1163">
      <c r="A1163" t="inlineStr">
        <is>
          <t>ORD-01162</t>
        </is>
      </c>
      <c r="B1163" s="2" t="n">
        <v>45092</v>
      </c>
      <c r="C1163" s="2" t="n">
        <v>45097</v>
      </c>
      <c r="D1163" t="inlineStr">
        <is>
          <t>CUST-01162</t>
        </is>
      </c>
      <c r="E1163" t="inlineStr">
        <is>
          <t>Customer 1162</t>
        </is>
      </c>
      <c r="F1163" t="inlineStr">
        <is>
          <t>Consumer</t>
        </is>
      </c>
      <c r="G1163" t="inlineStr">
        <is>
          <t>P1012</t>
        </is>
      </c>
      <c r="H1163" t="inlineStr">
        <is>
          <t>Cove Wall Clock</t>
        </is>
      </c>
      <c r="I1163" t="inlineStr">
        <is>
          <t>Office Supplies</t>
        </is>
      </c>
      <c r="J1163" t="inlineStr">
        <is>
          <t>Video</t>
        </is>
      </c>
      <c r="K1163" t="inlineStr">
        <is>
          <t>West</t>
        </is>
      </c>
      <c r="L1163" t="inlineStr">
        <is>
          <t>Colorado</t>
        </is>
      </c>
      <c r="M1163" t="inlineStr">
        <is>
          <t>Los Angeles</t>
        </is>
      </c>
      <c r="N1163" t="inlineStr">
        <is>
          <t>Noah Kim</t>
        </is>
      </c>
      <c r="O1163" t="n">
        <v>6</v>
      </c>
      <c r="P1163" s="3" t="n">
        <v>139.36</v>
      </c>
      <c r="Q1163" s="4" t="n">
        <v>0.013</v>
      </c>
      <c r="R1163" s="3" t="n">
        <v>825.29</v>
      </c>
      <c r="S1163" s="3" t="n">
        <v>408.66</v>
      </c>
      <c r="T1163" s="3" t="n">
        <v>404.83</v>
      </c>
      <c r="U1163" s="4" t="n">
        <v>0.4905</v>
      </c>
      <c r="V1163" s="3" t="n">
        <v>11.8</v>
      </c>
      <c r="W1163" t="inlineStr">
        <is>
          <t>Credit Card</t>
        </is>
      </c>
      <c r="X1163" t="inlineStr">
        <is>
          <t>Low</t>
        </is>
      </c>
    </row>
    <row r="1164">
      <c r="A1164" t="inlineStr">
        <is>
          <t>ORD-01163</t>
        </is>
      </c>
      <c r="B1164" s="2" t="n">
        <v>45302</v>
      </c>
      <c r="C1164" s="2" t="n">
        <v>45309</v>
      </c>
      <c r="D1164" t="inlineStr">
        <is>
          <t>CUST-01163</t>
        </is>
      </c>
      <c r="E1164" t="inlineStr">
        <is>
          <t>Customer 1163</t>
        </is>
      </c>
      <c r="F1164" t="inlineStr">
        <is>
          <t>Consumer</t>
        </is>
      </c>
      <c r="G1164" t="inlineStr">
        <is>
          <t>P1003</t>
        </is>
      </c>
      <c r="H1164" t="inlineStr">
        <is>
          <t>FlexNote Notebook</t>
        </is>
      </c>
      <c r="I1164" t="inlineStr">
        <is>
          <t>Technology</t>
        </is>
      </c>
      <c r="J1164" t="inlineStr">
        <is>
          <t>Plants</t>
        </is>
      </c>
      <c r="K1164" t="inlineStr">
        <is>
          <t>South</t>
        </is>
      </c>
      <c r="L1164" t="inlineStr">
        <is>
          <t>Florida</t>
        </is>
      </c>
      <c r="M1164" t="inlineStr">
        <is>
          <t>Dallas</t>
        </is>
      </c>
      <c r="N1164" t="inlineStr">
        <is>
          <t>Liam Chen</t>
        </is>
      </c>
      <c r="O1164" t="n">
        <v>4</v>
      </c>
      <c r="P1164" s="3" t="n">
        <v>148.12</v>
      </c>
      <c r="Q1164" s="4" t="n">
        <v>0.028</v>
      </c>
      <c r="R1164" s="3" t="n">
        <v>575.89</v>
      </c>
      <c r="S1164" s="3" t="n">
        <v>299.18</v>
      </c>
      <c r="T1164" s="3" t="n">
        <v>267.51</v>
      </c>
      <c r="U1164" s="4" t="n">
        <v>0.4645</v>
      </c>
      <c r="V1164" s="3" t="n">
        <v>9.199999999999999</v>
      </c>
      <c r="W1164" t="inlineStr">
        <is>
          <t>Credit Card</t>
        </is>
      </c>
      <c r="X1164" t="inlineStr">
        <is>
          <t>Critical</t>
        </is>
      </c>
    </row>
    <row r="1165">
      <c r="A1165" t="inlineStr">
        <is>
          <t>ORD-01164</t>
        </is>
      </c>
      <c r="B1165" s="2" t="n">
        <v>45856</v>
      </c>
      <c r="C1165" s="2" t="n">
        <v>45863</v>
      </c>
      <c r="D1165" t="inlineStr">
        <is>
          <t>CUST-01164</t>
        </is>
      </c>
      <c r="E1165" t="inlineStr">
        <is>
          <t>Customer 1164</t>
        </is>
      </c>
      <c r="F1165" t="inlineStr">
        <is>
          <t>Consumer</t>
        </is>
      </c>
      <c r="G1165" t="inlineStr">
        <is>
          <t>P1011</t>
        </is>
      </c>
      <c r="H1165" t="inlineStr">
        <is>
          <t>Echo Web Camera</t>
        </is>
      </c>
      <c r="I1165" t="inlineStr">
        <is>
          <t>Home Decor</t>
        </is>
      </c>
      <c r="J1165" t="inlineStr">
        <is>
          <t>Accessories</t>
        </is>
      </c>
      <c r="K1165" t="inlineStr">
        <is>
          <t>South</t>
        </is>
      </c>
      <c r="L1165" t="inlineStr">
        <is>
          <t>Georgia</t>
        </is>
      </c>
      <c r="M1165" t="inlineStr">
        <is>
          <t>Houston</t>
        </is>
      </c>
      <c r="N1165" t="inlineStr">
        <is>
          <t>James Carter</t>
        </is>
      </c>
      <c r="O1165" t="n">
        <v>3</v>
      </c>
      <c r="P1165" s="3" t="n">
        <v>90.72</v>
      </c>
      <c r="Q1165" s="4" t="n">
        <v>0.055</v>
      </c>
      <c r="R1165" s="3" t="n">
        <v>257.19</v>
      </c>
      <c r="S1165" s="3" t="n">
        <v>126.12</v>
      </c>
      <c r="T1165" s="3" t="n">
        <v>122.67</v>
      </c>
      <c r="U1165" s="4" t="n">
        <v>0.477</v>
      </c>
      <c r="V1165" s="3" t="n">
        <v>8.4</v>
      </c>
      <c r="W1165" t="inlineStr">
        <is>
          <t>Cash on Delivery</t>
        </is>
      </c>
      <c r="X1165" t="inlineStr">
        <is>
          <t>High</t>
        </is>
      </c>
    </row>
    <row r="1166">
      <c r="A1166" t="inlineStr">
        <is>
          <t>ORD-01165</t>
        </is>
      </c>
      <c r="B1166" s="2" t="n">
        <v>45152</v>
      </c>
      <c r="C1166" s="2" t="n">
        <v>45153</v>
      </c>
      <c r="D1166" t="inlineStr">
        <is>
          <t>CUST-01165</t>
        </is>
      </c>
      <c r="E1166" t="inlineStr">
        <is>
          <t>Customer 1165</t>
        </is>
      </c>
      <c r="F1166" t="inlineStr">
        <is>
          <t>Consumer</t>
        </is>
      </c>
      <c r="G1166" t="inlineStr">
        <is>
          <t>P1011</t>
        </is>
      </c>
      <c r="H1166" t="inlineStr">
        <is>
          <t>Northstar Lantern</t>
        </is>
      </c>
      <c r="I1166" t="inlineStr">
        <is>
          <t>Office Supplies</t>
        </is>
      </c>
      <c r="J1166" t="inlineStr">
        <is>
          <t>Lighting</t>
        </is>
      </c>
      <c r="K1166" t="inlineStr">
        <is>
          <t>East</t>
        </is>
      </c>
      <c r="L1166" t="inlineStr">
        <is>
          <t>Virginia</t>
        </is>
      </c>
      <c r="M1166" t="inlineStr">
        <is>
          <t>Washington</t>
        </is>
      </c>
      <c r="N1166" t="inlineStr">
        <is>
          <t>Olivia Martin</t>
        </is>
      </c>
      <c r="O1166" t="n">
        <v>2</v>
      </c>
      <c r="P1166" s="3" t="n">
        <v>89.20999999999999</v>
      </c>
      <c r="Q1166" s="4" t="n">
        <v>0.016</v>
      </c>
      <c r="R1166" s="3" t="n">
        <v>175.57</v>
      </c>
      <c r="S1166" s="3" t="n">
        <v>90.48999999999999</v>
      </c>
      <c r="T1166" s="3" t="n">
        <v>76.48</v>
      </c>
      <c r="U1166" s="4" t="n">
        <v>0.4356</v>
      </c>
      <c r="V1166" s="3" t="n">
        <v>8.6</v>
      </c>
      <c r="W1166" t="inlineStr">
        <is>
          <t>Bank Transfer</t>
        </is>
      </c>
      <c r="X1166" t="inlineStr">
        <is>
          <t>Medium</t>
        </is>
      </c>
    </row>
    <row r="1167">
      <c r="A1167" t="inlineStr">
        <is>
          <t>ORD-01166</t>
        </is>
      </c>
      <c r="B1167" s="2" t="n">
        <v>45896</v>
      </c>
      <c r="C1167" s="2" t="n">
        <v>45899</v>
      </c>
      <c r="D1167" t="inlineStr">
        <is>
          <t>CUST-01166</t>
        </is>
      </c>
      <c r="E1167" t="inlineStr">
        <is>
          <t>Customer 1166</t>
        </is>
      </c>
      <c r="F1167" t="inlineStr">
        <is>
          <t>Home Office</t>
        </is>
      </c>
      <c r="G1167" t="inlineStr">
        <is>
          <t>P1016</t>
        </is>
      </c>
      <c r="H1167" t="inlineStr">
        <is>
          <t>Lumen Desk Lamp</t>
        </is>
      </c>
      <c r="I1167" t="inlineStr">
        <is>
          <t>Home Decor</t>
        </is>
      </c>
      <c r="J1167" t="inlineStr">
        <is>
          <t>Plants</t>
        </is>
      </c>
      <c r="K1167" t="inlineStr">
        <is>
          <t>West</t>
        </is>
      </c>
      <c r="L1167" t="inlineStr">
        <is>
          <t>Oregon</t>
        </is>
      </c>
      <c r="M1167" t="inlineStr">
        <is>
          <t>San Francisco</t>
        </is>
      </c>
      <c r="N1167" t="inlineStr">
        <is>
          <t>Mia Rodriguez</t>
        </is>
      </c>
      <c r="O1167" t="n">
        <v>3</v>
      </c>
      <c r="P1167" s="3" t="n">
        <v>41.11</v>
      </c>
      <c r="Q1167" s="4" t="n">
        <v>0.012</v>
      </c>
      <c r="R1167" s="3" t="n">
        <v>121.85</v>
      </c>
      <c r="S1167" s="3" t="n">
        <v>55.35</v>
      </c>
      <c r="T1167" s="3" t="n">
        <v>57.1</v>
      </c>
      <c r="U1167" s="4" t="n">
        <v>0.4686</v>
      </c>
      <c r="V1167" s="3" t="n">
        <v>9.4</v>
      </c>
      <c r="W1167" t="inlineStr">
        <is>
          <t>Credit Card</t>
        </is>
      </c>
      <c r="X1167" t="inlineStr">
        <is>
          <t>Low</t>
        </is>
      </c>
    </row>
    <row r="1168">
      <c r="A1168" t="inlineStr">
        <is>
          <t>ORD-01167</t>
        </is>
      </c>
      <c r="B1168" s="2" t="n">
        <v>45939</v>
      </c>
      <c r="C1168" s="2" t="n">
        <v>45941</v>
      </c>
      <c r="D1168" t="inlineStr">
        <is>
          <t>CUST-01167</t>
        </is>
      </c>
      <c r="E1168" t="inlineStr">
        <is>
          <t>Customer 1167</t>
        </is>
      </c>
      <c r="F1168" t="inlineStr">
        <is>
          <t>Corporate</t>
        </is>
      </c>
      <c r="G1168" t="inlineStr">
        <is>
          <t>P1005</t>
        </is>
      </c>
      <c r="H1168" t="inlineStr">
        <is>
          <t>Halo Planter</t>
        </is>
      </c>
      <c r="I1168" t="inlineStr">
        <is>
          <t>Home Decor</t>
        </is>
      </c>
      <c r="J1168" t="inlineStr">
        <is>
          <t>Bags</t>
        </is>
      </c>
      <c r="K1168" t="inlineStr">
        <is>
          <t>Central</t>
        </is>
      </c>
      <c r="L1168" t="inlineStr">
        <is>
          <t>Illinois</t>
        </is>
      </c>
      <c r="M1168" t="inlineStr">
        <is>
          <t>St. Louis</t>
        </is>
      </c>
      <c r="N1168" t="inlineStr">
        <is>
          <t>Mia Rodriguez</t>
        </is>
      </c>
      <c r="O1168" t="n">
        <v>1</v>
      </c>
      <c r="P1168" s="3" t="n">
        <v>13.53</v>
      </c>
      <c r="Q1168" s="4" t="n">
        <v>0.042</v>
      </c>
      <c r="R1168" s="3" t="n">
        <v>12.96</v>
      </c>
      <c r="S1168" s="3" t="n">
        <v>14.55</v>
      </c>
      <c r="T1168" s="3" t="n">
        <v>-8.390000000000001</v>
      </c>
      <c r="U1168" s="4" t="n">
        <v>-0.6474</v>
      </c>
      <c r="V1168" s="3" t="n">
        <v>6.8</v>
      </c>
      <c r="W1168" t="inlineStr">
        <is>
          <t>Cash on Delivery</t>
        </is>
      </c>
      <c r="X1168" t="inlineStr">
        <is>
          <t>High</t>
        </is>
      </c>
    </row>
    <row r="1169">
      <c r="A1169" t="inlineStr">
        <is>
          <t>ORD-01168</t>
        </is>
      </c>
      <c r="B1169" s="2" t="n">
        <v>45356</v>
      </c>
      <c r="C1169" s="2" t="n">
        <v>45359</v>
      </c>
      <c r="D1169" t="inlineStr">
        <is>
          <t>CUST-01168</t>
        </is>
      </c>
      <c r="E1169" t="inlineStr">
        <is>
          <t>Customer 1168</t>
        </is>
      </c>
      <c r="F1169" t="inlineStr">
        <is>
          <t>Consumer</t>
        </is>
      </c>
      <c r="G1169" t="inlineStr">
        <is>
          <t>P1020</t>
        </is>
      </c>
      <c r="H1169" t="inlineStr">
        <is>
          <t>ProClip Binder</t>
        </is>
      </c>
      <c r="I1169" t="inlineStr">
        <is>
          <t>Outdoor</t>
        </is>
      </c>
      <c r="J1169" t="inlineStr">
        <is>
          <t>Writing</t>
        </is>
      </c>
      <c r="K1169" t="inlineStr">
        <is>
          <t>East</t>
        </is>
      </c>
      <c r="L1169" t="inlineStr">
        <is>
          <t>New York</t>
        </is>
      </c>
      <c r="M1169" t="inlineStr">
        <is>
          <t>Washington</t>
        </is>
      </c>
      <c r="N1169" t="inlineStr">
        <is>
          <t>Sophia Singh</t>
        </is>
      </c>
      <c r="O1169" t="n">
        <v>5</v>
      </c>
      <c r="P1169" s="3" t="n">
        <v>75.91</v>
      </c>
      <c r="Q1169" s="4" t="n">
        <v>0.008</v>
      </c>
      <c r="R1169" s="3" t="n">
        <v>376.51</v>
      </c>
      <c r="S1169" s="3" t="n">
        <v>181.16</v>
      </c>
      <c r="T1169" s="3" t="n">
        <v>184.35</v>
      </c>
      <c r="U1169" s="4" t="n">
        <v>0.4896</v>
      </c>
      <c r="V1169" s="3" t="n">
        <v>11</v>
      </c>
      <c r="W1169" t="inlineStr">
        <is>
          <t>Bank Transfer</t>
        </is>
      </c>
      <c r="X1169" t="inlineStr">
        <is>
          <t>Low</t>
        </is>
      </c>
    </row>
    <row r="1170">
      <c r="A1170" t="inlineStr">
        <is>
          <t>ORD-01169</t>
        </is>
      </c>
      <c r="B1170" s="2" t="n">
        <v>45039</v>
      </c>
      <c r="C1170" s="2" t="n">
        <v>45041</v>
      </c>
      <c r="D1170" t="inlineStr">
        <is>
          <t>CUST-01169</t>
        </is>
      </c>
      <c r="E1170" t="inlineStr">
        <is>
          <t>Customer 1169</t>
        </is>
      </c>
      <c r="F1170" t="inlineStr">
        <is>
          <t>Consumer</t>
        </is>
      </c>
      <c r="G1170" t="inlineStr">
        <is>
          <t>P1008</t>
        </is>
      </c>
      <c r="H1170" t="inlineStr">
        <is>
          <t>CloudDrive File Box</t>
        </is>
      </c>
      <c r="I1170" t="inlineStr">
        <is>
          <t>Office Supplies</t>
        </is>
      </c>
      <c r="J1170" t="inlineStr">
        <is>
          <t>Desks</t>
        </is>
      </c>
      <c r="K1170" t="inlineStr">
        <is>
          <t>North</t>
        </is>
      </c>
      <c r="L1170" t="inlineStr">
        <is>
          <t>Ontario</t>
        </is>
      </c>
      <c r="M1170" t="inlineStr">
        <is>
          <t>Vancouver</t>
        </is>
      </c>
      <c r="N1170" t="inlineStr">
        <is>
          <t>James Carter</t>
        </is>
      </c>
      <c r="O1170" t="n">
        <v>2</v>
      </c>
      <c r="P1170" s="3" t="n">
        <v>35.24</v>
      </c>
      <c r="Q1170" s="4" t="n">
        <v>0.008</v>
      </c>
      <c r="R1170" s="3" t="n">
        <v>69.92</v>
      </c>
      <c r="S1170" s="3" t="n">
        <v>36.98</v>
      </c>
      <c r="T1170" s="3" t="n">
        <v>25.34</v>
      </c>
      <c r="U1170" s="4" t="n">
        <v>0.3624</v>
      </c>
      <c r="V1170" s="3" t="n">
        <v>7.6</v>
      </c>
      <c r="W1170" t="inlineStr">
        <is>
          <t>Debit Card</t>
        </is>
      </c>
      <c r="X1170" t="inlineStr">
        <is>
          <t>Low</t>
        </is>
      </c>
    </row>
    <row r="1171">
      <c r="A1171" t="inlineStr">
        <is>
          <t>ORD-01173</t>
        </is>
      </c>
      <c r="B1171" s="2" t="n">
        <v>45497</v>
      </c>
      <c r="C1171" s="2" t="n">
        <v>45503</v>
      </c>
      <c r="D1171" t="inlineStr">
        <is>
          <t>CUST-01173</t>
        </is>
      </c>
      <c r="E1171" t="inlineStr">
        <is>
          <t>Customer 1173</t>
        </is>
      </c>
      <c r="F1171" t="inlineStr">
        <is>
          <t>Home Office</t>
        </is>
      </c>
      <c r="G1171" t="inlineStr">
        <is>
          <t>P1019</t>
        </is>
      </c>
      <c r="H1171" t="inlineStr">
        <is>
          <t>Pulse Keyboard</t>
        </is>
      </c>
      <c r="I1171" t="inlineStr">
        <is>
          <t>Outdoor</t>
        </is>
      </c>
      <c r="J1171" t="inlineStr">
        <is>
          <t>Paper</t>
        </is>
      </c>
      <c r="K1171" t="inlineStr">
        <is>
          <t>West</t>
        </is>
      </c>
      <c r="L1171" t="inlineStr">
        <is>
          <t>Oregon</t>
        </is>
      </c>
      <c r="M1171" t="inlineStr">
        <is>
          <t>Denver</t>
        </is>
      </c>
      <c r="N1171" t="inlineStr">
        <is>
          <t>Mia Rodriguez</t>
        </is>
      </c>
      <c r="O1171" t="n">
        <v>4</v>
      </c>
      <c r="P1171" s="3" t="n">
        <v>63.23</v>
      </c>
      <c r="Q1171" s="4" t="n">
        <v>0.013</v>
      </c>
      <c r="R1171" s="3" t="n">
        <v>249.63</v>
      </c>
      <c r="S1171" s="3" t="n">
        <v>106.23</v>
      </c>
      <c r="T1171" s="3" t="n">
        <v>133.2</v>
      </c>
      <c r="U1171" s="4" t="n">
        <v>0.5336</v>
      </c>
      <c r="V1171" s="3" t="n">
        <v>10.2</v>
      </c>
      <c r="W1171" t="inlineStr">
        <is>
          <t>Debit Card</t>
        </is>
      </c>
      <c r="X1171" t="inlineStr">
        <is>
          <t>Medium</t>
        </is>
      </c>
    </row>
    <row r="1172">
      <c r="A1172" t="inlineStr">
        <is>
          <t>ORD-01174</t>
        </is>
      </c>
      <c r="B1172" s="2" t="n">
        <v>45029</v>
      </c>
      <c r="C1172" s="2" t="n">
        <v>45031</v>
      </c>
      <c r="D1172" t="inlineStr">
        <is>
          <t>CUST-01174</t>
        </is>
      </c>
      <c r="E1172" t="inlineStr">
        <is>
          <t>Customer 1174</t>
        </is>
      </c>
      <c r="F1172" t="inlineStr">
        <is>
          <t>Consumer</t>
        </is>
      </c>
      <c r="G1172" t="inlineStr">
        <is>
          <t>P1010</t>
        </is>
      </c>
      <c r="H1172" t="inlineStr">
        <is>
          <t>Nova Laptop Stand</t>
        </is>
      </c>
      <c r="I1172" t="inlineStr">
        <is>
          <t>Home Decor</t>
        </is>
      </c>
      <c r="J1172" t="inlineStr">
        <is>
          <t>Accessories</t>
        </is>
      </c>
      <c r="K1172" t="inlineStr">
        <is>
          <t>West</t>
        </is>
      </c>
      <c r="L1172" t="inlineStr">
        <is>
          <t>Colorado</t>
        </is>
      </c>
      <c r="M1172" t="inlineStr">
        <is>
          <t>San Francisco</t>
        </is>
      </c>
      <c r="N1172" t="inlineStr">
        <is>
          <t>Ethan Brooks</t>
        </is>
      </c>
      <c r="O1172" t="n">
        <v>4</v>
      </c>
      <c r="P1172" s="3" t="n">
        <v>57.75</v>
      </c>
      <c r="Q1172" s="4" t="n">
        <v>0.014</v>
      </c>
      <c r="R1172" s="3" t="n">
        <v>227.77</v>
      </c>
      <c r="S1172" s="3" t="n">
        <v>103.23</v>
      </c>
      <c r="T1172" s="3" t="n">
        <v>114.34</v>
      </c>
      <c r="U1172" s="4" t="n">
        <v>0.502</v>
      </c>
      <c r="V1172" s="3" t="n">
        <v>10.2</v>
      </c>
      <c r="W1172" t="inlineStr">
        <is>
          <t>PayPal</t>
        </is>
      </c>
      <c r="X1172" t="inlineStr">
        <is>
          <t>Low</t>
        </is>
      </c>
    </row>
    <row r="1173">
      <c r="A1173" t="inlineStr">
        <is>
          <t>ORD-01175</t>
        </is>
      </c>
      <c r="B1173" s="2" t="n">
        <v>45323</v>
      </c>
      <c r="C1173" s="2" t="n">
        <v>45324</v>
      </c>
      <c r="D1173" t="inlineStr">
        <is>
          <t>CUST-01175</t>
        </is>
      </c>
      <c r="E1173" t="inlineStr">
        <is>
          <t>Customer 1175</t>
        </is>
      </c>
      <c r="F1173" t="inlineStr">
        <is>
          <t>Corporate</t>
        </is>
      </c>
      <c r="G1173" t="inlineStr">
        <is>
          <t>P1004</t>
        </is>
      </c>
      <c r="H1173" t="inlineStr">
        <is>
          <t>Summit Patio Set</t>
        </is>
      </c>
      <c r="I1173" t="inlineStr">
        <is>
          <t>Outdoor</t>
        </is>
      </c>
      <c r="J1173" t="inlineStr">
        <is>
          <t>Binders</t>
        </is>
      </c>
      <c r="K1173" t="inlineStr">
        <is>
          <t>West</t>
        </is>
      </c>
      <c r="L1173" t="inlineStr">
        <is>
          <t>Washington</t>
        </is>
      </c>
      <c r="M1173" t="inlineStr">
        <is>
          <t>Seattle</t>
        </is>
      </c>
      <c r="N1173" t="inlineStr">
        <is>
          <t>Ethan Brooks</t>
        </is>
      </c>
      <c r="O1173" t="n">
        <v>1</v>
      </c>
      <c r="P1173" s="3" t="n">
        <v>609.01</v>
      </c>
      <c r="Q1173" s="4" t="n">
        <v>0.039</v>
      </c>
      <c r="R1173" s="3" t="n">
        <v>585.26</v>
      </c>
      <c r="S1173" s="3" t="n">
        <v>373.23</v>
      </c>
      <c r="T1173" s="3" t="n">
        <v>204.23</v>
      </c>
      <c r="U1173" s="4" t="n">
        <v>0.349</v>
      </c>
      <c r="V1173" s="3" t="n">
        <v>7.8</v>
      </c>
      <c r="W1173" t="inlineStr">
        <is>
          <t>Bank Transfer</t>
        </is>
      </c>
      <c r="X1173" t="inlineStr">
        <is>
          <t>High</t>
        </is>
      </c>
    </row>
    <row r="1174">
      <c r="A1174" t="inlineStr">
        <is>
          <t>ORD-01176</t>
        </is>
      </c>
      <c r="B1174" s="2" t="n">
        <v>45415</v>
      </c>
      <c r="C1174" s="2" t="n">
        <v>45421</v>
      </c>
      <c r="D1174" t="inlineStr">
        <is>
          <t>CUST-01176</t>
        </is>
      </c>
      <c r="E1174" t="inlineStr">
        <is>
          <t>Customer 1176</t>
        </is>
      </c>
      <c r="F1174" t="inlineStr">
        <is>
          <t>Home Office</t>
        </is>
      </c>
      <c r="G1174" t="inlineStr">
        <is>
          <t>P1010</t>
        </is>
      </c>
      <c r="H1174" t="inlineStr">
        <is>
          <t>Northstar Lantern</t>
        </is>
      </c>
      <c r="I1174" t="inlineStr">
        <is>
          <t>Technology</t>
        </is>
      </c>
      <c r="J1174" t="inlineStr">
        <is>
          <t>Video</t>
        </is>
      </c>
      <c r="K1174" t="inlineStr">
        <is>
          <t>North</t>
        </is>
      </c>
      <c r="L1174" t="inlineStr">
        <is>
          <t>Alberta</t>
        </is>
      </c>
      <c r="M1174" t="inlineStr">
        <is>
          <t>Vancouver</t>
        </is>
      </c>
      <c r="N1174" t="inlineStr">
        <is>
          <t>Liam Chen</t>
        </is>
      </c>
      <c r="O1174" t="n">
        <v>6</v>
      </c>
      <c r="P1174" s="3" t="n">
        <v>52.12</v>
      </c>
      <c r="Q1174" s="4" t="n">
        <v>0.047</v>
      </c>
      <c r="R1174" s="3" t="n">
        <v>298.02</v>
      </c>
      <c r="S1174" s="3" t="n">
        <v>130.45</v>
      </c>
      <c r="T1174" s="3" t="n">
        <v>156.77</v>
      </c>
      <c r="U1174" s="4" t="n">
        <v>0.526</v>
      </c>
      <c r="V1174" s="3" t="n">
        <v>10.8</v>
      </c>
      <c r="W1174" t="inlineStr">
        <is>
          <t>Credit Card</t>
        </is>
      </c>
      <c r="X1174" t="inlineStr">
        <is>
          <t>High</t>
        </is>
      </c>
    </row>
    <row r="1175">
      <c r="A1175" t="inlineStr">
        <is>
          <t>ORD-01177</t>
        </is>
      </c>
      <c r="B1175" s="2" t="n">
        <v>45738</v>
      </c>
      <c r="C1175" s="2" t="n">
        <v>45744</v>
      </c>
      <c r="D1175" t="inlineStr">
        <is>
          <t>CUST-01177</t>
        </is>
      </c>
      <c r="E1175" t="inlineStr">
        <is>
          <t>Customer 1177</t>
        </is>
      </c>
      <c r="F1175" t="inlineStr">
        <is>
          <t>Home Office</t>
        </is>
      </c>
      <c r="G1175" t="inlineStr">
        <is>
          <t>P1014</t>
        </is>
      </c>
      <c r="H1175" t="inlineStr">
        <is>
          <t>Lumen Desk Lamp</t>
        </is>
      </c>
      <c r="I1175" t="inlineStr">
        <is>
          <t>Technology</t>
        </is>
      </c>
      <c r="J1175" t="inlineStr">
        <is>
          <t>Flooring</t>
        </is>
      </c>
      <c r="K1175" t="inlineStr">
        <is>
          <t>West</t>
        </is>
      </c>
      <c r="L1175" t="inlineStr">
        <is>
          <t>Washington</t>
        </is>
      </c>
      <c r="M1175" t="inlineStr">
        <is>
          <t>Seattle</t>
        </is>
      </c>
      <c r="N1175" t="inlineStr">
        <is>
          <t>James Carter</t>
        </is>
      </c>
      <c r="O1175" t="n">
        <v>3</v>
      </c>
      <c r="P1175" s="3" t="n">
        <v>44.53</v>
      </c>
      <c r="Q1175" s="4" t="n">
        <v>0.024</v>
      </c>
      <c r="R1175" s="3" t="n">
        <v>130.38</v>
      </c>
      <c r="S1175" s="3" t="n">
        <v>59.52</v>
      </c>
      <c r="T1175" s="3" t="n">
        <v>61.46</v>
      </c>
      <c r="U1175" s="4" t="n">
        <v>0.4714</v>
      </c>
      <c r="V1175" s="3" t="n">
        <v>9.4</v>
      </c>
      <c r="W1175" t="inlineStr">
        <is>
          <t>Cash on Delivery</t>
        </is>
      </c>
      <c r="X1175" t="inlineStr">
        <is>
          <t>Medium</t>
        </is>
      </c>
    </row>
    <row r="1176">
      <c r="A1176" t="inlineStr">
        <is>
          <t>ORD-01178</t>
        </is>
      </c>
      <c r="B1176" s="2" t="n">
        <v>45207</v>
      </c>
      <c r="C1176" s="2" t="n">
        <v>45213</v>
      </c>
      <c r="D1176" t="inlineStr">
        <is>
          <t>CUST-01178</t>
        </is>
      </c>
      <c r="E1176" t="inlineStr">
        <is>
          <t>Customer 1178</t>
        </is>
      </c>
      <c r="F1176" t="inlineStr">
        <is>
          <t>Consumer</t>
        </is>
      </c>
      <c r="G1176" t="inlineStr">
        <is>
          <t>P1006</t>
        </is>
      </c>
      <c r="H1176" t="inlineStr">
        <is>
          <t>CloudDrive File Box</t>
        </is>
      </c>
      <c r="I1176" t="inlineStr">
        <is>
          <t>Furniture</t>
        </is>
      </c>
      <c r="J1176" t="inlineStr">
        <is>
          <t>Chairs</t>
        </is>
      </c>
      <c r="K1176" t="inlineStr">
        <is>
          <t>Central</t>
        </is>
      </c>
      <c r="L1176" t="inlineStr">
        <is>
          <t>Minnesota</t>
        </is>
      </c>
      <c r="M1176" t="inlineStr">
        <is>
          <t>St. Louis</t>
        </is>
      </c>
      <c r="N1176" t="inlineStr">
        <is>
          <t>Ava Patel</t>
        </is>
      </c>
      <c r="O1176" t="n">
        <v>1</v>
      </c>
      <c r="P1176" s="3" t="n">
        <v>19.7</v>
      </c>
      <c r="Q1176" s="4" t="n">
        <v>0.014</v>
      </c>
      <c r="R1176" s="3" t="n">
        <v>19.42</v>
      </c>
      <c r="S1176" s="3" t="n">
        <v>16.27</v>
      </c>
      <c r="T1176" s="3" t="n">
        <v>-3.65</v>
      </c>
      <c r="U1176" s="4" t="n">
        <v>-0.188</v>
      </c>
      <c r="V1176" s="3" t="n">
        <v>6.8</v>
      </c>
      <c r="W1176" t="inlineStr">
        <is>
          <t>Credit Card</t>
        </is>
      </c>
      <c r="X1176" t="inlineStr">
        <is>
          <t>Medium</t>
        </is>
      </c>
    </row>
    <row r="1177">
      <c r="A1177" t="inlineStr">
        <is>
          <t>ORD-01180</t>
        </is>
      </c>
      <c r="B1177" s="2" t="n">
        <v>45369</v>
      </c>
      <c r="C1177" s="2" t="n">
        <v>45371</v>
      </c>
      <c r="D1177" t="inlineStr">
        <is>
          <t>CUST-01180</t>
        </is>
      </c>
      <c r="E1177" t="inlineStr">
        <is>
          <t>Customer 1180</t>
        </is>
      </c>
      <c r="F1177" t="inlineStr">
        <is>
          <t>Consumer</t>
        </is>
      </c>
      <c r="G1177" t="inlineStr">
        <is>
          <t>P1015</t>
        </is>
      </c>
      <c r="H1177" t="inlineStr">
        <is>
          <t>Nimbus Monitor Arm</t>
        </is>
      </c>
      <c r="I1177" t="inlineStr">
        <is>
          <t>Furniture</t>
        </is>
      </c>
      <c r="J1177" t="inlineStr">
        <is>
          <t>Textiles</t>
        </is>
      </c>
      <c r="K1177" t="inlineStr">
        <is>
          <t>Central</t>
        </is>
      </c>
      <c r="L1177" t="inlineStr">
        <is>
          <t>Kansas</t>
        </is>
      </c>
      <c r="M1177" t="inlineStr">
        <is>
          <t>Minneapolis</t>
        </is>
      </c>
      <c r="N1177" t="inlineStr">
        <is>
          <t>James Carter</t>
        </is>
      </c>
      <c r="O1177" t="n">
        <v>1</v>
      </c>
      <c r="P1177" s="3" t="n">
        <v>69.42</v>
      </c>
      <c r="Q1177" s="4" t="n">
        <v>0.02</v>
      </c>
      <c r="R1177" s="3" t="n">
        <v>68.03</v>
      </c>
      <c r="S1177" s="3" t="n">
        <v>38.09</v>
      </c>
      <c r="T1177" s="3" t="n">
        <v>23.14</v>
      </c>
      <c r="U1177" s="4" t="n">
        <v>0.3401</v>
      </c>
      <c r="V1177" s="3" t="n">
        <v>6.8</v>
      </c>
      <c r="W1177" t="inlineStr">
        <is>
          <t>Credit Card</t>
        </is>
      </c>
      <c r="X1177" t="inlineStr">
        <is>
          <t>High</t>
        </is>
      </c>
    </row>
    <row r="1178">
      <c r="A1178" t="inlineStr">
        <is>
          <t>ORD-01181</t>
        </is>
      </c>
      <c r="B1178" s="2" t="n">
        <v>45682</v>
      </c>
      <c r="C1178" s="2" t="n">
        <v>45685</v>
      </c>
      <c r="D1178" t="inlineStr">
        <is>
          <t>CUST-01181</t>
        </is>
      </c>
      <c r="E1178" t="inlineStr">
        <is>
          <t>Customer 1181</t>
        </is>
      </c>
      <c r="F1178" t="inlineStr">
        <is>
          <t>Consumer</t>
        </is>
      </c>
      <c r="G1178" t="inlineStr">
        <is>
          <t>P1005</t>
        </is>
      </c>
      <c r="H1178" t="inlineStr">
        <is>
          <t>Orbit Wireless Mouse</t>
        </is>
      </c>
      <c r="I1178" t="inlineStr">
        <is>
          <t>Technology</t>
        </is>
      </c>
      <c r="J1178" t="inlineStr">
        <is>
          <t>Lighting</t>
        </is>
      </c>
      <c r="K1178" t="inlineStr">
        <is>
          <t>North</t>
        </is>
      </c>
      <c r="L1178" t="inlineStr">
        <is>
          <t>British Columbia</t>
        </is>
      </c>
      <c r="M1178" t="inlineStr">
        <is>
          <t>Vancouver</t>
        </is>
      </c>
      <c r="N1178" t="inlineStr">
        <is>
          <t>Ava Patel</t>
        </is>
      </c>
      <c r="O1178" t="n">
        <v>2</v>
      </c>
      <c r="P1178" s="3" t="n">
        <v>12.96</v>
      </c>
      <c r="Q1178" s="4" t="n">
        <v>0.007</v>
      </c>
      <c r="R1178" s="3" t="n">
        <v>25.74</v>
      </c>
      <c r="S1178" s="3" t="n">
        <v>17.61</v>
      </c>
      <c r="T1178" s="3" t="n">
        <v>0.53</v>
      </c>
      <c r="U1178" s="4" t="n">
        <v>0.0206</v>
      </c>
      <c r="V1178" s="3" t="n">
        <v>7.6</v>
      </c>
      <c r="W1178" t="inlineStr">
        <is>
          <t>Debit Card</t>
        </is>
      </c>
      <c r="X1178" t="inlineStr">
        <is>
          <t>Medium</t>
        </is>
      </c>
    </row>
    <row r="1179">
      <c r="A1179" t="inlineStr">
        <is>
          <t>ORD-01182</t>
        </is>
      </c>
      <c r="B1179" s="2" t="n">
        <v>45612</v>
      </c>
      <c r="C1179" s="2" t="n">
        <v>45616</v>
      </c>
      <c r="D1179" t="inlineStr">
        <is>
          <t>CUST-01182</t>
        </is>
      </c>
      <c r="E1179" t="inlineStr">
        <is>
          <t>Customer 1182</t>
        </is>
      </c>
      <c r="F1179" t="inlineStr">
        <is>
          <t>Consumer</t>
        </is>
      </c>
      <c r="G1179" t="inlineStr">
        <is>
          <t>P1006</t>
        </is>
      </c>
      <c r="H1179" t="inlineStr">
        <is>
          <t>Lumen Desk Lamp</t>
        </is>
      </c>
      <c r="I1179" t="inlineStr">
        <is>
          <t>Technology</t>
        </is>
      </c>
      <c r="J1179" t="inlineStr">
        <is>
          <t>Accessories</t>
        </is>
      </c>
      <c r="K1179" t="inlineStr">
        <is>
          <t>West</t>
        </is>
      </c>
      <c r="L1179" t="inlineStr">
        <is>
          <t>Colorado</t>
        </is>
      </c>
      <c r="M1179" t="inlineStr">
        <is>
          <t>Denver</t>
        </is>
      </c>
      <c r="N1179" t="inlineStr">
        <is>
          <t>Liam Chen</t>
        </is>
      </c>
      <c r="O1179" t="n">
        <v>3</v>
      </c>
      <c r="P1179" s="3" t="n">
        <v>19.39</v>
      </c>
      <c r="Q1179" s="4" t="n">
        <v>0.027</v>
      </c>
      <c r="R1179" s="3" t="n">
        <v>56.6</v>
      </c>
      <c r="S1179" s="3" t="n">
        <v>27.42</v>
      </c>
      <c r="T1179" s="3" t="n">
        <v>19.78</v>
      </c>
      <c r="U1179" s="4" t="n">
        <v>0.3495</v>
      </c>
      <c r="V1179" s="3" t="n">
        <v>9.4</v>
      </c>
      <c r="W1179" t="inlineStr">
        <is>
          <t>Cash on Delivery</t>
        </is>
      </c>
      <c r="X1179" t="inlineStr">
        <is>
          <t>Medium</t>
        </is>
      </c>
    </row>
    <row r="1180">
      <c r="A1180" t="inlineStr">
        <is>
          <t>ORD-01183</t>
        </is>
      </c>
      <c r="B1180" s="2" t="n">
        <v>45371</v>
      </c>
      <c r="C1180" s="2" t="n">
        <v>45377</v>
      </c>
      <c r="D1180" t="inlineStr">
        <is>
          <t>CUST-01183</t>
        </is>
      </c>
      <c r="E1180" t="inlineStr">
        <is>
          <t>Customer 1183</t>
        </is>
      </c>
      <c r="F1180" t="inlineStr">
        <is>
          <t>Home Office</t>
        </is>
      </c>
      <c r="G1180" t="inlineStr">
        <is>
          <t>P1019</t>
        </is>
      </c>
      <c r="H1180" t="inlineStr">
        <is>
          <t>SmartInk Pen Set</t>
        </is>
      </c>
      <c r="I1180" t="inlineStr">
        <is>
          <t>Office Supplies</t>
        </is>
      </c>
      <c r="J1180" t="inlineStr">
        <is>
          <t>Peripherals</t>
        </is>
      </c>
      <c r="K1180" t="inlineStr">
        <is>
          <t>South</t>
        </is>
      </c>
      <c r="L1180" t="inlineStr">
        <is>
          <t>North Carolina</t>
        </is>
      </c>
      <c r="M1180" t="inlineStr">
        <is>
          <t>Dallas</t>
        </is>
      </c>
      <c r="N1180" t="inlineStr">
        <is>
          <t>Ava Patel</t>
        </is>
      </c>
      <c r="O1180" t="n">
        <v>2</v>
      </c>
      <c r="P1180" s="3" t="n">
        <v>52.87</v>
      </c>
      <c r="Q1180" s="4" t="n">
        <v>0.022</v>
      </c>
      <c r="R1180" s="3" t="n">
        <v>103.41</v>
      </c>
      <c r="S1180" s="3" t="n">
        <v>51.96</v>
      </c>
      <c r="T1180" s="3" t="n">
        <v>43.85</v>
      </c>
      <c r="U1180" s="4" t="n">
        <v>0.424</v>
      </c>
      <c r="V1180" s="3" t="n">
        <v>7.6</v>
      </c>
      <c r="W1180" t="inlineStr">
        <is>
          <t>Bank Transfer</t>
        </is>
      </c>
      <c r="X1180" t="inlineStr">
        <is>
          <t>High</t>
        </is>
      </c>
    </row>
    <row r="1181">
      <c r="A1181" t="inlineStr">
        <is>
          <t>ORD-01186</t>
        </is>
      </c>
      <c r="B1181" s="2" t="n">
        <v>45871</v>
      </c>
      <c r="C1181" s="2" t="n">
        <v>45875</v>
      </c>
      <c r="D1181" t="inlineStr">
        <is>
          <t>CUST-01186</t>
        </is>
      </c>
      <c r="E1181" t="inlineStr">
        <is>
          <t>Customer 1186</t>
        </is>
      </c>
      <c r="F1181" t="inlineStr">
        <is>
          <t>Corporate</t>
        </is>
      </c>
      <c r="G1181" t="inlineStr">
        <is>
          <t>P1014</t>
        </is>
      </c>
      <c r="H1181" t="inlineStr">
        <is>
          <t>FlexNote Notebook</t>
        </is>
      </c>
      <c r="I1181" t="inlineStr">
        <is>
          <t>Office Supplies</t>
        </is>
      </c>
      <c r="J1181" t="inlineStr">
        <is>
          <t>Plants</t>
        </is>
      </c>
      <c r="K1181" t="inlineStr">
        <is>
          <t>Central</t>
        </is>
      </c>
      <c r="L1181" t="inlineStr">
        <is>
          <t>Kansas</t>
        </is>
      </c>
      <c r="M1181" t="inlineStr">
        <is>
          <t>Kansas City</t>
        </is>
      </c>
      <c r="N1181" t="inlineStr">
        <is>
          <t>Liam Chen</t>
        </is>
      </c>
      <c r="O1181" t="n">
        <v>3</v>
      </c>
      <c r="P1181" s="3" t="n">
        <v>41.97</v>
      </c>
      <c r="Q1181" s="4" t="n">
        <v>0.015</v>
      </c>
      <c r="R1181" s="3" t="n">
        <v>124.02</v>
      </c>
      <c r="S1181" s="3" t="n">
        <v>53.25</v>
      </c>
      <c r="T1181" s="3" t="n">
        <v>62.37</v>
      </c>
      <c r="U1181" s="4" t="n">
        <v>0.5029</v>
      </c>
      <c r="V1181" s="3" t="n">
        <v>8.4</v>
      </c>
      <c r="W1181" t="inlineStr">
        <is>
          <t>Credit Card</t>
        </is>
      </c>
      <c r="X1181" t="inlineStr">
        <is>
          <t>Low</t>
        </is>
      </c>
    </row>
    <row r="1182">
      <c r="A1182" t="inlineStr">
        <is>
          <t>ORD-01187</t>
        </is>
      </c>
      <c r="B1182" s="2" t="n">
        <v>45794</v>
      </c>
      <c r="C1182" s="2" t="n">
        <v>45797</v>
      </c>
      <c r="D1182" t="inlineStr">
        <is>
          <t>CUST-01187</t>
        </is>
      </c>
      <c r="E1182" t="inlineStr">
        <is>
          <t>Customer 1187</t>
        </is>
      </c>
      <c r="F1182" t="inlineStr">
        <is>
          <t>Home Office</t>
        </is>
      </c>
      <c r="G1182" t="inlineStr">
        <is>
          <t>P1011</t>
        </is>
      </c>
      <c r="H1182" t="inlineStr">
        <is>
          <t>Nova Laptop Stand</t>
        </is>
      </c>
      <c r="I1182" t="inlineStr">
        <is>
          <t>Office Supplies</t>
        </is>
      </c>
      <c r="J1182" t="inlineStr">
        <is>
          <t>Accessories</t>
        </is>
      </c>
      <c r="K1182" t="inlineStr">
        <is>
          <t>South</t>
        </is>
      </c>
      <c r="L1182" t="inlineStr">
        <is>
          <t>Georgia</t>
        </is>
      </c>
      <c r="M1182" t="inlineStr">
        <is>
          <t>Dallas</t>
        </is>
      </c>
      <c r="N1182" t="inlineStr">
        <is>
          <t>Sophia Singh</t>
        </is>
      </c>
      <c r="O1182" t="n">
        <v>5</v>
      </c>
      <c r="P1182" s="3" t="n">
        <v>84.83</v>
      </c>
      <c r="Q1182" s="4" t="n">
        <v>0.023</v>
      </c>
      <c r="R1182" s="3" t="n">
        <v>414.39</v>
      </c>
      <c r="S1182" s="3" t="n">
        <v>197.11</v>
      </c>
      <c r="T1182" s="3" t="n">
        <v>207.28</v>
      </c>
      <c r="U1182" s="4" t="n">
        <v>0.5002</v>
      </c>
      <c r="V1182" s="3" t="n">
        <v>10</v>
      </c>
      <c r="W1182" t="inlineStr">
        <is>
          <t>Credit Card</t>
        </is>
      </c>
      <c r="X1182" t="inlineStr">
        <is>
          <t>Medium</t>
        </is>
      </c>
    </row>
    <row r="1183">
      <c r="A1183" t="inlineStr">
        <is>
          <t>ORD-01188</t>
        </is>
      </c>
      <c r="B1183" s="2" t="n">
        <v>44967</v>
      </c>
      <c r="C1183" s="2" t="n">
        <v>44971</v>
      </c>
      <c r="D1183" t="inlineStr">
        <is>
          <t>CUST-01188</t>
        </is>
      </c>
      <c r="E1183" t="inlineStr">
        <is>
          <t>Customer 1188</t>
        </is>
      </c>
      <c r="F1183" t="inlineStr">
        <is>
          <t>Corporate</t>
        </is>
      </c>
      <c r="G1183" t="inlineStr">
        <is>
          <t>P1014</t>
        </is>
      </c>
      <c r="H1183" t="inlineStr">
        <is>
          <t>Echo Web Camera</t>
        </is>
      </c>
      <c r="I1183" t="inlineStr">
        <is>
          <t>Furniture</t>
        </is>
      </c>
      <c r="J1183" t="inlineStr">
        <is>
          <t>Lighting</t>
        </is>
      </c>
      <c r="K1183" t="inlineStr">
        <is>
          <t>Central</t>
        </is>
      </c>
      <c r="L1183" t="inlineStr">
        <is>
          <t>Missouri</t>
        </is>
      </c>
      <c r="M1183" t="inlineStr">
        <is>
          <t>Chicago</t>
        </is>
      </c>
      <c r="N1183" t="inlineStr">
        <is>
          <t>James Carter</t>
        </is>
      </c>
      <c r="O1183" t="n">
        <v>1</v>
      </c>
      <c r="P1183" s="3" t="n">
        <v>40.86</v>
      </c>
      <c r="Q1183" s="4" t="n">
        <v>0.027</v>
      </c>
      <c r="R1183" s="3" t="n">
        <v>39.76</v>
      </c>
      <c r="S1183" s="3" t="n">
        <v>20.04</v>
      </c>
      <c r="T1183" s="3" t="n">
        <v>12.92</v>
      </c>
      <c r="U1183" s="4" t="n">
        <v>0.3249</v>
      </c>
      <c r="V1183" s="3" t="n">
        <v>6.8</v>
      </c>
      <c r="W1183" t="inlineStr">
        <is>
          <t>Bank Transfer</t>
        </is>
      </c>
      <c r="X1183" t="inlineStr">
        <is>
          <t>High</t>
        </is>
      </c>
    </row>
    <row r="1184">
      <c r="A1184" t="inlineStr">
        <is>
          <t>ORD-01189</t>
        </is>
      </c>
      <c r="B1184" s="2" t="n">
        <v>45389</v>
      </c>
      <c r="C1184" s="2" t="n">
        <v>45390</v>
      </c>
      <c r="D1184" t="inlineStr">
        <is>
          <t>CUST-01189</t>
        </is>
      </c>
      <c r="E1184" t="inlineStr">
        <is>
          <t>Customer 1189</t>
        </is>
      </c>
      <c r="F1184" t="inlineStr">
        <is>
          <t>Consumer</t>
        </is>
      </c>
      <c r="G1184" t="inlineStr">
        <is>
          <t>P1005</t>
        </is>
      </c>
      <c r="H1184" t="inlineStr">
        <is>
          <t>Pulse Keyboard</t>
        </is>
      </c>
      <c r="I1184" t="inlineStr">
        <is>
          <t>Technology</t>
        </is>
      </c>
      <c r="J1184" t="inlineStr">
        <is>
          <t>Storage</t>
        </is>
      </c>
      <c r="K1184" t="inlineStr">
        <is>
          <t>West</t>
        </is>
      </c>
      <c r="L1184" t="inlineStr">
        <is>
          <t>Washington</t>
        </is>
      </c>
      <c r="M1184" t="inlineStr">
        <is>
          <t>San Francisco</t>
        </is>
      </c>
      <c r="N1184" t="inlineStr">
        <is>
          <t>Noah Kim</t>
        </is>
      </c>
      <c r="O1184" t="n">
        <v>2</v>
      </c>
      <c r="P1184" s="3" t="n">
        <v>13.47</v>
      </c>
      <c r="Q1184" s="4" t="n">
        <v>0.04</v>
      </c>
      <c r="R1184" s="3" t="n">
        <v>25.86</v>
      </c>
      <c r="S1184" s="3" t="n">
        <v>19.55</v>
      </c>
      <c r="T1184" s="3" t="n">
        <v>-2.29</v>
      </c>
      <c r="U1184" s="4" t="n">
        <v>-0.0886</v>
      </c>
      <c r="V1184" s="3" t="n">
        <v>8.6</v>
      </c>
      <c r="W1184" t="inlineStr">
        <is>
          <t>Debit Card</t>
        </is>
      </c>
      <c r="X1184" t="inlineStr">
        <is>
          <t>High</t>
        </is>
      </c>
    </row>
    <row r="1185">
      <c r="A1185" t="inlineStr">
        <is>
          <t>ORD-01191</t>
        </is>
      </c>
      <c r="B1185" s="2" t="n">
        <v>45087</v>
      </c>
      <c r="C1185" s="2" t="n">
        <v>45092</v>
      </c>
      <c r="D1185" t="inlineStr">
        <is>
          <t>CUST-01191</t>
        </is>
      </c>
      <c r="E1185" t="inlineStr">
        <is>
          <t>Customer 1191</t>
        </is>
      </c>
      <c r="F1185" t="inlineStr">
        <is>
          <t>Consumer</t>
        </is>
      </c>
      <c r="G1185" t="inlineStr">
        <is>
          <t>P1012</t>
        </is>
      </c>
      <c r="H1185" t="inlineStr">
        <is>
          <t>Nimbus Monitor Arm</t>
        </is>
      </c>
      <c r="I1185" t="inlineStr">
        <is>
          <t>Office Supplies</t>
        </is>
      </c>
      <c r="J1185" t="inlineStr">
        <is>
          <t>Accessories</t>
        </is>
      </c>
      <c r="K1185" t="inlineStr">
        <is>
          <t>West</t>
        </is>
      </c>
      <c r="L1185" t="inlineStr">
        <is>
          <t>Oregon</t>
        </is>
      </c>
      <c r="M1185" t="inlineStr">
        <is>
          <t>San Francisco</t>
        </is>
      </c>
      <c r="N1185" t="inlineStr">
        <is>
          <t>Ethan Brooks</t>
        </is>
      </c>
      <c r="O1185" t="n">
        <v>6</v>
      </c>
      <c r="P1185" s="3" t="n">
        <v>141.2</v>
      </c>
      <c r="Q1185" s="4" t="n">
        <v>0.03</v>
      </c>
      <c r="R1185" s="3" t="n">
        <v>821.78</v>
      </c>
      <c r="S1185" s="3" t="n">
        <v>414.37</v>
      </c>
      <c r="T1185" s="3" t="n">
        <v>395.61</v>
      </c>
      <c r="U1185" s="4" t="n">
        <v>0.4814</v>
      </c>
      <c r="V1185" s="3" t="n">
        <v>11.8</v>
      </c>
      <c r="W1185" t="inlineStr">
        <is>
          <t>Debit Card</t>
        </is>
      </c>
      <c r="X1185" t="inlineStr">
        <is>
          <t>High</t>
        </is>
      </c>
    </row>
    <row r="1186">
      <c r="A1186" t="inlineStr">
        <is>
          <t>ORD-01193</t>
        </is>
      </c>
      <c r="B1186" s="2" t="n">
        <v>45432</v>
      </c>
      <c r="C1186" s="2" t="n">
        <v>45436</v>
      </c>
      <c r="D1186" t="inlineStr">
        <is>
          <t>CUST-01193</t>
        </is>
      </c>
      <c r="E1186" t="inlineStr">
        <is>
          <t>Customer 1193</t>
        </is>
      </c>
      <c r="F1186" t="inlineStr">
        <is>
          <t>Corporate</t>
        </is>
      </c>
      <c r="G1186" t="inlineStr">
        <is>
          <t>P1010</t>
        </is>
      </c>
      <c r="H1186" t="inlineStr">
        <is>
          <t>ErgoMesh Chair</t>
        </is>
      </c>
      <c r="I1186" t="inlineStr">
        <is>
          <t>Home Decor</t>
        </is>
      </c>
      <c r="J1186" t="inlineStr">
        <is>
          <t>Furniture</t>
        </is>
      </c>
      <c r="K1186" t="inlineStr">
        <is>
          <t>West</t>
        </is>
      </c>
      <c r="L1186" t="inlineStr">
        <is>
          <t>Washington</t>
        </is>
      </c>
      <c r="M1186" t="inlineStr">
        <is>
          <t>San Francisco</t>
        </is>
      </c>
      <c r="N1186" t="inlineStr">
        <is>
          <t>Olivia Martin</t>
        </is>
      </c>
      <c r="O1186" t="n">
        <v>1</v>
      </c>
      <c r="P1186" s="3" t="n">
        <v>59.52</v>
      </c>
      <c r="Q1186" s="4" t="n">
        <v>0.019</v>
      </c>
      <c r="R1186" s="3" t="n">
        <v>58.39</v>
      </c>
      <c r="S1186" s="3" t="n">
        <v>31.62</v>
      </c>
      <c r="T1186" s="3" t="n">
        <v>18.97</v>
      </c>
      <c r="U1186" s="4" t="n">
        <v>0.3249</v>
      </c>
      <c r="V1186" s="3" t="n">
        <v>7.8</v>
      </c>
      <c r="W1186" t="inlineStr">
        <is>
          <t>PayPal</t>
        </is>
      </c>
      <c r="X1186" t="inlineStr">
        <is>
          <t>Medium</t>
        </is>
      </c>
    </row>
    <row r="1187">
      <c r="A1187" t="inlineStr">
        <is>
          <t>ORD-01194</t>
        </is>
      </c>
      <c r="B1187" s="2" t="n">
        <v>45318</v>
      </c>
      <c r="C1187" s="2" t="n">
        <v>45325</v>
      </c>
      <c r="D1187" t="inlineStr">
        <is>
          <t>CUST-01194</t>
        </is>
      </c>
      <c r="E1187" t="inlineStr">
        <is>
          <t>Customer 1194</t>
        </is>
      </c>
      <c r="F1187" t="inlineStr">
        <is>
          <t>Corporate</t>
        </is>
      </c>
      <c r="G1187" t="inlineStr">
        <is>
          <t>P1013</t>
        </is>
      </c>
      <c r="H1187" t="inlineStr">
        <is>
          <t>ProClip Binder</t>
        </is>
      </c>
      <c r="I1187" t="inlineStr">
        <is>
          <t>Technology</t>
        </is>
      </c>
      <c r="J1187" t="inlineStr">
        <is>
          <t>Flooring</t>
        </is>
      </c>
      <c r="K1187" t="inlineStr">
        <is>
          <t>West</t>
        </is>
      </c>
      <c r="L1187" t="inlineStr">
        <is>
          <t>Colorado</t>
        </is>
      </c>
      <c r="M1187" t="inlineStr">
        <is>
          <t>Seattle</t>
        </is>
      </c>
      <c r="N1187" t="inlineStr">
        <is>
          <t>Ava Patel</t>
        </is>
      </c>
      <c r="O1187" t="n">
        <v>2</v>
      </c>
      <c r="P1187" s="3" t="n">
        <v>165.16</v>
      </c>
      <c r="Q1187" s="4" t="n">
        <v>0.019</v>
      </c>
      <c r="R1187" s="3" t="n">
        <v>324.04</v>
      </c>
      <c r="S1187" s="3" t="n">
        <v>185.65</v>
      </c>
      <c r="T1187" s="3" t="n">
        <v>129.79</v>
      </c>
      <c r="U1187" s="4" t="n">
        <v>0.4005</v>
      </c>
      <c r="V1187" s="3" t="n">
        <v>8.6</v>
      </c>
      <c r="W1187" t="inlineStr">
        <is>
          <t>PayPal</t>
        </is>
      </c>
      <c r="X1187" t="inlineStr">
        <is>
          <t>Medium</t>
        </is>
      </c>
    </row>
    <row r="1188">
      <c r="A1188" t="inlineStr">
        <is>
          <t>ORD-01195</t>
        </is>
      </c>
      <c r="B1188" s="2" t="n">
        <v>45116</v>
      </c>
      <c r="C1188" s="2" t="n">
        <v>45121</v>
      </c>
      <c r="D1188" t="inlineStr">
        <is>
          <t>CUST-01195</t>
        </is>
      </c>
      <c r="E1188" t="inlineStr">
        <is>
          <t>Customer 1195</t>
        </is>
      </c>
      <c r="F1188" t="inlineStr">
        <is>
          <t>Consumer</t>
        </is>
      </c>
      <c r="G1188" t="inlineStr">
        <is>
          <t>P1015</t>
        </is>
      </c>
      <c r="H1188" t="inlineStr">
        <is>
          <t>Pulse Keyboard</t>
        </is>
      </c>
      <c r="I1188" t="inlineStr">
        <is>
          <t>Home Decor</t>
        </is>
      </c>
      <c r="J1188" t="inlineStr">
        <is>
          <t>Textiles</t>
        </is>
      </c>
      <c r="K1188" t="inlineStr">
        <is>
          <t>Central</t>
        </is>
      </c>
      <c r="L1188" t="inlineStr">
        <is>
          <t>Illinois</t>
        </is>
      </c>
      <c r="M1188" t="inlineStr">
        <is>
          <t>St. Louis</t>
        </is>
      </c>
      <c r="N1188" t="inlineStr">
        <is>
          <t>Liam Chen</t>
        </is>
      </c>
      <c r="O1188" t="n">
        <v>2</v>
      </c>
      <c r="P1188" s="3" t="n">
        <v>69.66</v>
      </c>
      <c r="Q1188" s="4" t="n">
        <v>0.008</v>
      </c>
      <c r="R1188" s="3" t="n">
        <v>138.21</v>
      </c>
      <c r="S1188" s="3" t="n">
        <v>69.88</v>
      </c>
      <c r="T1188" s="3" t="n">
        <v>60.73</v>
      </c>
      <c r="U1188" s="4" t="n">
        <v>0.4394</v>
      </c>
      <c r="V1188" s="3" t="n">
        <v>7.6</v>
      </c>
      <c r="W1188" t="inlineStr">
        <is>
          <t>Credit Card</t>
        </is>
      </c>
      <c r="X1188" t="inlineStr">
        <is>
          <t>Low</t>
        </is>
      </c>
    </row>
    <row r="1189">
      <c r="A1189" t="inlineStr">
        <is>
          <t>ORD-01198</t>
        </is>
      </c>
      <c r="B1189" s="2" t="n">
        <v>45878</v>
      </c>
      <c r="C1189" s="2" t="n">
        <v>45885</v>
      </c>
      <c r="D1189" t="inlineStr">
        <is>
          <t>CUST-01198</t>
        </is>
      </c>
      <c r="E1189" t="inlineStr">
        <is>
          <t>Customer 1198</t>
        </is>
      </c>
      <c r="F1189" t="inlineStr">
        <is>
          <t>Home Office</t>
        </is>
      </c>
      <c r="G1189" t="inlineStr">
        <is>
          <t>P1004</t>
        </is>
      </c>
      <c r="H1189" t="inlineStr">
        <is>
          <t>Pulse Keyboard</t>
        </is>
      </c>
      <c r="I1189" t="inlineStr">
        <is>
          <t>Outdoor</t>
        </is>
      </c>
      <c r="J1189" t="inlineStr">
        <is>
          <t>Accessories</t>
        </is>
      </c>
      <c r="K1189" t="inlineStr">
        <is>
          <t>West</t>
        </is>
      </c>
      <c r="L1189" t="inlineStr">
        <is>
          <t>Washington</t>
        </is>
      </c>
      <c r="M1189" t="inlineStr">
        <is>
          <t>Los Angeles</t>
        </is>
      </c>
      <c r="N1189" t="inlineStr">
        <is>
          <t>Noah Kim</t>
        </is>
      </c>
      <c r="O1189" t="n">
        <v>2</v>
      </c>
      <c r="P1189" s="3" t="n">
        <v>633.01</v>
      </c>
      <c r="Q1189" s="4" t="n">
        <v>0.019</v>
      </c>
      <c r="R1189" s="3" t="n">
        <v>1241.97</v>
      </c>
      <c r="S1189" s="3" t="n">
        <v>787.8200000000001</v>
      </c>
      <c r="T1189" s="3" t="n">
        <v>445.55</v>
      </c>
      <c r="U1189" s="4" t="n">
        <v>0.3587</v>
      </c>
      <c r="V1189" s="3" t="n">
        <v>8.6</v>
      </c>
      <c r="W1189" t="inlineStr">
        <is>
          <t>Debit Card</t>
        </is>
      </c>
      <c r="X1189" t="inlineStr">
        <is>
          <t>Medium</t>
        </is>
      </c>
    </row>
    <row r="1190">
      <c r="A1190" t="inlineStr">
        <is>
          <t>ORD-01199</t>
        </is>
      </c>
      <c r="B1190" s="2" t="n">
        <v>45847</v>
      </c>
      <c r="C1190" s="2" t="n">
        <v>45850</v>
      </c>
      <c r="D1190" t="inlineStr">
        <is>
          <t>CUST-01199</t>
        </is>
      </c>
      <c r="E1190" t="inlineStr">
        <is>
          <t>Customer 1199</t>
        </is>
      </c>
      <c r="F1190" t="inlineStr">
        <is>
          <t>Corporate</t>
        </is>
      </c>
      <c r="G1190" t="inlineStr">
        <is>
          <t>P1009</t>
        </is>
      </c>
      <c r="H1190" t="inlineStr">
        <is>
          <t>Echo Web Camera</t>
        </is>
      </c>
      <c r="I1190" t="inlineStr">
        <is>
          <t>Technology</t>
        </is>
      </c>
      <c r="J1190" t="inlineStr">
        <is>
          <t>Flooring</t>
        </is>
      </c>
      <c r="K1190" t="inlineStr">
        <is>
          <t>South</t>
        </is>
      </c>
      <c r="L1190" t="inlineStr">
        <is>
          <t>Georgia</t>
        </is>
      </c>
      <c r="M1190" t="inlineStr">
        <is>
          <t>Atlanta</t>
        </is>
      </c>
      <c r="N1190" t="inlineStr">
        <is>
          <t>Liam Chen</t>
        </is>
      </c>
      <c r="O1190" t="n">
        <v>2</v>
      </c>
      <c r="P1190" s="3" t="n">
        <v>89.16</v>
      </c>
      <c r="Q1190" s="4" t="n">
        <v>0.014</v>
      </c>
      <c r="R1190" s="3" t="n">
        <v>175.82</v>
      </c>
      <c r="S1190" s="3" t="n">
        <v>94.12</v>
      </c>
      <c r="T1190" s="3" t="n">
        <v>74.09999999999999</v>
      </c>
      <c r="U1190" s="4" t="n">
        <v>0.4215</v>
      </c>
      <c r="V1190" s="3" t="n">
        <v>7.6</v>
      </c>
      <c r="W1190" t="inlineStr">
        <is>
          <t>Credit Card</t>
        </is>
      </c>
      <c r="X1190" t="inlineStr">
        <is>
          <t>Low</t>
        </is>
      </c>
    </row>
    <row r="1191">
      <c r="A1191" t="inlineStr">
        <is>
          <t>ORD-01202</t>
        </is>
      </c>
      <c r="B1191" s="2" t="n">
        <v>45237</v>
      </c>
      <c r="C1191" s="2" t="n">
        <v>45238</v>
      </c>
      <c r="D1191" t="inlineStr">
        <is>
          <t>CUST-01202</t>
        </is>
      </c>
      <c r="E1191" t="inlineStr">
        <is>
          <t>Customer 1202</t>
        </is>
      </c>
      <c r="F1191" t="inlineStr">
        <is>
          <t>Consumer</t>
        </is>
      </c>
      <c r="G1191" t="inlineStr">
        <is>
          <t>P1007</t>
        </is>
      </c>
      <c r="H1191" t="inlineStr">
        <is>
          <t>Nova Laptop Stand</t>
        </is>
      </c>
      <c r="I1191" t="inlineStr">
        <is>
          <t>Office Supplies</t>
        </is>
      </c>
      <c r="J1191" t="inlineStr">
        <is>
          <t>Furniture</t>
        </is>
      </c>
      <c r="K1191" t="inlineStr">
        <is>
          <t>West</t>
        </is>
      </c>
      <c r="L1191" t="inlineStr">
        <is>
          <t>California</t>
        </is>
      </c>
      <c r="M1191" t="inlineStr">
        <is>
          <t>Seattle</t>
        </is>
      </c>
      <c r="N1191" t="inlineStr">
        <is>
          <t>Liam Chen</t>
        </is>
      </c>
      <c r="O1191" t="n">
        <v>5</v>
      </c>
      <c r="P1191" s="3" t="n">
        <v>27.1</v>
      </c>
      <c r="Q1191" s="4" t="n">
        <v>0.04</v>
      </c>
      <c r="R1191" s="3" t="n">
        <v>130.08</v>
      </c>
      <c r="S1191" s="3" t="n">
        <v>46.88</v>
      </c>
      <c r="T1191" s="3" t="n">
        <v>72.2</v>
      </c>
      <c r="U1191" s="4" t="n">
        <v>0.555</v>
      </c>
      <c r="V1191" s="3" t="n">
        <v>11</v>
      </c>
      <c r="W1191" t="inlineStr">
        <is>
          <t>Credit Card</t>
        </is>
      </c>
      <c r="X1191" t="inlineStr">
        <is>
          <t>High</t>
        </is>
      </c>
    </row>
    <row r="1192">
      <c r="A1192" t="inlineStr">
        <is>
          <t>ORD-01203</t>
        </is>
      </c>
      <c r="B1192" s="2" t="n">
        <v>45057</v>
      </c>
      <c r="C1192" s="2" t="n">
        <v>45062</v>
      </c>
      <c r="D1192" t="inlineStr">
        <is>
          <t>CUST-01203</t>
        </is>
      </c>
      <c r="E1192" t="inlineStr">
        <is>
          <t>Customer 1203</t>
        </is>
      </c>
      <c r="F1192" t="inlineStr">
        <is>
          <t>Corporate</t>
        </is>
      </c>
      <c r="G1192" t="inlineStr">
        <is>
          <t>P1015</t>
        </is>
      </c>
      <c r="H1192" t="inlineStr">
        <is>
          <t>Pulse Keyboard</t>
        </is>
      </c>
      <c r="I1192" t="inlineStr">
        <is>
          <t>Technology</t>
        </is>
      </c>
      <c r="J1192" t="inlineStr">
        <is>
          <t>Plants</t>
        </is>
      </c>
      <c r="K1192" t="inlineStr">
        <is>
          <t>West</t>
        </is>
      </c>
      <c r="L1192" t="inlineStr">
        <is>
          <t>Colorado</t>
        </is>
      </c>
      <c r="M1192" t="inlineStr">
        <is>
          <t>Denver</t>
        </is>
      </c>
      <c r="N1192" t="inlineStr">
        <is>
          <t>James Carter</t>
        </is>
      </c>
      <c r="O1192" t="n">
        <v>6</v>
      </c>
      <c r="P1192" s="3" t="n">
        <v>73.86</v>
      </c>
      <c r="Q1192" s="4" t="n">
        <v>0.027</v>
      </c>
      <c r="R1192" s="3" t="n">
        <v>431.19</v>
      </c>
      <c r="S1192" s="3" t="n">
        <v>186.88</v>
      </c>
      <c r="T1192" s="3" t="n">
        <v>232.51</v>
      </c>
      <c r="U1192" s="4" t="n">
        <v>0.5392</v>
      </c>
      <c r="V1192" s="3" t="n">
        <v>11.8</v>
      </c>
      <c r="W1192" t="inlineStr">
        <is>
          <t>Debit Card</t>
        </is>
      </c>
      <c r="X1192" t="inlineStr">
        <is>
          <t>Medium</t>
        </is>
      </c>
    </row>
    <row r="1193">
      <c r="A1193" t="inlineStr">
        <is>
          <t>ORD-01204</t>
        </is>
      </c>
      <c r="B1193" s="2" t="n">
        <v>45390</v>
      </c>
      <c r="C1193" s="2" t="n">
        <v>45392</v>
      </c>
      <c r="D1193" t="inlineStr">
        <is>
          <t>CUST-01204</t>
        </is>
      </c>
      <c r="E1193" t="inlineStr">
        <is>
          <t>Customer 1204</t>
        </is>
      </c>
      <c r="F1193" t="inlineStr">
        <is>
          <t>Corporate</t>
        </is>
      </c>
      <c r="G1193" t="inlineStr">
        <is>
          <t>P1017</t>
        </is>
      </c>
      <c r="H1193" t="inlineStr">
        <is>
          <t>Tide Cooler</t>
        </is>
      </c>
      <c r="I1193" t="inlineStr">
        <is>
          <t>Furniture</t>
        </is>
      </c>
      <c r="J1193" t="inlineStr">
        <is>
          <t>Desks</t>
        </is>
      </c>
      <c r="K1193" t="inlineStr">
        <is>
          <t>South</t>
        </is>
      </c>
      <c r="L1193" t="inlineStr">
        <is>
          <t>Florida</t>
        </is>
      </c>
      <c r="M1193" t="inlineStr">
        <is>
          <t>Miami</t>
        </is>
      </c>
      <c r="N1193" t="inlineStr">
        <is>
          <t>Ethan Brooks</t>
        </is>
      </c>
      <c r="O1193" t="n">
        <v>1</v>
      </c>
      <c r="P1193" s="3" t="n">
        <v>553.29</v>
      </c>
      <c r="Q1193" s="4" t="n">
        <v>0.015</v>
      </c>
      <c r="R1193" s="3" t="n">
        <v>544.99</v>
      </c>
      <c r="S1193" s="3" t="n">
        <v>364.57</v>
      </c>
      <c r="T1193" s="3" t="n">
        <v>173.62</v>
      </c>
      <c r="U1193" s="4" t="n">
        <v>0.3186</v>
      </c>
      <c r="V1193" s="3" t="n">
        <v>6.8</v>
      </c>
      <c r="W1193" t="inlineStr">
        <is>
          <t>Debit Card</t>
        </is>
      </c>
      <c r="X1193" t="inlineStr">
        <is>
          <t>Low</t>
        </is>
      </c>
    </row>
    <row r="1194">
      <c r="A1194" t="inlineStr">
        <is>
          <t>ORD-01206</t>
        </is>
      </c>
      <c r="B1194" s="2" t="n">
        <v>45852</v>
      </c>
      <c r="C1194" s="2" t="n">
        <v>45855</v>
      </c>
      <c r="D1194" t="inlineStr">
        <is>
          <t>CUST-01206</t>
        </is>
      </c>
      <c r="E1194" t="inlineStr">
        <is>
          <t>Customer 1206</t>
        </is>
      </c>
      <c r="F1194" t="inlineStr">
        <is>
          <t>Consumer</t>
        </is>
      </c>
      <c r="G1194" t="inlineStr">
        <is>
          <t>P1014</t>
        </is>
      </c>
      <c r="H1194" t="inlineStr">
        <is>
          <t>Halo Planter</t>
        </is>
      </c>
      <c r="I1194" t="inlineStr">
        <is>
          <t>Technology</t>
        </is>
      </c>
      <c r="J1194" t="inlineStr">
        <is>
          <t>Writing</t>
        </is>
      </c>
      <c r="K1194" t="inlineStr">
        <is>
          <t>West</t>
        </is>
      </c>
      <c r="L1194" t="inlineStr">
        <is>
          <t>California</t>
        </is>
      </c>
      <c r="M1194" t="inlineStr">
        <is>
          <t>Denver</t>
        </is>
      </c>
      <c r="N1194" t="inlineStr">
        <is>
          <t>James Carter</t>
        </is>
      </c>
      <c r="O1194" t="n">
        <v>4</v>
      </c>
      <c r="P1194" s="3" t="n">
        <v>45.89</v>
      </c>
      <c r="Q1194" s="4" t="n">
        <v>0.031</v>
      </c>
      <c r="R1194" s="3" t="n">
        <v>177.87</v>
      </c>
      <c r="S1194" s="3" t="n">
        <v>78.13</v>
      </c>
      <c r="T1194" s="3" t="n">
        <v>89.54000000000001</v>
      </c>
      <c r="U1194" s="4" t="n">
        <v>0.5034</v>
      </c>
      <c r="V1194" s="3" t="n">
        <v>10.2</v>
      </c>
      <c r="W1194" t="inlineStr">
        <is>
          <t>Bank Transfer</t>
        </is>
      </c>
      <c r="X1194" t="inlineStr">
        <is>
          <t>Medium</t>
        </is>
      </c>
    </row>
    <row r="1195">
      <c r="A1195" t="inlineStr">
        <is>
          <t>ORD-01207</t>
        </is>
      </c>
      <c r="B1195" s="2" t="n">
        <v>45932</v>
      </c>
      <c r="C1195" s="2" t="n">
        <v>45933</v>
      </c>
      <c r="D1195" t="inlineStr">
        <is>
          <t>CUST-01207</t>
        </is>
      </c>
      <c r="E1195" t="inlineStr">
        <is>
          <t>Customer 1207</t>
        </is>
      </c>
      <c r="F1195" t="inlineStr">
        <is>
          <t>Consumer</t>
        </is>
      </c>
      <c r="G1195" t="inlineStr">
        <is>
          <t>P1009</t>
        </is>
      </c>
      <c r="H1195" t="inlineStr">
        <is>
          <t>Tide Cooler</t>
        </is>
      </c>
      <c r="I1195" t="inlineStr">
        <is>
          <t>Furniture</t>
        </is>
      </c>
      <c r="J1195" t="inlineStr">
        <is>
          <t>Peripherals</t>
        </is>
      </c>
      <c r="K1195" t="inlineStr">
        <is>
          <t>Central</t>
        </is>
      </c>
      <c r="L1195" t="inlineStr">
        <is>
          <t>Minnesota</t>
        </is>
      </c>
      <c r="M1195" t="inlineStr">
        <is>
          <t>St. Louis</t>
        </is>
      </c>
      <c r="N1195" t="inlineStr">
        <is>
          <t>Liam Chen</t>
        </is>
      </c>
      <c r="O1195" t="n">
        <v>1</v>
      </c>
      <c r="P1195" s="3" t="n">
        <v>98.68000000000001</v>
      </c>
      <c r="Q1195" s="4" t="n">
        <v>0.01</v>
      </c>
      <c r="R1195" s="3" t="n">
        <v>97.69</v>
      </c>
      <c r="S1195" s="3" t="n">
        <v>53.22</v>
      </c>
      <c r="T1195" s="3" t="n">
        <v>37.67</v>
      </c>
      <c r="U1195" s="4" t="n">
        <v>0.3856</v>
      </c>
      <c r="V1195" s="3" t="n">
        <v>6.8</v>
      </c>
      <c r="W1195" t="inlineStr">
        <is>
          <t>Bank Transfer</t>
        </is>
      </c>
      <c r="X1195" t="inlineStr">
        <is>
          <t>Medium</t>
        </is>
      </c>
    </row>
    <row r="1196">
      <c r="A1196" t="inlineStr">
        <is>
          <t>ORD-01208</t>
        </is>
      </c>
      <c r="B1196" s="2" t="n">
        <v>45483</v>
      </c>
      <c r="C1196" s="2" t="n">
        <v>45484</v>
      </c>
      <c r="D1196" t="inlineStr">
        <is>
          <t>CUST-01208</t>
        </is>
      </c>
      <c r="E1196" t="inlineStr">
        <is>
          <t>Customer 1208</t>
        </is>
      </c>
      <c r="F1196" t="inlineStr">
        <is>
          <t>Home Office</t>
        </is>
      </c>
      <c r="G1196" t="inlineStr">
        <is>
          <t>P1016</t>
        </is>
      </c>
      <c r="H1196" t="inlineStr">
        <is>
          <t>CloudDrive File Box</t>
        </is>
      </c>
      <c r="I1196" t="inlineStr">
        <is>
          <t>Home Decor</t>
        </is>
      </c>
      <c r="J1196" t="inlineStr">
        <is>
          <t>Chairs</t>
        </is>
      </c>
      <c r="K1196" t="inlineStr">
        <is>
          <t>South</t>
        </is>
      </c>
      <c r="L1196" t="inlineStr">
        <is>
          <t>Florida</t>
        </is>
      </c>
      <c r="M1196" t="inlineStr">
        <is>
          <t>Atlanta</t>
        </is>
      </c>
      <c r="N1196" t="inlineStr">
        <is>
          <t>Sophia Singh</t>
        </is>
      </c>
      <c r="O1196" t="n">
        <v>5</v>
      </c>
      <c r="P1196" s="3" t="n">
        <v>39.53</v>
      </c>
      <c r="Q1196" s="4" t="n">
        <v>0.017</v>
      </c>
      <c r="R1196" s="3" t="n">
        <v>194.29</v>
      </c>
      <c r="S1196" s="3" t="n">
        <v>81.52</v>
      </c>
      <c r="T1196" s="3" t="n">
        <v>102.77</v>
      </c>
      <c r="U1196" s="4" t="n">
        <v>0.529</v>
      </c>
      <c r="V1196" s="3" t="n">
        <v>10</v>
      </c>
      <c r="W1196" t="inlineStr">
        <is>
          <t>Bank Transfer</t>
        </is>
      </c>
      <c r="X1196" t="inlineStr">
        <is>
          <t>Medium</t>
        </is>
      </c>
    </row>
    <row r="1197">
      <c r="A1197" t="inlineStr">
        <is>
          <t>ORD-01209</t>
        </is>
      </c>
      <c r="B1197" s="2" t="n">
        <v>44978</v>
      </c>
      <c r="C1197" s="2" t="n">
        <v>44982</v>
      </c>
      <c r="D1197" t="inlineStr">
        <is>
          <t>CUST-01209</t>
        </is>
      </c>
      <c r="E1197" t="inlineStr">
        <is>
          <t>Customer 1209</t>
        </is>
      </c>
      <c r="F1197" t="inlineStr">
        <is>
          <t>Consumer</t>
        </is>
      </c>
      <c r="G1197" t="inlineStr">
        <is>
          <t>P1002</t>
        </is>
      </c>
      <c r="H1197" t="inlineStr">
        <is>
          <t>Aero Standing Desk</t>
        </is>
      </c>
      <c r="I1197" t="inlineStr">
        <is>
          <t>Home Decor</t>
        </is>
      </c>
      <c r="J1197" t="inlineStr">
        <is>
          <t>Desks</t>
        </is>
      </c>
      <c r="K1197" t="inlineStr">
        <is>
          <t>West</t>
        </is>
      </c>
      <c r="L1197" t="inlineStr">
        <is>
          <t>California</t>
        </is>
      </c>
      <c r="M1197" t="inlineStr">
        <is>
          <t>Denver</t>
        </is>
      </c>
      <c r="N1197" t="inlineStr">
        <is>
          <t>Liam Chen</t>
        </is>
      </c>
      <c r="O1197" t="n">
        <v>5</v>
      </c>
      <c r="P1197" s="3" t="n">
        <v>85.91</v>
      </c>
      <c r="Q1197" s="4" t="n">
        <v>0.015</v>
      </c>
      <c r="R1197" s="3" t="n">
        <v>423.11</v>
      </c>
      <c r="S1197" s="3" t="n">
        <v>195.36</v>
      </c>
      <c r="T1197" s="3" t="n">
        <v>216.75</v>
      </c>
      <c r="U1197" s="4" t="n">
        <v>0.5123</v>
      </c>
      <c r="V1197" s="3" t="n">
        <v>11</v>
      </c>
      <c r="W1197" t="inlineStr">
        <is>
          <t>Debit Card</t>
        </is>
      </c>
      <c r="X1197" t="inlineStr">
        <is>
          <t>Medium</t>
        </is>
      </c>
    </row>
    <row r="1198">
      <c r="A1198" t="inlineStr">
        <is>
          <t>ORD-01210</t>
        </is>
      </c>
      <c r="B1198" s="2" t="n">
        <v>45954</v>
      </c>
      <c r="C1198" s="2" t="n">
        <v>45955</v>
      </c>
      <c r="D1198" t="inlineStr">
        <is>
          <t>CUST-01210</t>
        </is>
      </c>
      <c r="E1198" t="inlineStr">
        <is>
          <t>Customer 1210</t>
        </is>
      </c>
      <c r="F1198" t="inlineStr">
        <is>
          <t>Consumer</t>
        </is>
      </c>
      <c r="G1198" t="inlineStr">
        <is>
          <t>P1014</t>
        </is>
      </c>
      <c r="H1198" t="inlineStr">
        <is>
          <t>Harbor Rug</t>
        </is>
      </c>
      <c r="I1198" t="inlineStr">
        <is>
          <t>Technology</t>
        </is>
      </c>
      <c r="J1198" t="inlineStr">
        <is>
          <t>Peripherals</t>
        </is>
      </c>
      <c r="K1198" t="inlineStr">
        <is>
          <t>West</t>
        </is>
      </c>
      <c r="L1198" t="inlineStr">
        <is>
          <t>California</t>
        </is>
      </c>
      <c r="M1198" t="inlineStr">
        <is>
          <t>Seattle</t>
        </is>
      </c>
      <c r="N1198" t="inlineStr">
        <is>
          <t>Ava Patel</t>
        </is>
      </c>
      <c r="O1198" t="n">
        <v>2</v>
      </c>
      <c r="P1198" s="3" t="n">
        <v>46.93</v>
      </c>
      <c r="Q1198" s="4" t="n">
        <v>0.02</v>
      </c>
      <c r="R1198" s="3" t="n">
        <v>91.98</v>
      </c>
      <c r="S1198" s="3" t="n">
        <v>42.45</v>
      </c>
      <c r="T1198" s="3" t="n">
        <v>40.93</v>
      </c>
      <c r="U1198" s="4" t="n">
        <v>0.445</v>
      </c>
      <c r="V1198" s="3" t="n">
        <v>8.6</v>
      </c>
      <c r="W1198" t="inlineStr">
        <is>
          <t>Bank Transfer</t>
        </is>
      </c>
      <c r="X1198" t="inlineStr">
        <is>
          <t>Medium</t>
        </is>
      </c>
    </row>
    <row r="1199">
      <c r="A1199" t="inlineStr">
        <is>
          <t>ORD-01211</t>
        </is>
      </c>
      <c r="B1199" s="2" t="n">
        <v>45612</v>
      </c>
      <c r="C1199" s="2" t="n">
        <v>45617</v>
      </c>
      <c r="D1199" t="inlineStr">
        <is>
          <t>CUST-01211</t>
        </is>
      </c>
      <c r="E1199" t="inlineStr">
        <is>
          <t>Customer 1211</t>
        </is>
      </c>
      <c r="F1199" t="inlineStr">
        <is>
          <t>Consumer</t>
        </is>
      </c>
      <c r="G1199" t="inlineStr">
        <is>
          <t>P1004</t>
        </is>
      </c>
      <c r="H1199" t="inlineStr">
        <is>
          <t>Halo Planter</t>
        </is>
      </c>
      <c r="I1199" t="inlineStr">
        <is>
          <t>Furniture</t>
        </is>
      </c>
      <c r="J1199" t="inlineStr">
        <is>
          <t>Plants</t>
        </is>
      </c>
      <c r="K1199" t="inlineStr">
        <is>
          <t>West</t>
        </is>
      </c>
      <c r="L1199" t="inlineStr">
        <is>
          <t>California</t>
        </is>
      </c>
      <c r="M1199" t="inlineStr">
        <is>
          <t>Los Angeles</t>
        </is>
      </c>
      <c r="N1199" t="inlineStr">
        <is>
          <t>Olivia Martin</t>
        </is>
      </c>
      <c r="O1199" t="n">
        <v>4</v>
      </c>
      <c r="P1199" s="3" t="n">
        <v>654.16</v>
      </c>
      <c r="Q1199" s="4" t="n">
        <v>0.028</v>
      </c>
      <c r="R1199" s="3" t="n">
        <v>2543.37</v>
      </c>
      <c r="S1199" s="3" t="n">
        <v>1612.57</v>
      </c>
      <c r="T1199" s="3" t="n">
        <v>920.6</v>
      </c>
      <c r="U1199" s="4" t="n">
        <v>0.362</v>
      </c>
      <c r="V1199" s="3" t="n">
        <v>10.2</v>
      </c>
      <c r="W1199" t="inlineStr">
        <is>
          <t>Bank Transfer</t>
        </is>
      </c>
      <c r="X1199" t="inlineStr">
        <is>
          <t>Medium</t>
        </is>
      </c>
    </row>
    <row r="1200">
      <c r="A1200" t="inlineStr">
        <is>
          <t>ORD-01212</t>
        </is>
      </c>
      <c r="B1200" s="2" t="n">
        <v>45428</v>
      </c>
      <c r="C1200" s="2" t="n">
        <v>45431</v>
      </c>
      <c r="D1200" t="inlineStr">
        <is>
          <t>CUST-01212</t>
        </is>
      </c>
      <c r="E1200" t="inlineStr">
        <is>
          <t>Customer 1212</t>
        </is>
      </c>
      <c r="F1200" t="inlineStr">
        <is>
          <t>Consumer</t>
        </is>
      </c>
      <c r="G1200" t="inlineStr">
        <is>
          <t>P1003</t>
        </is>
      </c>
      <c r="H1200" t="inlineStr">
        <is>
          <t>CloudDrive File Box</t>
        </is>
      </c>
      <c r="I1200" t="inlineStr">
        <is>
          <t>Technology</t>
        </is>
      </c>
      <c r="J1200" t="inlineStr">
        <is>
          <t>Plants</t>
        </is>
      </c>
      <c r="K1200" t="inlineStr">
        <is>
          <t>West</t>
        </is>
      </c>
      <c r="L1200" t="inlineStr">
        <is>
          <t>Oregon</t>
        </is>
      </c>
      <c r="M1200" t="inlineStr">
        <is>
          <t>Denver</t>
        </is>
      </c>
      <c r="N1200" t="inlineStr">
        <is>
          <t>Noah Kim</t>
        </is>
      </c>
      <c r="O1200" t="n">
        <v>3</v>
      </c>
      <c r="P1200" s="3" t="n">
        <v>154.88</v>
      </c>
      <c r="Q1200" s="4" t="n">
        <v>0.026</v>
      </c>
      <c r="R1200" s="3" t="n">
        <v>452.56</v>
      </c>
      <c r="S1200" s="3" t="n">
        <v>235.56</v>
      </c>
      <c r="T1200" s="3" t="n">
        <v>207.6</v>
      </c>
      <c r="U1200" s="4" t="n">
        <v>0.4587</v>
      </c>
      <c r="V1200" s="3" t="n">
        <v>9.4</v>
      </c>
      <c r="W1200" t="inlineStr">
        <is>
          <t>Debit Card</t>
        </is>
      </c>
      <c r="X1200" t="inlineStr">
        <is>
          <t>Medium</t>
        </is>
      </c>
    </row>
    <row r="1201">
      <c r="A1201" t="inlineStr">
        <is>
          <t>ORD-01213</t>
        </is>
      </c>
      <c r="B1201" s="2" t="n">
        <v>45188</v>
      </c>
      <c r="C1201" s="2" t="n">
        <v>45193</v>
      </c>
      <c r="D1201" t="inlineStr">
        <is>
          <t>CUST-01213</t>
        </is>
      </c>
      <c r="E1201" t="inlineStr">
        <is>
          <t>Customer 1213</t>
        </is>
      </c>
      <c r="F1201" t="inlineStr">
        <is>
          <t>Corporate</t>
        </is>
      </c>
      <c r="G1201" t="inlineStr">
        <is>
          <t>P1003</t>
        </is>
      </c>
      <c r="H1201" t="inlineStr">
        <is>
          <t>Atlas Throw Pillow</t>
        </is>
      </c>
      <c r="I1201" t="inlineStr">
        <is>
          <t>Outdoor</t>
        </is>
      </c>
      <c r="J1201" t="inlineStr">
        <is>
          <t>Accessories</t>
        </is>
      </c>
      <c r="K1201" t="inlineStr">
        <is>
          <t>West</t>
        </is>
      </c>
      <c r="L1201" t="inlineStr">
        <is>
          <t>Oregon</t>
        </is>
      </c>
      <c r="M1201" t="inlineStr">
        <is>
          <t>San Francisco</t>
        </is>
      </c>
      <c r="N1201" t="inlineStr">
        <is>
          <t>Mia Rodriguez</t>
        </is>
      </c>
      <c r="O1201" t="n">
        <v>1</v>
      </c>
      <c r="P1201" s="3" t="n">
        <v>158.68</v>
      </c>
      <c r="Q1201" s="4" t="n">
        <v>0.029</v>
      </c>
      <c r="R1201" s="3" t="n">
        <v>154.08</v>
      </c>
      <c r="S1201" s="3" t="n">
        <v>83.34</v>
      </c>
      <c r="T1201" s="3" t="n">
        <v>62.94</v>
      </c>
      <c r="U1201" s="4" t="n">
        <v>0.4085</v>
      </c>
      <c r="V1201" s="3" t="n">
        <v>7.8</v>
      </c>
      <c r="W1201" t="inlineStr">
        <is>
          <t>Cash on Delivery</t>
        </is>
      </c>
      <c r="X1201" t="inlineStr">
        <is>
          <t>Medium</t>
        </is>
      </c>
    </row>
    <row r="1202">
      <c r="A1202" t="inlineStr">
        <is>
          <t>ORD-01214</t>
        </is>
      </c>
      <c r="B1202" s="2" t="n">
        <v>45835</v>
      </c>
      <c r="C1202" s="2" t="n">
        <v>45842</v>
      </c>
      <c r="D1202" t="inlineStr">
        <is>
          <t>CUST-01214</t>
        </is>
      </c>
      <c r="E1202" t="inlineStr">
        <is>
          <t>Customer 1214</t>
        </is>
      </c>
      <c r="F1202" t="inlineStr">
        <is>
          <t>Home Office</t>
        </is>
      </c>
      <c r="G1202" t="inlineStr">
        <is>
          <t>P1011</t>
        </is>
      </c>
      <c r="H1202" t="inlineStr">
        <is>
          <t>Pulse Keyboard</t>
        </is>
      </c>
      <c r="I1202" t="inlineStr">
        <is>
          <t>Office Supplies</t>
        </is>
      </c>
      <c r="J1202" t="inlineStr">
        <is>
          <t>Lighting</t>
        </is>
      </c>
      <c r="K1202" t="inlineStr">
        <is>
          <t>Central</t>
        </is>
      </c>
      <c r="L1202" t="inlineStr">
        <is>
          <t>Missouri</t>
        </is>
      </c>
      <c r="M1202" t="inlineStr">
        <is>
          <t>Chicago</t>
        </is>
      </c>
      <c r="N1202" t="inlineStr">
        <is>
          <t>James Carter</t>
        </is>
      </c>
      <c r="O1202" t="n">
        <v>2</v>
      </c>
      <c r="P1202" s="3" t="n">
        <v>88.17</v>
      </c>
      <c r="Q1202" s="4" t="n">
        <v>0.05</v>
      </c>
      <c r="R1202" s="3" t="n">
        <v>167.52</v>
      </c>
      <c r="S1202" s="3" t="n">
        <v>88.18000000000001</v>
      </c>
      <c r="T1202" s="3" t="n">
        <v>71.73999999999999</v>
      </c>
      <c r="U1202" s="4" t="n">
        <v>0.4282</v>
      </c>
      <c r="V1202" s="3" t="n">
        <v>7.6</v>
      </c>
      <c r="W1202" t="inlineStr">
        <is>
          <t>Cash on Delivery</t>
        </is>
      </c>
      <c r="X1202" t="inlineStr">
        <is>
          <t>High</t>
        </is>
      </c>
    </row>
    <row r="1203">
      <c r="A1203" t="inlineStr">
        <is>
          <t>ORD-01215</t>
        </is>
      </c>
      <c r="B1203" s="2" t="n">
        <v>46002</v>
      </c>
      <c r="C1203" s="2" t="n">
        <v>46007</v>
      </c>
      <c r="D1203" t="inlineStr">
        <is>
          <t>CUST-01215</t>
        </is>
      </c>
      <c r="E1203" t="inlineStr">
        <is>
          <t>Customer 1215</t>
        </is>
      </c>
      <c r="F1203" t="inlineStr">
        <is>
          <t>Consumer</t>
        </is>
      </c>
      <c r="G1203" t="inlineStr">
        <is>
          <t>P1005</t>
        </is>
      </c>
      <c r="H1203" t="inlineStr">
        <is>
          <t>Harbor Rug</t>
        </is>
      </c>
      <c r="I1203" t="inlineStr">
        <is>
          <t>Technology</t>
        </is>
      </c>
      <c r="J1203" t="inlineStr">
        <is>
          <t>Bags</t>
        </is>
      </c>
      <c r="K1203" t="inlineStr">
        <is>
          <t>West</t>
        </is>
      </c>
      <c r="L1203" t="inlineStr">
        <is>
          <t>Oregon</t>
        </is>
      </c>
      <c r="M1203" t="inlineStr">
        <is>
          <t>Los Angeles</t>
        </is>
      </c>
      <c r="N1203" t="inlineStr">
        <is>
          <t>James Carter</t>
        </is>
      </c>
      <c r="O1203" t="n">
        <v>2</v>
      </c>
      <c r="P1203" s="3" t="n">
        <v>13.9</v>
      </c>
      <c r="Q1203" s="4" t="n">
        <v>0.01</v>
      </c>
      <c r="R1203" s="3" t="n">
        <v>27.52</v>
      </c>
      <c r="S1203" s="3" t="n">
        <v>18.84</v>
      </c>
      <c r="T1203" s="3" t="n">
        <v>0.08</v>
      </c>
      <c r="U1203" s="4" t="n">
        <v>0.0029</v>
      </c>
      <c r="V1203" s="3" t="n">
        <v>8.6</v>
      </c>
      <c r="W1203" t="inlineStr">
        <is>
          <t>Credit Card</t>
        </is>
      </c>
      <c r="X1203" t="inlineStr">
        <is>
          <t>Medium</t>
        </is>
      </c>
    </row>
    <row r="1204">
      <c r="A1204" t="inlineStr">
        <is>
          <t>ORD-01216</t>
        </is>
      </c>
      <c r="B1204" s="2" t="n">
        <v>45236</v>
      </c>
      <c r="C1204" s="2" t="n">
        <v>45242</v>
      </c>
      <c r="D1204" t="inlineStr">
        <is>
          <t>CUST-01216</t>
        </is>
      </c>
      <c r="E1204" t="inlineStr">
        <is>
          <t>Customer 1216</t>
        </is>
      </c>
      <c r="F1204" t="inlineStr">
        <is>
          <t>Corporate</t>
        </is>
      </c>
      <c r="G1204" t="inlineStr">
        <is>
          <t>P1016</t>
        </is>
      </c>
      <c r="H1204" t="inlineStr">
        <is>
          <t>SmartInk Pen Set</t>
        </is>
      </c>
      <c r="I1204" t="inlineStr">
        <is>
          <t>Office Supplies</t>
        </is>
      </c>
      <c r="J1204" t="inlineStr">
        <is>
          <t>Decor</t>
        </is>
      </c>
      <c r="K1204" t="inlineStr">
        <is>
          <t>South</t>
        </is>
      </c>
      <c r="L1204" t="inlineStr">
        <is>
          <t>Texas</t>
        </is>
      </c>
      <c r="M1204" t="inlineStr">
        <is>
          <t>Miami</t>
        </is>
      </c>
      <c r="N1204" t="inlineStr">
        <is>
          <t>Liam Chen</t>
        </is>
      </c>
      <c r="O1204" t="n">
        <v>4</v>
      </c>
      <c r="P1204" s="3" t="n">
        <v>41.95</v>
      </c>
      <c r="Q1204" s="4" t="n">
        <v>0.016</v>
      </c>
      <c r="R1204" s="3" t="n">
        <v>165.12</v>
      </c>
      <c r="S1204" s="3" t="n">
        <v>69.61</v>
      </c>
      <c r="T1204" s="3" t="n">
        <v>86.31</v>
      </c>
      <c r="U1204" s="4" t="n">
        <v>0.5227000000000001</v>
      </c>
      <c r="V1204" s="3" t="n">
        <v>9.199999999999999</v>
      </c>
      <c r="W1204" t="inlineStr">
        <is>
          <t>Cash on Delivery</t>
        </is>
      </c>
      <c r="X1204" t="inlineStr">
        <is>
          <t>Low</t>
        </is>
      </c>
    </row>
    <row r="1205">
      <c r="A1205" t="inlineStr">
        <is>
          <t>ORD-01217</t>
        </is>
      </c>
      <c r="B1205" s="2" t="n">
        <v>45113</v>
      </c>
      <c r="C1205" s="2" t="n">
        <v>45115</v>
      </c>
      <c r="D1205" t="inlineStr">
        <is>
          <t>CUST-01217</t>
        </is>
      </c>
      <c r="E1205" t="inlineStr">
        <is>
          <t>Customer 1217</t>
        </is>
      </c>
      <c r="F1205" t="inlineStr">
        <is>
          <t>Consumer</t>
        </is>
      </c>
      <c r="G1205" t="inlineStr">
        <is>
          <t>P1019</t>
        </is>
      </c>
      <c r="H1205" t="inlineStr">
        <is>
          <t>Tide Cooler</t>
        </is>
      </c>
      <c r="I1205" t="inlineStr">
        <is>
          <t>Home Decor</t>
        </is>
      </c>
      <c r="J1205" t="inlineStr">
        <is>
          <t>Accessories</t>
        </is>
      </c>
      <c r="K1205" t="inlineStr">
        <is>
          <t>Central</t>
        </is>
      </c>
      <c r="L1205" t="inlineStr">
        <is>
          <t>Missouri</t>
        </is>
      </c>
      <c r="M1205" t="inlineStr">
        <is>
          <t>Chicago</t>
        </is>
      </c>
      <c r="N1205" t="inlineStr">
        <is>
          <t>Noah Kim</t>
        </is>
      </c>
      <c r="O1205" t="n">
        <v>4</v>
      </c>
      <c r="P1205" s="3" t="n">
        <v>56.18</v>
      </c>
      <c r="Q1205" s="4" t="n">
        <v>0.002</v>
      </c>
      <c r="R1205" s="3" t="n">
        <v>224.27</v>
      </c>
      <c r="S1205" s="3" t="n">
        <v>95.91</v>
      </c>
      <c r="T1205" s="3" t="n">
        <v>119.16</v>
      </c>
      <c r="U1205" s="4" t="n">
        <v>0.5313</v>
      </c>
      <c r="V1205" s="3" t="n">
        <v>9.199999999999999</v>
      </c>
      <c r="W1205" t="inlineStr">
        <is>
          <t>Credit Card</t>
        </is>
      </c>
      <c r="X1205" t="inlineStr">
        <is>
          <t>Low</t>
        </is>
      </c>
    </row>
    <row r="1206">
      <c r="A1206" t="inlineStr">
        <is>
          <t>ORD-01218</t>
        </is>
      </c>
      <c r="B1206" s="2" t="n">
        <v>45937</v>
      </c>
      <c r="C1206" s="2" t="n">
        <v>45944</v>
      </c>
      <c r="D1206" t="inlineStr">
        <is>
          <t>CUST-01218</t>
        </is>
      </c>
      <c r="E1206" t="inlineStr">
        <is>
          <t>Customer 1218</t>
        </is>
      </c>
      <c r="F1206" t="inlineStr">
        <is>
          <t>Home Office</t>
        </is>
      </c>
      <c r="G1206" t="inlineStr">
        <is>
          <t>P1009</t>
        </is>
      </c>
      <c r="H1206" t="inlineStr">
        <is>
          <t>CloudDrive File Box</t>
        </is>
      </c>
      <c r="I1206" t="inlineStr">
        <is>
          <t>Outdoor</t>
        </is>
      </c>
      <c r="J1206" t="inlineStr">
        <is>
          <t>Storage</t>
        </is>
      </c>
      <c r="K1206" t="inlineStr">
        <is>
          <t>West</t>
        </is>
      </c>
      <c r="L1206" t="inlineStr">
        <is>
          <t>Colorado</t>
        </is>
      </c>
      <c r="M1206" t="inlineStr">
        <is>
          <t>Seattle</t>
        </is>
      </c>
      <c r="N1206" t="inlineStr">
        <is>
          <t>Olivia Martin</t>
        </is>
      </c>
      <c r="O1206" t="n">
        <v>1</v>
      </c>
      <c r="P1206" s="3" t="n">
        <v>95.89</v>
      </c>
      <c r="Q1206" s="4" t="n">
        <v>0.023</v>
      </c>
      <c r="R1206" s="3" t="n">
        <v>93.68000000000001</v>
      </c>
      <c r="S1206" s="3" t="n">
        <v>52.64</v>
      </c>
      <c r="T1206" s="3" t="n">
        <v>33.24</v>
      </c>
      <c r="U1206" s="4" t="n">
        <v>0.3548</v>
      </c>
      <c r="V1206" s="3" t="n">
        <v>7.8</v>
      </c>
      <c r="W1206" t="inlineStr">
        <is>
          <t>Cash on Delivery</t>
        </is>
      </c>
      <c r="X1206" t="inlineStr">
        <is>
          <t>Medium</t>
        </is>
      </c>
    </row>
    <row r="1207">
      <c r="A1207" t="inlineStr">
        <is>
          <t>ORD-01219</t>
        </is>
      </c>
      <c r="B1207" s="2" t="n">
        <v>45977</v>
      </c>
      <c r="C1207" s="2" t="n">
        <v>45984</v>
      </c>
      <c r="D1207" t="inlineStr">
        <is>
          <t>CUST-01219</t>
        </is>
      </c>
      <c r="E1207" t="inlineStr">
        <is>
          <t>Customer 1219</t>
        </is>
      </c>
      <c r="F1207" t="inlineStr">
        <is>
          <t>Consumer</t>
        </is>
      </c>
      <c r="G1207" t="inlineStr">
        <is>
          <t>P1011</t>
        </is>
      </c>
      <c r="H1207" t="inlineStr">
        <is>
          <t>Lumen Desk Lamp</t>
        </is>
      </c>
      <c r="I1207" t="inlineStr">
        <is>
          <t>Outdoor</t>
        </is>
      </c>
      <c r="J1207" t="inlineStr">
        <is>
          <t>Peripherals</t>
        </is>
      </c>
      <c r="K1207" t="inlineStr">
        <is>
          <t>Central</t>
        </is>
      </c>
      <c r="L1207" t="inlineStr">
        <is>
          <t>Illinois</t>
        </is>
      </c>
      <c r="M1207" t="inlineStr">
        <is>
          <t>Kansas City</t>
        </is>
      </c>
      <c r="N1207" t="inlineStr">
        <is>
          <t>James Carter</t>
        </is>
      </c>
      <c r="O1207" t="n">
        <v>4</v>
      </c>
      <c r="P1207" s="3" t="n">
        <v>94.18000000000001</v>
      </c>
      <c r="Q1207" s="4" t="n">
        <v>0.052</v>
      </c>
      <c r="R1207" s="3" t="n">
        <v>357.13</v>
      </c>
      <c r="S1207" s="3" t="n">
        <v>170.68</v>
      </c>
      <c r="T1207" s="3" t="n">
        <v>177.25</v>
      </c>
      <c r="U1207" s="4" t="n">
        <v>0.4963</v>
      </c>
      <c r="V1207" s="3" t="n">
        <v>9.199999999999999</v>
      </c>
      <c r="W1207" t="inlineStr">
        <is>
          <t>Bank Transfer</t>
        </is>
      </c>
      <c r="X1207" t="inlineStr">
        <is>
          <t>High</t>
        </is>
      </c>
    </row>
    <row r="1208">
      <c r="A1208" t="inlineStr">
        <is>
          <t>ORD-01220</t>
        </is>
      </c>
      <c r="B1208" s="2" t="n">
        <v>45120</v>
      </c>
      <c r="C1208" s="2" t="n">
        <v>45126</v>
      </c>
      <c r="D1208" t="inlineStr">
        <is>
          <t>CUST-01220</t>
        </is>
      </c>
      <c r="E1208" t="inlineStr">
        <is>
          <t>Customer 1220</t>
        </is>
      </c>
      <c r="F1208" t="inlineStr">
        <is>
          <t>Consumer</t>
        </is>
      </c>
      <c r="G1208" t="inlineStr">
        <is>
          <t>P1012</t>
        </is>
      </c>
      <c r="H1208" t="inlineStr">
        <is>
          <t>Nimbus Monitor Arm</t>
        </is>
      </c>
      <c r="I1208" t="inlineStr">
        <is>
          <t>Furniture</t>
        </is>
      </c>
      <c r="J1208" t="inlineStr">
        <is>
          <t>Accessories</t>
        </is>
      </c>
      <c r="K1208" t="inlineStr">
        <is>
          <t>North</t>
        </is>
      </c>
      <c r="L1208" t="inlineStr">
        <is>
          <t>Ontario</t>
        </is>
      </c>
      <c r="M1208" t="inlineStr">
        <is>
          <t>Montreal</t>
        </is>
      </c>
      <c r="N1208" t="inlineStr">
        <is>
          <t>Sophia Singh</t>
        </is>
      </c>
      <c r="O1208" t="n">
        <v>1</v>
      </c>
      <c r="P1208" s="3" t="n">
        <v>134.72</v>
      </c>
      <c r="Q1208" s="4" t="n">
        <v>0.025</v>
      </c>
      <c r="R1208" s="3" t="n">
        <v>131.35</v>
      </c>
      <c r="S1208" s="3" t="n">
        <v>72.13</v>
      </c>
      <c r="T1208" s="3" t="n">
        <v>52.42</v>
      </c>
      <c r="U1208" s="4" t="n">
        <v>0.3991</v>
      </c>
      <c r="V1208" s="3" t="n">
        <v>6.8</v>
      </c>
      <c r="W1208" t="inlineStr">
        <is>
          <t>Cash on Delivery</t>
        </is>
      </c>
      <c r="X1208" t="inlineStr">
        <is>
          <t>Medium</t>
        </is>
      </c>
    </row>
    <row r="1209">
      <c r="A1209" t="inlineStr">
        <is>
          <t>ORD-01221</t>
        </is>
      </c>
      <c r="B1209" s="2" t="n">
        <v>45804</v>
      </c>
      <c r="C1209" s="2" t="n">
        <v>45810</v>
      </c>
      <c r="D1209" t="inlineStr">
        <is>
          <t>CUST-01221</t>
        </is>
      </c>
      <c r="E1209" t="inlineStr">
        <is>
          <t>Customer 1221</t>
        </is>
      </c>
      <c r="F1209" t="inlineStr">
        <is>
          <t>Corporate</t>
        </is>
      </c>
      <c r="G1209" t="inlineStr">
        <is>
          <t>P1008</t>
        </is>
      </c>
      <c r="H1209" t="inlineStr">
        <is>
          <t>Orbit Wireless Mouse</t>
        </is>
      </c>
      <c r="I1209" t="inlineStr">
        <is>
          <t>Furniture</t>
        </is>
      </c>
      <c r="J1209" t="inlineStr">
        <is>
          <t>Plants</t>
        </is>
      </c>
      <c r="K1209" t="inlineStr">
        <is>
          <t>South</t>
        </is>
      </c>
      <c r="L1209" t="inlineStr">
        <is>
          <t>Georgia</t>
        </is>
      </c>
      <c r="M1209" t="inlineStr">
        <is>
          <t>Houston</t>
        </is>
      </c>
      <c r="N1209" t="inlineStr">
        <is>
          <t>Sophia Singh</t>
        </is>
      </c>
      <c r="O1209" t="n">
        <v>4</v>
      </c>
      <c r="P1209" s="3" t="n">
        <v>35.72</v>
      </c>
      <c r="Q1209" s="4" t="n">
        <v>0.01</v>
      </c>
      <c r="R1209" s="3" t="n">
        <v>141.45</v>
      </c>
      <c r="S1209" s="3" t="n">
        <v>60.84</v>
      </c>
      <c r="T1209" s="3" t="n">
        <v>71.41</v>
      </c>
      <c r="U1209" s="4" t="n">
        <v>0.5048</v>
      </c>
      <c r="V1209" s="3" t="n">
        <v>9.199999999999999</v>
      </c>
      <c r="W1209" t="inlineStr">
        <is>
          <t>Debit Card</t>
        </is>
      </c>
      <c r="X1209" t="inlineStr">
        <is>
          <t>Medium</t>
        </is>
      </c>
    </row>
    <row r="1210">
      <c r="A1210" t="inlineStr">
        <is>
          <t>ORD-01222</t>
        </is>
      </c>
      <c r="B1210" s="2" t="n">
        <v>45202</v>
      </c>
      <c r="C1210" s="2" t="n">
        <v>45206</v>
      </c>
      <c r="D1210" t="inlineStr">
        <is>
          <t>CUST-01222</t>
        </is>
      </c>
      <c r="E1210" t="inlineStr">
        <is>
          <t>Customer 1222</t>
        </is>
      </c>
      <c r="F1210" t="inlineStr">
        <is>
          <t>Consumer</t>
        </is>
      </c>
      <c r="G1210" t="inlineStr">
        <is>
          <t>P1014</t>
        </is>
      </c>
      <c r="H1210" t="inlineStr">
        <is>
          <t>SmartInk Pen Set</t>
        </is>
      </c>
      <c r="I1210" t="inlineStr">
        <is>
          <t>Office Supplies</t>
        </is>
      </c>
      <c r="J1210" t="inlineStr">
        <is>
          <t>Accessories</t>
        </is>
      </c>
      <c r="K1210" t="inlineStr">
        <is>
          <t>West</t>
        </is>
      </c>
      <c r="L1210" t="inlineStr">
        <is>
          <t>Colorado</t>
        </is>
      </c>
      <c r="M1210" t="inlineStr">
        <is>
          <t>San Francisco</t>
        </is>
      </c>
      <c r="N1210" t="inlineStr">
        <is>
          <t>Liam Chen</t>
        </is>
      </c>
      <c r="O1210" t="n">
        <v>4</v>
      </c>
      <c r="P1210" s="3" t="n">
        <v>45.31</v>
      </c>
      <c r="Q1210" s="4" t="n">
        <v>0.031</v>
      </c>
      <c r="R1210" s="3" t="n">
        <v>175.62</v>
      </c>
      <c r="S1210" s="3" t="n">
        <v>75.94</v>
      </c>
      <c r="T1210" s="3" t="n">
        <v>89.48</v>
      </c>
      <c r="U1210" s="4" t="n">
        <v>0.5095</v>
      </c>
      <c r="V1210" s="3" t="n">
        <v>10.2</v>
      </c>
      <c r="W1210" t="inlineStr">
        <is>
          <t>Credit Card</t>
        </is>
      </c>
      <c r="X1210" t="inlineStr">
        <is>
          <t>Critical</t>
        </is>
      </c>
    </row>
    <row r="1211">
      <c r="A1211" t="inlineStr">
        <is>
          <t>ORD-01223</t>
        </is>
      </c>
      <c r="B1211" s="2" t="n">
        <v>45406</v>
      </c>
      <c r="C1211" s="2" t="n">
        <v>45411</v>
      </c>
      <c r="D1211" t="inlineStr">
        <is>
          <t>CUST-01223</t>
        </is>
      </c>
      <c r="E1211" t="inlineStr">
        <is>
          <t>Customer 1223</t>
        </is>
      </c>
      <c r="F1211" t="inlineStr">
        <is>
          <t>Consumer</t>
        </is>
      </c>
      <c r="G1211" t="inlineStr">
        <is>
          <t>P1017</t>
        </is>
      </c>
      <c r="H1211" t="inlineStr">
        <is>
          <t>SmartInk Pen Set</t>
        </is>
      </c>
      <c r="I1211" t="inlineStr">
        <is>
          <t>Technology</t>
        </is>
      </c>
      <c r="J1211" t="inlineStr">
        <is>
          <t>Desks</t>
        </is>
      </c>
      <c r="K1211" t="inlineStr">
        <is>
          <t>Central</t>
        </is>
      </c>
      <c r="L1211" t="inlineStr">
        <is>
          <t>Minnesota</t>
        </is>
      </c>
      <c r="M1211" t="inlineStr">
        <is>
          <t>Chicago</t>
        </is>
      </c>
      <c r="N1211" t="inlineStr">
        <is>
          <t>Ethan Brooks</t>
        </is>
      </c>
      <c r="O1211" t="n">
        <v>1</v>
      </c>
      <c r="P1211" s="3" t="n">
        <v>572.46</v>
      </c>
      <c r="Q1211" s="4" t="n">
        <v>0.039</v>
      </c>
      <c r="R1211" s="3" t="n">
        <v>550.13</v>
      </c>
      <c r="S1211" s="3" t="n">
        <v>369.11</v>
      </c>
      <c r="T1211" s="3" t="n">
        <v>174.22</v>
      </c>
      <c r="U1211" s="4" t="n">
        <v>0.3167</v>
      </c>
      <c r="V1211" s="3" t="n">
        <v>6.8</v>
      </c>
      <c r="W1211" t="inlineStr">
        <is>
          <t>Credit Card</t>
        </is>
      </c>
      <c r="X1211" t="inlineStr">
        <is>
          <t>High</t>
        </is>
      </c>
    </row>
    <row r="1212">
      <c r="A1212" t="inlineStr">
        <is>
          <t>ORD-01224</t>
        </is>
      </c>
      <c r="B1212" s="2" t="n">
        <v>45832</v>
      </c>
      <c r="C1212" s="2" t="n">
        <v>45834</v>
      </c>
      <c r="D1212" t="inlineStr">
        <is>
          <t>CUST-01224</t>
        </is>
      </c>
      <c r="E1212" t="inlineStr">
        <is>
          <t>Customer 1224</t>
        </is>
      </c>
      <c r="F1212" t="inlineStr">
        <is>
          <t>Corporate</t>
        </is>
      </c>
      <c r="G1212" t="inlineStr">
        <is>
          <t>P1020</t>
        </is>
      </c>
      <c r="H1212" t="inlineStr">
        <is>
          <t>Aero Standing Desk</t>
        </is>
      </c>
      <c r="I1212" t="inlineStr">
        <is>
          <t>Furniture</t>
        </is>
      </c>
      <c r="J1212" t="inlineStr">
        <is>
          <t>Video</t>
        </is>
      </c>
      <c r="K1212" t="inlineStr">
        <is>
          <t>South</t>
        </is>
      </c>
      <c r="L1212" t="inlineStr">
        <is>
          <t>Texas</t>
        </is>
      </c>
      <c r="M1212" t="inlineStr">
        <is>
          <t>Dallas</t>
        </is>
      </c>
      <c r="N1212" t="inlineStr">
        <is>
          <t>James Carter</t>
        </is>
      </c>
      <c r="O1212" t="n">
        <v>2</v>
      </c>
      <c r="P1212" s="3" t="n">
        <v>72.08</v>
      </c>
      <c r="Q1212" s="4" t="n">
        <v>0.06899999999999999</v>
      </c>
      <c r="R1212" s="3" t="n">
        <v>134.21</v>
      </c>
      <c r="S1212" s="3" t="n">
        <v>65.75</v>
      </c>
      <c r="T1212" s="3" t="n">
        <v>60.86</v>
      </c>
      <c r="U1212" s="4" t="n">
        <v>0.4535</v>
      </c>
      <c r="V1212" s="3" t="n">
        <v>7.6</v>
      </c>
      <c r="W1212" t="inlineStr">
        <is>
          <t>Credit Card</t>
        </is>
      </c>
      <c r="X1212" t="inlineStr">
        <is>
          <t>Critical</t>
        </is>
      </c>
    </row>
    <row r="1213">
      <c r="A1213" t="inlineStr">
        <is>
          <t>ORD-01225</t>
        </is>
      </c>
      <c r="B1213" s="2" t="n">
        <v>45605</v>
      </c>
      <c r="C1213" s="2" t="n">
        <v>45608</v>
      </c>
      <c r="D1213" t="inlineStr">
        <is>
          <t>CUST-01225</t>
        </is>
      </c>
      <c r="E1213" t="inlineStr">
        <is>
          <t>Customer 1225</t>
        </is>
      </c>
      <c r="F1213" t="inlineStr">
        <is>
          <t>Corporate</t>
        </is>
      </c>
      <c r="G1213" t="inlineStr">
        <is>
          <t>P1015</t>
        </is>
      </c>
      <c r="H1213" t="inlineStr">
        <is>
          <t>CloudDrive File Box</t>
        </is>
      </c>
      <c r="I1213" t="inlineStr">
        <is>
          <t>Technology</t>
        </is>
      </c>
      <c r="J1213" t="inlineStr">
        <is>
          <t>Lighting</t>
        </is>
      </c>
      <c r="K1213" t="inlineStr">
        <is>
          <t>South</t>
        </is>
      </c>
      <c r="L1213" t="inlineStr">
        <is>
          <t>Florida</t>
        </is>
      </c>
      <c r="M1213" t="inlineStr">
        <is>
          <t>Dallas</t>
        </is>
      </c>
      <c r="N1213" t="inlineStr">
        <is>
          <t>Olivia Martin</t>
        </is>
      </c>
      <c r="O1213" t="n">
        <v>2</v>
      </c>
      <c r="P1213" s="3" t="n">
        <v>72.27</v>
      </c>
      <c r="Q1213" s="4" t="n">
        <v>0.031</v>
      </c>
      <c r="R1213" s="3" t="n">
        <v>140.06</v>
      </c>
      <c r="S1213" s="3" t="n">
        <v>70.64</v>
      </c>
      <c r="T1213" s="3" t="n">
        <v>61.82</v>
      </c>
      <c r="U1213" s="4" t="n">
        <v>0.4414</v>
      </c>
      <c r="V1213" s="3" t="n">
        <v>7.6</v>
      </c>
      <c r="W1213" t="inlineStr">
        <is>
          <t>Credit Card</t>
        </is>
      </c>
      <c r="X1213" t="inlineStr">
        <is>
          <t>Medium</t>
        </is>
      </c>
    </row>
    <row r="1214">
      <c r="A1214" t="inlineStr">
        <is>
          <t>ORD-01226</t>
        </is>
      </c>
      <c r="B1214" s="2" t="n">
        <v>45589</v>
      </c>
      <c r="C1214" s="2" t="n">
        <v>45592</v>
      </c>
      <c r="D1214" t="inlineStr">
        <is>
          <t>CUST-01226</t>
        </is>
      </c>
      <c r="E1214" t="inlineStr">
        <is>
          <t>Customer 1226</t>
        </is>
      </c>
      <c r="F1214" t="inlineStr">
        <is>
          <t>Consumer</t>
        </is>
      </c>
      <c r="G1214" t="inlineStr">
        <is>
          <t>P1015</t>
        </is>
      </c>
      <c r="H1214" t="inlineStr">
        <is>
          <t>Northstar Lantern</t>
        </is>
      </c>
      <c r="I1214" t="inlineStr">
        <is>
          <t>Home Decor</t>
        </is>
      </c>
      <c r="J1214" t="inlineStr">
        <is>
          <t>Chairs</t>
        </is>
      </c>
      <c r="K1214" t="inlineStr">
        <is>
          <t>Central</t>
        </is>
      </c>
      <c r="L1214" t="inlineStr">
        <is>
          <t>Kansas</t>
        </is>
      </c>
      <c r="M1214" t="inlineStr">
        <is>
          <t>Minneapolis</t>
        </is>
      </c>
      <c r="N1214" t="inlineStr">
        <is>
          <t>Ethan Brooks</t>
        </is>
      </c>
      <c r="O1214" t="n">
        <v>5</v>
      </c>
      <c r="P1214" s="3" t="n">
        <v>69.3</v>
      </c>
      <c r="Q1214" s="4" t="n">
        <v>0.018</v>
      </c>
      <c r="R1214" s="3" t="n">
        <v>340.26</v>
      </c>
      <c r="S1214" s="3" t="n">
        <v>150.77</v>
      </c>
      <c r="T1214" s="3" t="n">
        <v>179.49</v>
      </c>
      <c r="U1214" s="4" t="n">
        <v>0.5275</v>
      </c>
      <c r="V1214" s="3" t="n">
        <v>10</v>
      </c>
      <c r="W1214" t="inlineStr">
        <is>
          <t>Cash on Delivery</t>
        </is>
      </c>
      <c r="X1214" t="inlineStr">
        <is>
          <t>Medium</t>
        </is>
      </c>
    </row>
    <row r="1215">
      <c r="A1215" t="inlineStr">
        <is>
          <t>ORD-01227</t>
        </is>
      </c>
      <c r="B1215" s="2" t="n">
        <v>45446</v>
      </c>
      <c r="C1215" s="2" t="n">
        <v>45448</v>
      </c>
      <c r="D1215" t="inlineStr">
        <is>
          <t>CUST-01227</t>
        </is>
      </c>
      <c r="E1215" t="inlineStr">
        <is>
          <t>Customer 1227</t>
        </is>
      </c>
      <c r="F1215" t="inlineStr">
        <is>
          <t>Corporate</t>
        </is>
      </c>
      <c r="G1215" t="inlineStr">
        <is>
          <t>P1012</t>
        </is>
      </c>
      <c r="H1215" t="inlineStr">
        <is>
          <t>Echo Web Camera</t>
        </is>
      </c>
      <c r="I1215" t="inlineStr">
        <is>
          <t>Outdoor</t>
        </is>
      </c>
      <c r="J1215" t="inlineStr">
        <is>
          <t>Decor</t>
        </is>
      </c>
      <c r="K1215" t="inlineStr">
        <is>
          <t>South</t>
        </is>
      </c>
      <c r="L1215" t="inlineStr">
        <is>
          <t>Texas</t>
        </is>
      </c>
      <c r="M1215" t="inlineStr">
        <is>
          <t>Dallas</t>
        </is>
      </c>
      <c r="N1215" t="inlineStr">
        <is>
          <t>Liam Chen</t>
        </is>
      </c>
      <c r="O1215" t="n">
        <v>2</v>
      </c>
      <c r="P1215" s="3" t="n">
        <v>134.02</v>
      </c>
      <c r="Q1215" s="4" t="n">
        <v>0.032</v>
      </c>
      <c r="R1215" s="3" t="n">
        <v>259.46</v>
      </c>
      <c r="S1215" s="3" t="n">
        <v>135</v>
      </c>
      <c r="T1215" s="3" t="n">
        <v>116.86</v>
      </c>
      <c r="U1215" s="4" t="n">
        <v>0.4504</v>
      </c>
      <c r="V1215" s="3" t="n">
        <v>7.6</v>
      </c>
      <c r="W1215" t="inlineStr">
        <is>
          <t>Credit Card</t>
        </is>
      </c>
      <c r="X1215" t="inlineStr">
        <is>
          <t>Critical</t>
        </is>
      </c>
    </row>
    <row r="1216">
      <c r="A1216" t="inlineStr">
        <is>
          <t>ORD-01228</t>
        </is>
      </c>
      <c r="B1216" s="2" t="n">
        <v>45022</v>
      </c>
      <c r="C1216" s="2" t="n">
        <v>45029</v>
      </c>
      <c r="D1216" t="inlineStr">
        <is>
          <t>CUST-01228</t>
        </is>
      </c>
      <c r="E1216" t="inlineStr">
        <is>
          <t>Customer 1228</t>
        </is>
      </c>
      <c r="F1216" t="inlineStr">
        <is>
          <t>Corporate</t>
        </is>
      </c>
      <c r="G1216" t="inlineStr">
        <is>
          <t>P1009</t>
        </is>
      </c>
      <c r="H1216" t="inlineStr">
        <is>
          <t>Orbit Wireless Mouse</t>
        </is>
      </c>
      <c r="I1216" t="inlineStr">
        <is>
          <t>Outdoor</t>
        </is>
      </c>
      <c r="J1216" t="inlineStr">
        <is>
          <t>Peripherals</t>
        </is>
      </c>
      <c r="K1216" t="inlineStr">
        <is>
          <t>South</t>
        </is>
      </c>
      <c r="L1216" t="inlineStr">
        <is>
          <t>Florida</t>
        </is>
      </c>
      <c r="M1216" t="inlineStr">
        <is>
          <t>Houston</t>
        </is>
      </c>
      <c r="N1216" t="inlineStr">
        <is>
          <t>Ethan Brooks</t>
        </is>
      </c>
      <c r="O1216" t="n">
        <v>2</v>
      </c>
      <c r="P1216" s="3" t="n">
        <v>88.28</v>
      </c>
      <c r="Q1216" s="4" t="n">
        <v>0.038</v>
      </c>
      <c r="R1216" s="3" t="n">
        <v>169.85</v>
      </c>
      <c r="S1216" s="3" t="n">
        <v>84.37</v>
      </c>
      <c r="T1216" s="3" t="n">
        <v>77.88</v>
      </c>
      <c r="U1216" s="4" t="n">
        <v>0.4585</v>
      </c>
      <c r="V1216" s="3" t="n">
        <v>7.6</v>
      </c>
      <c r="W1216" t="inlineStr">
        <is>
          <t>PayPal</t>
        </is>
      </c>
      <c r="X1216" t="inlineStr">
        <is>
          <t>High</t>
        </is>
      </c>
    </row>
    <row r="1217">
      <c r="A1217" t="inlineStr">
        <is>
          <t>ORD-01230</t>
        </is>
      </c>
      <c r="B1217" s="2" t="n">
        <v>45429</v>
      </c>
      <c r="C1217" s="2" t="n">
        <v>45434</v>
      </c>
      <c r="D1217" t="inlineStr">
        <is>
          <t>CUST-01230</t>
        </is>
      </c>
      <c r="E1217" t="inlineStr">
        <is>
          <t>Customer 1230</t>
        </is>
      </c>
      <c r="F1217" t="inlineStr">
        <is>
          <t>Corporate</t>
        </is>
      </c>
      <c r="G1217" t="inlineStr">
        <is>
          <t>P1019</t>
        </is>
      </c>
      <c r="H1217" t="inlineStr">
        <is>
          <t>Echo Web Camera</t>
        </is>
      </c>
      <c r="I1217" t="inlineStr">
        <is>
          <t>Technology</t>
        </is>
      </c>
      <c r="J1217" t="inlineStr">
        <is>
          <t>Desks</t>
        </is>
      </c>
      <c r="K1217" t="inlineStr">
        <is>
          <t>South</t>
        </is>
      </c>
      <c r="L1217" t="inlineStr">
        <is>
          <t>Florida</t>
        </is>
      </c>
      <c r="M1217" t="inlineStr">
        <is>
          <t>Houston</t>
        </is>
      </c>
      <c r="N1217" t="inlineStr">
        <is>
          <t>Mia Rodriguez</t>
        </is>
      </c>
      <c r="O1217" t="n">
        <v>2</v>
      </c>
      <c r="P1217" s="3" t="n">
        <v>55.48</v>
      </c>
      <c r="Q1217" s="4" t="n">
        <v>0.016</v>
      </c>
      <c r="R1217" s="3" t="n">
        <v>109.18</v>
      </c>
      <c r="S1217" s="3" t="n">
        <v>54.33</v>
      </c>
      <c r="T1217" s="3" t="n">
        <v>47.25</v>
      </c>
      <c r="U1217" s="4" t="n">
        <v>0.4328</v>
      </c>
      <c r="V1217" s="3" t="n">
        <v>7.6</v>
      </c>
      <c r="W1217" t="inlineStr">
        <is>
          <t>Credit Card</t>
        </is>
      </c>
      <c r="X1217" t="inlineStr">
        <is>
          <t>Medium</t>
        </is>
      </c>
    </row>
    <row r="1218">
      <c r="A1218" t="inlineStr">
        <is>
          <t>ORD-01231</t>
        </is>
      </c>
      <c r="B1218" s="2" t="n">
        <v>45719</v>
      </c>
      <c r="C1218" s="2" t="n">
        <v>45723</v>
      </c>
      <c r="D1218" t="inlineStr">
        <is>
          <t>CUST-01231</t>
        </is>
      </c>
      <c r="E1218" t="inlineStr">
        <is>
          <t>Customer 1231</t>
        </is>
      </c>
      <c r="F1218" t="inlineStr">
        <is>
          <t>Corporate</t>
        </is>
      </c>
      <c r="G1218" t="inlineStr">
        <is>
          <t>P1012</t>
        </is>
      </c>
      <c r="H1218" t="inlineStr">
        <is>
          <t>Trail Tote</t>
        </is>
      </c>
      <c r="I1218" t="inlineStr">
        <is>
          <t>Home Decor</t>
        </is>
      </c>
      <c r="J1218" t="inlineStr">
        <is>
          <t>Peripherals</t>
        </is>
      </c>
      <c r="K1218" t="inlineStr">
        <is>
          <t>North</t>
        </is>
      </c>
      <c r="L1218" t="inlineStr">
        <is>
          <t>Quebec</t>
        </is>
      </c>
      <c r="M1218" t="inlineStr">
        <is>
          <t>Vancouver</t>
        </is>
      </c>
      <c r="N1218" t="inlineStr">
        <is>
          <t>Ethan Brooks</t>
        </is>
      </c>
      <c r="O1218" t="n">
        <v>3</v>
      </c>
      <c r="P1218" s="3" t="n">
        <v>131.36</v>
      </c>
      <c r="Q1218" s="4" t="n">
        <v>0.02</v>
      </c>
      <c r="R1218" s="3" t="n">
        <v>386.2</v>
      </c>
      <c r="S1218" s="3" t="n">
        <v>201.1</v>
      </c>
      <c r="T1218" s="3" t="n">
        <v>176.7</v>
      </c>
      <c r="U1218" s="4" t="n">
        <v>0.4575</v>
      </c>
      <c r="V1218" s="3" t="n">
        <v>8.4</v>
      </c>
      <c r="W1218" t="inlineStr">
        <is>
          <t>Credit Card</t>
        </is>
      </c>
      <c r="X1218" t="inlineStr">
        <is>
          <t>Medium</t>
        </is>
      </c>
    </row>
    <row r="1219">
      <c r="A1219" t="inlineStr">
        <is>
          <t>ORD-01232</t>
        </is>
      </c>
      <c r="B1219" s="2" t="n">
        <v>45201</v>
      </c>
      <c r="C1219" s="2" t="n">
        <v>45205</v>
      </c>
      <c r="D1219" t="inlineStr">
        <is>
          <t>CUST-01232</t>
        </is>
      </c>
      <c r="E1219" t="inlineStr">
        <is>
          <t>Customer 1232</t>
        </is>
      </c>
      <c r="F1219" t="inlineStr">
        <is>
          <t>Consumer</t>
        </is>
      </c>
      <c r="G1219" t="inlineStr">
        <is>
          <t>P1011</t>
        </is>
      </c>
      <c r="H1219" t="inlineStr">
        <is>
          <t>Aero Standing Desk</t>
        </is>
      </c>
      <c r="I1219" t="inlineStr">
        <is>
          <t>Furniture</t>
        </is>
      </c>
      <c r="J1219" t="inlineStr">
        <is>
          <t>Accessories</t>
        </is>
      </c>
      <c r="K1219" t="inlineStr">
        <is>
          <t>South</t>
        </is>
      </c>
      <c r="L1219" t="inlineStr">
        <is>
          <t>Texas</t>
        </is>
      </c>
      <c r="M1219" t="inlineStr">
        <is>
          <t>Dallas</t>
        </is>
      </c>
      <c r="N1219" t="inlineStr">
        <is>
          <t>James Carter</t>
        </is>
      </c>
      <c r="O1219" t="n">
        <v>3</v>
      </c>
      <c r="P1219" s="3" t="n">
        <v>94.28</v>
      </c>
      <c r="Q1219" s="4" t="n">
        <v>0.026</v>
      </c>
      <c r="R1219" s="3" t="n">
        <v>275.49</v>
      </c>
      <c r="S1219" s="3" t="n">
        <v>137.32</v>
      </c>
      <c r="T1219" s="3" t="n">
        <v>129.77</v>
      </c>
      <c r="U1219" s="4" t="n">
        <v>0.4711</v>
      </c>
      <c r="V1219" s="3" t="n">
        <v>8.4</v>
      </c>
      <c r="W1219" t="inlineStr">
        <is>
          <t>Cash on Delivery</t>
        </is>
      </c>
      <c r="X1219" t="inlineStr">
        <is>
          <t>Medium</t>
        </is>
      </c>
    </row>
    <row r="1220">
      <c r="A1220" t="inlineStr">
        <is>
          <t>ORD-01233</t>
        </is>
      </c>
      <c r="B1220" s="2" t="n">
        <v>45028</v>
      </c>
      <c r="C1220" s="2" t="n">
        <v>45034</v>
      </c>
      <c r="D1220" t="inlineStr">
        <is>
          <t>CUST-01233</t>
        </is>
      </c>
      <c r="E1220" t="inlineStr">
        <is>
          <t>Customer 1233</t>
        </is>
      </c>
      <c r="F1220" t="inlineStr">
        <is>
          <t>Consumer</t>
        </is>
      </c>
      <c r="G1220" t="inlineStr">
        <is>
          <t>P1006</t>
        </is>
      </c>
      <c r="H1220" t="inlineStr">
        <is>
          <t>Northstar Lantern</t>
        </is>
      </c>
      <c r="I1220" t="inlineStr">
        <is>
          <t>Home Decor</t>
        </is>
      </c>
      <c r="J1220" t="inlineStr">
        <is>
          <t>Textiles</t>
        </is>
      </c>
      <c r="K1220" t="inlineStr">
        <is>
          <t>North</t>
        </is>
      </c>
      <c r="L1220" t="inlineStr">
        <is>
          <t>Ontario</t>
        </is>
      </c>
      <c r="M1220" t="inlineStr">
        <is>
          <t>Calgary</t>
        </is>
      </c>
      <c r="N1220" t="inlineStr">
        <is>
          <t>Liam Chen</t>
        </is>
      </c>
      <c r="O1220" t="n">
        <v>4</v>
      </c>
      <c r="P1220" s="3" t="n">
        <v>17.73</v>
      </c>
      <c r="Q1220" s="4" t="n">
        <v>0.008999999999999999</v>
      </c>
      <c r="R1220" s="3" t="n">
        <v>70.28</v>
      </c>
      <c r="S1220" s="3" t="n">
        <v>27.52</v>
      </c>
      <c r="T1220" s="3" t="n">
        <v>33.56</v>
      </c>
      <c r="U1220" s="4" t="n">
        <v>0.4775</v>
      </c>
      <c r="V1220" s="3" t="n">
        <v>9.199999999999999</v>
      </c>
      <c r="W1220" t="inlineStr">
        <is>
          <t>Bank Transfer</t>
        </is>
      </c>
      <c r="X1220" t="inlineStr">
        <is>
          <t>Medium</t>
        </is>
      </c>
    </row>
    <row r="1221">
      <c r="A1221" t="inlineStr">
        <is>
          <t>ORD-01234</t>
        </is>
      </c>
      <c r="B1221" s="2" t="n">
        <v>45131</v>
      </c>
      <c r="C1221" s="2" t="n">
        <v>45134</v>
      </c>
      <c r="D1221" t="inlineStr">
        <is>
          <t>CUST-01234</t>
        </is>
      </c>
      <c r="E1221" t="inlineStr">
        <is>
          <t>Customer 1234</t>
        </is>
      </c>
      <c r="F1221" t="inlineStr">
        <is>
          <t>Consumer</t>
        </is>
      </c>
      <c r="G1221" t="inlineStr">
        <is>
          <t>P1008</t>
        </is>
      </c>
      <c r="H1221" t="inlineStr">
        <is>
          <t>SmartInk Pen Set</t>
        </is>
      </c>
      <c r="I1221" t="inlineStr">
        <is>
          <t>Outdoor</t>
        </is>
      </c>
      <c r="J1221" t="inlineStr">
        <is>
          <t>Coolers</t>
        </is>
      </c>
      <c r="K1221" t="inlineStr">
        <is>
          <t>West</t>
        </is>
      </c>
      <c r="L1221" t="inlineStr">
        <is>
          <t>Colorado</t>
        </is>
      </c>
      <c r="M1221" t="inlineStr">
        <is>
          <t>San Francisco</t>
        </is>
      </c>
      <c r="N1221" t="inlineStr">
        <is>
          <t>Liam Chen</t>
        </is>
      </c>
      <c r="O1221" t="n">
        <v>3</v>
      </c>
      <c r="P1221" s="3" t="n">
        <v>36.53</v>
      </c>
      <c r="Q1221" s="4" t="n">
        <v>0.013</v>
      </c>
      <c r="R1221" s="3" t="n">
        <v>108.17</v>
      </c>
      <c r="S1221" s="3" t="n">
        <v>48.65</v>
      </c>
      <c r="T1221" s="3" t="n">
        <v>50.12</v>
      </c>
      <c r="U1221" s="4" t="n">
        <v>0.4633</v>
      </c>
      <c r="V1221" s="3" t="n">
        <v>9.4</v>
      </c>
      <c r="W1221" t="inlineStr">
        <is>
          <t>PayPal</t>
        </is>
      </c>
      <c r="X1221" t="inlineStr">
        <is>
          <t>Medium</t>
        </is>
      </c>
    </row>
    <row r="1222">
      <c r="A1222" t="inlineStr">
        <is>
          <t>ORD-01240</t>
        </is>
      </c>
      <c r="B1222" s="2" t="n">
        <v>45154</v>
      </c>
      <c r="C1222" s="2" t="n">
        <v>45159</v>
      </c>
      <c r="D1222" t="inlineStr">
        <is>
          <t>CUST-01240</t>
        </is>
      </c>
      <c r="E1222" t="inlineStr">
        <is>
          <t>Customer 1240</t>
        </is>
      </c>
      <c r="F1222" t="inlineStr">
        <is>
          <t>Consumer</t>
        </is>
      </c>
      <c r="G1222" t="inlineStr">
        <is>
          <t>P1009</t>
        </is>
      </c>
      <c r="H1222" t="inlineStr">
        <is>
          <t>Aero Standing Desk</t>
        </is>
      </c>
      <c r="I1222" t="inlineStr">
        <is>
          <t>Office Supplies</t>
        </is>
      </c>
      <c r="J1222" t="inlineStr">
        <is>
          <t>Paper</t>
        </is>
      </c>
      <c r="K1222" t="inlineStr">
        <is>
          <t>South</t>
        </is>
      </c>
      <c r="L1222" t="inlineStr">
        <is>
          <t>Georgia</t>
        </is>
      </c>
      <c r="M1222" t="inlineStr">
        <is>
          <t>Atlanta</t>
        </is>
      </c>
      <c r="N1222" t="inlineStr">
        <is>
          <t>Liam Chen</t>
        </is>
      </c>
      <c r="O1222" t="n">
        <v>4</v>
      </c>
      <c r="P1222" s="3" t="n">
        <v>90.56999999999999</v>
      </c>
      <c r="Q1222" s="4" t="n">
        <v>0.004</v>
      </c>
      <c r="R1222" s="3" t="n">
        <v>360.83</v>
      </c>
      <c r="S1222" s="3" t="n">
        <v>177.92</v>
      </c>
      <c r="T1222" s="3" t="n">
        <v>173.71</v>
      </c>
      <c r="U1222" s="4" t="n">
        <v>0.4814</v>
      </c>
      <c r="V1222" s="3" t="n">
        <v>9.199999999999999</v>
      </c>
      <c r="W1222" t="inlineStr">
        <is>
          <t>Credit Card</t>
        </is>
      </c>
      <c r="X1222" t="inlineStr">
        <is>
          <t>Low</t>
        </is>
      </c>
    </row>
    <row r="1223">
      <c r="A1223" t="inlineStr">
        <is>
          <t>ORD-01241</t>
        </is>
      </c>
      <c r="B1223" s="2" t="n">
        <v>45893</v>
      </c>
      <c r="C1223" s="2" t="n">
        <v>45896</v>
      </c>
      <c r="D1223" t="inlineStr">
        <is>
          <t>CUST-01241</t>
        </is>
      </c>
      <c r="E1223" t="inlineStr">
        <is>
          <t>Customer 1241</t>
        </is>
      </c>
      <c r="F1223" t="inlineStr">
        <is>
          <t>Corporate</t>
        </is>
      </c>
      <c r="G1223" t="inlineStr">
        <is>
          <t>P1006</t>
        </is>
      </c>
      <c r="H1223" t="inlineStr">
        <is>
          <t>Aero Standing Desk</t>
        </is>
      </c>
      <c r="I1223" t="inlineStr">
        <is>
          <t>Office Supplies</t>
        </is>
      </c>
      <c r="J1223" t="inlineStr">
        <is>
          <t>Storage</t>
        </is>
      </c>
      <c r="K1223" t="inlineStr">
        <is>
          <t>North</t>
        </is>
      </c>
      <c r="L1223" t="inlineStr">
        <is>
          <t>Ontario</t>
        </is>
      </c>
      <c r="M1223" t="inlineStr">
        <is>
          <t>Toronto</t>
        </is>
      </c>
      <c r="N1223" t="inlineStr">
        <is>
          <t>Mia Rodriguez</t>
        </is>
      </c>
      <c r="O1223" t="n">
        <v>2</v>
      </c>
      <c r="P1223" s="3" t="n">
        <v>18.74</v>
      </c>
      <c r="Q1223" s="4" t="n">
        <v>0.06999999999999999</v>
      </c>
      <c r="R1223" s="3" t="n">
        <v>34.86</v>
      </c>
      <c r="S1223" s="3" t="n">
        <v>21.59</v>
      </c>
      <c r="T1223" s="3" t="n">
        <v>5.67</v>
      </c>
      <c r="U1223" s="4" t="n">
        <v>0.1627</v>
      </c>
      <c r="V1223" s="3" t="n">
        <v>7.6</v>
      </c>
      <c r="W1223" t="inlineStr">
        <is>
          <t>PayPal</t>
        </is>
      </c>
      <c r="X1223" t="inlineStr">
        <is>
          <t>High</t>
        </is>
      </c>
    </row>
    <row r="1224">
      <c r="A1224" t="inlineStr">
        <is>
          <t>ORD-01244</t>
        </is>
      </c>
      <c r="B1224" s="2" t="n">
        <v>45679</v>
      </c>
      <c r="C1224" s="2" t="n">
        <v>45683</v>
      </c>
      <c r="D1224" t="inlineStr">
        <is>
          <t>CUST-01244</t>
        </is>
      </c>
      <c r="E1224" t="inlineStr">
        <is>
          <t>Customer 1244</t>
        </is>
      </c>
      <c r="F1224" t="inlineStr">
        <is>
          <t>Consumer</t>
        </is>
      </c>
      <c r="G1224" t="inlineStr">
        <is>
          <t>P1003</t>
        </is>
      </c>
      <c r="H1224" t="inlineStr">
        <is>
          <t>Orbit Wireless Mouse</t>
        </is>
      </c>
      <c r="I1224" t="inlineStr">
        <is>
          <t>Outdoor</t>
        </is>
      </c>
      <c r="J1224" t="inlineStr">
        <is>
          <t>Coolers</t>
        </is>
      </c>
      <c r="K1224" t="inlineStr">
        <is>
          <t>North</t>
        </is>
      </c>
      <c r="L1224" t="inlineStr">
        <is>
          <t>Quebec</t>
        </is>
      </c>
      <c r="M1224" t="inlineStr">
        <is>
          <t>Calgary</t>
        </is>
      </c>
      <c r="N1224" t="inlineStr">
        <is>
          <t>James Carter</t>
        </is>
      </c>
      <c r="O1224" t="n">
        <v>1</v>
      </c>
      <c r="P1224" s="3" t="n">
        <v>153.35</v>
      </c>
      <c r="Q1224" s="4" t="n">
        <v>0.014</v>
      </c>
      <c r="R1224" s="3" t="n">
        <v>151.2</v>
      </c>
      <c r="S1224" s="3" t="n">
        <v>89.08</v>
      </c>
      <c r="T1224" s="3" t="n">
        <v>55.32</v>
      </c>
      <c r="U1224" s="4" t="n">
        <v>0.3659</v>
      </c>
      <c r="V1224" s="3" t="n">
        <v>6.8</v>
      </c>
      <c r="W1224" t="inlineStr">
        <is>
          <t>Credit Card</t>
        </is>
      </c>
      <c r="X1224" t="inlineStr">
        <is>
          <t>Medium</t>
        </is>
      </c>
    </row>
    <row r="1225">
      <c r="A1225" t="inlineStr">
        <is>
          <t>ORD-01245</t>
        </is>
      </c>
      <c r="B1225" s="2" t="n">
        <v>45861</v>
      </c>
      <c r="C1225" s="2" t="n">
        <v>45863</v>
      </c>
      <c r="D1225" t="inlineStr">
        <is>
          <t>CUST-01245</t>
        </is>
      </c>
      <c r="E1225" t="inlineStr">
        <is>
          <t>Customer 1245</t>
        </is>
      </c>
      <c r="F1225" t="inlineStr">
        <is>
          <t>Home Office</t>
        </is>
      </c>
      <c r="G1225" t="inlineStr">
        <is>
          <t>P1003</t>
        </is>
      </c>
      <c r="H1225" t="inlineStr">
        <is>
          <t>Aero Standing Desk</t>
        </is>
      </c>
      <c r="I1225" t="inlineStr">
        <is>
          <t>Office Supplies</t>
        </is>
      </c>
      <c r="J1225" t="inlineStr">
        <is>
          <t>Plants</t>
        </is>
      </c>
      <c r="K1225" t="inlineStr">
        <is>
          <t>Central</t>
        </is>
      </c>
      <c r="L1225" t="inlineStr">
        <is>
          <t>Minnesota</t>
        </is>
      </c>
      <c r="M1225" t="inlineStr">
        <is>
          <t>Kansas City</t>
        </is>
      </c>
      <c r="N1225" t="inlineStr">
        <is>
          <t>Ava Patel</t>
        </is>
      </c>
      <c r="O1225" t="n">
        <v>4</v>
      </c>
      <c r="P1225" s="3" t="n">
        <v>151.28</v>
      </c>
      <c r="Q1225" s="4" t="n">
        <v>0.01</v>
      </c>
      <c r="R1225" s="3" t="n">
        <v>599.0700000000001</v>
      </c>
      <c r="S1225" s="3" t="n">
        <v>315.25</v>
      </c>
      <c r="T1225" s="3" t="n">
        <v>274.62</v>
      </c>
      <c r="U1225" s="4" t="n">
        <v>0.4584</v>
      </c>
      <c r="V1225" s="3" t="n">
        <v>9.199999999999999</v>
      </c>
      <c r="W1225" t="inlineStr">
        <is>
          <t>Debit Card</t>
        </is>
      </c>
      <c r="X1225" t="inlineStr">
        <is>
          <t>Medium</t>
        </is>
      </c>
    </row>
    <row r="1226">
      <c r="A1226" t="inlineStr">
        <is>
          <t>ORD-01246</t>
        </is>
      </c>
      <c r="B1226" s="2" t="n">
        <v>45497</v>
      </c>
      <c r="C1226" s="2" t="n">
        <v>45502</v>
      </c>
      <c r="D1226" t="inlineStr">
        <is>
          <t>CUST-01246</t>
        </is>
      </c>
      <c r="E1226" t="inlineStr">
        <is>
          <t>Customer 1246</t>
        </is>
      </c>
      <c r="F1226" t="inlineStr">
        <is>
          <t>Home Office</t>
        </is>
      </c>
      <c r="G1226" t="inlineStr">
        <is>
          <t>P1012</t>
        </is>
      </c>
      <c r="H1226" t="inlineStr">
        <is>
          <t>SmartInk Pen Set</t>
        </is>
      </c>
      <c r="I1226" t="inlineStr">
        <is>
          <t>Office Supplies</t>
        </is>
      </c>
      <c r="J1226" t="inlineStr">
        <is>
          <t>Chairs</t>
        </is>
      </c>
      <c r="K1226" t="inlineStr">
        <is>
          <t>Central</t>
        </is>
      </c>
      <c r="L1226" t="inlineStr">
        <is>
          <t>Kansas</t>
        </is>
      </c>
      <c r="M1226" t="inlineStr">
        <is>
          <t>Kansas City</t>
        </is>
      </c>
      <c r="N1226" t="inlineStr">
        <is>
          <t>James Carter</t>
        </is>
      </c>
      <c r="O1226" t="n">
        <v>4</v>
      </c>
      <c r="P1226" s="3" t="n">
        <v>136.42</v>
      </c>
      <c r="Q1226" s="4" t="n">
        <v>0.021</v>
      </c>
      <c r="R1226" s="3" t="n">
        <v>534.22</v>
      </c>
      <c r="S1226" s="3" t="n">
        <v>273.01</v>
      </c>
      <c r="T1226" s="3" t="n">
        <v>252.01</v>
      </c>
      <c r="U1226" s="4" t="n">
        <v>0.4717</v>
      </c>
      <c r="V1226" s="3" t="n">
        <v>9.199999999999999</v>
      </c>
      <c r="W1226" t="inlineStr">
        <is>
          <t>Debit Card</t>
        </is>
      </c>
      <c r="X1226" t="inlineStr">
        <is>
          <t>Medium</t>
        </is>
      </c>
    </row>
    <row r="1227">
      <c r="A1227" t="inlineStr">
        <is>
          <t>ORD-01248</t>
        </is>
      </c>
      <c r="B1227" s="2" t="n">
        <v>44978</v>
      </c>
      <c r="C1227" s="2" t="n">
        <v>44982</v>
      </c>
      <c r="D1227" t="inlineStr">
        <is>
          <t>CUST-01248</t>
        </is>
      </c>
      <c r="E1227" t="inlineStr">
        <is>
          <t>Customer 1248</t>
        </is>
      </c>
      <c r="F1227" t="inlineStr">
        <is>
          <t>Home Office</t>
        </is>
      </c>
      <c r="G1227" t="inlineStr">
        <is>
          <t>P1016</t>
        </is>
      </c>
      <c r="H1227" t="inlineStr">
        <is>
          <t>Harbor Rug</t>
        </is>
      </c>
      <c r="I1227" t="inlineStr">
        <is>
          <t>Technology</t>
        </is>
      </c>
      <c r="J1227" t="inlineStr">
        <is>
          <t>Lighting</t>
        </is>
      </c>
      <c r="K1227" t="inlineStr">
        <is>
          <t>South</t>
        </is>
      </c>
      <c r="L1227" t="inlineStr">
        <is>
          <t>Georgia</t>
        </is>
      </c>
      <c r="M1227" t="inlineStr">
        <is>
          <t>Houston</t>
        </is>
      </c>
      <c r="N1227" t="inlineStr">
        <is>
          <t>Ava Patel</t>
        </is>
      </c>
      <c r="O1227" t="n">
        <v>3</v>
      </c>
      <c r="P1227" s="3" t="n">
        <v>38.85</v>
      </c>
      <c r="Q1227" s="4" t="n">
        <v>0.019</v>
      </c>
      <c r="R1227" s="3" t="n">
        <v>114.34</v>
      </c>
      <c r="S1227" s="3" t="n">
        <v>52.38</v>
      </c>
      <c r="T1227" s="3" t="n">
        <v>53.56</v>
      </c>
      <c r="U1227" s="4" t="n">
        <v>0.4684</v>
      </c>
      <c r="V1227" s="3" t="n">
        <v>8.4</v>
      </c>
      <c r="W1227" t="inlineStr">
        <is>
          <t>PayPal</t>
        </is>
      </c>
      <c r="X1227" t="inlineStr">
        <is>
          <t>Medium</t>
        </is>
      </c>
    </row>
    <row r="1228">
      <c r="A1228" t="inlineStr">
        <is>
          <t>ORD-01250</t>
        </is>
      </c>
      <c r="B1228" s="2" t="n">
        <v>45341</v>
      </c>
      <c r="C1228" s="2" t="n">
        <v>45345</v>
      </c>
      <c r="D1228" t="inlineStr">
        <is>
          <t>CUST-01250</t>
        </is>
      </c>
      <c r="E1228" t="inlineStr">
        <is>
          <t>Customer 1250</t>
        </is>
      </c>
      <c r="F1228" t="inlineStr">
        <is>
          <t>Home Office</t>
        </is>
      </c>
      <c r="G1228" t="inlineStr">
        <is>
          <t>P1008</t>
        </is>
      </c>
      <c r="H1228" t="inlineStr">
        <is>
          <t>Aero Standing Desk</t>
        </is>
      </c>
      <c r="I1228" t="inlineStr">
        <is>
          <t>Furniture</t>
        </is>
      </c>
      <c r="J1228" t="inlineStr">
        <is>
          <t>Storage</t>
        </is>
      </c>
      <c r="K1228" t="inlineStr">
        <is>
          <t>South</t>
        </is>
      </c>
      <c r="L1228" t="inlineStr">
        <is>
          <t>North Carolina</t>
        </is>
      </c>
      <c r="M1228" t="inlineStr">
        <is>
          <t>Dallas</t>
        </is>
      </c>
      <c r="N1228" t="inlineStr">
        <is>
          <t>Noah Kim</t>
        </is>
      </c>
      <c r="O1228" t="n">
        <v>1</v>
      </c>
      <c r="P1228" s="3" t="n">
        <v>33.18</v>
      </c>
      <c r="Q1228" s="4" t="n">
        <v>0.068</v>
      </c>
      <c r="R1228" s="3" t="n">
        <v>30.92</v>
      </c>
      <c r="S1228" s="3" t="n">
        <v>22.65</v>
      </c>
      <c r="T1228" s="3" t="n">
        <v>1.47</v>
      </c>
      <c r="U1228" s="4" t="n">
        <v>0.0475</v>
      </c>
      <c r="V1228" s="3" t="n">
        <v>6.8</v>
      </c>
      <c r="W1228" t="inlineStr">
        <is>
          <t>Debit Card</t>
        </is>
      </c>
      <c r="X1228" t="inlineStr">
        <is>
          <t>Critical</t>
        </is>
      </c>
    </row>
    <row r="1229">
      <c r="A1229" t="inlineStr">
        <is>
          <t>ORD-01252</t>
        </is>
      </c>
      <c r="B1229" s="2" t="n">
        <v>45406</v>
      </c>
      <c r="C1229" s="2" t="n">
        <v>45408</v>
      </c>
      <c r="D1229" t="inlineStr">
        <is>
          <t>CUST-01252</t>
        </is>
      </c>
      <c r="E1229" t="inlineStr">
        <is>
          <t>Customer 1252</t>
        </is>
      </c>
      <c r="F1229" t="inlineStr">
        <is>
          <t>Home Office</t>
        </is>
      </c>
      <c r="G1229" t="inlineStr">
        <is>
          <t>P1014</t>
        </is>
      </c>
      <c r="H1229" t="inlineStr">
        <is>
          <t>Summit Patio Set</t>
        </is>
      </c>
      <c r="I1229" t="inlineStr">
        <is>
          <t>Office Supplies</t>
        </is>
      </c>
      <c r="J1229" t="inlineStr">
        <is>
          <t>Paper</t>
        </is>
      </c>
      <c r="K1229" t="inlineStr">
        <is>
          <t>South</t>
        </is>
      </c>
      <c r="L1229" t="inlineStr">
        <is>
          <t>Texas</t>
        </is>
      </c>
      <c r="M1229" t="inlineStr">
        <is>
          <t>Dallas</t>
        </is>
      </c>
      <c r="N1229" t="inlineStr">
        <is>
          <t>Sophia Singh</t>
        </is>
      </c>
      <c r="O1229" t="n">
        <v>4</v>
      </c>
      <c r="P1229" s="3" t="n">
        <v>42.21</v>
      </c>
      <c r="Q1229" s="4" t="n">
        <v>0.028</v>
      </c>
      <c r="R1229" s="3" t="n">
        <v>164.11</v>
      </c>
      <c r="S1229" s="3" t="n">
        <v>68.09</v>
      </c>
      <c r="T1229" s="3" t="n">
        <v>86.81999999999999</v>
      </c>
      <c r="U1229" s="4" t="n">
        <v>0.529</v>
      </c>
      <c r="V1229" s="3" t="n">
        <v>9.199999999999999</v>
      </c>
      <c r="W1229" t="inlineStr">
        <is>
          <t>PayPal</t>
        </is>
      </c>
      <c r="X1229" t="inlineStr">
        <is>
          <t>Medium</t>
        </is>
      </c>
    </row>
    <row r="1230">
      <c r="A1230" t="inlineStr">
        <is>
          <t>ORD-01254</t>
        </is>
      </c>
      <c r="B1230" s="2" t="n">
        <v>45011</v>
      </c>
      <c r="C1230" s="2" t="n">
        <v>45015</v>
      </c>
      <c r="D1230" t="inlineStr">
        <is>
          <t>CUST-01254</t>
        </is>
      </c>
      <c r="E1230" t="inlineStr">
        <is>
          <t>Customer 1254</t>
        </is>
      </c>
      <c r="F1230" t="inlineStr">
        <is>
          <t>Corporate</t>
        </is>
      </c>
      <c r="G1230" t="inlineStr">
        <is>
          <t>P1019</t>
        </is>
      </c>
      <c r="H1230" t="inlineStr">
        <is>
          <t>Lumen Desk Lamp</t>
        </is>
      </c>
      <c r="I1230" t="inlineStr">
        <is>
          <t>Home Decor</t>
        </is>
      </c>
      <c r="J1230" t="inlineStr">
        <is>
          <t>Peripherals</t>
        </is>
      </c>
      <c r="K1230" t="inlineStr">
        <is>
          <t>North</t>
        </is>
      </c>
      <c r="L1230" t="inlineStr">
        <is>
          <t>British Columbia</t>
        </is>
      </c>
      <c r="M1230" t="inlineStr">
        <is>
          <t>Vancouver</t>
        </is>
      </c>
      <c r="N1230" t="inlineStr">
        <is>
          <t>Mia Rodriguez</t>
        </is>
      </c>
      <c r="O1230" t="n">
        <v>3</v>
      </c>
      <c r="P1230" s="3" t="n">
        <v>57.38</v>
      </c>
      <c r="Q1230" s="4" t="n">
        <v>0.018</v>
      </c>
      <c r="R1230" s="3" t="n">
        <v>169.04</v>
      </c>
      <c r="S1230" s="3" t="n">
        <v>74.62</v>
      </c>
      <c r="T1230" s="3" t="n">
        <v>86.02</v>
      </c>
      <c r="U1230" s="4" t="n">
        <v>0.5089</v>
      </c>
      <c r="V1230" s="3" t="n">
        <v>8.4</v>
      </c>
      <c r="W1230" t="inlineStr">
        <is>
          <t>Bank Transfer</t>
        </is>
      </c>
      <c r="X1230" t="inlineStr">
        <is>
          <t>Medium</t>
        </is>
      </c>
    </row>
    <row r="1231">
      <c r="A1231" t="inlineStr">
        <is>
          <t>ORD-01257</t>
        </is>
      </c>
      <c r="B1231" s="2" t="n">
        <v>45034</v>
      </c>
      <c r="C1231" s="2" t="n">
        <v>45041</v>
      </c>
      <c r="D1231" t="inlineStr">
        <is>
          <t>CUST-01257</t>
        </is>
      </c>
      <c r="E1231" t="inlineStr">
        <is>
          <t>Customer 1257</t>
        </is>
      </c>
      <c r="F1231" t="inlineStr">
        <is>
          <t>Consumer</t>
        </is>
      </c>
      <c r="G1231" t="inlineStr">
        <is>
          <t>P1009</t>
        </is>
      </c>
      <c r="H1231" t="inlineStr">
        <is>
          <t>Tide Cooler</t>
        </is>
      </c>
      <c r="I1231" t="inlineStr">
        <is>
          <t>Furniture</t>
        </is>
      </c>
      <c r="J1231" t="inlineStr">
        <is>
          <t>Furniture</t>
        </is>
      </c>
      <c r="K1231" t="inlineStr">
        <is>
          <t>Central</t>
        </is>
      </c>
      <c r="L1231" t="inlineStr">
        <is>
          <t>Missouri</t>
        </is>
      </c>
      <c r="M1231" t="inlineStr">
        <is>
          <t>St. Louis</t>
        </is>
      </c>
      <c r="N1231" t="inlineStr">
        <is>
          <t>Ava Patel</t>
        </is>
      </c>
      <c r="O1231" t="n">
        <v>3</v>
      </c>
      <c r="P1231" s="3" t="n">
        <v>92.76000000000001</v>
      </c>
      <c r="Q1231" s="4" t="n">
        <v>0.044</v>
      </c>
      <c r="R1231" s="3" t="n">
        <v>266.04</v>
      </c>
      <c r="S1231" s="3" t="n">
        <v>132.79</v>
      </c>
      <c r="T1231" s="3" t="n">
        <v>124.85</v>
      </c>
      <c r="U1231" s="4" t="n">
        <v>0.4693</v>
      </c>
      <c r="V1231" s="3" t="n">
        <v>8.4</v>
      </c>
      <c r="W1231" t="inlineStr">
        <is>
          <t>Bank Transfer</t>
        </is>
      </c>
      <c r="X1231" t="inlineStr">
        <is>
          <t>Critical</t>
        </is>
      </c>
    </row>
    <row r="1232">
      <c r="A1232" t="inlineStr">
        <is>
          <t>ORD-01258</t>
        </is>
      </c>
      <c r="B1232" s="2" t="n">
        <v>45415</v>
      </c>
      <c r="C1232" s="2" t="n">
        <v>45419</v>
      </c>
      <c r="D1232" t="inlineStr">
        <is>
          <t>CUST-01258</t>
        </is>
      </c>
      <c r="E1232" t="inlineStr">
        <is>
          <t>Customer 1258</t>
        </is>
      </c>
      <c r="F1232" t="inlineStr">
        <is>
          <t>Home Office</t>
        </is>
      </c>
      <c r="G1232" t="inlineStr">
        <is>
          <t>P1003</t>
        </is>
      </c>
      <c r="H1232" t="inlineStr">
        <is>
          <t>Halo Planter</t>
        </is>
      </c>
      <c r="I1232" t="inlineStr">
        <is>
          <t>Technology</t>
        </is>
      </c>
      <c r="J1232" t="inlineStr">
        <is>
          <t>Peripherals</t>
        </is>
      </c>
      <c r="K1232" t="inlineStr">
        <is>
          <t>Central</t>
        </is>
      </c>
      <c r="L1232" t="inlineStr">
        <is>
          <t>Missouri</t>
        </is>
      </c>
      <c r="M1232" t="inlineStr">
        <is>
          <t>Minneapolis</t>
        </is>
      </c>
      <c r="N1232" t="inlineStr">
        <is>
          <t>Noah Kim</t>
        </is>
      </c>
      <c r="O1232" t="n">
        <v>4</v>
      </c>
      <c r="P1232" s="3" t="n">
        <v>142.42</v>
      </c>
      <c r="Q1232" s="4" t="n">
        <v>0.02</v>
      </c>
      <c r="R1232" s="3" t="n">
        <v>558.29</v>
      </c>
      <c r="S1232" s="3" t="n">
        <v>293.07</v>
      </c>
      <c r="T1232" s="3" t="n">
        <v>256.02</v>
      </c>
      <c r="U1232" s="4" t="n">
        <v>0.4586</v>
      </c>
      <c r="V1232" s="3" t="n">
        <v>9.199999999999999</v>
      </c>
      <c r="W1232" t="inlineStr">
        <is>
          <t>Credit Card</t>
        </is>
      </c>
      <c r="X1232" t="inlineStr">
        <is>
          <t>Medium</t>
        </is>
      </c>
    </row>
    <row r="1233">
      <c r="A1233" t="inlineStr">
        <is>
          <t>ORD-01264</t>
        </is>
      </c>
      <c r="B1233" s="2" t="n">
        <v>45645</v>
      </c>
      <c r="C1233" s="2" t="n">
        <v>45649</v>
      </c>
      <c r="D1233" t="inlineStr">
        <is>
          <t>CUST-01264</t>
        </is>
      </c>
      <c r="E1233" t="inlineStr">
        <is>
          <t>Customer 1264</t>
        </is>
      </c>
      <c r="F1233" t="inlineStr">
        <is>
          <t>Home Office</t>
        </is>
      </c>
      <c r="G1233" t="inlineStr">
        <is>
          <t>P1009</t>
        </is>
      </c>
      <c r="H1233" t="inlineStr">
        <is>
          <t>Aero Standing Desk</t>
        </is>
      </c>
      <c r="I1233" t="inlineStr">
        <is>
          <t>Furniture</t>
        </is>
      </c>
      <c r="J1233" t="inlineStr">
        <is>
          <t>Peripherals</t>
        </is>
      </c>
      <c r="K1233" t="inlineStr">
        <is>
          <t>Central</t>
        </is>
      </c>
      <c r="L1233" t="inlineStr">
        <is>
          <t>Missouri</t>
        </is>
      </c>
      <c r="M1233" t="inlineStr">
        <is>
          <t>St. Louis</t>
        </is>
      </c>
      <c r="N1233" t="inlineStr">
        <is>
          <t>Noah Kim</t>
        </is>
      </c>
      <c r="O1233" t="n">
        <v>4</v>
      </c>
      <c r="P1233" s="3" t="n">
        <v>96.2</v>
      </c>
      <c r="Q1233" s="4" t="n">
        <v>0.002</v>
      </c>
      <c r="R1233" s="3" t="n">
        <v>384.03</v>
      </c>
      <c r="S1233" s="3" t="n">
        <v>189.7</v>
      </c>
      <c r="T1233" s="3" t="n">
        <v>185.13</v>
      </c>
      <c r="U1233" s="4" t="n">
        <v>0.4821</v>
      </c>
      <c r="V1233" s="3" t="n">
        <v>9.199999999999999</v>
      </c>
      <c r="W1233" t="inlineStr">
        <is>
          <t>Debit Card</t>
        </is>
      </c>
      <c r="X1233" t="inlineStr">
        <is>
          <t>Medium</t>
        </is>
      </c>
    </row>
    <row r="1234">
      <c r="A1234" t="inlineStr">
        <is>
          <t>ORD-01265</t>
        </is>
      </c>
      <c r="B1234" s="2" t="n">
        <v>44996</v>
      </c>
      <c r="C1234" s="2" t="n">
        <v>44999</v>
      </c>
      <c r="D1234" t="inlineStr">
        <is>
          <t>CUST-01265</t>
        </is>
      </c>
      <c r="E1234" t="inlineStr">
        <is>
          <t>Customer 1265</t>
        </is>
      </c>
      <c r="F1234" t="inlineStr">
        <is>
          <t>Corporate</t>
        </is>
      </c>
      <c r="G1234" t="inlineStr">
        <is>
          <t>P1018</t>
        </is>
      </c>
      <c r="H1234" t="inlineStr">
        <is>
          <t>Cove Wall Clock</t>
        </is>
      </c>
      <c r="I1234" t="inlineStr">
        <is>
          <t>Outdoor</t>
        </is>
      </c>
      <c r="J1234" t="inlineStr">
        <is>
          <t>Video</t>
        </is>
      </c>
      <c r="K1234" t="inlineStr">
        <is>
          <t>South</t>
        </is>
      </c>
      <c r="L1234" t="inlineStr">
        <is>
          <t>Texas</t>
        </is>
      </c>
      <c r="M1234" t="inlineStr">
        <is>
          <t>Miami</t>
        </is>
      </c>
      <c r="N1234" t="inlineStr">
        <is>
          <t>Ethan Brooks</t>
        </is>
      </c>
      <c r="O1234" t="n">
        <v>3</v>
      </c>
      <c r="P1234" s="3" t="n">
        <v>88.16</v>
      </c>
      <c r="Q1234" s="4" t="n">
        <v>0.02</v>
      </c>
      <c r="R1234" s="3" t="n">
        <v>259.19</v>
      </c>
      <c r="S1234" s="3" t="n">
        <v>120.71</v>
      </c>
      <c r="T1234" s="3" t="n">
        <v>130.08</v>
      </c>
      <c r="U1234" s="4" t="n">
        <v>0.5019</v>
      </c>
      <c r="V1234" s="3" t="n">
        <v>8.4</v>
      </c>
      <c r="W1234" t="inlineStr">
        <is>
          <t>Bank Transfer</t>
        </is>
      </c>
      <c r="X1234" t="inlineStr">
        <is>
          <t>Medium</t>
        </is>
      </c>
    </row>
    <row r="1235">
      <c r="A1235" t="inlineStr">
        <is>
          <t>ORD-01266</t>
        </is>
      </c>
      <c r="B1235" s="2" t="n">
        <v>45257</v>
      </c>
      <c r="C1235" s="2" t="n">
        <v>45263</v>
      </c>
      <c r="D1235" t="inlineStr">
        <is>
          <t>CUST-01266</t>
        </is>
      </c>
      <c r="E1235" t="inlineStr">
        <is>
          <t>Customer 1266</t>
        </is>
      </c>
      <c r="F1235" t="inlineStr">
        <is>
          <t>Consumer</t>
        </is>
      </c>
      <c r="G1235" t="inlineStr">
        <is>
          <t>P1014</t>
        </is>
      </c>
      <c r="H1235" t="inlineStr">
        <is>
          <t>Summit Patio Set</t>
        </is>
      </c>
      <c r="I1235" t="inlineStr">
        <is>
          <t>Home Decor</t>
        </is>
      </c>
      <c r="J1235" t="inlineStr">
        <is>
          <t>Peripherals</t>
        </is>
      </c>
      <c r="K1235" t="inlineStr">
        <is>
          <t>North</t>
        </is>
      </c>
      <c r="L1235" t="inlineStr">
        <is>
          <t>British Columbia</t>
        </is>
      </c>
      <c r="M1235" t="inlineStr">
        <is>
          <t>Vancouver</t>
        </is>
      </c>
      <c r="N1235" t="inlineStr">
        <is>
          <t>James Carter</t>
        </is>
      </c>
      <c r="O1235" t="n">
        <v>5</v>
      </c>
      <c r="P1235" s="3" t="n">
        <v>46.58</v>
      </c>
      <c r="Q1235" s="4" t="n">
        <v>0.08</v>
      </c>
      <c r="R1235" s="3" t="n">
        <v>214.27</v>
      </c>
      <c r="S1235" s="3" t="n">
        <v>92.44</v>
      </c>
      <c r="T1235" s="3" t="n">
        <v>111.83</v>
      </c>
      <c r="U1235" s="4" t="n">
        <v>0.5219</v>
      </c>
      <c r="V1235" s="3" t="n">
        <v>10</v>
      </c>
      <c r="W1235" t="inlineStr">
        <is>
          <t>Cash on Delivery</t>
        </is>
      </c>
      <c r="X1235" t="inlineStr">
        <is>
          <t>Critical</t>
        </is>
      </c>
    </row>
    <row r="1236">
      <c r="A1236" t="inlineStr">
        <is>
          <t>ORD-01269</t>
        </is>
      </c>
      <c r="B1236" s="2" t="n">
        <v>45463</v>
      </c>
      <c r="C1236" s="2" t="n">
        <v>45464</v>
      </c>
      <c r="D1236" t="inlineStr">
        <is>
          <t>CUST-01269</t>
        </is>
      </c>
      <c r="E1236" t="inlineStr">
        <is>
          <t>Customer 1269</t>
        </is>
      </c>
      <c r="F1236" t="inlineStr">
        <is>
          <t>Consumer</t>
        </is>
      </c>
      <c r="G1236" t="inlineStr">
        <is>
          <t>P1004</t>
        </is>
      </c>
      <c r="H1236" t="inlineStr">
        <is>
          <t>Tide Cooler</t>
        </is>
      </c>
      <c r="I1236" t="inlineStr">
        <is>
          <t>Technology</t>
        </is>
      </c>
      <c r="J1236" t="inlineStr">
        <is>
          <t>Chairs</t>
        </is>
      </c>
      <c r="K1236" t="inlineStr">
        <is>
          <t>Central</t>
        </is>
      </c>
      <c r="L1236" t="inlineStr">
        <is>
          <t>Minnesota</t>
        </is>
      </c>
      <c r="M1236" t="inlineStr">
        <is>
          <t>Minneapolis</t>
        </is>
      </c>
      <c r="N1236" t="inlineStr">
        <is>
          <t>Mia Rodriguez</t>
        </is>
      </c>
      <c r="O1236" t="n">
        <v>5</v>
      </c>
      <c r="P1236" s="3" t="n">
        <v>606.52</v>
      </c>
      <c r="Q1236" s="4" t="n">
        <v>0.024</v>
      </c>
      <c r="R1236" s="3" t="n">
        <v>2959.82</v>
      </c>
      <c r="S1236" s="3" t="n">
        <v>1875.02</v>
      </c>
      <c r="T1236" s="3" t="n">
        <v>1074.8</v>
      </c>
      <c r="U1236" s="4" t="n">
        <v>0.3631</v>
      </c>
      <c r="V1236" s="3" t="n">
        <v>10</v>
      </c>
      <c r="W1236" t="inlineStr">
        <is>
          <t>Debit Card</t>
        </is>
      </c>
      <c r="X1236" t="inlineStr">
        <is>
          <t>Medium</t>
        </is>
      </c>
    </row>
    <row r="1237">
      <c r="A1237" t="inlineStr">
        <is>
          <t>ORD-01275</t>
        </is>
      </c>
      <c r="B1237" s="2" t="n">
        <v>45630</v>
      </c>
      <c r="C1237" s="2" t="n">
        <v>45637</v>
      </c>
      <c r="D1237" t="inlineStr">
        <is>
          <t>CUST-01275</t>
        </is>
      </c>
      <c r="E1237" t="inlineStr">
        <is>
          <t>Customer 1275</t>
        </is>
      </c>
      <c r="F1237" t="inlineStr">
        <is>
          <t>Consumer</t>
        </is>
      </c>
      <c r="G1237" t="inlineStr">
        <is>
          <t>P1017</t>
        </is>
      </c>
      <c r="H1237" t="inlineStr">
        <is>
          <t>Summit Patio Set</t>
        </is>
      </c>
      <c r="I1237" t="inlineStr">
        <is>
          <t>Technology</t>
        </is>
      </c>
      <c r="J1237" t="inlineStr">
        <is>
          <t>Decor</t>
        </is>
      </c>
      <c r="K1237" t="inlineStr">
        <is>
          <t>South</t>
        </is>
      </c>
      <c r="L1237" t="inlineStr">
        <is>
          <t>Georgia</t>
        </is>
      </c>
      <c r="M1237" t="inlineStr">
        <is>
          <t>Atlanta</t>
        </is>
      </c>
      <c r="N1237" t="inlineStr">
        <is>
          <t>Liam Chen</t>
        </is>
      </c>
      <c r="O1237" t="n">
        <v>3</v>
      </c>
      <c r="P1237" s="3" t="n">
        <v>571.9299999999999</v>
      </c>
      <c r="Q1237" s="4" t="n">
        <v>0.001</v>
      </c>
      <c r="R1237" s="3" t="n">
        <v>1714.07</v>
      </c>
      <c r="S1237" s="3" t="n">
        <v>1136.61</v>
      </c>
      <c r="T1237" s="3" t="n">
        <v>569.0599999999999</v>
      </c>
      <c r="U1237" s="4" t="n">
        <v>0.332</v>
      </c>
      <c r="V1237" s="3" t="n">
        <v>8.4</v>
      </c>
      <c r="W1237" t="inlineStr">
        <is>
          <t>Credit Card</t>
        </is>
      </c>
      <c r="X1237" t="inlineStr">
        <is>
          <t>Low</t>
        </is>
      </c>
    </row>
    <row r="1238">
      <c r="A1238" t="inlineStr">
        <is>
          <t>ORD-01278</t>
        </is>
      </c>
      <c r="B1238" s="2" t="n">
        <v>45755</v>
      </c>
      <c r="C1238" s="2" t="n">
        <v>45756</v>
      </c>
      <c r="D1238" t="inlineStr">
        <is>
          <t>CUST-01278</t>
        </is>
      </c>
      <c r="E1238" t="inlineStr">
        <is>
          <t>Customer 1278</t>
        </is>
      </c>
      <c r="F1238" t="inlineStr">
        <is>
          <t>Corporate</t>
        </is>
      </c>
      <c r="G1238" t="inlineStr">
        <is>
          <t>P1009</t>
        </is>
      </c>
      <c r="H1238" t="inlineStr">
        <is>
          <t>Cove Wall Clock</t>
        </is>
      </c>
      <c r="I1238" t="inlineStr">
        <is>
          <t>Technology</t>
        </is>
      </c>
      <c r="J1238" t="inlineStr">
        <is>
          <t>Video</t>
        </is>
      </c>
      <c r="K1238" t="inlineStr">
        <is>
          <t>North</t>
        </is>
      </c>
      <c r="L1238" t="inlineStr">
        <is>
          <t>Alberta</t>
        </is>
      </c>
      <c r="M1238" t="inlineStr">
        <is>
          <t>Toronto</t>
        </is>
      </c>
      <c r="N1238" t="inlineStr">
        <is>
          <t>James Carter</t>
        </is>
      </c>
      <c r="O1238" t="n">
        <v>1</v>
      </c>
      <c r="P1238" s="3" t="n">
        <v>90.09</v>
      </c>
      <c r="Q1238" s="4" t="n">
        <v>0.012</v>
      </c>
      <c r="R1238" s="3" t="n">
        <v>89.01000000000001</v>
      </c>
      <c r="S1238" s="3" t="n">
        <v>52.07</v>
      </c>
      <c r="T1238" s="3" t="n">
        <v>30.14</v>
      </c>
      <c r="U1238" s="4" t="n">
        <v>0.3386</v>
      </c>
      <c r="V1238" s="3" t="n">
        <v>6.8</v>
      </c>
      <c r="W1238" t="inlineStr">
        <is>
          <t>Cash on Delivery</t>
        </is>
      </c>
      <c r="X1238" t="inlineStr">
        <is>
          <t>Low</t>
        </is>
      </c>
    </row>
    <row r="1239">
      <c r="A1239" t="inlineStr">
        <is>
          <t>ORD-01280</t>
        </is>
      </c>
      <c r="B1239" s="2" t="n">
        <v>45429</v>
      </c>
      <c r="C1239" s="2" t="n">
        <v>45430</v>
      </c>
      <c r="D1239" t="inlineStr">
        <is>
          <t>CUST-01280</t>
        </is>
      </c>
      <c r="E1239" t="inlineStr">
        <is>
          <t>Customer 1280</t>
        </is>
      </c>
      <c r="F1239" t="inlineStr">
        <is>
          <t>Corporate</t>
        </is>
      </c>
      <c r="G1239" t="inlineStr">
        <is>
          <t>P1015</t>
        </is>
      </c>
      <c r="H1239" t="inlineStr">
        <is>
          <t>Halo Planter</t>
        </is>
      </c>
      <c r="I1239" t="inlineStr">
        <is>
          <t>Office Supplies</t>
        </is>
      </c>
      <c r="J1239" t="inlineStr">
        <is>
          <t>Lighting</t>
        </is>
      </c>
      <c r="K1239" t="inlineStr">
        <is>
          <t>Central</t>
        </is>
      </c>
      <c r="L1239" t="inlineStr">
        <is>
          <t>Illinois</t>
        </is>
      </c>
      <c r="M1239" t="inlineStr">
        <is>
          <t>St. Louis</t>
        </is>
      </c>
      <c r="N1239" t="inlineStr">
        <is>
          <t>Liam Chen</t>
        </is>
      </c>
      <c r="O1239" t="n">
        <v>1</v>
      </c>
      <c r="P1239" s="3" t="n">
        <v>66.88</v>
      </c>
      <c r="Q1239" s="4" t="n">
        <v>0.028</v>
      </c>
      <c r="R1239" s="3" t="n">
        <v>65.01000000000001</v>
      </c>
      <c r="S1239" s="3" t="n">
        <v>33.1</v>
      </c>
      <c r="T1239" s="3" t="n">
        <v>25.11</v>
      </c>
      <c r="U1239" s="4" t="n">
        <v>0.3862</v>
      </c>
      <c r="V1239" s="3" t="n">
        <v>6.8</v>
      </c>
      <c r="W1239" t="inlineStr">
        <is>
          <t>Bank Transfer</t>
        </is>
      </c>
      <c r="X1239" t="inlineStr">
        <is>
          <t>Medium</t>
        </is>
      </c>
    </row>
    <row r="1240">
      <c r="A1240" t="inlineStr">
        <is>
          <t>ORD-01281</t>
        </is>
      </c>
      <c r="B1240" s="2" t="n">
        <v>45353</v>
      </c>
      <c r="C1240" s="2" t="n">
        <v>45356</v>
      </c>
      <c r="D1240" t="inlineStr">
        <is>
          <t>CUST-01281</t>
        </is>
      </c>
      <c r="E1240" t="inlineStr">
        <is>
          <t>Customer 1281</t>
        </is>
      </c>
      <c r="F1240" t="inlineStr">
        <is>
          <t>Home Office</t>
        </is>
      </c>
      <c r="G1240" t="inlineStr">
        <is>
          <t>P1020</t>
        </is>
      </c>
      <c r="H1240" t="inlineStr">
        <is>
          <t>Northstar Lantern</t>
        </is>
      </c>
      <c r="I1240" t="inlineStr">
        <is>
          <t>Outdoor</t>
        </is>
      </c>
      <c r="J1240" t="inlineStr">
        <is>
          <t>Desks</t>
        </is>
      </c>
      <c r="K1240" t="inlineStr">
        <is>
          <t>South</t>
        </is>
      </c>
      <c r="L1240" t="inlineStr">
        <is>
          <t>Texas</t>
        </is>
      </c>
      <c r="M1240" t="inlineStr">
        <is>
          <t>Atlanta</t>
        </is>
      </c>
      <c r="N1240" t="inlineStr">
        <is>
          <t>Olivia Martin</t>
        </is>
      </c>
      <c r="O1240" t="n">
        <v>3</v>
      </c>
      <c r="P1240" s="3" t="n">
        <v>70.45999999999999</v>
      </c>
      <c r="Q1240" s="4" t="n">
        <v>0.012</v>
      </c>
      <c r="R1240" s="3" t="n">
        <v>208.84</v>
      </c>
      <c r="S1240" s="3" t="n">
        <v>101.76</v>
      </c>
      <c r="T1240" s="3" t="n">
        <v>98.68000000000001</v>
      </c>
      <c r="U1240" s="4" t="n">
        <v>0.4725</v>
      </c>
      <c r="V1240" s="3" t="n">
        <v>8.4</v>
      </c>
      <c r="W1240" t="inlineStr">
        <is>
          <t>PayPal</t>
        </is>
      </c>
      <c r="X1240" t="inlineStr">
        <is>
          <t>Low</t>
        </is>
      </c>
    </row>
    <row r="1241">
      <c r="A1241" t="inlineStr">
        <is>
          <t>ORD-01283</t>
        </is>
      </c>
      <c r="B1241" s="2" t="n">
        <v>45428</v>
      </c>
      <c r="C1241" s="2" t="n">
        <v>45431</v>
      </c>
      <c r="D1241" t="inlineStr">
        <is>
          <t>CUST-01283</t>
        </is>
      </c>
      <c r="E1241" t="inlineStr">
        <is>
          <t>Customer 1283</t>
        </is>
      </c>
      <c r="F1241" t="inlineStr">
        <is>
          <t>Corporate</t>
        </is>
      </c>
      <c r="G1241" t="inlineStr">
        <is>
          <t>P1012</t>
        </is>
      </c>
      <c r="H1241" t="inlineStr">
        <is>
          <t>Trail Tote</t>
        </is>
      </c>
      <c r="I1241" t="inlineStr">
        <is>
          <t>Furniture</t>
        </is>
      </c>
      <c r="J1241" t="inlineStr">
        <is>
          <t>Decor</t>
        </is>
      </c>
      <c r="K1241" t="inlineStr">
        <is>
          <t>Central</t>
        </is>
      </c>
      <c r="L1241" t="inlineStr">
        <is>
          <t>Kansas</t>
        </is>
      </c>
      <c r="M1241" t="inlineStr">
        <is>
          <t>Chicago</t>
        </is>
      </c>
      <c r="N1241" t="inlineStr">
        <is>
          <t>Ava Patel</t>
        </is>
      </c>
      <c r="O1241" t="n">
        <v>2</v>
      </c>
      <c r="P1241" s="3" t="n">
        <v>131.25</v>
      </c>
      <c r="Q1241" s="4" t="n">
        <v>0.04</v>
      </c>
      <c r="R1241" s="3" t="n">
        <v>252</v>
      </c>
      <c r="S1241" s="3" t="n">
        <v>133.13</v>
      </c>
      <c r="T1241" s="3" t="n">
        <v>111.27</v>
      </c>
      <c r="U1241" s="4" t="n">
        <v>0.4415</v>
      </c>
      <c r="V1241" s="3" t="n">
        <v>7.6</v>
      </c>
      <c r="W1241" t="inlineStr">
        <is>
          <t>Cash on Delivery</t>
        </is>
      </c>
      <c r="X1241" t="inlineStr">
        <is>
          <t>Medium</t>
        </is>
      </c>
    </row>
    <row r="1242">
      <c r="A1242" t="inlineStr">
        <is>
          <t>ORD-01284</t>
        </is>
      </c>
      <c r="B1242" s="2" t="n">
        <v>45179</v>
      </c>
      <c r="C1242" s="2" t="n">
        <v>45185</v>
      </c>
      <c r="D1242" t="inlineStr">
        <is>
          <t>CUST-01284</t>
        </is>
      </c>
      <c r="E1242" t="inlineStr">
        <is>
          <t>Customer 1284</t>
        </is>
      </c>
      <c r="F1242" t="inlineStr">
        <is>
          <t>Consumer</t>
        </is>
      </c>
      <c r="G1242" t="inlineStr">
        <is>
          <t>P1018</t>
        </is>
      </c>
      <c r="H1242" t="inlineStr">
        <is>
          <t>Trail Tote</t>
        </is>
      </c>
      <c r="I1242" t="inlineStr">
        <is>
          <t>Furniture</t>
        </is>
      </c>
      <c r="J1242" t="inlineStr">
        <is>
          <t>Storage</t>
        </is>
      </c>
      <c r="K1242" t="inlineStr">
        <is>
          <t>South</t>
        </is>
      </c>
      <c r="L1242" t="inlineStr">
        <is>
          <t>Georgia</t>
        </is>
      </c>
      <c r="M1242" t="inlineStr">
        <is>
          <t>Atlanta</t>
        </is>
      </c>
      <c r="N1242" t="inlineStr">
        <is>
          <t>Olivia Martin</t>
        </is>
      </c>
      <c r="O1242" t="n">
        <v>4</v>
      </c>
      <c r="P1242" s="3" t="n">
        <v>88.3</v>
      </c>
      <c r="Q1242" s="4" t="n">
        <v>0.018</v>
      </c>
      <c r="R1242" s="3" t="n">
        <v>346.84</v>
      </c>
      <c r="S1242" s="3" t="n">
        <v>158.79</v>
      </c>
      <c r="T1242" s="3" t="n">
        <v>178.85</v>
      </c>
      <c r="U1242" s="4" t="n">
        <v>0.5157</v>
      </c>
      <c r="V1242" s="3" t="n">
        <v>9.199999999999999</v>
      </c>
      <c r="W1242" t="inlineStr">
        <is>
          <t>PayPal</t>
        </is>
      </c>
      <c r="X1242" t="inlineStr">
        <is>
          <t>Medium</t>
        </is>
      </c>
    </row>
    <row r="1243">
      <c r="A1243" t="inlineStr">
        <is>
          <t>ORD-01285</t>
        </is>
      </c>
      <c r="B1243" s="2" t="n">
        <v>45506</v>
      </c>
      <c r="C1243" s="2" t="n">
        <v>45510</v>
      </c>
      <c r="D1243" t="inlineStr">
        <is>
          <t>CUST-01285</t>
        </is>
      </c>
      <c r="E1243" t="inlineStr">
        <is>
          <t>Customer 1285</t>
        </is>
      </c>
      <c r="F1243" t="inlineStr">
        <is>
          <t>Corporate</t>
        </is>
      </c>
      <c r="G1243" t="inlineStr">
        <is>
          <t>P1007</t>
        </is>
      </c>
      <c r="H1243" t="inlineStr">
        <is>
          <t>Atlas Throw Pillow</t>
        </is>
      </c>
      <c r="I1243" t="inlineStr">
        <is>
          <t>Office Supplies</t>
        </is>
      </c>
      <c r="J1243" t="inlineStr">
        <is>
          <t>Desks</t>
        </is>
      </c>
      <c r="K1243" t="inlineStr">
        <is>
          <t>South</t>
        </is>
      </c>
      <c r="L1243" t="inlineStr">
        <is>
          <t>Florida</t>
        </is>
      </c>
      <c r="M1243" t="inlineStr">
        <is>
          <t>Dallas</t>
        </is>
      </c>
      <c r="N1243" t="inlineStr">
        <is>
          <t>James Carter</t>
        </is>
      </c>
      <c r="O1243" t="n">
        <v>4</v>
      </c>
      <c r="P1243" s="3" t="n">
        <v>25.28</v>
      </c>
      <c r="Q1243" s="4" t="n">
        <v>0.026</v>
      </c>
      <c r="R1243" s="3" t="n">
        <v>98.48999999999999</v>
      </c>
      <c r="S1243" s="3" t="n">
        <v>39.54</v>
      </c>
      <c r="T1243" s="3" t="n">
        <v>49.75</v>
      </c>
      <c r="U1243" s="4" t="n">
        <v>0.5051</v>
      </c>
      <c r="V1243" s="3" t="n">
        <v>9.199999999999999</v>
      </c>
      <c r="W1243" t="inlineStr">
        <is>
          <t>Credit Card</t>
        </is>
      </c>
      <c r="X1243" t="inlineStr">
        <is>
          <t>High</t>
        </is>
      </c>
    </row>
    <row r="1244">
      <c r="A1244" t="inlineStr">
        <is>
          <t>ORD-01288</t>
        </is>
      </c>
      <c r="B1244" s="2" t="n">
        <v>45584</v>
      </c>
      <c r="C1244" s="2" t="n">
        <v>45588</v>
      </c>
      <c r="D1244" t="inlineStr">
        <is>
          <t>CUST-01288</t>
        </is>
      </c>
      <c r="E1244" t="inlineStr">
        <is>
          <t>Customer 1288</t>
        </is>
      </c>
      <c r="F1244" t="inlineStr">
        <is>
          <t>Home Office</t>
        </is>
      </c>
      <c r="G1244" t="inlineStr">
        <is>
          <t>P1006</t>
        </is>
      </c>
      <c r="H1244" t="inlineStr">
        <is>
          <t>CloudDrive File Box</t>
        </is>
      </c>
      <c r="I1244" t="inlineStr">
        <is>
          <t>Home Decor</t>
        </is>
      </c>
      <c r="J1244" t="inlineStr">
        <is>
          <t>Coolers</t>
        </is>
      </c>
      <c r="K1244" t="inlineStr">
        <is>
          <t>Central</t>
        </is>
      </c>
      <c r="L1244" t="inlineStr">
        <is>
          <t>Illinois</t>
        </is>
      </c>
      <c r="M1244" t="inlineStr">
        <is>
          <t>Chicago</t>
        </is>
      </c>
      <c r="N1244" t="inlineStr">
        <is>
          <t>Sophia Singh</t>
        </is>
      </c>
      <c r="O1244" t="n">
        <v>3</v>
      </c>
      <c r="P1244" s="3" t="n">
        <v>18.47</v>
      </c>
      <c r="Q1244" s="4" t="n">
        <v>0.028</v>
      </c>
      <c r="R1244" s="3" t="n">
        <v>53.86</v>
      </c>
      <c r="S1244" s="3" t="n">
        <v>21.77</v>
      </c>
      <c r="T1244" s="3" t="n">
        <v>23.69</v>
      </c>
      <c r="U1244" s="4" t="n">
        <v>0.4398</v>
      </c>
      <c r="V1244" s="3" t="n">
        <v>8.4</v>
      </c>
      <c r="W1244" t="inlineStr">
        <is>
          <t>Credit Card</t>
        </is>
      </c>
      <c r="X1244" t="inlineStr">
        <is>
          <t>Medium</t>
        </is>
      </c>
    </row>
    <row r="1245">
      <c r="A1245" t="inlineStr">
        <is>
          <t>ORD-01289</t>
        </is>
      </c>
      <c r="B1245" s="2" t="n">
        <v>44982</v>
      </c>
      <c r="C1245" s="2" t="n">
        <v>44988</v>
      </c>
      <c r="D1245" t="inlineStr">
        <is>
          <t>CUST-01289</t>
        </is>
      </c>
      <c r="E1245" t="inlineStr">
        <is>
          <t>Customer 1289</t>
        </is>
      </c>
      <c r="F1245" t="inlineStr">
        <is>
          <t>Consumer</t>
        </is>
      </c>
      <c r="G1245" t="inlineStr">
        <is>
          <t>P1006</t>
        </is>
      </c>
      <c r="H1245" t="inlineStr">
        <is>
          <t>Cove Wall Clock</t>
        </is>
      </c>
      <c r="I1245" t="inlineStr">
        <is>
          <t>Outdoor</t>
        </is>
      </c>
      <c r="J1245" t="inlineStr">
        <is>
          <t>Video</t>
        </is>
      </c>
      <c r="K1245" t="inlineStr">
        <is>
          <t>Central</t>
        </is>
      </c>
      <c r="L1245" t="inlineStr">
        <is>
          <t>Kansas</t>
        </is>
      </c>
      <c r="M1245" t="inlineStr">
        <is>
          <t>Kansas City</t>
        </is>
      </c>
      <c r="N1245" t="inlineStr">
        <is>
          <t>James Carter</t>
        </is>
      </c>
      <c r="O1245" t="n">
        <v>1</v>
      </c>
      <c r="P1245" s="3" t="n">
        <v>18.1</v>
      </c>
      <c r="Q1245" s="4" t="n">
        <v>0.007</v>
      </c>
      <c r="R1245" s="3" t="n">
        <v>17.97</v>
      </c>
      <c r="S1245" s="3" t="n">
        <v>16.89</v>
      </c>
      <c r="T1245" s="3" t="n">
        <v>-5.72</v>
      </c>
      <c r="U1245" s="4" t="n">
        <v>-0.3183</v>
      </c>
      <c r="V1245" s="3" t="n">
        <v>6.8</v>
      </c>
      <c r="W1245" t="inlineStr">
        <is>
          <t>PayPal</t>
        </is>
      </c>
      <c r="X1245" t="inlineStr">
        <is>
          <t>Medium</t>
        </is>
      </c>
    </row>
    <row r="1246">
      <c r="A1246" t="inlineStr">
        <is>
          <t>ORD-01290</t>
        </is>
      </c>
      <c r="B1246" s="2" t="n">
        <v>45194</v>
      </c>
      <c r="C1246" s="2" t="n">
        <v>45196</v>
      </c>
      <c r="D1246" t="inlineStr">
        <is>
          <t>CUST-01290</t>
        </is>
      </c>
      <c r="E1246" t="inlineStr">
        <is>
          <t>Customer 1290</t>
        </is>
      </c>
      <c r="F1246" t="inlineStr">
        <is>
          <t>Consumer</t>
        </is>
      </c>
      <c r="G1246" t="inlineStr">
        <is>
          <t>P1006</t>
        </is>
      </c>
      <c r="H1246" t="inlineStr">
        <is>
          <t>Tide Cooler</t>
        </is>
      </c>
      <c r="I1246" t="inlineStr">
        <is>
          <t>Furniture</t>
        </is>
      </c>
      <c r="J1246" t="inlineStr">
        <is>
          <t>Coolers</t>
        </is>
      </c>
      <c r="K1246" t="inlineStr">
        <is>
          <t>Central</t>
        </is>
      </c>
      <c r="L1246" t="inlineStr">
        <is>
          <t>Missouri</t>
        </is>
      </c>
      <c r="M1246" t="inlineStr">
        <is>
          <t>Minneapolis</t>
        </is>
      </c>
      <c r="N1246" t="inlineStr">
        <is>
          <t>Ethan Brooks</t>
        </is>
      </c>
      <c r="O1246" t="n">
        <v>1</v>
      </c>
      <c r="P1246" s="3" t="n">
        <v>17.7</v>
      </c>
      <c r="Q1246" s="4" t="n">
        <v>0.029</v>
      </c>
      <c r="R1246" s="3" t="n">
        <v>17.19</v>
      </c>
      <c r="S1246" s="3" t="n">
        <v>16.92</v>
      </c>
      <c r="T1246" s="3" t="n">
        <v>-6.53</v>
      </c>
      <c r="U1246" s="4" t="n">
        <v>-0.3799</v>
      </c>
      <c r="V1246" s="3" t="n">
        <v>6.8</v>
      </c>
      <c r="W1246" t="inlineStr">
        <is>
          <t>Cash on Delivery</t>
        </is>
      </c>
      <c r="X1246" t="inlineStr">
        <is>
          <t>Medium</t>
        </is>
      </c>
    </row>
    <row r="1247">
      <c r="A1247" t="inlineStr">
        <is>
          <t>ORD-01293</t>
        </is>
      </c>
      <c r="B1247" s="2" t="n">
        <v>45360</v>
      </c>
      <c r="C1247" s="2" t="n">
        <v>45365</v>
      </c>
      <c r="D1247" t="inlineStr">
        <is>
          <t>CUST-01293</t>
        </is>
      </c>
      <c r="E1247" t="inlineStr">
        <is>
          <t>Customer 1293</t>
        </is>
      </c>
      <c r="F1247" t="inlineStr">
        <is>
          <t>Consumer</t>
        </is>
      </c>
      <c r="G1247" t="inlineStr">
        <is>
          <t>P1009</t>
        </is>
      </c>
      <c r="H1247" t="inlineStr">
        <is>
          <t>ProClip Binder</t>
        </is>
      </c>
      <c r="I1247" t="inlineStr">
        <is>
          <t>Home Decor</t>
        </is>
      </c>
      <c r="J1247" t="inlineStr">
        <is>
          <t>Coolers</t>
        </is>
      </c>
      <c r="K1247" t="inlineStr">
        <is>
          <t>North</t>
        </is>
      </c>
      <c r="L1247" t="inlineStr">
        <is>
          <t>Alberta</t>
        </is>
      </c>
      <c r="M1247" t="inlineStr">
        <is>
          <t>Toronto</t>
        </is>
      </c>
      <c r="N1247" t="inlineStr">
        <is>
          <t>James Carter</t>
        </is>
      </c>
      <c r="O1247" t="n">
        <v>1</v>
      </c>
      <c r="P1247" s="3" t="n">
        <v>93.22</v>
      </c>
      <c r="Q1247" s="4" t="n">
        <v>0.007</v>
      </c>
      <c r="R1247" s="3" t="n">
        <v>92.56999999999999</v>
      </c>
      <c r="S1247" s="3" t="n">
        <v>55.12</v>
      </c>
      <c r="T1247" s="3" t="n">
        <v>30.65</v>
      </c>
      <c r="U1247" s="4" t="n">
        <v>0.3311</v>
      </c>
      <c r="V1247" s="3" t="n">
        <v>6.8</v>
      </c>
      <c r="W1247" t="inlineStr">
        <is>
          <t>Credit Card</t>
        </is>
      </c>
      <c r="X1247" t="inlineStr">
        <is>
          <t>Low</t>
        </is>
      </c>
    </row>
    <row r="1248">
      <c r="A1248" t="inlineStr">
        <is>
          <t>ORD-01296</t>
        </is>
      </c>
      <c r="B1248" s="2" t="n">
        <v>45097</v>
      </c>
      <c r="C1248" s="2" t="n">
        <v>45103</v>
      </c>
      <c r="D1248" t="inlineStr">
        <is>
          <t>CUST-01296</t>
        </is>
      </c>
      <c r="E1248" t="inlineStr">
        <is>
          <t>Customer 1296</t>
        </is>
      </c>
      <c r="F1248" t="inlineStr">
        <is>
          <t>Consumer</t>
        </is>
      </c>
      <c r="G1248" t="inlineStr">
        <is>
          <t>P1016</t>
        </is>
      </c>
      <c r="H1248" t="inlineStr">
        <is>
          <t>Northstar Lantern</t>
        </is>
      </c>
      <c r="I1248" t="inlineStr">
        <is>
          <t>Technology</t>
        </is>
      </c>
      <c r="J1248" t="inlineStr">
        <is>
          <t>Accessories</t>
        </is>
      </c>
      <c r="K1248" t="inlineStr">
        <is>
          <t>Central</t>
        </is>
      </c>
      <c r="L1248" t="inlineStr">
        <is>
          <t>Missouri</t>
        </is>
      </c>
      <c r="M1248" t="inlineStr">
        <is>
          <t>Chicago</t>
        </is>
      </c>
      <c r="N1248" t="inlineStr">
        <is>
          <t>Sophia Singh</t>
        </is>
      </c>
      <c r="O1248" t="n">
        <v>4</v>
      </c>
      <c r="P1248" s="3" t="n">
        <v>39.19</v>
      </c>
      <c r="Q1248" s="4" t="n">
        <v>0.059</v>
      </c>
      <c r="R1248" s="3" t="n">
        <v>147.51</v>
      </c>
      <c r="S1248" s="3" t="n">
        <v>60.28</v>
      </c>
      <c r="T1248" s="3" t="n">
        <v>78.03</v>
      </c>
      <c r="U1248" s="4" t="n">
        <v>0.529</v>
      </c>
      <c r="V1248" s="3" t="n">
        <v>9.199999999999999</v>
      </c>
      <c r="W1248" t="inlineStr">
        <is>
          <t>Bank Transfer</t>
        </is>
      </c>
      <c r="X1248" t="inlineStr">
        <is>
          <t>High</t>
        </is>
      </c>
    </row>
    <row r="1249">
      <c r="A1249" t="inlineStr">
        <is>
          <t>ORD-01305</t>
        </is>
      </c>
      <c r="B1249" s="2" t="n">
        <v>45932</v>
      </c>
      <c r="C1249" s="2" t="n">
        <v>45933</v>
      </c>
      <c r="D1249" t="inlineStr">
        <is>
          <t>CUST-01305</t>
        </is>
      </c>
      <c r="E1249" t="inlineStr">
        <is>
          <t>Customer 1305</t>
        </is>
      </c>
      <c r="F1249" t="inlineStr">
        <is>
          <t>Home Office</t>
        </is>
      </c>
      <c r="G1249" t="inlineStr">
        <is>
          <t>P1003</t>
        </is>
      </c>
      <c r="H1249" t="inlineStr">
        <is>
          <t>Cove Wall Clock</t>
        </is>
      </c>
      <c r="I1249" t="inlineStr">
        <is>
          <t>Furniture</t>
        </is>
      </c>
      <c r="J1249" t="inlineStr">
        <is>
          <t>Accessories</t>
        </is>
      </c>
      <c r="K1249" t="inlineStr">
        <is>
          <t>North</t>
        </is>
      </c>
      <c r="L1249" t="inlineStr">
        <is>
          <t>British Columbia</t>
        </is>
      </c>
      <c r="M1249" t="inlineStr">
        <is>
          <t>Vancouver</t>
        </is>
      </c>
      <c r="N1249" t="inlineStr">
        <is>
          <t>Mia Rodriguez</t>
        </is>
      </c>
      <c r="O1249" t="n">
        <v>3</v>
      </c>
      <c r="P1249" s="3" t="n">
        <v>165.48</v>
      </c>
      <c r="Q1249" s="4" t="n">
        <v>0.015</v>
      </c>
      <c r="R1249" s="3" t="n">
        <v>488.99</v>
      </c>
      <c r="S1249" s="3" t="n">
        <v>255.69</v>
      </c>
      <c r="T1249" s="3" t="n">
        <v>224.9</v>
      </c>
      <c r="U1249" s="4" t="n">
        <v>0.4599</v>
      </c>
      <c r="V1249" s="3" t="n">
        <v>8.4</v>
      </c>
      <c r="W1249" t="inlineStr">
        <is>
          <t>Debit Card</t>
        </is>
      </c>
      <c r="X1249" t="inlineStr">
        <is>
          <t>Low</t>
        </is>
      </c>
    </row>
    <row r="1250">
      <c r="A1250" t="inlineStr">
        <is>
          <t>ORD-01306</t>
        </is>
      </c>
      <c r="B1250" s="2" t="n">
        <v>45975</v>
      </c>
      <c r="C1250" s="2" t="n">
        <v>45977</v>
      </c>
      <c r="D1250" t="inlineStr">
        <is>
          <t>CUST-01306</t>
        </is>
      </c>
      <c r="E1250" t="inlineStr">
        <is>
          <t>Customer 1306</t>
        </is>
      </c>
      <c r="F1250" t="inlineStr">
        <is>
          <t>Consumer</t>
        </is>
      </c>
      <c r="G1250" t="inlineStr">
        <is>
          <t>P1002</t>
        </is>
      </c>
      <c r="H1250" t="inlineStr">
        <is>
          <t>ErgoMesh Chair</t>
        </is>
      </c>
      <c r="I1250" t="inlineStr">
        <is>
          <t>Office Supplies</t>
        </is>
      </c>
      <c r="J1250" t="inlineStr">
        <is>
          <t>Plants</t>
        </is>
      </c>
      <c r="K1250" t="inlineStr">
        <is>
          <t>Central</t>
        </is>
      </c>
      <c r="L1250" t="inlineStr">
        <is>
          <t>Minnesota</t>
        </is>
      </c>
      <c r="M1250" t="inlineStr">
        <is>
          <t>St. Louis</t>
        </is>
      </c>
      <c r="N1250" t="inlineStr">
        <is>
          <t>Ava Patel</t>
        </is>
      </c>
      <c r="O1250" t="n">
        <v>2</v>
      </c>
      <c r="P1250" s="3" t="n">
        <v>84</v>
      </c>
      <c r="Q1250" s="4" t="n">
        <v>0.059</v>
      </c>
      <c r="R1250" s="3" t="n">
        <v>158.09</v>
      </c>
      <c r="S1250" s="3" t="n">
        <v>80.34999999999999</v>
      </c>
      <c r="T1250" s="3" t="n">
        <v>70.14</v>
      </c>
      <c r="U1250" s="4" t="n">
        <v>0.4437</v>
      </c>
      <c r="V1250" s="3" t="n">
        <v>7.6</v>
      </c>
      <c r="W1250" t="inlineStr">
        <is>
          <t>Debit Card</t>
        </is>
      </c>
      <c r="X1250" t="inlineStr">
        <is>
          <t>High</t>
        </is>
      </c>
    </row>
    <row r="1251">
      <c r="A1251" t="inlineStr">
        <is>
          <t>ORD-01307</t>
        </is>
      </c>
      <c r="B1251" s="2" t="n">
        <v>45816</v>
      </c>
      <c r="C1251" s="2" t="n">
        <v>45818</v>
      </c>
      <c r="D1251" t="inlineStr">
        <is>
          <t>CUST-01307</t>
        </is>
      </c>
      <c r="E1251" t="inlineStr">
        <is>
          <t>Customer 1307</t>
        </is>
      </c>
      <c r="F1251" t="inlineStr">
        <is>
          <t>Consumer</t>
        </is>
      </c>
      <c r="G1251" t="inlineStr">
        <is>
          <t>P1018</t>
        </is>
      </c>
      <c r="H1251" t="inlineStr">
        <is>
          <t>Summit Patio Set</t>
        </is>
      </c>
      <c r="I1251" t="inlineStr">
        <is>
          <t>Outdoor</t>
        </is>
      </c>
      <c r="J1251" t="inlineStr">
        <is>
          <t>Textiles</t>
        </is>
      </c>
      <c r="K1251" t="inlineStr">
        <is>
          <t>Central</t>
        </is>
      </c>
      <c r="L1251" t="inlineStr">
        <is>
          <t>Missouri</t>
        </is>
      </c>
      <c r="M1251" t="inlineStr">
        <is>
          <t>Kansas City</t>
        </is>
      </c>
      <c r="N1251" t="inlineStr">
        <is>
          <t>Sophia Singh</t>
        </is>
      </c>
      <c r="O1251" t="n">
        <v>2</v>
      </c>
      <c r="P1251" s="3" t="n">
        <v>91.65000000000001</v>
      </c>
      <c r="Q1251" s="4" t="n">
        <v>0.03</v>
      </c>
      <c r="R1251" s="3" t="n">
        <v>177.8</v>
      </c>
      <c r="S1251" s="3" t="n">
        <v>82.63</v>
      </c>
      <c r="T1251" s="3" t="n">
        <v>87.56999999999999</v>
      </c>
      <c r="U1251" s="4" t="n">
        <v>0.4925</v>
      </c>
      <c r="V1251" s="3" t="n">
        <v>7.6</v>
      </c>
      <c r="W1251" t="inlineStr">
        <is>
          <t>Credit Card</t>
        </is>
      </c>
      <c r="X1251" t="inlineStr">
        <is>
          <t>Medium</t>
        </is>
      </c>
    </row>
    <row r="1252">
      <c r="A1252" t="inlineStr">
        <is>
          <t>ORD-01308</t>
        </is>
      </c>
      <c r="B1252" s="2" t="n">
        <v>45953</v>
      </c>
      <c r="C1252" s="2" t="n">
        <v>45956</v>
      </c>
      <c r="D1252" t="inlineStr">
        <is>
          <t>CUST-01308</t>
        </is>
      </c>
      <c r="E1252" t="inlineStr">
        <is>
          <t>Customer 1308</t>
        </is>
      </c>
      <c r="F1252" t="inlineStr">
        <is>
          <t>Corporate</t>
        </is>
      </c>
      <c r="G1252" t="inlineStr">
        <is>
          <t>P1014</t>
        </is>
      </c>
      <c r="H1252" t="inlineStr">
        <is>
          <t>Atlas Throw Pillow</t>
        </is>
      </c>
      <c r="I1252" t="inlineStr">
        <is>
          <t>Furniture</t>
        </is>
      </c>
      <c r="J1252" t="inlineStr">
        <is>
          <t>Accessories</t>
        </is>
      </c>
      <c r="K1252" t="inlineStr">
        <is>
          <t>Central</t>
        </is>
      </c>
      <c r="L1252" t="inlineStr">
        <is>
          <t>Missouri</t>
        </is>
      </c>
      <c r="M1252" t="inlineStr">
        <is>
          <t>Kansas City</t>
        </is>
      </c>
      <c r="N1252" t="inlineStr">
        <is>
          <t>Olivia Martin</t>
        </is>
      </c>
      <c r="O1252" t="n">
        <v>4</v>
      </c>
      <c r="P1252" s="3" t="n">
        <v>47.36</v>
      </c>
      <c r="Q1252" s="4" t="n">
        <v>0.043</v>
      </c>
      <c r="R1252" s="3" t="n">
        <v>181.29</v>
      </c>
      <c r="S1252" s="3" t="n">
        <v>76.68000000000001</v>
      </c>
      <c r="T1252" s="3" t="n">
        <v>95.41</v>
      </c>
      <c r="U1252" s="4" t="n">
        <v>0.5263</v>
      </c>
      <c r="V1252" s="3" t="n">
        <v>9.199999999999999</v>
      </c>
      <c r="W1252" t="inlineStr">
        <is>
          <t>Credit Card</t>
        </is>
      </c>
      <c r="X1252" t="inlineStr">
        <is>
          <t>High</t>
        </is>
      </c>
    </row>
    <row r="1253">
      <c r="A1253" t="inlineStr">
        <is>
          <t>ORD-01309</t>
        </is>
      </c>
      <c r="B1253" s="2" t="n">
        <v>45318</v>
      </c>
      <c r="C1253" s="2" t="n">
        <v>45324</v>
      </c>
      <c r="D1253" t="inlineStr">
        <is>
          <t>CUST-01309</t>
        </is>
      </c>
      <c r="E1253" t="inlineStr">
        <is>
          <t>Customer 1309</t>
        </is>
      </c>
      <c r="F1253" t="inlineStr">
        <is>
          <t>Consumer</t>
        </is>
      </c>
      <c r="G1253" t="inlineStr">
        <is>
          <t>P1005</t>
        </is>
      </c>
      <c r="H1253" t="inlineStr">
        <is>
          <t>FlexNote Notebook</t>
        </is>
      </c>
      <c r="I1253" t="inlineStr">
        <is>
          <t>Technology</t>
        </is>
      </c>
      <c r="J1253" t="inlineStr">
        <is>
          <t>Paper</t>
        </is>
      </c>
      <c r="K1253" t="inlineStr">
        <is>
          <t>South</t>
        </is>
      </c>
      <c r="L1253" t="inlineStr">
        <is>
          <t>North Carolina</t>
        </is>
      </c>
      <c r="M1253" t="inlineStr">
        <is>
          <t>Dallas</t>
        </is>
      </c>
      <c r="N1253" t="inlineStr">
        <is>
          <t>Liam Chen</t>
        </is>
      </c>
      <c r="O1253" t="n">
        <v>4</v>
      </c>
      <c r="P1253" s="3" t="n">
        <v>11.73</v>
      </c>
      <c r="Q1253" s="4" t="n">
        <v>0.004</v>
      </c>
      <c r="R1253" s="3" t="n">
        <v>46.73</v>
      </c>
      <c r="S1253" s="3" t="n">
        <v>22.58</v>
      </c>
      <c r="T1253" s="3" t="n">
        <v>14.95</v>
      </c>
      <c r="U1253" s="4" t="n">
        <v>0.3199</v>
      </c>
      <c r="V1253" s="3" t="n">
        <v>9.199999999999999</v>
      </c>
      <c r="W1253" t="inlineStr">
        <is>
          <t>PayPal</t>
        </is>
      </c>
      <c r="X1253" t="inlineStr">
        <is>
          <t>Low</t>
        </is>
      </c>
    </row>
    <row r="1254">
      <c r="A1254" t="inlineStr">
        <is>
          <t>ORD-01313</t>
        </is>
      </c>
      <c r="B1254" s="2" t="n">
        <v>45611</v>
      </c>
      <c r="C1254" s="2" t="n">
        <v>45618</v>
      </c>
      <c r="D1254" t="inlineStr">
        <is>
          <t>CUST-01313</t>
        </is>
      </c>
      <c r="E1254" t="inlineStr">
        <is>
          <t>Customer 1313</t>
        </is>
      </c>
      <c r="F1254" t="inlineStr">
        <is>
          <t>Consumer</t>
        </is>
      </c>
      <c r="G1254" t="inlineStr">
        <is>
          <t>P1008</t>
        </is>
      </c>
      <c r="H1254" t="inlineStr">
        <is>
          <t>Lumen Desk Lamp</t>
        </is>
      </c>
      <c r="I1254" t="inlineStr">
        <is>
          <t>Furniture</t>
        </is>
      </c>
      <c r="J1254" t="inlineStr">
        <is>
          <t>Lighting</t>
        </is>
      </c>
      <c r="K1254" t="inlineStr">
        <is>
          <t>North</t>
        </is>
      </c>
      <c r="L1254" t="inlineStr">
        <is>
          <t>Quebec</t>
        </is>
      </c>
      <c r="M1254" t="inlineStr">
        <is>
          <t>Calgary</t>
        </is>
      </c>
      <c r="N1254" t="inlineStr">
        <is>
          <t>Olivia Martin</t>
        </is>
      </c>
      <c r="O1254" t="n">
        <v>1</v>
      </c>
      <c r="P1254" s="3" t="n">
        <v>39.33</v>
      </c>
      <c r="Q1254" s="4" t="n">
        <v>0.004</v>
      </c>
      <c r="R1254" s="3" t="n">
        <v>39.17</v>
      </c>
      <c r="S1254" s="3" t="n">
        <v>26.64</v>
      </c>
      <c r="T1254" s="3" t="n">
        <v>5.73</v>
      </c>
      <c r="U1254" s="4" t="n">
        <v>0.1463</v>
      </c>
      <c r="V1254" s="3" t="n">
        <v>6.8</v>
      </c>
      <c r="W1254" t="inlineStr">
        <is>
          <t>Bank Transfer</t>
        </is>
      </c>
      <c r="X1254" t="inlineStr">
        <is>
          <t>Medium</t>
        </is>
      </c>
    </row>
    <row r="1255">
      <c r="A1255" t="inlineStr">
        <is>
          <t>ORD-01314</t>
        </is>
      </c>
      <c r="B1255" s="2" t="n">
        <v>45782</v>
      </c>
      <c r="C1255" s="2" t="n">
        <v>45783</v>
      </c>
      <c r="D1255" t="inlineStr">
        <is>
          <t>CUST-01314</t>
        </is>
      </c>
      <c r="E1255" t="inlineStr">
        <is>
          <t>Customer 1314</t>
        </is>
      </c>
      <c r="F1255" t="inlineStr">
        <is>
          <t>Consumer</t>
        </is>
      </c>
      <c r="G1255" t="inlineStr">
        <is>
          <t>P1007</t>
        </is>
      </c>
      <c r="H1255" t="inlineStr">
        <is>
          <t>Cove Wall Clock</t>
        </is>
      </c>
      <c r="I1255" t="inlineStr">
        <is>
          <t>Furniture</t>
        </is>
      </c>
      <c r="J1255" t="inlineStr">
        <is>
          <t>Decor</t>
        </is>
      </c>
      <c r="K1255" t="inlineStr">
        <is>
          <t>South</t>
        </is>
      </c>
      <c r="L1255" t="inlineStr">
        <is>
          <t>North Carolina</t>
        </is>
      </c>
      <c r="M1255" t="inlineStr">
        <is>
          <t>Miami</t>
        </is>
      </c>
      <c r="N1255" t="inlineStr">
        <is>
          <t>Ethan Brooks</t>
        </is>
      </c>
      <c r="O1255" t="n">
        <v>4</v>
      </c>
      <c r="P1255" s="3" t="n">
        <v>24.35</v>
      </c>
      <c r="Q1255" s="4" t="n">
        <v>0.019</v>
      </c>
      <c r="R1255" s="3" t="n">
        <v>95.55</v>
      </c>
      <c r="S1255" s="3" t="n">
        <v>40.09</v>
      </c>
      <c r="T1255" s="3" t="n">
        <v>46.26</v>
      </c>
      <c r="U1255" s="4" t="n">
        <v>0.4841</v>
      </c>
      <c r="V1255" s="3" t="n">
        <v>9.199999999999999</v>
      </c>
      <c r="W1255" t="inlineStr">
        <is>
          <t>Cash on Delivery</t>
        </is>
      </c>
      <c r="X1255" t="inlineStr">
        <is>
          <t>Medium</t>
        </is>
      </c>
    </row>
    <row r="1256">
      <c r="A1256" t="inlineStr">
        <is>
          <t>ORD-01315</t>
        </is>
      </c>
      <c r="B1256" s="2" t="n">
        <v>45557</v>
      </c>
      <c r="C1256" s="2" t="n">
        <v>45564</v>
      </c>
      <c r="D1256" t="inlineStr">
        <is>
          <t>CUST-01315</t>
        </is>
      </c>
      <c r="E1256" t="inlineStr">
        <is>
          <t>Customer 1315</t>
        </is>
      </c>
      <c r="F1256" t="inlineStr">
        <is>
          <t>Corporate</t>
        </is>
      </c>
      <c r="G1256" t="inlineStr">
        <is>
          <t>P1007</t>
        </is>
      </c>
      <c r="H1256" t="inlineStr">
        <is>
          <t>Northstar Lantern</t>
        </is>
      </c>
      <c r="I1256" t="inlineStr">
        <is>
          <t>Technology</t>
        </is>
      </c>
      <c r="J1256" t="inlineStr">
        <is>
          <t>Plants</t>
        </is>
      </c>
      <c r="K1256" t="inlineStr">
        <is>
          <t>North</t>
        </is>
      </c>
      <c r="L1256" t="inlineStr">
        <is>
          <t>Ontario</t>
        </is>
      </c>
      <c r="M1256" t="inlineStr">
        <is>
          <t>Toronto</t>
        </is>
      </c>
      <c r="N1256" t="inlineStr">
        <is>
          <t>Ava Patel</t>
        </is>
      </c>
      <c r="O1256" t="n">
        <v>1</v>
      </c>
      <c r="P1256" s="3" t="n">
        <v>23.52</v>
      </c>
      <c r="Q1256" s="4" t="n">
        <v>0.038</v>
      </c>
      <c r="R1256" s="3" t="n">
        <v>22.63</v>
      </c>
      <c r="S1256" s="3" t="n">
        <v>17.31</v>
      </c>
      <c r="T1256" s="3" t="n">
        <v>-1.48</v>
      </c>
      <c r="U1256" s="4" t="n">
        <v>-0.0654</v>
      </c>
      <c r="V1256" s="3" t="n">
        <v>6.8</v>
      </c>
      <c r="W1256" t="inlineStr">
        <is>
          <t>PayPal</t>
        </is>
      </c>
      <c r="X1256" t="inlineStr">
        <is>
          <t>Medium</t>
        </is>
      </c>
    </row>
    <row r="1257">
      <c r="A1257" t="inlineStr">
        <is>
          <t>ORD-01317</t>
        </is>
      </c>
      <c r="B1257" s="2" t="n">
        <v>45522</v>
      </c>
      <c r="C1257" s="2" t="n">
        <v>45529</v>
      </c>
      <c r="D1257" t="inlineStr">
        <is>
          <t>CUST-01317</t>
        </is>
      </c>
      <c r="E1257" t="inlineStr">
        <is>
          <t>Customer 1317</t>
        </is>
      </c>
      <c r="F1257" t="inlineStr">
        <is>
          <t>Consumer</t>
        </is>
      </c>
      <c r="G1257" t="inlineStr">
        <is>
          <t>P1007</t>
        </is>
      </c>
      <c r="H1257" t="inlineStr">
        <is>
          <t>Harbor Rug</t>
        </is>
      </c>
      <c r="I1257" t="inlineStr">
        <is>
          <t>Office Supplies</t>
        </is>
      </c>
      <c r="J1257" t="inlineStr">
        <is>
          <t>Desks</t>
        </is>
      </c>
      <c r="K1257" t="inlineStr">
        <is>
          <t>South</t>
        </is>
      </c>
      <c r="L1257" t="inlineStr">
        <is>
          <t>Texas</t>
        </is>
      </c>
      <c r="M1257" t="inlineStr">
        <is>
          <t>Miami</t>
        </is>
      </c>
      <c r="N1257" t="inlineStr">
        <is>
          <t>Sophia Singh</t>
        </is>
      </c>
      <c r="O1257" t="n">
        <v>4</v>
      </c>
      <c r="P1257" s="3" t="n">
        <v>25.05</v>
      </c>
      <c r="Q1257" s="4" t="n">
        <v>0.007</v>
      </c>
      <c r="R1257" s="3" t="n">
        <v>99.5</v>
      </c>
      <c r="S1257" s="3" t="n">
        <v>39.24</v>
      </c>
      <c r="T1257" s="3" t="n">
        <v>51.06</v>
      </c>
      <c r="U1257" s="4" t="n">
        <v>0.5132</v>
      </c>
      <c r="V1257" s="3" t="n">
        <v>9.199999999999999</v>
      </c>
      <c r="W1257" t="inlineStr">
        <is>
          <t>Credit Card</t>
        </is>
      </c>
      <c r="X1257" t="inlineStr">
        <is>
          <t>Medium</t>
        </is>
      </c>
    </row>
    <row r="1258">
      <c r="A1258" t="inlineStr">
        <is>
          <t>ORD-01318</t>
        </is>
      </c>
      <c r="B1258" s="2" t="n">
        <v>45810</v>
      </c>
      <c r="C1258" s="2" t="n">
        <v>45816</v>
      </c>
      <c r="D1258" t="inlineStr">
        <is>
          <t>CUST-01318</t>
        </is>
      </c>
      <c r="E1258" t="inlineStr">
        <is>
          <t>Customer 1318</t>
        </is>
      </c>
      <c r="F1258" t="inlineStr">
        <is>
          <t>Home Office</t>
        </is>
      </c>
      <c r="G1258" t="inlineStr">
        <is>
          <t>P1012</t>
        </is>
      </c>
      <c r="H1258" t="inlineStr">
        <is>
          <t>ProClip Binder</t>
        </is>
      </c>
      <c r="I1258" t="inlineStr">
        <is>
          <t>Furniture</t>
        </is>
      </c>
      <c r="J1258" t="inlineStr">
        <is>
          <t>Furniture</t>
        </is>
      </c>
      <c r="K1258" t="inlineStr">
        <is>
          <t>Central</t>
        </is>
      </c>
      <c r="L1258" t="inlineStr">
        <is>
          <t>Illinois</t>
        </is>
      </c>
      <c r="M1258" t="inlineStr">
        <is>
          <t>Chicago</t>
        </is>
      </c>
      <c r="N1258" t="inlineStr">
        <is>
          <t>Olivia Martin</t>
        </is>
      </c>
      <c r="O1258" t="n">
        <v>2</v>
      </c>
      <c r="P1258" s="3" t="n">
        <v>136.32</v>
      </c>
      <c r="Q1258" s="4" t="n">
        <v>0.021</v>
      </c>
      <c r="R1258" s="3" t="n">
        <v>266.91</v>
      </c>
      <c r="S1258" s="3" t="n">
        <v>138.81</v>
      </c>
      <c r="T1258" s="3" t="n">
        <v>120.5</v>
      </c>
      <c r="U1258" s="4" t="n">
        <v>0.4515</v>
      </c>
      <c r="V1258" s="3" t="n">
        <v>7.6</v>
      </c>
      <c r="W1258" t="inlineStr">
        <is>
          <t>PayPal</t>
        </is>
      </c>
      <c r="X1258" t="inlineStr">
        <is>
          <t>Medium</t>
        </is>
      </c>
    </row>
    <row r="1259">
      <c r="A1259" t="inlineStr">
        <is>
          <t>ORD-01320</t>
        </is>
      </c>
      <c r="B1259" s="2" t="n">
        <v>45060</v>
      </c>
      <c r="C1259" s="2" t="n">
        <v>45061</v>
      </c>
      <c r="D1259" t="inlineStr">
        <is>
          <t>CUST-01320</t>
        </is>
      </c>
      <c r="E1259" t="inlineStr">
        <is>
          <t>Customer 1320</t>
        </is>
      </c>
      <c r="F1259" t="inlineStr">
        <is>
          <t>Home Office</t>
        </is>
      </c>
      <c r="G1259" t="inlineStr">
        <is>
          <t>P1007</t>
        </is>
      </c>
      <c r="H1259" t="inlineStr">
        <is>
          <t>Trail Tote</t>
        </is>
      </c>
      <c r="I1259" t="inlineStr">
        <is>
          <t>Office Supplies</t>
        </is>
      </c>
      <c r="J1259" t="inlineStr">
        <is>
          <t>Writing</t>
        </is>
      </c>
      <c r="K1259" t="inlineStr">
        <is>
          <t>South</t>
        </is>
      </c>
      <c r="L1259" t="inlineStr">
        <is>
          <t>Georgia</t>
        </is>
      </c>
      <c r="M1259" t="inlineStr">
        <is>
          <t>Dallas</t>
        </is>
      </c>
      <c r="N1259" t="inlineStr">
        <is>
          <t>Sophia Singh</t>
        </is>
      </c>
      <c r="O1259" t="n">
        <v>2</v>
      </c>
      <c r="P1259" s="3" t="n">
        <v>22.4</v>
      </c>
      <c r="Q1259" s="4" t="n">
        <v>0.023</v>
      </c>
      <c r="R1259" s="3" t="n">
        <v>43.77</v>
      </c>
      <c r="S1259" s="3" t="n">
        <v>19.11</v>
      </c>
      <c r="T1259" s="3" t="n">
        <v>17.06</v>
      </c>
      <c r="U1259" s="4" t="n">
        <v>0.3898</v>
      </c>
      <c r="V1259" s="3" t="n">
        <v>7.6</v>
      </c>
      <c r="W1259" t="inlineStr">
        <is>
          <t>Debit Card</t>
        </is>
      </c>
      <c r="X1259" t="inlineStr">
        <is>
          <t>High</t>
        </is>
      </c>
    </row>
    <row r="1260">
      <c r="A1260" t="inlineStr">
        <is>
          <t>ORD-01323</t>
        </is>
      </c>
      <c r="B1260" s="2" t="n">
        <v>45731</v>
      </c>
      <c r="C1260" s="2" t="n">
        <v>45736</v>
      </c>
      <c r="D1260" t="inlineStr">
        <is>
          <t>CUST-01323</t>
        </is>
      </c>
      <c r="E1260" t="inlineStr">
        <is>
          <t>Customer 1323</t>
        </is>
      </c>
      <c r="F1260" t="inlineStr">
        <is>
          <t>Consumer</t>
        </is>
      </c>
      <c r="G1260" t="inlineStr">
        <is>
          <t>P1013</t>
        </is>
      </c>
      <c r="H1260" t="inlineStr">
        <is>
          <t>Nimbus Monitor Arm</t>
        </is>
      </c>
      <c r="I1260" t="inlineStr">
        <is>
          <t>Furniture</t>
        </is>
      </c>
      <c r="J1260" t="inlineStr">
        <is>
          <t>Textiles</t>
        </is>
      </c>
      <c r="K1260" t="inlineStr">
        <is>
          <t>Central</t>
        </is>
      </c>
      <c r="L1260" t="inlineStr">
        <is>
          <t>Missouri</t>
        </is>
      </c>
      <c r="M1260" t="inlineStr">
        <is>
          <t>Minneapolis</t>
        </is>
      </c>
      <c r="N1260" t="inlineStr">
        <is>
          <t>Noah Kim</t>
        </is>
      </c>
      <c r="O1260" t="n">
        <v>3</v>
      </c>
      <c r="P1260" s="3" t="n">
        <v>158.21</v>
      </c>
      <c r="Q1260" s="4" t="n">
        <v>0.044</v>
      </c>
      <c r="R1260" s="3" t="n">
        <v>453.75</v>
      </c>
      <c r="S1260" s="3" t="n">
        <v>259.81</v>
      </c>
      <c r="T1260" s="3" t="n">
        <v>185.54</v>
      </c>
      <c r="U1260" s="4" t="n">
        <v>0.4089</v>
      </c>
      <c r="V1260" s="3" t="n">
        <v>8.4</v>
      </c>
      <c r="W1260" t="inlineStr">
        <is>
          <t>Bank Transfer</t>
        </is>
      </c>
      <c r="X1260" t="inlineStr">
        <is>
          <t>Critical</t>
        </is>
      </c>
    </row>
    <row r="1261">
      <c r="A1261" t="inlineStr">
        <is>
          <t>ORD-01325</t>
        </is>
      </c>
      <c r="B1261" s="2" t="n">
        <v>45976</v>
      </c>
      <c r="C1261" s="2" t="n">
        <v>45978</v>
      </c>
      <c r="D1261" t="inlineStr">
        <is>
          <t>CUST-01325</t>
        </is>
      </c>
      <c r="E1261" t="inlineStr">
        <is>
          <t>Customer 1325</t>
        </is>
      </c>
      <c r="F1261" t="inlineStr">
        <is>
          <t>Home Office</t>
        </is>
      </c>
      <c r="G1261" t="inlineStr">
        <is>
          <t>P1001</t>
        </is>
      </c>
      <c r="H1261" t="inlineStr">
        <is>
          <t>Atlas Throw Pillow</t>
        </is>
      </c>
      <c r="I1261" t="inlineStr">
        <is>
          <t>Outdoor</t>
        </is>
      </c>
      <c r="J1261" t="inlineStr">
        <is>
          <t>Furniture</t>
        </is>
      </c>
      <c r="K1261" t="inlineStr">
        <is>
          <t>North</t>
        </is>
      </c>
      <c r="L1261" t="inlineStr">
        <is>
          <t>Quebec</t>
        </is>
      </c>
      <c r="M1261" t="inlineStr">
        <is>
          <t>Vancouver</t>
        </is>
      </c>
      <c r="N1261" t="inlineStr">
        <is>
          <t>Sophia Singh</t>
        </is>
      </c>
      <c r="O1261" t="n">
        <v>3</v>
      </c>
      <c r="P1261" s="3" t="n">
        <v>312.15</v>
      </c>
      <c r="Q1261" s="4" t="n">
        <v>0.005</v>
      </c>
      <c r="R1261" s="3" t="n">
        <v>931.77</v>
      </c>
      <c r="S1261" s="3" t="n">
        <v>550.53</v>
      </c>
      <c r="T1261" s="3" t="n">
        <v>372.84</v>
      </c>
      <c r="U1261" s="4" t="n">
        <v>0.4001</v>
      </c>
      <c r="V1261" s="3" t="n">
        <v>8.4</v>
      </c>
      <c r="W1261" t="inlineStr">
        <is>
          <t>Credit Card</t>
        </is>
      </c>
      <c r="X1261" t="inlineStr">
        <is>
          <t>Low</t>
        </is>
      </c>
    </row>
    <row r="1262">
      <c r="A1262" t="inlineStr">
        <is>
          <t>ORD-01329</t>
        </is>
      </c>
      <c r="B1262" s="2" t="n">
        <v>45817</v>
      </c>
      <c r="C1262" s="2" t="n">
        <v>45824</v>
      </c>
      <c r="D1262" t="inlineStr">
        <is>
          <t>CUST-01329</t>
        </is>
      </c>
      <c r="E1262" t="inlineStr">
        <is>
          <t>Customer 1329</t>
        </is>
      </c>
      <c r="F1262" t="inlineStr">
        <is>
          <t>Corporate</t>
        </is>
      </c>
      <c r="G1262" t="inlineStr">
        <is>
          <t>P1015</t>
        </is>
      </c>
      <c r="H1262" t="inlineStr">
        <is>
          <t>Nimbus Monitor Arm</t>
        </is>
      </c>
      <c r="I1262" t="inlineStr">
        <is>
          <t>Outdoor</t>
        </is>
      </c>
      <c r="J1262" t="inlineStr">
        <is>
          <t>Paper</t>
        </is>
      </c>
      <c r="K1262" t="inlineStr">
        <is>
          <t>Central</t>
        </is>
      </c>
      <c r="L1262" t="inlineStr">
        <is>
          <t>Missouri</t>
        </is>
      </c>
      <c r="M1262" t="inlineStr">
        <is>
          <t>Kansas City</t>
        </is>
      </c>
      <c r="N1262" t="inlineStr">
        <is>
          <t>James Carter</t>
        </is>
      </c>
      <c r="O1262" t="n">
        <v>4</v>
      </c>
      <c r="P1262" s="3" t="n">
        <v>70.33</v>
      </c>
      <c r="Q1262" s="4" t="n">
        <v>0.032</v>
      </c>
      <c r="R1262" s="3" t="n">
        <v>272.32</v>
      </c>
      <c r="S1262" s="3" t="n">
        <v>124.26</v>
      </c>
      <c r="T1262" s="3" t="n">
        <v>138.86</v>
      </c>
      <c r="U1262" s="4" t="n">
        <v>0.5099</v>
      </c>
      <c r="V1262" s="3" t="n">
        <v>9.199999999999999</v>
      </c>
      <c r="W1262" t="inlineStr">
        <is>
          <t>Bank Transfer</t>
        </is>
      </c>
      <c r="X1262" t="inlineStr">
        <is>
          <t>High</t>
        </is>
      </c>
    </row>
    <row r="1263">
      <c r="A1263" t="inlineStr">
        <is>
          <t>ORD-01330</t>
        </is>
      </c>
      <c r="B1263" s="2" t="n">
        <v>45402</v>
      </c>
      <c r="C1263" s="2" t="n">
        <v>45405</v>
      </c>
      <c r="D1263" t="inlineStr">
        <is>
          <t>CUST-01330</t>
        </is>
      </c>
      <c r="E1263" t="inlineStr">
        <is>
          <t>Customer 1330</t>
        </is>
      </c>
      <c r="F1263" t="inlineStr">
        <is>
          <t>Consumer</t>
        </is>
      </c>
      <c r="G1263" t="inlineStr">
        <is>
          <t>P1019</t>
        </is>
      </c>
      <c r="H1263" t="inlineStr">
        <is>
          <t>Tide Cooler</t>
        </is>
      </c>
      <c r="I1263" t="inlineStr">
        <is>
          <t>Outdoor</t>
        </is>
      </c>
      <c r="J1263" t="inlineStr">
        <is>
          <t>Bags</t>
        </is>
      </c>
      <c r="K1263" t="inlineStr">
        <is>
          <t>Central</t>
        </is>
      </c>
      <c r="L1263" t="inlineStr">
        <is>
          <t>Minnesota</t>
        </is>
      </c>
      <c r="M1263" t="inlineStr">
        <is>
          <t>St. Louis</t>
        </is>
      </c>
      <c r="N1263" t="inlineStr">
        <is>
          <t>Sophia Singh</t>
        </is>
      </c>
      <c r="O1263" t="n">
        <v>1</v>
      </c>
      <c r="P1263" s="3" t="n">
        <v>54.85</v>
      </c>
      <c r="Q1263" s="4" t="n">
        <v>0.031</v>
      </c>
      <c r="R1263" s="3" t="n">
        <v>53.15</v>
      </c>
      <c r="S1263" s="3" t="n">
        <v>26.2</v>
      </c>
      <c r="T1263" s="3" t="n">
        <v>20.15</v>
      </c>
      <c r="U1263" s="4" t="n">
        <v>0.3791</v>
      </c>
      <c r="V1263" s="3" t="n">
        <v>6.8</v>
      </c>
      <c r="W1263" t="inlineStr">
        <is>
          <t>Bank Transfer</t>
        </is>
      </c>
      <c r="X1263" t="inlineStr">
        <is>
          <t>High</t>
        </is>
      </c>
    </row>
    <row r="1264">
      <c r="A1264" t="inlineStr">
        <is>
          <t>ORD-01332</t>
        </is>
      </c>
      <c r="B1264" s="2" t="n">
        <v>45834</v>
      </c>
      <c r="C1264" s="2" t="n">
        <v>45840</v>
      </c>
      <c r="D1264" t="inlineStr">
        <is>
          <t>CUST-01332</t>
        </is>
      </c>
      <c r="E1264" t="inlineStr">
        <is>
          <t>Customer 1332</t>
        </is>
      </c>
      <c r="F1264" t="inlineStr">
        <is>
          <t>Consumer</t>
        </is>
      </c>
      <c r="G1264" t="inlineStr">
        <is>
          <t>P1017</t>
        </is>
      </c>
      <c r="H1264" t="inlineStr">
        <is>
          <t>FlexNote Notebook</t>
        </is>
      </c>
      <c r="I1264" t="inlineStr">
        <is>
          <t>Office Supplies</t>
        </is>
      </c>
      <c r="J1264" t="inlineStr">
        <is>
          <t>Peripherals</t>
        </is>
      </c>
      <c r="K1264" t="inlineStr">
        <is>
          <t>Central</t>
        </is>
      </c>
      <c r="L1264" t="inlineStr">
        <is>
          <t>Kansas</t>
        </is>
      </c>
      <c r="M1264" t="inlineStr">
        <is>
          <t>Minneapolis</t>
        </is>
      </c>
      <c r="N1264" t="inlineStr">
        <is>
          <t>Olivia Martin</t>
        </is>
      </c>
      <c r="O1264" t="n">
        <v>3</v>
      </c>
      <c r="P1264" s="3" t="n">
        <v>591.35</v>
      </c>
      <c r="Q1264" s="4" t="n">
        <v>0.012</v>
      </c>
      <c r="R1264" s="3" t="n">
        <v>1752.76</v>
      </c>
      <c r="S1264" s="3" t="n">
        <v>1163.18</v>
      </c>
      <c r="T1264" s="3" t="n">
        <v>581.1799999999999</v>
      </c>
      <c r="U1264" s="4" t="n">
        <v>0.3316</v>
      </c>
      <c r="V1264" s="3" t="n">
        <v>8.4</v>
      </c>
      <c r="W1264" t="inlineStr">
        <is>
          <t>Bank Transfer</t>
        </is>
      </c>
      <c r="X1264" t="inlineStr">
        <is>
          <t>Medium</t>
        </is>
      </c>
    </row>
    <row r="1265">
      <c r="A1265" t="inlineStr">
        <is>
          <t>ORD-01335</t>
        </is>
      </c>
      <c r="B1265" s="2" t="n">
        <v>46008</v>
      </c>
      <c r="C1265" s="2" t="n">
        <v>46010</v>
      </c>
      <c r="D1265" t="inlineStr">
        <is>
          <t>CUST-01335</t>
        </is>
      </c>
      <c r="E1265" t="inlineStr">
        <is>
          <t>Customer 1335</t>
        </is>
      </c>
      <c r="F1265" t="inlineStr">
        <is>
          <t>Consumer</t>
        </is>
      </c>
      <c r="G1265" t="inlineStr">
        <is>
          <t>P1017</t>
        </is>
      </c>
      <c r="H1265" t="inlineStr">
        <is>
          <t>CloudDrive File Box</t>
        </is>
      </c>
      <c r="I1265" t="inlineStr">
        <is>
          <t>Office Supplies</t>
        </is>
      </c>
      <c r="J1265" t="inlineStr">
        <is>
          <t>Storage</t>
        </is>
      </c>
      <c r="K1265" t="inlineStr">
        <is>
          <t>Central</t>
        </is>
      </c>
      <c r="L1265" t="inlineStr">
        <is>
          <t>Kansas</t>
        </is>
      </c>
      <c r="M1265" t="inlineStr">
        <is>
          <t>Kansas City</t>
        </is>
      </c>
      <c r="N1265" t="inlineStr">
        <is>
          <t>James Carter</t>
        </is>
      </c>
      <c r="O1265" t="n">
        <v>4</v>
      </c>
      <c r="P1265" s="3" t="n">
        <v>600.7</v>
      </c>
      <c r="Q1265" s="4" t="n">
        <v>0.016</v>
      </c>
      <c r="R1265" s="3" t="n">
        <v>2364.36</v>
      </c>
      <c r="S1265" s="3" t="n">
        <v>1565.27</v>
      </c>
      <c r="T1265" s="3" t="n">
        <v>789.89</v>
      </c>
      <c r="U1265" s="4" t="n">
        <v>0.3341</v>
      </c>
      <c r="V1265" s="3" t="n">
        <v>9.199999999999999</v>
      </c>
      <c r="W1265" t="inlineStr">
        <is>
          <t>Credit Card</t>
        </is>
      </c>
      <c r="X1265" t="inlineStr">
        <is>
          <t>Medium</t>
        </is>
      </c>
    </row>
    <row r="1266">
      <c r="A1266" t="inlineStr">
        <is>
          <t>ORD-01336</t>
        </is>
      </c>
      <c r="B1266" s="2" t="n">
        <v>45682</v>
      </c>
      <c r="C1266" s="2" t="n">
        <v>45683</v>
      </c>
      <c r="D1266" t="inlineStr">
        <is>
          <t>CUST-01336</t>
        </is>
      </c>
      <c r="E1266" t="inlineStr">
        <is>
          <t>Customer 1336</t>
        </is>
      </c>
      <c r="F1266" t="inlineStr">
        <is>
          <t>Consumer</t>
        </is>
      </c>
      <c r="G1266" t="inlineStr">
        <is>
          <t>P1020</t>
        </is>
      </c>
      <c r="H1266" t="inlineStr">
        <is>
          <t>Orbit Wireless Mouse</t>
        </is>
      </c>
      <c r="I1266" t="inlineStr">
        <is>
          <t>Technology</t>
        </is>
      </c>
      <c r="J1266" t="inlineStr">
        <is>
          <t>Bags</t>
        </is>
      </c>
      <c r="K1266" t="inlineStr">
        <is>
          <t>Central</t>
        </is>
      </c>
      <c r="L1266" t="inlineStr">
        <is>
          <t>Kansas</t>
        </is>
      </c>
      <c r="M1266" t="inlineStr">
        <is>
          <t>Kansas City</t>
        </is>
      </c>
      <c r="N1266" t="inlineStr">
        <is>
          <t>Liam Chen</t>
        </is>
      </c>
      <c r="O1266" t="n">
        <v>2</v>
      </c>
      <c r="P1266" s="3" t="n">
        <v>75.53</v>
      </c>
      <c r="Q1266" s="4" t="n">
        <v>0.013</v>
      </c>
      <c r="R1266" s="3" t="n">
        <v>149.1</v>
      </c>
      <c r="S1266" s="3" t="n">
        <v>74</v>
      </c>
      <c r="T1266" s="3" t="n">
        <v>67.5</v>
      </c>
      <c r="U1266" s="4" t="n">
        <v>0.4527</v>
      </c>
      <c r="V1266" s="3" t="n">
        <v>7.6</v>
      </c>
      <c r="W1266" t="inlineStr">
        <is>
          <t>PayPal</t>
        </is>
      </c>
      <c r="X1266" t="inlineStr">
        <is>
          <t>Low</t>
        </is>
      </c>
    </row>
    <row r="1267">
      <c r="A1267" t="inlineStr">
        <is>
          <t>ORD-01339</t>
        </is>
      </c>
      <c r="B1267" s="2" t="n">
        <v>45271</v>
      </c>
      <c r="C1267" s="2" t="n">
        <v>45278</v>
      </c>
      <c r="D1267" t="inlineStr">
        <is>
          <t>CUST-01339</t>
        </is>
      </c>
      <c r="E1267" t="inlineStr">
        <is>
          <t>Customer 1339</t>
        </is>
      </c>
      <c r="F1267" t="inlineStr">
        <is>
          <t>Corporate</t>
        </is>
      </c>
      <c r="G1267" t="inlineStr">
        <is>
          <t>P1013</t>
        </is>
      </c>
      <c r="H1267" t="inlineStr">
        <is>
          <t>Lumen Desk Lamp</t>
        </is>
      </c>
      <c r="I1267" t="inlineStr">
        <is>
          <t>Technology</t>
        </is>
      </c>
      <c r="J1267" t="inlineStr">
        <is>
          <t>Paper</t>
        </is>
      </c>
      <c r="K1267" t="inlineStr">
        <is>
          <t>Central</t>
        </is>
      </c>
      <c r="L1267" t="inlineStr">
        <is>
          <t>Minnesota</t>
        </is>
      </c>
      <c r="M1267" t="inlineStr">
        <is>
          <t>St. Louis</t>
        </is>
      </c>
      <c r="N1267" t="inlineStr">
        <is>
          <t>Mia Rodriguez</t>
        </is>
      </c>
      <c r="O1267" t="n">
        <v>1</v>
      </c>
      <c r="P1267" s="3" t="n">
        <v>164.71</v>
      </c>
      <c r="Q1267" s="4" t="n">
        <v>0.075</v>
      </c>
      <c r="R1267" s="3" t="n">
        <v>152.36</v>
      </c>
      <c r="S1267" s="3" t="n">
        <v>90.78</v>
      </c>
      <c r="T1267" s="3" t="n">
        <v>54.78</v>
      </c>
      <c r="U1267" s="4" t="n">
        <v>0.3595</v>
      </c>
      <c r="V1267" s="3" t="n">
        <v>6.8</v>
      </c>
      <c r="W1267" t="inlineStr">
        <is>
          <t>Credit Card</t>
        </is>
      </c>
      <c r="X1267" t="inlineStr">
        <is>
          <t>Critical</t>
        </is>
      </c>
    </row>
    <row r="1268">
      <c r="A1268" t="inlineStr">
        <is>
          <t>ORD-01341</t>
        </is>
      </c>
      <c r="B1268" s="2" t="n">
        <v>45146</v>
      </c>
      <c r="C1268" s="2" t="n">
        <v>45152</v>
      </c>
      <c r="D1268" t="inlineStr">
        <is>
          <t>CUST-01341</t>
        </is>
      </c>
      <c r="E1268" t="inlineStr">
        <is>
          <t>Customer 1341</t>
        </is>
      </c>
      <c r="F1268" t="inlineStr">
        <is>
          <t>Consumer</t>
        </is>
      </c>
      <c r="G1268" t="inlineStr">
        <is>
          <t>P1019</t>
        </is>
      </c>
      <c r="H1268" t="inlineStr">
        <is>
          <t>Tide Cooler</t>
        </is>
      </c>
      <c r="I1268" t="inlineStr">
        <is>
          <t>Home Decor</t>
        </is>
      </c>
      <c r="J1268" t="inlineStr">
        <is>
          <t>Paper</t>
        </is>
      </c>
      <c r="K1268" t="inlineStr">
        <is>
          <t>Central</t>
        </is>
      </c>
      <c r="L1268" t="inlineStr">
        <is>
          <t>Illinois</t>
        </is>
      </c>
      <c r="M1268" t="inlineStr">
        <is>
          <t>Chicago</t>
        </is>
      </c>
      <c r="N1268" t="inlineStr">
        <is>
          <t>Ava Patel</t>
        </is>
      </c>
      <c r="O1268" t="n">
        <v>1</v>
      </c>
      <c r="P1268" s="3" t="n">
        <v>61.06</v>
      </c>
      <c r="Q1268" s="4" t="n">
        <v>0.014</v>
      </c>
      <c r="R1268" s="3" t="n">
        <v>60.21</v>
      </c>
      <c r="S1268" s="3" t="n">
        <v>32.78</v>
      </c>
      <c r="T1268" s="3" t="n">
        <v>20.63</v>
      </c>
      <c r="U1268" s="4" t="n">
        <v>0.3426</v>
      </c>
      <c r="V1268" s="3" t="n">
        <v>6.8</v>
      </c>
      <c r="W1268" t="inlineStr">
        <is>
          <t>Cash on Delivery</t>
        </is>
      </c>
      <c r="X1268" t="inlineStr">
        <is>
          <t>Medium</t>
        </is>
      </c>
    </row>
    <row r="1269">
      <c r="A1269" t="inlineStr">
        <is>
          <t>ORD-01342</t>
        </is>
      </c>
      <c r="B1269" s="2" t="n">
        <v>45599</v>
      </c>
      <c r="C1269" s="2" t="n">
        <v>45601</v>
      </c>
      <c r="D1269" t="inlineStr">
        <is>
          <t>CUST-01342</t>
        </is>
      </c>
      <c r="E1269" t="inlineStr">
        <is>
          <t>Customer 1342</t>
        </is>
      </c>
      <c r="F1269" t="inlineStr">
        <is>
          <t>Corporate</t>
        </is>
      </c>
      <c r="G1269" t="inlineStr">
        <is>
          <t>P1011</t>
        </is>
      </c>
      <c r="H1269" t="inlineStr">
        <is>
          <t>Aero Standing Desk</t>
        </is>
      </c>
      <c r="I1269" t="inlineStr">
        <is>
          <t>Technology</t>
        </is>
      </c>
      <c r="J1269" t="inlineStr">
        <is>
          <t>Peripherals</t>
        </is>
      </c>
      <c r="K1269" t="inlineStr">
        <is>
          <t>South</t>
        </is>
      </c>
      <c r="L1269" t="inlineStr">
        <is>
          <t>Texas</t>
        </is>
      </c>
      <c r="M1269" t="inlineStr">
        <is>
          <t>Dallas</t>
        </is>
      </c>
      <c r="N1269" t="inlineStr">
        <is>
          <t>Mia Rodriguez</t>
        </is>
      </c>
      <c r="O1269" t="n">
        <v>2</v>
      </c>
      <c r="P1269" s="3" t="n">
        <v>89.98</v>
      </c>
      <c r="Q1269" s="4" t="n">
        <v>0.019</v>
      </c>
      <c r="R1269" s="3" t="n">
        <v>176.54</v>
      </c>
      <c r="S1269" s="3" t="n">
        <v>87</v>
      </c>
      <c r="T1269" s="3" t="n">
        <v>81.94</v>
      </c>
      <c r="U1269" s="4" t="n">
        <v>0.4641</v>
      </c>
      <c r="V1269" s="3" t="n">
        <v>7.6</v>
      </c>
      <c r="W1269" t="inlineStr">
        <is>
          <t>Credit Card</t>
        </is>
      </c>
      <c r="X1269" t="inlineStr">
        <is>
          <t>Medium</t>
        </is>
      </c>
    </row>
    <row r="1270">
      <c r="A1270" t="inlineStr">
        <is>
          <t>ORD-01343</t>
        </is>
      </c>
      <c r="B1270" s="2" t="n">
        <v>45766</v>
      </c>
      <c r="C1270" s="2" t="n">
        <v>45771</v>
      </c>
      <c r="D1270" t="inlineStr">
        <is>
          <t>CUST-01343</t>
        </is>
      </c>
      <c r="E1270" t="inlineStr">
        <is>
          <t>Customer 1343</t>
        </is>
      </c>
      <c r="F1270" t="inlineStr">
        <is>
          <t>Consumer</t>
        </is>
      </c>
      <c r="G1270" t="inlineStr">
        <is>
          <t>P1008</t>
        </is>
      </c>
      <c r="H1270" t="inlineStr">
        <is>
          <t>Nimbus Monitor Arm</t>
        </is>
      </c>
      <c r="I1270" t="inlineStr">
        <is>
          <t>Outdoor</t>
        </is>
      </c>
      <c r="J1270" t="inlineStr">
        <is>
          <t>Binders</t>
        </is>
      </c>
      <c r="K1270" t="inlineStr">
        <is>
          <t>South</t>
        </is>
      </c>
      <c r="L1270" t="inlineStr">
        <is>
          <t>Texas</t>
        </is>
      </c>
      <c r="M1270" t="inlineStr">
        <is>
          <t>Atlanta</t>
        </is>
      </c>
      <c r="N1270" t="inlineStr">
        <is>
          <t>Mia Rodriguez</t>
        </is>
      </c>
      <c r="O1270" t="n">
        <v>1</v>
      </c>
      <c r="P1270" s="3" t="n">
        <v>34.24</v>
      </c>
      <c r="Q1270" s="4" t="n">
        <v>0.026</v>
      </c>
      <c r="R1270" s="3" t="n">
        <v>33.35</v>
      </c>
      <c r="S1270" s="3" t="n">
        <v>21.83</v>
      </c>
      <c r="T1270" s="3" t="n">
        <v>4.72</v>
      </c>
      <c r="U1270" s="4" t="n">
        <v>0.1415</v>
      </c>
      <c r="V1270" s="3" t="n">
        <v>6.8</v>
      </c>
      <c r="W1270" t="inlineStr">
        <is>
          <t>Credit Card</t>
        </is>
      </c>
      <c r="X1270" t="inlineStr">
        <is>
          <t>Medium</t>
        </is>
      </c>
    </row>
    <row r="1271">
      <c r="A1271" t="inlineStr">
        <is>
          <t>ORD-01344</t>
        </is>
      </c>
      <c r="B1271" s="2" t="n">
        <v>45975</v>
      </c>
      <c r="C1271" s="2" t="n">
        <v>45976</v>
      </c>
      <c r="D1271" t="inlineStr">
        <is>
          <t>CUST-01344</t>
        </is>
      </c>
      <c r="E1271" t="inlineStr">
        <is>
          <t>Customer 1344</t>
        </is>
      </c>
      <c r="F1271" t="inlineStr">
        <is>
          <t>Consumer</t>
        </is>
      </c>
      <c r="G1271" t="inlineStr">
        <is>
          <t>P1017</t>
        </is>
      </c>
      <c r="H1271" t="inlineStr">
        <is>
          <t>Summit Patio Set</t>
        </is>
      </c>
      <c r="I1271" t="inlineStr">
        <is>
          <t>Furniture</t>
        </is>
      </c>
      <c r="J1271" t="inlineStr">
        <is>
          <t>Writing</t>
        </is>
      </c>
      <c r="K1271" t="inlineStr">
        <is>
          <t>South</t>
        </is>
      </c>
      <c r="L1271" t="inlineStr">
        <is>
          <t>Texas</t>
        </is>
      </c>
      <c r="M1271" t="inlineStr">
        <is>
          <t>Dallas</t>
        </is>
      </c>
      <c r="N1271" t="inlineStr">
        <is>
          <t>Liam Chen</t>
        </is>
      </c>
      <c r="O1271" t="n">
        <v>6</v>
      </c>
      <c r="P1271" s="3" t="n">
        <v>580.35</v>
      </c>
      <c r="Q1271" s="4" t="n">
        <v>0.038</v>
      </c>
      <c r="R1271" s="3" t="n">
        <v>3349.78</v>
      </c>
      <c r="S1271" s="3" t="n">
        <v>2215.41</v>
      </c>
      <c r="T1271" s="3" t="n">
        <v>1123.57</v>
      </c>
      <c r="U1271" s="4" t="n">
        <v>0.3354</v>
      </c>
      <c r="V1271" s="3" t="n">
        <v>10.8</v>
      </c>
      <c r="W1271" t="inlineStr">
        <is>
          <t>Debit Card</t>
        </is>
      </c>
      <c r="X1271" t="inlineStr">
        <is>
          <t>High</t>
        </is>
      </c>
    </row>
    <row r="1272">
      <c r="A1272" t="inlineStr">
        <is>
          <t>ORD-01345</t>
        </is>
      </c>
      <c r="B1272" s="2" t="n">
        <v>45666</v>
      </c>
      <c r="C1272" s="2" t="n">
        <v>45667</v>
      </c>
      <c r="D1272" t="inlineStr">
        <is>
          <t>CUST-01345</t>
        </is>
      </c>
      <c r="E1272" t="inlineStr">
        <is>
          <t>Customer 1345</t>
        </is>
      </c>
      <c r="F1272" t="inlineStr">
        <is>
          <t>Corporate</t>
        </is>
      </c>
      <c r="G1272" t="inlineStr">
        <is>
          <t>P1004</t>
        </is>
      </c>
      <c r="H1272" t="inlineStr">
        <is>
          <t>Summit Patio Set</t>
        </is>
      </c>
      <c r="I1272" t="inlineStr">
        <is>
          <t>Outdoor</t>
        </is>
      </c>
      <c r="J1272" t="inlineStr">
        <is>
          <t>Accessories</t>
        </is>
      </c>
      <c r="K1272" t="inlineStr">
        <is>
          <t>South</t>
        </is>
      </c>
      <c r="L1272" t="inlineStr">
        <is>
          <t>North Carolina</t>
        </is>
      </c>
      <c r="M1272" t="inlineStr">
        <is>
          <t>Miami</t>
        </is>
      </c>
      <c r="N1272" t="inlineStr">
        <is>
          <t>Liam Chen</t>
        </is>
      </c>
      <c r="O1272" t="n">
        <v>4</v>
      </c>
      <c r="P1272" s="3" t="n">
        <v>606.46</v>
      </c>
      <c r="Q1272" s="4" t="n">
        <v>0.04</v>
      </c>
      <c r="R1272" s="3" t="n">
        <v>2328.81</v>
      </c>
      <c r="S1272" s="3" t="n">
        <v>1477.41</v>
      </c>
      <c r="T1272" s="3" t="n">
        <v>842.2</v>
      </c>
      <c r="U1272" s="4" t="n">
        <v>0.3616</v>
      </c>
      <c r="V1272" s="3" t="n">
        <v>9.199999999999999</v>
      </c>
      <c r="W1272" t="inlineStr">
        <is>
          <t>Credit Card</t>
        </is>
      </c>
      <c r="X1272" t="inlineStr">
        <is>
          <t>Medium</t>
        </is>
      </c>
    </row>
    <row r="1273">
      <c r="A1273" t="inlineStr">
        <is>
          <t>ORD-01348</t>
        </is>
      </c>
      <c r="B1273" s="2" t="n">
        <v>45560</v>
      </c>
      <c r="C1273" s="2" t="n">
        <v>45562</v>
      </c>
      <c r="D1273" t="inlineStr">
        <is>
          <t>CUST-01348</t>
        </is>
      </c>
      <c r="E1273" t="inlineStr">
        <is>
          <t>Customer 1348</t>
        </is>
      </c>
      <c r="F1273" t="inlineStr">
        <is>
          <t>Consumer</t>
        </is>
      </c>
      <c r="G1273" t="inlineStr">
        <is>
          <t>P1017</t>
        </is>
      </c>
      <c r="H1273" t="inlineStr">
        <is>
          <t>Harbor Rug</t>
        </is>
      </c>
      <c r="I1273" t="inlineStr">
        <is>
          <t>Technology</t>
        </is>
      </c>
      <c r="J1273" t="inlineStr">
        <is>
          <t>Lighting</t>
        </is>
      </c>
      <c r="K1273" t="inlineStr">
        <is>
          <t>South</t>
        </is>
      </c>
      <c r="L1273" t="inlineStr">
        <is>
          <t>Florida</t>
        </is>
      </c>
      <c r="M1273" t="inlineStr">
        <is>
          <t>Atlanta</t>
        </is>
      </c>
      <c r="N1273" t="inlineStr">
        <is>
          <t>Sophia Singh</t>
        </is>
      </c>
      <c r="O1273" t="n">
        <v>3</v>
      </c>
      <c r="P1273" s="3" t="n">
        <v>519.03</v>
      </c>
      <c r="Q1273" s="4" t="n">
        <v>0.008</v>
      </c>
      <c r="R1273" s="3" t="n">
        <v>1544.63</v>
      </c>
      <c r="S1273" s="3" t="n">
        <v>1025.1</v>
      </c>
      <c r="T1273" s="3" t="n">
        <v>511.13</v>
      </c>
      <c r="U1273" s="4" t="n">
        <v>0.3309</v>
      </c>
      <c r="V1273" s="3" t="n">
        <v>8.4</v>
      </c>
      <c r="W1273" t="inlineStr">
        <is>
          <t>PayPal</t>
        </is>
      </c>
      <c r="X1273" t="inlineStr">
        <is>
          <t>Low</t>
        </is>
      </c>
    </row>
    <row r="1274">
      <c r="A1274" t="inlineStr">
        <is>
          <t>ORD-01350</t>
        </is>
      </c>
      <c r="B1274" s="2" t="n">
        <v>44930</v>
      </c>
      <c r="C1274" s="2" t="n">
        <v>44936</v>
      </c>
      <c r="D1274" t="inlineStr">
        <is>
          <t>CUST-01350</t>
        </is>
      </c>
      <c r="E1274" t="inlineStr">
        <is>
          <t>Customer 1350</t>
        </is>
      </c>
      <c r="F1274" t="inlineStr">
        <is>
          <t>Corporate</t>
        </is>
      </c>
      <c r="G1274" t="inlineStr">
        <is>
          <t>P1009</t>
        </is>
      </c>
      <c r="H1274" t="inlineStr">
        <is>
          <t>ErgoMesh Chair</t>
        </is>
      </c>
      <c r="I1274" t="inlineStr">
        <is>
          <t>Outdoor</t>
        </is>
      </c>
      <c r="J1274" t="inlineStr">
        <is>
          <t>Binders</t>
        </is>
      </c>
      <c r="K1274" t="inlineStr">
        <is>
          <t>South</t>
        </is>
      </c>
      <c r="L1274" t="inlineStr">
        <is>
          <t>Texas</t>
        </is>
      </c>
      <c r="M1274" t="inlineStr">
        <is>
          <t>Atlanta</t>
        </is>
      </c>
      <c r="N1274" t="inlineStr">
        <is>
          <t>Noah Kim</t>
        </is>
      </c>
      <c r="O1274" t="n">
        <v>4</v>
      </c>
      <c r="P1274" s="3" t="n">
        <v>88.12</v>
      </c>
      <c r="Q1274" s="4" t="n">
        <v>0.018</v>
      </c>
      <c r="R1274" s="3" t="n">
        <v>346.14</v>
      </c>
      <c r="S1274" s="3" t="n">
        <v>169.88</v>
      </c>
      <c r="T1274" s="3" t="n">
        <v>167.06</v>
      </c>
      <c r="U1274" s="4" t="n">
        <v>0.4826</v>
      </c>
      <c r="V1274" s="3" t="n">
        <v>9.199999999999999</v>
      </c>
      <c r="W1274" t="inlineStr">
        <is>
          <t>Credit Card</t>
        </is>
      </c>
      <c r="X1274" t="inlineStr">
        <is>
          <t>Medium</t>
        </is>
      </c>
    </row>
    <row r="1275">
      <c r="A1275" t="inlineStr">
        <is>
          <t>ORD-01355</t>
        </is>
      </c>
      <c r="B1275" s="2" t="n">
        <v>45495</v>
      </c>
      <c r="C1275" s="2" t="n">
        <v>45499</v>
      </c>
      <c r="D1275" t="inlineStr">
        <is>
          <t>CUST-01355</t>
        </is>
      </c>
      <c r="E1275" t="inlineStr">
        <is>
          <t>Customer 1355</t>
        </is>
      </c>
      <c r="F1275" t="inlineStr">
        <is>
          <t>Home Office</t>
        </is>
      </c>
      <c r="G1275" t="inlineStr">
        <is>
          <t>P1009</t>
        </is>
      </c>
      <c r="H1275" t="inlineStr">
        <is>
          <t>Halo Planter</t>
        </is>
      </c>
      <c r="I1275" t="inlineStr">
        <is>
          <t>Furniture</t>
        </is>
      </c>
      <c r="J1275" t="inlineStr">
        <is>
          <t>Desks</t>
        </is>
      </c>
      <c r="K1275" t="inlineStr">
        <is>
          <t>North</t>
        </is>
      </c>
      <c r="L1275" t="inlineStr">
        <is>
          <t>Alberta</t>
        </is>
      </c>
      <c r="M1275" t="inlineStr">
        <is>
          <t>Calgary</t>
        </is>
      </c>
      <c r="N1275" t="inlineStr">
        <is>
          <t>Mia Rodriguez</t>
        </is>
      </c>
      <c r="O1275" t="n">
        <v>2</v>
      </c>
      <c r="P1275" s="3" t="n">
        <v>95.26000000000001</v>
      </c>
      <c r="Q1275" s="4" t="n">
        <v>0.02</v>
      </c>
      <c r="R1275" s="3" t="n">
        <v>186.71</v>
      </c>
      <c r="S1275" s="3" t="n">
        <v>97.88</v>
      </c>
      <c r="T1275" s="3" t="n">
        <v>81.23</v>
      </c>
      <c r="U1275" s="4" t="n">
        <v>0.4351</v>
      </c>
      <c r="V1275" s="3" t="n">
        <v>7.6</v>
      </c>
      <c r="W1275" t="inlineStr">
        <is>
          <t>Bank Transfer</t>
        </is>
      </c>
      <c r="X1275" t="inlineStr">
        <is>
          <t>Medium</t>
        </is>
      </c>
    </row>
    <row r="1276">
      <c r="A1276" t="inlineStr">
        <is>
          <t>ORD-01356</t>
        </is>
      </c>
      <c r="B1276" s="2" t="n">
        <v>45733</v>
      </c>
      <c r="C1276" s="2" t="n">
        <v>45734</v>
      </c>
      <c r="D1276" t="inlineStr">
        <is>
          <t>CUST-01356</t>
        </is>
      </c>
      <c r="E1276" t="inlineStr">
        <is>
          <t>Customer 1356</t>
        </is>
      </c>
      <c r="F1276" t="inlineStr">
        <is>
          <t>Consumer</t>
        </is>
      </c>
      <c r="G1276" t="inlineStr">
        <is>
          <t>P1002</t>
        </is>
      </c>
      <c r="H1276" t="inlineStr">
        <is>
          <t>Lumen Desk Lamp</t>
        </is>
      </c>
      <c r="I1276" t="inlineStr">
        <is>
          <t>Technology</t>
        </is>
      </c>
      <c r="J1276" t="inlineStr">
        <is>
          <t>Video</t>
        </is>
      </c>
      <c r="K1276" t="inlineStr">
        <is>
          <t>Central</t>
        </is>
      </c>
      <c r="L1276" t="inlineStr">
        <is>
          <t>Illinois</t>
        </is>
      </c>
      <c r="M1276" t="inlineStr">
        <is>
          <t>Kansas City</t>
        </is>
      </c>
      <c r="N1276" t="inlineStr">
        <is>
          <t>James Carter</t>
        </is>
      </c>
      <c r="O1276" t="n">
        <v>6</v>
      </c>
      <c r="P1276" s="3" t="n">
        <v>77.09</v>
      </c>
      <c r="Q1276" s="4" t="n">
        <v>0.012</v>
      </c>
      <c r="R1276" s="3" t="n">
        <v>456.99</v>
      </c>
      <c r="S1276" s="3" t="n">
        <v>206.82</v>
      </c>
      <c r="T1276" s="3" t="n">
        <v>239.37</v>
      </c>
      <c r="U1276" s="4" t="n">
        <v>0.5238</v>
      </c>
      <c r="V1276" s="3" t="n">
        <v>10.8</v>
      </c>
      <c r="W1276" t="inlineStr">
        <is>
          <t>Debit Card</t>
        </is>
      </c>
      <c r="X1276" t="inlineStr">
        <is>
          <t>Low</t>
        </is>
      </c>
    </row>
    <row r="1277">
      <c r="A1277" t="inlineStr">
        <is>
          <t>ORD-01358</t>
        </is>
      </c>
      <c r="B1277" s="2" t="n">
        <v>45346</v>
      </c>
      <c r="C1277" s="2" t="n">
        <v>45352</v>
      </c>
      <c r="D1277" t="inlineStr">
        <is>
          <t>CUST-01358</t>
        </is>
      </c>
      <c r="E1277" t="inlineStr">
        <is>
          <t>Customer 1358</t>
        </is>
      </c>
      <c r="F1277" t="inlineStr">
        <is>
          <t>Consumer</t>
        </is>
      </c>
      <c r="G1277" t="inlineStr">
        <is>
          <t>P1016</t>
        </is>
      </c>
      <c r="H1277" t="inlineStr">
        <is>
          <t>SmartInk Pen Set</t>
        </is>
      </c>
      <c r="I1277" t="inlineStr">
        <is>
          <t>Outdoor</t>
        </is>
      </c>
      <c r="J1277" t="inlineStr">
        <is>
          <t>Accessories</t>
        </is>
      </c>
      <c r="K1277" t="inlineStr">
        <is>
          <t>South</t>
        </is>
      </c>
      <c r="L1277" t="inlineStr">
        <is>
          <t>Texas</t>
        </is>
      </c>
      <c r="M1277" t="inlineStr">
        <is>
          <t>Houston</t>
        </is>
      </c>
      <c r="N1277" t="inlineStr">
        <is>
          <t>James Carter</t>
        </is>
      </c>
      <c r="O1277" t="n">
        <v>4</v>
      </c>
      <c r="P1277" s="3" t="n">
        <v>38.05</v>
      </c>
      <c r="Q1277" s="4" t="n">
        <v>0.001</v>
      </c>
      <c r="R1277" s="3" t="n">
        <v>152.05</v>
      </c>
      <c r="S1277" s="3" t="n">
        <v>61.66</v>
      </c>
      <c r="T1277" s="3" t="n">
        <v>81.19</v>
      </c>
      <c r="U1277" s="4" t="n">
        <v>0.534</v>
      </c>
      <c r="V1277" s="3" t="n">
        <v>9.199999999999999</v>
      </c>
      <c r="W1277" t="inlineStr">
        <is>
          <t>Bank Transfer</t>
        </is>
      </c>
      <c r="X1277" t="inlineStr">
        <is>
          <t>Low</t>
        </is>
      </c>
    </row>
    <row r="1278">
      <c r="A1278" t="inlineStr">
        <is>
          <t>ORD-01359</t>
        </is>
      </c>
      <c r="B1278" s="2" t="n">
        <v>45155</v>
      </c>
      <c r="C1278" s="2" t="n">
        <v>45157</v>
      </c>
      <c r="D1278" t="inlineStr">
        <is>
          <t>CUST-01359</t>
        </is>
      </c>
      <c r="E1278" t="inlineStr">
        <is>
          <t>Customer 1359</t>
        </is>
      </c>
      <c r="F1278" t="inlineStr">
        <is>
          <t>Corporate</t>
        </is>
      </c>
      <c r="G1278" t="inlineStr">
        <is>
          <t>P1007</t>
        </is>
      </c>
      <c r="H1278" t="inlineStr">
        <is>
          <t>CloudDrive File Box</t>
        </is>
      </c>
      <c r="I1278" t="inlineStr">
        <is>
          <t>Office Supplies</t>
        </is>
      </c>
      <c r="J1278" t="inlineStr">
        <is>
          <t>Peripherals</t>
        </is>
      </c>
      <c r="K1278" t="inlineStr">
        <is>
          <t>South</t>
        </is>
      </c>
      <c r="L1278" t="inlineStr">
        <is>
          <t>Texas</t>
        </is>
      </c>
      <c r="M1278" t="inlineStr">
        <is>
          <t>Dallas</t>
        </is>
      </c>
      <c r="N1278" t="inlineStr">
        <is>
          <t>Noah Kim</t>
        </is>
      </c>
      <c r="O1278" t="n">
        <v>1</v>
      </c>
      <c r="P1278" s="3" t="n">
        <v>25.31</v>
      </c>
      <c r="Q1278" s="4" t="n">
        <v>0.023</v>
      </c>
      <c r="R1278" s="3" t="n">
        <v>24.73</v>
      </c>
      <c r="S1278" s="3" t="n">
        <v>16.08</v>
      </c>
      <c r="T1278" s="3" t="n">
        <v>1.85</v>
      </c>
      <c r="U1278" s="4" t="n">
        <v>0.07480000000000001</v>
      </c>
      <c r="V1278" s="3" t="n">
        <v>6.8</v>
      </c>
      <c r="W1278" t="inlineStr">
        <is>
          <t>Debit Card</t>
        </is>
      </c>
      <c r="X1278" t="inlineStr">
        <is>
          <t>Medium</t>
        </is>
      </c>
    </row>
    <row r="1279">
      <c r="A1279" t="inlineStr">
        <is>
          <t>ORD-01360</t>
        </is>
      </c>
      <c r="B1279" s="2" t="n">
        <v>45551</v>
      </c>
      <c r="C1279" s="2" t="n">
        <v>45557</v>
      </c>
      <c r="D1279" t="inlineStr">
        <is>
          <t>CUST-01360</t>
        </is>
      </c>
      <c r="E1279" t="inlineStr">
        <is>
          <t>Customer 1360</t>
        </is>
      </c>
      <c r="F1279" t="inlineStr">
        <is>
          <t>Consumer</t>
        </is>
      </c>
      <c r="G1279" t="inlineStr">
        <is>
          <t>P1001</t>
        </is>
      </c>
      <c r="H1279" t="inlineStr">
        <is>
          <t>ErgoMesh Chair</t>
        </is>
      </c>
      <c r="I1279" t="inlineStr">
        <is>
          <t>Home Decor</t>
        </is>
      </c>
      <c r="J1279" t="inlineStr">
        <is>
          <t>Lighting</t>
        </is>
      </c>
      <c r="K1279" t="inlineStr">
        <is>
          <t>Central</t>
        </is>
      </c>
      <c r="L1279" t="inlineStr">
        <is>
          <t>Missouri</t>
        </is>
      </c>
      <c r="M1279" t="inlineStr">
        <is>
          <t>Kansas City</t>
        </is>
      </c>
      <c r="N1279" t="inlineStr">
        <is>
          <t>Noah Kim</t>
        </is>
      </c>
      <c r="O1279" t="n">
        <v>3</v>
      </c>
      <c r="P1279" s="3" t="n">
        <v>287.7</v>
      </c>
      <c r="Q1279" s="4" t="n">
        <v>0.034</v>
      </c>
      <c r="R1279" s="3" t="n">
        <v>833.75</v>
      </c>
      <c r="S1279" s="3" t="n">
        <v>487.74</v>
      </c>
      <c r="T1279" s="3" t="n">
        <v>337.61</v>
      </c>
      <c r="U1279" s="4" t="n">
        <v>0.4049</v>
      </c>
      <c r="V1279" s="3" t="n">
        <v>8.4</v>
      </c>
      <c r="W1279" t="inlineStr">
        <is>
          <t>Credit Card</t>
        </is>
      </c>
      <c r="X1279" t="inlineStr">
        <is>
          <t>Critical</t>
        </is>
      </c>
    </row>
    <row r="1280">
      <c r="A1280" t="inlineStr">
        <is>
          <t>ORD-01361</t>
        </is>
      </c>
      <c r="B1280" s="2" t="n">
        <v>45858</v>
      </c>
      <c r="C1280" s="2" t="n">
        <v>45864</v>
      </c>
      <c r="D1280" t="inlineStr">
        <is>
          <t>CUST-01361</t>
        </is>
      </c>
      <c r="E1280" t="inlineStr">
        <is>
          <t>Customer 1361</t>
        </is>
      </c>
      <c r="F1280" t="inlineStr">
        <is>
          <t>Consumer</t>
        </is>
      </c>
      <c r="G1280" t="inlineStr">
        <is>
          <t>P1007</t>
        </is>
      </c>
      <c r="H1280" t="inlineStr">
        <is>
          <t>ErgoMesh Chair</t>
        </is>
      </c>
      <c r="I1280" t="inlineStr">
        <is>
          <t>Home Decor</t>
        </is>
      </c>
      <c r="J1280" t="inlineStr">
        <is>
          <t>Accessories</t>
        </is>
      </c>
      <c r="K1280" t="inlineStr">
        <is>
          <t>Central</t>
        </is>
      </c>
      <c r="L1280" t="inlineStr">
        <is>
          <t>Kansas</t>
        </is>
      </c>
      <c r="M1280" t="inlineStr">
        <is>
          <t>Chicago</t>
        </is>
      </c>
      <c r="N1280" t="inlineStr">
        <is>
          <t>Sophia Singh</t>
        </is>
      </c>
      <c r="O1280" t="n">
        <v>3</v>
      </c>
      <c r="P1280" s="3" t="n">
        <v>23.85</v>
      </c>
      <c r="Q1280" s="4" t="n">
        <v>0.022</v>
      </c>
      <c r="R1280" s="3" t="n">
        <v>69.98</v>
      </c>
      <c r="S1280" s="3" t="n">
        <v>32.55</v>
      </c>
      <c r="T1280" s="3" t="n">
        <v>29.03</v>
      </c>
      <c r="U1280" s="4" t="n">
        <v>0.4148</v>
      </c>
      <c r="V1280" s="3" t="n">
        <v>8.4</v>
      </c>
      <c r="W1280" t="inlineStr">
        <is>
          <t>Debit Card</t>
        </is>
      </c>
      <c r="X1280" t="inlineStr">
        <is>
          <t>High</t>
        </is>
      </c>
    </row>
    <row r="1281">
      <c r="A1281" t="inlineStr">
        <is>
          <t>ORD-01370</t>
        </is>
      </c>
      <c r="B1281" s="2" t="n">
        <v>45082</v>
      </c>
      <c r="C1281" s="2" t="n">
        <v>45085</v>
      </c>
      <c r="D1281" t="inlineStr">
        <is>
          <t>CUST-01370</t>
        </is>
      </c>
      <c r="E1281" t="inlineStr">
        <is>
          <t>Customer 1370</t>
        </is>
      </c>
      <c r="F1281" t="inlineStr">
        <is>
          <t>Consumer</t>
        </is>
      </c>
      <c r="G1281" t="inlineStr">
        <is>
          <t>P1001</t>
        </is>
      </c>
      <c r="H1281" t="inlineStr">
        <is>
          <t>Nova Laptop Stand</t>
        </is>
      </c>
      <c r="I1281" t="inlineStr">
        <is>
          <t>Technology</t>
        </is>
      </c>
      <c r="J1281" t="inlineStr">
        <is>
          <t>Peripherals</t>
        </is>
      </c>
      <c r="K1281" t="inlineStr">
        <is>
          <t>North</t>
        </is>
      </c>
      <c r="L1281" t="inlineStr">
        <is>
          <t>British Columbia</t>
        </is>
      </c>
      <c r="M1281" t="inlineStr">
        <is>
          <t>Vancouver</t>
        </is>
      </c>
      <c r="N1281" t="inlineStr">
        <is>
          <t>Mia Rodriguez</t>
        </is>
      </c>
      <c r="O1281" t="n">
        <v>4</v>
      </c>
      <c r="P1281" s="3" t="n">
        <v>292.85</v>
      </c>
      <c r="Q1281" s="4" t="n">
        <v>0.021</v>
      </c>
      <c r="R1281" s="3" t="n">
        <v>1146.8</v>
      </c>
      <c r="S1281" s="3" t="n">
        <v>669.89</v>
      </c>
      <c r="T1281" s="3" t="n">
        <v>467.71</v>
      </c>
      <c r="U1281" s="4" t="n">
        <v>0.4078</v>
      </c>
      <c r="V1281" s="3" t="n">
        <v>9.199999999999999</v>
      </c>
      <c r="W1281" t="inlineStr">
        <is>
          <t>Cash on Delivery</t>
        </is>
      </c>
      <c r="X1281" t="inlineStr">
        <is>
          <t>Medium</t>
        </is>
      </c>
    </row>
    <row r="1282">
      <c r="A1282" t="inlineStr">
        <is>
          <t>ORD-01375</t>
        </is>
      </c>
      <c r="B1282" s="2" t="n">
        <v>45275</v>
      </c>
      <c r="C1282" s="2" t="n">
        <v>45279</v>
      </c>
      <c r="D1282" t="inlineStr">
        <is>
          <t>CUST-01375</t>
        </is>
      </c>
      <c r="E1282" t="inlineStr">
        <is>
          <t>Customer 1375</t>
        </is>
      </c>
      <c r="F1282" t="inlineStr">
        <is>
          <t>Consumer</t>
        </is>
      </c>
      <c r="G1282" t="inlineStr">
        <is>
          <t>P1010</t>
        </is>
      </c>
      <c r="H1282" t="inlineStr">
        <is>
          <t>Cove Wall Clock</t>
        </is>
      </c>
      <c r="I1282" t="inlineStr">
        <is>
          <t>Home Decor</t>
        </is>
      </c>
      <c r="J1282" t="inlineStr">
        <is>
          <t>Paper</t>
        </is>
      </c>
      <c r="K1282" t="inlineStr">
        <is>
          <t>North</t>
        </is>
      </c>
      <c r="L1282" t="inlineStr">
        <is>
          <t>Ontario</t>
        </is>
      </c>
      <c r="M1282" t="inlineStr">
        <is>
          <t>Calgary</t>
        </is>
      </c>
      <c r="N1282" t="inlineStr">
        <is>
          <t>Olivia Martin</t>
        </is>
      </c>
      <c r="O1282" t="n">
        <v>4</v>
      </c>
      <c r="P1282" s="3" t="n">
        <v>57.98</v>
      </c>
      <c r="Q1282" s="4" t="n">
        <v>0.033</v>
      </c>
      <c r="R1282" s="3" t="n">
        <v>224.27</v>
      </c>
      <c r="S1282" s="3" t="n">
        <v>98.84999999999999</v>
      </c>
      <c r="T1282" s="3" t="n">
        <v>116.22</v>
      </c>
      <c r="U1282" s="4" t="n">
        <v>0.5182</v>
      </c>
      <c r="V1282" s="3" t="n">
        <v>9.199999999999999</v>
      </c>
      <c r="W1282" t="inlineStr">
        <is>
          <t>Bank Transfer</t>
        </is>
      </c>
      <c r="X1282" t="inlineStr">
        <is>
          <t>High</t>
        </is>
      </c>
    </row>
    <row r="1283">
      <c r="A1283" t="inlineStr">
        <is>
          <t>ORD-01377</t>
        </is>
      </c>
      <c r="B1283" s="2" t="n">
        <v>45323</v>
      </c>
      <c r="C1283" s="2" t="n">
        <v>45325</v>
      </c>
      <c r="D1283" t="inlineStr">
        <is>
          <t>CUST-01377</t>
        </is>
      </c>
      <c r="E1283" t="inlineStr">
        <is>
          <t>Customer 1377</t>
        </is>
      </c>
      <c r="F1283" t="inlineStr">
        <is>
          <t>Corporate</t>
        </is>
      </c>
      <c r="G1283" t="inlineStr">
        <is>
          <t>P1004</t>
        </is>
      </c>
      <c r="H1283" t="inlineStr">
        <is>
          <t>Aero Standing Desk</t>
        </is>
      </c>
      <c r="I1283" t="inlineStr">
        <is>
          <t>Office Supplies</t>
        </is>
      </c>
      <c r="J1283" t="inlineStr">
        <is>
          <t>Bags</t>
        </is>
      </c>
      <c r="K1283" t="inlineStr">
        <is>
          <t>South</t>
        </is>
      </c>
      <c r="L1283" t="inlineStr">
        <is>
          <t>Texas</t>
        </is>
      </c>
      <c r="M1283" t="inlineStr">
        <is>
          <t>Miami</t>
        </is>
      </c>
      <c r="N1283" t="inlineStr">
        <is>
          <t>James Carter</t>
        </is>
      </c>
      <c r="O1283" t="n">
        <v>2</v>
      </c>
      <c r="P1283" s="3" t="n">
        <v>574.48</v>
      </c>
      <c r="Q1283" s="4" t="n">
        <v>0.029</v>
      </c>
      <c r="R1283" s="3" t="n">
        <v>1115.64</v>
      </c>
      <c r="S1283" s="3" t="n">
        <v>710.42</v>
      </c>
      <c r="T1283" s="3" t="n">
        <v>397.62</v>
      </c>
      <c r="U1283" s="4" t="n">
        <v>0.3564</v>
      </c>
      <c r="V1283" s="3" t="n">
        <v>7.6</v>
      </c>
      <c r="W1283" t="inlineStr">
        <is>
          <t>Credit Card</t>
        </is>
      </c>
      <c r="X1283" t="inlineStr">
        <is>
          <t>Low</t>
        </is>
      </c>
    </row>
    <row r="1284">
      <c r="A1284" t="inlineStr">
        <is>
          <t>ORD-01378</t>
        </is>
      </c>
      <c r="B1284" s="2" t="n">
        <v>45437</v>
      </c>
      <c r="C1284" s="2" t="n">
        <v>45440</v>
      </c>
      <c r="D1284" t="inlineStr">
        <is>
          <t>CUST-01378</t>
        </is>
      </c>
      <c r="E1284" t="inlineStr">
        <is>
          <t>Customer 1378</t>
        </is>
      </c>
      <c r="F1284" t="inlineStr">
        <is>
          <t>Consumer</t>
        </is>
      </c>
      <c r="G1284" t="inlineStr">
        <is>
          <t>P1015</t>
        </is>
      </c>
      <c r="H1284" t="inlineStr">
        <is>
          <t>Nova Laptop Stand</t>
        </is>
      </c>
      <c r="I1284" t="inlineStr">
        <is>
          <t>Technology</t>
        </is>
      </c>
      <c r="J1284" t="inlineStr">
        <is>
          <t>Plants</t>
        </is>
      </c>
      <c r="K1284" t="inlineStr">
        <is>
          <t>South</t>
        </is>
      </c>
      <c r="L1284" t="inlineStr">
        <is>
          <t>North Carolina</t>
        </is>
      </c>
      <c r="M1284" t="inlineStr">
        <is>
          <t>Atlanta</t>
        </is>
      </c>
      <c r="N1284" t="inlineStr">
        <is>
          <t>Ava Patel</t>
        </is>
      </c>
      <c r="O1284" t="n">
        <v>3</v>
      </c>
      <c r="P1284" s="3" t="n">
        <v>67.89</v>
      </c>
      <c r="Q1284" s="4" t="n">
        <v>0.015</v>
      </c>
      <c r="R1284" s="3" t="n">
        <v>200.61</v>
      </c>
      <c r="S1284" s="3" t="n">
        <v>95.62</v>
      </c>
      <c r="T1284" s="3" t="n">
        <v>96.59</v>
      </c>
      <c r="U1284" s="4" t="n">
        <v>0.4815</v>
      </c>
      <c r="V1284" s="3" t="n">
        <v>8.4</v>
      </c>
      <c r="W1284" t="inlineStr">
        <is>
          <t>Cash on Delivery</t>
        </is>
      </c>
      <c r="X1284" t="inlineStr">
        <is>
          <t>Low</t>
        </is>
      </c>
    </row>
    <row r="1285">
      <c r="A1285" t="inlineStr">
        <is>
          <t>ORD-01379</t>
        </is>
      </c>
      <c r="B1285" s="2" t="n">
        <v>45467</v>
      </c>
      <c r="C1285" s="2" t="n">
        <v>45470</v>
      </c>
      <c r="D1285" t="inlineStr">
        <is>
          <t>CUST-01379</t>
        </is>
      </c>
      <c r="E1285" t="inlineStr">
        <is>
          <t>Customer 1379</t>
        </is>
      </c>
      <c r="F1285" t="inlineStr">
        <is>
          <t>Corporate</t>
        </is>
      </c>
      <c r="G1285" t="inlineStr">
        <is>
          <t>P1020</t>
        </is>
      </c>
      <c r="H1285" t="inlineStr">
        <is>
          <t>Lumen Desk Lamp</t>
        </is>
      </c>
      <c r="I1285" t="inlineStr">
        <is>
          <t>Office Supplies</t>
        </is>
      </c>
      <c r="J1285" t="inlineStr">
        <is>
          <t>Furniture</t>
        </is>
      </c>
      <c r="K1285" t="inlineStr">
        <is>
          <t>South</t>
        </is>
      </c>
      <c r="L1285" t="inlineStr">
        <is>
          <t>Florida</t>
        </is>
      </c>
      <c r="M1285" t="inlineStr">
        <is>
          <t>Miami</t>
        </is>
      </c>
      <c r="N1285" t="inlineStr">
        <is>
          <t>Olivia Martin</t>
        </is>
      </c>
      <c r="O1285" t="n">
        <v>1</v>
      </c>
      <c r="P1285" s="3" t="n">
        <v>72.26000000000001</v>
      </c>
      <c r="Q1285" s="4" t="n">
        <v>0.035</v>
      </c>
      <c r="R1285" s="3" t="n">
        <v>69.73</v>
      </c>
      <c r="S1285" s="3" t="n">
        <v>40.86</v>
      </c>
      <c r="T1285" s="3" t="n">
        <v>22.07</v>
      </c>
      <c r="U1285" s="4" t="n">
        <v>0.3165</v>
      </c>
      <c r="V1285" s="3" t="n">
        <v>6.8</v>
      </c>
      <c r="W1285" t="inlineStr">
        <is>
          <t>Credit Card</t>
        </is>
      </c>
      <c r="X1285" t="inlineStr">
        <is>
          <t>High</t>
        </is>
      </c>
    </row>
    <row r="1286">
      <c r="A1286" t="inlineStr">
        <is>
          <t>ORD-01381</t>
        </is>
      </c>
      <c r="B1286" s="2" t="n">
        <v>45147</v>
      </c>
      <c r="C1286" s="2" t="n">
        <v>45151</v>
      </c>
      <c r="D1286" t="inlineStr">
        <is>
          <t>CUST-01381</t>
        </is>
      </c>
      <c r="E1286" t="inlineStr">
        <is>
          <t>Customer 1381</t>
        </is>
      </c>
      <c r="F1286" t="inlineStr">
        <is>
          <t>Consumer</t>
        </is>
      </c>
      <c r="G1286" t="inlineStr">
        <is>
          <t>P1020</t>
        </is>
      </c>
      <c r="H1286" t="inlineStr">
        <is>
          <t>Tide Cooler</t>
        </is>
      </c>
      <c r="I1286" t="inlineStr">
        <is>
          <t>Furniture</t>
        </is>
      </c>
      <c r="J1286" t="inlineStr">
        <is>
          <t>Flooring</t>
        </is>
      </c>
      <c r="K1286" t="inlineStr">
        <is>
          <t>South</t>
        </is>
      </c>
      <c r="L1286" t="inlineStr">
        <is>
          <t>North Carolina</t>
        </is>
      </c>
      <c r="M1286" t="inlineStr">
        <is>
          <t>Atlanta</t>
        </is>
      </c>
      <c r="N1286" t="inlineStr">
        <is>
          <t>Noah Kim</t>
        </is>
      </c>
      <c r="O1286" t="n">
        <v>2</v>
      </c>
      <c r="P1286" s="3" t="n">
        <v>74.63</v>
      </c>
      <c r="Q1286" s="4" t="n">
        <v>0.006</v>
      </c>
      <c r="R1286" s="3" t="n">
        <v>148.36</v>
      </c>
      <c r="S1286" s="3" t="n">
        <v>73.04000000000001</v>
      </c>
      <c r="T1286" s="3" t="n">
        <v>67.72</v>
      </c>
      <c r="U1286" s="4" t="n">
        <v>0.4565</v>
      </c>
      <c r="V1286" s="3" t="n">
        <v>7.6</v>
      </c>
      <c r="W1286" t="inlineStr">
        <is>
          <t>PayPal</t>
        </is>
      </c>
      <c r="X1286" t="inlineStr">
        <is>
          <t>Low</t>
        </is>
      </c>
    </row>
    <row r="1287">
      <c r="A1287" t="inlineStr">
        <is>
          <t>ORD-01382</t>
        </is>
      </c>
      <c r="B1287" s="2" t="n">
        <v>45476</v>
      </c>
      <c r="C1287" s="2" t="n">
        <v>45483</v>
      </c>
      <c r="D1287" t="inlineStr">
        <is>
          <t>CUST-01382</t>
        </is>
      </c>
      <c r="E1287" t="inlineStr">
        <is>
          <t>Customer 1382</t>
        </is>
      </c>
      <c r="F1287" t="inlineStr">
        <is>
          <t>Consumer</t>
        </is>
      </c>
      <c r="G1287" t="inlineStr">
        <is>
          <t>P1020</t>
        </is>
      </c>
      <c r="H1287" t="inlineStr">
        <is>
          <t>SmartInk Pen Set</t>
        </is>
      </c>
      <c r="I1287" t="inlineStr">
        <is>
          <t>Outdoor</t>
        </is>
      </c>
      <c r="J1287" t="inlineStr">
        <is>
          <t>Bags</t>
        </is>
      </c>
      <c r="K1287" t="inlineStr">
        <is>
          <t>Central</t>
        </is>
      </c>
      <c r="L1287" t="inlineStr">
        <is>
          <t>Illinois</t>
        </is>
      </c>
      <c r="M1287" t="inlineStr">
        <is>
          <t>Minneapolis</t>
        </is>
      </c>
      <c r="N1287" t="inlineStr">
        <is>
          <t>Ava Patel</t>
        </is>
      </c>
      <c r="O1287" t="n">
        <v>5</v>
      </c>
      <c r="P1287" s="3" t="n">
        <v>74.93000000000001</v>
      </c>
      <c r="Q1287" s="4" t="n">
        <v>0.028</v>
      </c>
      <c r="R1287" s="3" t="n">
        <v>364.16</v>
      </c>
      <c r="S1287" s="3" t="n">
        <v>175.46</v>
      </c>
      <c r="T1287" s="3" t="n">
        <v>178.7</v>
      </c>
      <c r="U1287" s="4" t="n">
        <v>0.4907</v>
      </c>
      <c r="V1287" s="3" t="n">
        <v>10</v>
      </c>
      <c r="W1287" t="inlineStr">
        <is>
          <t>PayPal</t>
        </is>
      </c>
      <c r="X1287" t="inlineStr">
        <is>
          <t>Medium</t>
        </is>
      </c>
    </row>
    <row r="1288">
      <c r="A1288" t="inlineStr">
        <is>
          <t>ORD-01383</t>
        </is>
      </c>
      <c r="B1288" s="2" t="n">
        <v>45683</v>
      </c>
      <c r="C1288" s="2" t="n">
        <v>45688</v>
      </c>
      <c r="D1288" t="inlineStr">
        <is>
          <t>CUST-01383</t>
        </is>
      </c>
      <c r="E1288" t="inlineStr">
        <is>
          <t>Customer 1383</t>
        </is>
      </c>
      <c r="F1288" t="inlineStr">
        <is>
          <t>Consumer</t>
        </is>
      </c>
      <c r="G1288" t="inlineStr">
        <is>
          <t>P1016</t>
        </is>
      </c>
      <c r="H1288" t="inlineStr">
        <is>
          <t>Cove Wall Clock</t>
        </is>
      </c>
      <c r="I1288" t="inlineStr">
        <is>
          <t>Home Decor</t>
        </is>
      </c>
      <c r="J1288" t="inlineStr">
        <is>
          <t>Textiles</t>
        </is>
      </c>
      <c r="K1288" t="inlineStr">
        <is>
          <t>North</t>
        </is>
      </c>
      <c r="L1288" t="inlineStr">
        <is>
          <t>Alberta</t>
        </is>
      </c>
      <c r="M1288" t="inlineStr">
        <is>
          <t>Toronto</t>
        </is>
      </c>
      <c r="N1288" t="inlineStr">
        <is>
          <t>Noah Kim</t>
        </is>
      </c>
      <c r="O1288" t="n">
        <v>3</v>
      </c>
      <c r="P1288" s="3" t="n">
        <v>39.79</v>
      </c>
      <c r="Q1288" s="4" t="n">
        <v>0.035</v>
      </c>
      <c r="R1288" s="3" t="n">
        <v>115.19</v>
      </c>
      <c r="S1288" s="3" t="n">
        <v>49.4</v>
      </c>
      <c r="T1288" s="3" t="n">
        <v>57.39</v>
      </c>
      <c r="U1288" s="4" t="n">
        <v>0.4982</v>
      </c>
      <c r="V1288" s="3" t="n">
        <v>8.4</v>
      </c>
      <c r="W1288" t="inlineStr">
        <is>
          <t>Debit Card</t>
        </is>
      </c>
      <c r="X1288" t="inlineStr">
        <is>
          <t>High</t>
        </is>
      </c>
    </row>
    <row r="1289">
      <c r="A1289" t="inlineStr">
        <is>
          <t>ORD-01384</t>
        </is>
      </c>
      <c r="B1289" s="2" t="n">
        <v>45050</v>
      </c>
      <c r="C1289" s="2" t="n">
        <v>45052</v>
      </c>
      <c r="D1289" t="inlineStr">
        <is>
          <t>CUST-01384</t>
        </is>
      </c>
      <c r="E1289" t="inlineStr">
        <is>
          <t>Customer 1384</t>
        </is>
      </c>
      <c r="F1289" t="inlineStr">
        <is>
          <t>Home Office</t>
        </is>
      </c>
      <c r="G1289" t="inlineStr">
        <is>
          <t>P1002</t>
        </is>
      </c>
      <c r="H1289" t="inlineStr">
        <is>
          <t>Halo Planter</t>
        </is>
      </c>
      <c r="I1289" t="inlineStr">
        <is>
          <t>Home Decor</t>
        </is>
      </c>
      <c r="J1289" t="inlineStr">
        <is>
          <t>Plants</t>
        </is>
      </c>
      <c r="K1289" t="inlineStr">
        <is>
          <t>South</t>
        </is>
      </c>
      <c r="L1289" t="inlineStr">
        <is>
          <t>Georgia</t>
        </is>
      </c>
      <c r="M1289" t="inlineStr">
        <is>
          <t>Dallas</t>
        </is>
      </c>
      <c r="N1289" t="inlineStr">
        <is>
          <t>Ava Patel</t>
        </is>
      </c>
      <c r="O1289" t="n">
        <v>5</v>
      </c>
      <c r="P1289" s="3" t="n">
        <v>79.31999999999999</v>
      </c>
      <c r="Q1289" s="4" t="n">
        <v>0.019</v>
      </c>
      <c r="R1289" s="3" t="n">
        <v>389.06</v>
      </c>
      <c r="S1289" s="3" t="n">
        <v>178.12</v>
      </c>
      <c r="T1289" s="3" t="n">
        <v>200.94</v>
      </c>
      <c r="U1289" s="4" t="n">
        <v>0.5165</v>
      </c>
      <c r="V1289" s="3" t="n">
        <v>10</v>
      </c>
      <c r="W1289" t="inlineStr">
        <is>
          <t>Bank Transfer</t>
        </is>
      </c>
      <c r="X1289" t="inlineStr">
        <is>
          <t>Medium</t>
        </is>
      </c>
    </row>
    <row r="1290">
      <c r="A1290" t="inlineStr">
        <is>
          <t>ORD-01387</t>
        </is>
      </c>
      <c r="B1290" s="2" t="n">
        <v>45952</v>
      </c>
      <c r="C1290" s="2" t="n">
        <v>45953</v>
      </c>
      <c r="D1290" t="inlineStr">
        <is>
          <t>CUST-01387</t>
        </is>
      </c>
      <c r="E1290" t="inlineStr">
        <is>
          <t>Customer 1387</t>
        </is>
      </c>
      <c r="F1290" t="inlineStr">
        <is>
          <t>Consumer</t>
        </is>
      </c>
      <c r="G1290" t="inlineStr">
        <is>
          <t>P1013</t>
        </is>
      </c>
      <c r="H1290" t="inlineStr">
        <is>
          <t>CloudDrive File Box</t>
        </is>
      </c>
      <c r="I1290" t="inlineStr">
        <is>
          <t>Technology</t>
        </is>
      </c>
      <c r="J1290" t="inlineStr">
        <is>
          <t>Coolers</t>
        </is>
      </c>
      <c r="K1290" t="inlineStr">
        <is>
          <t>Central</t>
        </is>
      </c>
      <c r="L1290" t="inlineStr">
        <is>
          <t>Kansas</t>
        </is>
      </c>
      <c r="M1290" t="inlineStr">
        <is>
          <t>Kansas City</t>
        </is>
      </c>
      <c r="N1290" t="inlineStr">
        <is>
          <t>Mia Rodriguez</t>
        </is>
      </c>
      <c r="O1290" t="n">
        <v>4</v>
      </c>
      <c r="P1290" s="3" t="n">
        <v>173.5</v>
      </c>
      <c r="Q1290" s="4" t="n">
        <v>0.016</v>
      </c>
      <c r="R1290" s="3" t="n">
        <v>682.9</v>
      </c>
      <c r="S1290" s="3" t="n">
        <v>387.54</v>
      </c>
      <c r="T1290" s="3" t="n">
        <v>286.16</v>
      </c>
      <c r="U1290" s="4" t="n">
        <v>0.419</v>
      </c>
      <c r="V1290" s="3" t="n">
        <v>9.199999999999999</v>
      </c>
      <c r="W1290" t="inlineStr">
        <is>
          <t>Credit Card</t>
        </is>
      </c>
      <c r="X1290" t="inlineStr">
        <is>
          <t>Medium</t>
        </is>
      </c>
    </row>
    <row r="1291">
      <c r="A1291" t="inlineStr">
        <is>
          <t>ORD-01388</t>
        </is>
      </c>
      <c r="B1291" s="2" t="n">
        <v>45213</v>
      </c>
      <c r="C1291" s="2" t="n">
        <v>45218</v>
      </c>
      <c r="D1291" t="inlineStr">
        <is>
          <t>CUST-01388</t>
        </is>
      </c>
      <c r="E1291" t="inlineStr">
        <is>
          <t>Customer 1388</t>
        </is>
      </c>
      <c r="F1291" t="inlineStr">
        <is>
          <t>Consumer</t>
        </is>
      </c>
      <c r="G1291" t="inlineStr">
        <is>
          <t>P1020</t>
        </is>
      </c>
      <c r="H1291" t="inlineStr">
        <is>
          <t>FlexNote Notebook</t>
        </is>
      </c>
      <c r="I1291" t="inlineStr">
        <is>
          <t>Outdoor</t>
        </is>
      </c>
      <c r="J1291" t="inlineStr">
        <is>
          <t>Flooring</t>
        </is>
      </c>
      <c r="K1291" t="inlineStr">
        <is>
          <t>South</t>
        </is>
      </c>
      <c r="L1291" t="inlineStr">
        <is>
          <t>Texas</t>
        </is>
      </c>
      <c r="M1291" t="inlineStr">
        <is>
          <t>Atlanta</t>
        </is>
      </c>
      <c r="N1291" t="inlineStr">
        <is>
          <t>Ethan Brooks</t>
        </is>
      </c>
      <c r="O1291" t="n">
        <v>5</v>
      </c>
      <c r="P1291" s="3" t="n">
        <v>77.66</v>
      </c>
      <c r="Q1291" s="4" t="n">
        <v>0.011</v>
      </c>
      <c r="R1291" s="3" t="n">
        <v>384.03</v>
      </c>
      <c r="S1291" s="3" t="n">
        <v>179.59</v>
      </c>
      <c r="T1291" s="3" t="n">
        <v>194.44</v>
      </c>
      <c r="U1291" s="4" t="n">
        <v>0.5063</v>
      </c>
      <c r="V1291" s="3" t="n">
        <v>10</v>
      </c>
      <c r="W1291" t="inlineStr">
        <is>
          <t>PayPal</t>
        </is>
      </c>
      <c r="X1291" t="inlineStr">
        <is>
          <t>Medium</t>
        </is>
      </c>
    </row>
    <row r="1292">
      <c r="A1292" t="inlineStr">
        <is>
          <t>ORD-01391</t>
        </is>
      </c>
      <c r="B1292" s="2" t="n">
        <v>45062</v>
      </c>
      <c r="C1292" s="2" t="n">
        <v>45067</v>
      </c>
      <c r="D1292" t="inlineStr">
        <is>
          <t>CUST-01391</t>
        </is>
      </c>
      <c r="E1292" t="inlineStr">
        <is>
          <t>Customer 1391</t>
        </is>
      </c>
      <c r="F1292" t="inlineStr">
        <is>
          <t>Corporate</t>
        </is>
      </c>
      <c r="G1292" t="inlineStr">
        <is>
          <t>P1005</t>
        </is>
      </c>
      <c r="H1292" t="inlineStr">
        <is>
          <t>ErgoMesh Chair</t>
        </is>
      </c>
      <c r="I1292" t="inlineStr">
        <is>
          <t>Furniture</t>
        </is>
      </c>
      <c r="J1292" t="inlineStr">
        <is>
          <t>Plants</t>
        </is>
      </c>
      <c r="K1292" t="inlineStr">
        <is>
          <t>North</t>
        </is>
      </c>
      <c r="L1292" t="inlineStr">
        <is>
          <t>Alberta</t>
        </is>
      </c>
      <c r="M1292" t="inlineStr">
        <is>
          <t>Montreal</t>
        </is>
      </c>
      <c r="N1292" t="inlineStr">
        <is>
          <t>James Carter</t>
        </is>
      </c>
      <c r="O1292" t="n">
        <v>3</v>
      </c>
      <c r="P1292" s="3" t="n">
        <v>12.36</v>
      </c>
      <c r="Q1292" s="4" t="n">
        <v>0.025</v>
      </c>
      <c r="R1292" s="3" t="n">
        <v>36.15</v>
      </c>
      <c r="S1292" s="3" t="n">
        <v>23.45</v>
      </c>
      <c r="T1292" s="3" t="n">
        <v>4.3</v>
      </c>
      <c r="U1292" s="4" t="n">
        <v>0.1189</v>
      </c>
      <c r="V1292" s="3" t="n">
        <v>8.4</v>
      </c>
      <c r="W1292" t="inlineStr">
        <is>
          <t>Credit Card</t>
        </is>
      </c>
      <c r="X1292" t="inlineStr">
        <is>
          <t>Low</t>
        </is>
      </c>
    </row>
    <row r="1293">
      <c r="A1293" t="inlineStr">
        <is>
          <t>ORD-01392</t>
        </is>
      </c>
      <c r="B1293" s="2" t="n">
        <v>45246</v>
      </c>
      <c r="C1293" s="2" t="n">
        <v>45249</v>
      </c>
      <c r="D1293" t="inlineStr">
        <is>
          <t>CUST-01392</t>
        </is>
      </c>
      <c r="E1293" t="inlineStr">
        <is>
          <t>Customer 1392</t>
        </is>
      </c>
      <c r="F1293" t="inlineStr">
        <is>
          <t>Home Office</t>
        </is>
      </c>
      <c r="G1293" t="inlineStr">
        <is>
          <t>P1006</t>
        </is>
      </c>
      <c r="H1293" t="inlineStr">
        <is>
          <t>FlexNote Notebook</t>
        </is>
      </c>
      <c r="I1293" t="inlineStr">
        <is>
          <t>Home Decor</t>
        </is>
      </c>
      <c r="J1293" t="inlineStr">
        <is>
          <t>Writing</t>
        </is>
      </c>
      <c r="K1293" t="inlineStr">
        <is>
          <t>Central</t>
        </is>
      </c>
      <c r="L1293" t="inlineStr">
        <is>
          <t>Illinois</t>
        </is>
      </c>
      <c r="M1293" t="inlineStr">
        <is>
          <t>Minneapolis</t>
        </is>
      </c>
      <c r="N1293" t="inlineStr">
        <is>
          <t>Mia Rodriguez</t>
        </is>
      </c>
      <c r="O1293" t="n">
        <v>1</v>
      </c>
      <c r="P1293" s="3" t="n">
        <v>19.07</v>
      </c>
      <c r="Q1293" s="4" t="n">
        <v>0.016</v>
      </c>
      <c r="R1293" s="3" t="n">
        <v>18.76</v>
      </c>
      <c r="S1293" s="3" t="n">
        <v>15.23</v>
      </c>
      <c r="T1293" s="3" t="n">
        <v>-3.27</v>
      </c>
      <c r="U1293" s="4" t="n">
        <v>-0.1743</v>
      </c>
      <c r="V1293" s="3" t="n">
        <v>6.8</v>
      </c>
      <c r="W1293" t="inlineStr">
        <is>
          <t>Cash on Delivery</t>
        </is>
      </c>
      <c r="X1293" t="inlineStr">
        <is>
          <t>High</t>
        </is>
      </c>
    </row>
    <row r="1294">
      <c r="A1294" t="inlineStr">
        <is>
          <t>ORD-01395</t>
        </is>
      </c>
      <c r="B1294" s="2" t="n">
        <v>45298</v>
      </c>
      <c r="C1294" s="2" t="n">
        <v>45302</v>
      </c>
      <c r="D1294" t="inlineStr">
        <is>
          <t>CUST-01395</t>
        </is>
      </c>
      <c r="E1294" t="inlineStr">
        <is>
          <t>Customer 1395</t>
        </is>
      </c>
      <c r="F1294" t="inlineStr">
        <is>
          <t>Consumer</t>
        </is>
      </c>
      <c r="G1294" t="inlineStr">
        <is>
          <t>P1003</t>
        </is>
      </c>
      <c r="H1294" t="inlineStr">
        <is>
          <t>Halo Planter</t>
        </is>
      </c>
      <c r="I1294" t="inlineStr">
        <is>
          <t>Furniture</t>
        </is>
      </c>
      <c r="J1294" t="inlineStr">
        <is>
          <t>Binders</t>
        </is>
      </c>
      <c r="K1294" t="inlineStr">
        <is>
          <t>Central</t>
        </is>
      </c>
      <c r="L1294" t="inlineStr">
        <is>
          <t>Missouri</t>
        </is>
      </c>
      <c r="M1294" t="inlineStr">
        <is>
          <t>Chicago</t>
        </is>
      </c>
      <c r="N1294" t="inlineStr">
        <is>
          <t>Noah Kim</t>
        </is>
      </c>
      <c r="O1294" t="n">
        <v>1</v>
      </c>
      <c r="P1294" s="3" t="n">
        <v>141.85</v>
      </c>
      <c r="Q1294" s="4" t="n">
        <v>0.001</v>
      </c>
      <c r="R1294" s="3" t="n">
        <v>141.71</v>
      </c>
      <c r="S1294" s="3" t="n">
        <v>77.37</v>
      </c>
      <c r="T1294" s="3" t="n">
        <v>57.54</v>
      </c>
      <c r="U1294" s="4" t="n">
        <v>0.406</v>
      </c>
      <c r="V1294" s="3" t="n">
        <v>6.8</v>
      </c>
      <c r="W1294" t="inlineStr">
        <is>
          <t>Debit Card</t>
        </is>
      </c>
      <c r="X1294" t="inlineStr">
        <is>
          <t>Medium</t>
        </is>
      </c>
    </row>
    <row r="1295">
      <c r="A1295" t="inlineStr">
        <is>
          <t>ORD-01396</t>
        </is>
      </c>
      <c r="B1295" s="2" t="n">
        <v>45741</v>
      </c>
      <c r="C1295" s="2" t="n">
        <v>45743</v>
      </c>
      <c r="D1295" t="inlineStr">
        <is>
          <t>CUST-01396</t>
        </is>
      </c>
      <c r="E1295" t="inlineStr">
        <is>
          <t>Customer 1396</t>
        </is>
      </c>
      <c r="F1295" t="inlineStr">
        <is>
          <t>Home Office</t>
        </is>
      </c>
      <c r="G1295" t="inlineStr">
        <is>
          <t>P1013</t>
        </is>
      </c>
      <c r="H1295" t="inlineStr">
        <is>
          <t>Nimbus Monitor Arm</t>
        </is>
      </c>
      <c r="I1295" t="inlineStr">
        <is>
          <t>Home Decor</t>
        </is>
      </c>
      <c r="J1295" t="inlineStr">
        <is>
          <t>Accessories</t>
        </is>
      </c>
      <c r="K1295" t="inlineStr">
        <is>
          <t>South</t>
        </is>
      </c>
      <c r="L1295" t="inlineStr">
        <is>
          <t>Texas</t>
        </is>
      </c>
      <c r="M1295" t="inlineStr">
        <is>
          <t>Dallas</t>
        </is>
      </c>
      <c r="N1295" t="inlineStr">
        <is>
          <t>James Carter</t>
        </is>
      </c>
      <c r="O1295" t="n">
        <v>3</v>
      </c>
      <c r="P1295" s="3" t="n">
        <v>163.44</v>
      </c>
      <c r="Q1295" s="4" t="n">
        <v>0.035</v>
      </c>
      <c r="R1295" s="3" t="n">
        <v>473.16</v>
      </c>
      <c r="S1295" s="3" t="n">
        <v>272.63</v>
      </c>
      <c r="T1295" s="3" t="n">
        <v>192.13</v>
      </c>
      <c r="U1295" s="4" t="n">
        <v>0.4061</v>
      </c>
      <c r="V1295" s="3" t="n">
        <v>8.4</v>
      </c>
      <c r="W1295" t="inlineStr">
        <is>
          <t>Debit Card</t>
        </is>
      </c>
      <c r="X1295" t="inlineStr">
        <is>
          <t>Critical</t>
        </is>
      </c>
    </row>
    <row r="1296">
      <c r="A1296" t="inlineStr">
        <is>
          <t>ORD-01401</t>
        </is>
      </c>
      <c r="B1296" s="2" t="n">
        <v>45084</v>
      </c>
      <c r="C1296" s="2" t="n">
        <v>45088</v>
      </c>
      <c r="D1296" t="inlineStr">
        <is>
          <t>CUST-01401</t>
        </is>
      </c>
      <c r="E1296" t="inlineStr">
        <is>
          <t>Customer 1401</t>
        </is>
      </c>
      <c r="F1296" t="inlineStr">
        <is>
          <t>Consumer</t>
        </is>
      </c>
      <c r="G1296" t="inlineStr">
        <is>
          <t>P1013</t>
        </is>
      </c>
      <c r="H1296" t="inlineStr">
        <is>
          <t>Orbit Wireless Mouse</t>
        </is>
      </c>
      <c r="I1296" t="inlineStr">
        <is>
          <t>Office Supplies</t>
        </is>
      </c>
      <c r="J1296" t="inlineStr">
        <is>
          <t>Textiles</t>
        </is>
      </c>
      <c r="K1296" t="inlineStr">
        <is>
          <t>South</t>
        </is>
      </c>
      <c r="L1296" t="inlineStr">
        <is>
          <t>Georgia</t>
        </is>
      </c>
      <c r="M1296" t="inlineStr">
        <is>
          <t>Miami</t>
        </is>
      </c>
      <c r="N1296" t="inlineStr">
        <is>
          <t>Noah Kim</t>
        </is>
      </c>
      <c r="O1296" t="n">
        <v>4</v>
      </c>
      <c r="P1296" s="3" t="n">
        <v>161.01</v>
      </c>
      <c r="Q1296" s="4" t="n">
        <v>0.015</v>
      </c>
      <c r="R1296" s="3" t="n">
        <v>634.38</v>
      </c>
      <c r="S1296" s="3" t="n">
        <v>364.89</v>
      </c>
      <c r="T1296" s="3" t="n">
        <v>260.29</v>
      </c>
      <c r="U1296" s="4" t="n">
        <v>0.4103</v>
      </c>
      <c r="V1296" s="3" t="n">
        <v>9.199999999999999</v>
      </c>
      <c r="W1296" t="inlineStr">
        <is>
          <t>Credit Card</t>
        </is>
      </c>
      <c r="X1296" t="inlineStr">
        <is>
          <t>Medium</t>
        </is>
      </c>
    </row>
    <row r="1297">
      <c r="A1297" t="inlineStr">
        <is>
          <t>ORD-01402</t>
        </is>
      </c>
      <c r="B1297" s="2" t="n">
        <v>45287</v>
      </c>
      <c r="C1297" s="2" t="n">
        <v>45292</v>
      </c>
      <c r="D1297" t="inlineStr">
        <is>
          <t>CUST-01402</t>
        </is>
      </c>
      <c r="E1297" t="inlineStr">
        <is>
          <t>Customer 1402</t>
        </is>
      </c>
      <c r="F1297" t="inlineStr">
        <is>
          <t>Consumer</t>
        </is>
      </c>
      <c r="G1297" t="inlineStr">
        <is>
          <t>P1010</t>
        </is>
      </c>
      <c r="H1297" t="inlineStr">
        <is>
          <t>Trail Tote</t>
        </is>
      </c>
      <c r="I1297" t="inlineStr">
        <is>
          <t>Office Supplies</t>
        </is>
      </c>
      <c r="J1297" t="inlineStr">
        <is>
          <t>Desks</t>
        </is>
      </c>
      <c r="K1297" t="inlineStr">
        <is>
          <t>Central</t>
        </is>
      </c>
      <c r="L1297" t="inlineStr">
        <is>
          <t>Kansas</t>
        </is>
      </c>
      <c r="M1297" t="inlineStr">
        <is>
          <t>St. Louis</t>
        </is>
      </c>
      <c r="N1297" t="inlineStr">
        <is>
          <t>Ethan Brooks</t>
        </is>
      </c>
      <c r="O1297" t="n">
        <v>3</v>
      </c>
      <c r="P1297" s="3" t="n">
        <v>56.16</v>
      </c>
      <c r="Q1297" s="4" t="n">
        <v>0.014</v>
      </c>
      <c r="R1297" s="3" t="n">
        <v>166.12</v>
      </c>
      <c r="S1297" s="3" t="n">
        <v>79.98999999999999</v>
      </c>
      <c r="T1297" s="3" t="n">
        <v>77.73</v>
      </c>
      <c r="U1297" s="4" t="n">
        <v>0.4679</v>
      </c>
      <c r="V1297" s="3" t="n">
        <v>8.4</v>
      </c>
      <c r="W1297" t="inlineStr">
        <is>
          <t>Bank Transfer</t>
        </is>
      </c>
      <c r="X1297" t="inlineStr">
        <is>
          <t>Medium</t>
        </is>
      </c>
    </row>
    <row r="1298">
      <c r="A1298" t="inlineStr">
        <is>
          <t>ORD-01403</t>
        </is>
      </c>
      <c r="B1298" s="2" t="n">
        <v>45254</v>
      </c>
      <c r="C1298" s="2" t="n">
        <v>45257</v>
      </c>
      <c r="D1298" t="inlineStr">
        <is>
          <t>CUST-01403</t>
        </is>
      </c>
      <c r="E1298" t="inlineStr">
        <is>
          <t>Customer 1403</t>
        </is>
      </c>
      <c r="F1298" t="inlineStr">
        <is>
          <t>Consumer</t>
        </is>
      </c>
      <c r="G1298" t="inlineStr">
        <is>
          <t>P1019</t>
        </is>
      </c>
      <c r="H1298" t="inlineStr">
        <is>
          <t>Cove Wall Clock</t>
        </is>
      </c>
      <c r="I1298" t="inlineStr">
        <is>
          <t>Outdoor</t>
        </is>
      </c>
      <c r="J1298" t="inlineStr">
        <is>
          <t>Bags</t>
        </is>
      </c>
      <c r="K1298" t="inlineStr">
        <is>
          <t>South</t>
        </is>
      </c>
      <c r="L1298" t="inlineStr">
        <is>
          <t>Georgia</t>
        </is>
      </c>
      <c r="M1298" t="inlineStr">
        <is>
          <t>Miami</t>
        </is>
      </c>
      <c r="N1298" t="inlineStr">
        <is>
          <t>Sophia Singh</t>
        </is>
      </c>
      <c r="O1298" t="n">
        <v>3</v>
      </c>
      <c r="P1298" s="3" t="n">
        <v>61.34</v>
      </c>
      <c r="Q1298" s="4" t="n">
        <v>0.054</v>
      </c>
      <c r="R1298" s="3" t="n">
        <v>174.08</v>
      </c>
      <c r="S1298" s="3" t="n">
        <v>74.2</v>
      </c>
      <c r="T1298" s="3" t="n">
        <v>91.48</v>
      </c>
      <c r="U1298" s="4" t="n">
        <v>0.5255</v>
      </c>
      <c r="V1298" s="3" t="n">
        <v>8.4</v>
      </c>
      <c r="W1298" t="inlineStr">
        <is>
          <t>PayPal</t>
        </is>
      </c>
      <c r="X1298" t="inlineStr">
        <is>
          <t>High</t>
        </is>
      </c>
    </row>
    <row r="1299">
      <c r="A1299" t="inlineStr">
        <is>
          <t>ORD-01404</t>
        </is>
      </c>
      <c r="B1299" s="2" t="n">
        <v>45946</v>
      </c>
      <c r="C1299" s="2" t="n">
        <v>45952</v>
      </c>
      <c r="D1299" t="inlineStr">
        <is>
          <t>CUST-01404</t>
        </is>
      </c>
      <c r="E1299" t="inlineStr">
        <is>
          <t>Customer 1404</t>
        </is>
      </c>
      <c r="F1299" t="inlineStr">
        <is>
          <t>Consumer</t>
        </is>
      </c>
      <c r="G1299" t="inlineStr">
        <is>
          <t>P1019</t>
        </is>
      </c>
      <c r="H1299" t="inlineStr">
        <is>
          <t>Cove Wall Clock</t>
        </is>
      </c>
      <c r="I1299" t="inlineStr">
        <is>
          <t>Technology</t>
        </is>
      </c>
      <c r="J1299" t="inlineStr">
        <is>
          <t>Textiles</t>
        </is>
      </c>
      <c r="K1299" t="inlineStr">
        <is>
          <t>South</t>
        </is>
      </c>
      <c r="L1299" t="inlineStr">
        <is>
          <t>North Carolina</t>
        </is>
      </c>
      <c r="M1299" t="inlineStr">
        <is>
          <t>Miami</t>
        </is>
      </c>
      <c r="N1299" t="inlineStr">
        <is>
          <t>Ava Patel</t>
        </is>
      </c>
      <c r="O1299" t="n">
        <v>1</v>
      </c>
      <c r="P1299" s="3" t="n">
        <v>62.01</v>
      </c>
      <c r="Q1299" s="4" t="n">
        <v>0.017</v>
      </c>
      <c r="R1299" s="3" t="n">
        <v>60.96</v>
      </c>
      <c r="S1299" s="3" t="n">
        <v>29.89</v>
      </c>
      <c r="T1299" s="3" t="n">
        <v>24.27</v>
      </c>
      <c r="U1299" s="4" t="n">
        <v>0.3981</v>
      </c>
      <c r="V1299" s="3" t="n">
        <v>6.8</v>
      </c>
      <c r="W1299" t="inlineStr">
        <is>
          <t>Debit Card</t>
        </is>
      </c>
      <c r="X1299" t="inlineStr">
        <is>
          <t>High</t>
        </is>
      </c>
    </row>
    <row r="1300">
      <c r="A1300" t="inlineStr">
        <is>
          <t>ORD-01405</t>
        </is>
      </c>
      <c r="B1300" s="2" t="n">
        <v>45926</v>
      </c>
      <c r="C1300" s="2" t="n">
        <v>45929</v>
      </c>
      <c r="D1300" t="inlineStr">
        <is>
          <t>CUST-01405</t>
        </is>
      </c>
      <c r="E1300" t="inlineStr">
        <is>
          <t>Customer 1405</t>
        </is>
      </c>
      <c r="F1300" t="inlineStr">
        <is>
          <t>Corporate</t>
        </is>
      </c>
      <c r="G1300" t="inlineStr">
        <is>
          <t>P1017</t>
        </is>
      </c>
      <c r="H1300" t="inlineStr">
        <is>
          <t>Harbor Rug</t>
        </is>
      </c>
      <c r="I1300" t="inlineStr">
        <is>
          <t>Technology</t>
        </is>
      </c>
      <c r="J1300" t="inlineStr">
        <is>
          <t>Writing</t>
        </is>
      </c>
      <c r="K1300" t="inlineStr">
        <is>
          <t>South</t>
        </is>
      </c>
      <c r="L1300" t="inlineStr">
        <is>
          <t>Texas</t>
        </is>
      </c>
      <c r="M1300" t="inlineStr">
        <is>
          <t>Atlanta</t>
        </is>
      </c>
      <c r="N1300" t="inlineStr">
        <is>
          <t>Mia Rodriguez</t>
        </is>
      </c>
      <c r="O1300" t="n">
        <v>3</v>
      </c>
      <c r="P1300" s="3" t="n">
        <v>518.28</v>
      </c>
      <c r="Q1300" s="4" t="n">
        <v>0.063</v>
      </c>
      <c r="R1300" s="3" t="n">
        <v>1456.89</v>
      </c>
      <c r="S1300" s="3" t="n">
        <v>971.65</v>
      </c>
      <c r="T1300" s="3" t="n">
        <v>476.84</v>
      </c>
      <c r="U1300" s="4" t="n">
        <v>0.3273</v>
      </c>
      <c r="V1300" s="3" t="n">
        <v>8.4</v>
      </c>
      <c r="W1300" t="inlineStr">
        <is>
          <t>PayPal</t>
        </is>
      </c>
      <c r="X1300" t="inlineStr">
        <is>
          <t>High</t>
        </is>
      </c>
    </row>
    <row r="1301">
      <c r="A1301" t="inlineStr">
        <is>
          <t>ORD-01409</t>
        </is>
      </c>
      <c r="B1301" s="2" t="n">
        <v>45512</v>
      </c>
      <c r="C1301" s="2" t="n">
        <v>45515</v>
      </c>
      <c r="D1301" t="inlineStr">
        <is>
          <t>CUST-01409</t>
        </is>
      </c>
      <c r="E1301" t="inlineStr">
        <is>
          <t>Customer 1409</t>
        </is>
      </c>
      <c r="F1301" t="inlineStr">
        <is>
          <t>Consumer</t>
        </is>
      </c>
      <c r="G1301" t="inlineStr">
        <is>
          <t>P1015</t>
        </is>
      </c>
      <c r="H1301" t="inlineStr">
        <is>
          <t>Orbit Wireless Mouse</t>
        </is>
      </c>
      <c r="I1301" t="inlineStr">
        <is>
          <t>Furniture</t>
        </is>
      </c>
      <c r="J1301" t="inlineStr">
        <is>
          <t>Peripherals</t>
        </is>
      </c>
      <c r="K1301" t="inlineStr">
        <is>
          <t>Central</t>
        </is>
      </c>
      <c r="L1301" t="inlineStr">
        <is>
          <t>Missouri</t>
        </is>
      </c>
      <c r="M1301" t="inlineStr">
        <is>
          <t>St. Louis</t>
        </is>
      </c>
      <c r="N1301" t="inlineStr">
        <is>
          <t>Noah Kim</t>
        </is>
      </c>
      <c r="O1301" t="n">
        <v>5</v>
      </c>
      <c r="P1301" s="3" t="n">
        <v>71.7</v>
      </c>
      <c r="Q1301" s="4" t="n">
        <v>0.026</v>
      </c>
      <c r="R1301" s="3" t="n">
        <v>349.18</v>
      </c>
      <c r="S1301" s="3" t="n">
        <v>158.01</v>
      </c>
      <c r="T1301" s="3" t="n">
        <v>181.17</v>
      </c>
      <c r="U1301" s="4" t="n">
        <v>0.5188</v>
      </c>
      <c r="V1301" s="3" t="n">
        <v>10</v>
      </c>
      <c r="W1301" t="inlineStr">
        <is>
          <t>PayPal</t>
        </is>
      </c>
      <c r="X1301" t="inlineStr">
        <is>
          <t>Medium</t>
        </is>
      </c>
    </row>
    <row r="1302">
      <c r="A1302" t="inlineStr">
        <is>
          <t>ORD-01413</t>
        </is>
      </c>
      <c r="B1302" s="2" t="n">
        <v>45256</v>
      </c>
      <c r="C1302" s="2" t="n">
        <v>45258</v>
      </c>
      <c r="D1302" t="inlineStr">
        <is>
          <t>CUST-01413</t>
        </is>
      </c>
      <c r="E1302" t="inlineStr">
        <is>
          <t>Customer 1413</t>
        </is>
      </c>
      <c r="F1302" t="inlineStr">
        <is>
          <t>Consumer</t>
        </is>
      </c>
      <c r="G1302" t="inlineStr">
        <is>
          <t>P1005</t>
        </is>
      </c>
      <c r="H1302" t="inlineStr">
        <is>
          <t>Aero Standing Desk</t>
        </is>
      </c>
      <c r="I1302" t="inlineStr">
        <is>
          <t>Technology</t>
        </is>
      </c>
      <c r="J1302" t="inlineStr">
        <is>
          <t>Accessories</t>
        </is>
      </c>
      <c r="K1302" t="inlineStr">
        <is>
          <t>North</t>
        </is>
      </c>
      <c r="L1302" t="inlineStr">
        <is>
          <t>Ontario</t>
        </is>
      </c>
      <c r="M1302" t="inlineStr">
        <is>
          <t>Vancouver</t>
        </is>
      </c>
      <c r="N1302" t="inlineStr">
        <is>
          <t>James Carter</t>
        </is>
      </c>
      <c r="O1302" t="n">
        <v>4</v>
      </c>
      <c r="P1302" s="3" t="n">
        <v>14.27</v>
      </c>
      <c r="Q1302" s="4" t="n">
        <v>0.007</v>
      </c>
      <c r="R1302" s="3" t="n">
        <v>56.68</v>
      </c>
      <c r="S1302" s="3" t="n">
        <v>30.18</v>
      </c>
      <c r="T1302" s="3" t="n">
        <v>17.3</v>
      </c>
      <c r="U1302" s="4" t="n">
        <v>0.3052</v>
      </c>
      <c r="V1302" s="3" t="n">
        <v>9.199999999999999</v>
      </c>
      <c r="W1302" t="inlineStr">
        <is>
          <t>Credit Card</t>
        </is>
      </c>
      <c r="X1302" t="inlineStr">
        <is>
          <t>Medium</t>
        </is>
      </c>
    </row>
    <row r="1303">
      <c r="A1303" t="inlineStr">
        <is>
          <t>ORD-01414</t>
        </is>
      </c>
      <c r="B1303" s="2" t="n">
        <v>45043</v>
      </c>
      <c r="C1303" s="2" t="n">
        <v>45050</v>
      </c>
      <c r="D1303" t="inlineStr">
        <is>
          <t>CUST-01414</t>
        </is>
      </c>
      <c r="E1303" t="inlineStr">
        <is>
          <t>Customer 1414</t>
        </is>
      </c>
      <c r="F1303" t="inlineStr">
        <is>
          <t>Corporate</t>
        </is>
      </c>
      <c r="G1303" t="inlineStr">
        <is>
          <t>P1001</t>
        </is>
      </c>
      <c r="H1303" t="inlineStr">
        <is>
          <t>CloudDrive File Box</t>
        </is>
      </c>
      <c r="I1303" t="inlineStr">
        <is>
          <t>Furniture</t>
        </is>
      </c>
      <c r="J1303" t="inlineStr">
        <is>
          <t>Lighting</t>
        </is>
      </c>
      <c r="K1303" t="inlineStr">
        <is>
          <t>Central</t>
        </is>
      </c>
      <c r="L1303" t="inlineStr">
        <is>
          <t>Minnesota</t>
        </is>
      </c>
      <c r="M1303" t="inlineStr">
        <is>
          <t>Kansas City</t>
        </is>
      </c>
      <c r="N1303" t="inlineStr">
        <is>
          <t>Liam Chen</t>
        </is>
      </c>
      <c r="O1303" t="n">
        <v>1</v>
      </c>
      <c r="P1303" s="3" t="n">
        <v>283.4</v>
      </c>
      <c r="Q1303" s="4" t="n">
        <v>0.061</v>
      </c>
      <c r="R1303" s="3" t="n">
        <v>266.11</v>
      </c>
      <c r="S1303" s="3" t="n">
        <v>163.22</v>
      </c>
      <c r="T1303" s="3" t="n">
        <v>96.09</v>
      </c>
      <c r="U1303" s="4" t="n">
        <v>0.3611</v>
      </c>
      <c r="V1303" s="3" t="n">
        <v>6.8</v>
      </c>
      <c r="W1303" t="inlineStr">
        <is>
          <t>Bank Transfer</t>
        </is>
      </c>
      <c r="X1303" t="inlineStr">
        <is>
          <t>Critical</t>
        </is>
      </c>
    </row>
    <row r="1304">
      <c r="A1304" t="inlineStr">
        <is>
          <t>ORD-01415</t>
        </is>
      </c>
      <c r="B1304" s="2" t="n">
        <v>45347</v>
      </c>
      <c r="C1304" s="2" t="n">
        <v>45353</v>
      </c>
      <c r="D1304" t="inlineStr">
        <is>
          <t>CUST-01415</t>
        </is>
      </c>
      <c r="E1304" t="inlineStr">
        <is>
          <t>Customer 1415</t>
        </is>
      </c>
      <c r="F1304" t="inlineStr">
        <is>
          <t>Consumer</t>
        </is>
      </c>
      <c r="G1304" t="inlineStr">
        <is>
          <t>P1015</t>
        </is>
      </c>
      <c r="H1304" t="inlineStr">
        <is>
          <t>Summit Patio Set</t>
        </is>
      </c>
      <c r="I1304" t="inlineStr">
        <is>
          <t>Office Supplies</t>
        </is>
      </c>
      <c r="J1304" t="inlineStr">
        <is>
          <t>Coolers</t>
        </is>
      </c>
      <c r="K1304" t="inlineStr">
        <is>
          <t>Central</t>
        </is>
      </c>
      <c r="L1304" t="inlineStr">
        <is>
          <t>Kansas</t>
        </is>
      </c>
      <c r="M1304" t="inlineStr">
        <is>
          <t>St. Louis</t>
        </is>
      </c>
      <c r="N1304" t="inlineStr">
        <is>
          <t>Sophia Singh</t>
        </is>
      </c>
      <c r="O1304" t="n">
        <v>6</v>
      </c>
      <c r="P1304" s="3" t="n">
        <v>67.3</v>
      </c>
      <c r="Q1304" s="4" t="n">
        <v>0.02</v>
      </c>
      <c r="R1304" s="3" t="n">
        <v>395.72</v>
      </c>
      <c r="S1304" s="3" t="n">
        <v>172.77</v>
      </c>
      <c r="T1304" s="3" t="n">
        <v>212.15</v>
      </c>
      <c r="U1304" s="4" t="n">
        <v>0.5361</v>
      </c>
      <c r="V1304" s="3" t="n">
        <v>10.8</v>
      </c>
      <c r="W1304" t="inlineStr">
        <is>
          <t>Debit Card</t>
        </is>
      </c>
      <c r="X1304" t="inlineStr">
        <is>
          <t>Medium</t>
        </is>
      </c>
    </row>
    <row r="1305">
      <c r="A1305" t="inlineStr">
        <is>
          <t>ORD-01419</t>
        </is>
      </c>
      <c r="B1305" s="2" t="n">
        <v>45475</v>
      </c>
      <c r="C1305" s="2" t="n">
        <v>45478</v>
      </c>
      <c r="D1305" t="inlineStr">
        <is>
          <t>CUST-01419</t>
        </is>
      </c>
      <c r="E1305" t="inlineStr">
        <is>
          <t>Customer 1419</t>
        </is>
      </c>
      <c r="F1305" t="inlineStr">
        <is>
          <t>Consumer</t>
        </is>
      </c>
      <c r="G1305" t="inlineStr">
        <is>
          <t>P1013</t>
        </is>
      </c>
      <c r="H1305" t="inlineStr">
        <is>
          <t>Aero Standing Desk</t>
        </is>
      </c>
      <c r="I1305" t="inlineStr">
        <is>
          <t>Home Decor</t>
        </is>
      </c>
      <c r="J1305" t="inlineStr">
        <is>
          <t>Textiles</t>
        </is>
      </c>
      <c r="K1305" t="inlineStr">
        <is>
          <t>Central</t>
        </is>
      </c>
      <c r="L1305" t="inlineStr">
        <is>
          <t>Missouri</t>
        </is>
      </c>
      <c r="M1305" t="inlineStr">
        <is>
          <t>Kansas City</t>
        </is>
      </c>
      <c r="N1305" t="inlineStr">
        <is>
          <t>James Carter</t>
        </is>
      </c>
      <c r="O1305" t="n">
        <v>2</v>
      </c>
      <c r="P1305" s="3" t="n">
        <v>157.38</v>
      </c>
      <c r="Q1305" s="4" t="n">
        <v>0.017</v>
      </c>
      <c r="R1305" s="3" t="n">
        <v>309.41</v>
      </c>
      <c r="S1305" s="3" t="n">
        <v>182.91</v>
      </c>
      <c r="T1305" s="3" t="n">
        <v>118.9</v>
      </c>
      <c r="U1305" s="4" t="n">
        <v>0.3843</v>
      </c>
      <c r="V1305" s="3" t="n">
        <v>7.6</v>
      </c>
      <c r="W1305" t="inlineStr">
        <is>
          <t>Credit Card</t>
        </is>
      </c>
      <c r="X1305" t="inlineStr">
        <is>
          <t>Low</t>
        </is>
      </c>
    </row>
    <row r="1306">
      <c r="A1306" t="inlineStr">
        <is>
          <t>ORD-01421</t>
        </is>
      </c>
      <c r="B1306" s="2" t="n">
        <v>45490</v>
      </c>
      <c r="C1306" s="2" t="n">
        <v>45496</v>
      </c>
      <c r="D1306" t="inlineStr">
        <is>
          <t>CUST-01421</t>
        </is>
      </c>
      <c r="E1306" t="inlineStr">
        <is>
          <t>Customer 1421</t>
        </is>
      </c>
      <c r="F1306" t="inlineStr">
        <is>
          <t>Home Office</t>
        </is>
      </c>
      <c r="G1306" t="inlineStr">
        <is>
          <t>P1016</t>
        </is>
      </c>
      <c r="H1306" t="inlineStr">
        <is>
          <t>Atlas Throw Pillow</t>
        </is>
      </c>
      <c r="I1306" t="inlineStr">
        <is>
          <t>Furniture</t>
        </is>
      </c>
      <c r="J1306" t="inlineStr">
        <is>
          <t>Peripherals</t>
        </is>
      </c>
      <c r="K1306" t="inlineStr">
        <is>
          <t>Central</t>
        </is>
      </c>
      <c r="L1306" t="inlineStr">
        <is>
          <t>Missouri</t>
        </is>
      </c>
      <c r="M1306" t="inlineStr">
        <is>
          <t>Kansas City</t>
        </is>
      </c>
      <c r="N1306" t="inlineStr">
        <is>
          <t>Liam Chen</t>
        </is>
      </c>
      <c r="O1306" t="n">
        <v>5</v>
      </c>
      <c r="P1306" s="3" t="n">
        <v>39.88</v>
      </c>
      <c r="Q1306" s="4" t="n">
        <v>0.007</v>
      </c>
      <c r="R1306" s="3" t="n">
        <v>198</v>
      </c>
      <c r="S1306" s="3" t="n">
        <v>81.11</v>
      </c>
      <c r="T1306" s="3" t="n">
        <v>106.89</v>
      </c>
      <c r="U1306" s="4" t="n">
        <v>0.5397999999999999</v>
      </c>
      <c r="V1306" s="3" t="n">
        <v>10</v>
      </c>
      <c r="W1306" t="inlineStr">
        <is>
          <t>Cash on Delivery</t>
        </is>
      </c>
      <c r="X1306" t="inlineStr">
        <is>
          <t>Medium</t>
        </is>
      </c>
    </row>
    <row r="1307">
      <c r="A1307" t="inlineStr">
        <is>
          <t>ORD-01422</t>
        </is>
      </c>
      <c r="B1307" s="2" t="n">
        <v>45296</v>
      </c>
      <c r="C1307" s="2" t="n">
        <v>45302</v>
      </c>
      <c r="D1307" t="inlineStr">
        <is>
          <t>CUST-01422</t>
        </is>
      </c>
      <c r="E1307" t="inlineStr">
        <is>
          <t>Customer 1422</t>
        </is>
      </c>
      <c r="F1307" t="inlineStr">
        <is>
          <t>Consumer</t>
        </is>
      </c>
      <c r="G1307" t="inlineStr">
        <is>
          <t>P1019</t>
        </is>
      </c>
      <c r="H1307" t="inlineStr">
        <is>
          <t>Northstar Lantern</t>
        </is>
      </c>
      <c r="I1307" t="inlineStr">
        <is>
          <t>Outdoor</t>
        </is>
      </c>
      <c r="J1307" t="inlineStr">
        <is>
          <t>Writing</t>
        </is>
      </c>
      <c r="K1307" t="inlineStr">
        <is>
          <t>South</t>
        </is>
      </c>
      <c r="L1307" t="inlineStr">
        <is>
          <t>Florida</t>
        </is>
      </c>
      <c r="M1307" t="inlineStr">
        <is>
          <t>Dallas</t>
        </is>
      </c>
      <c r="N1307" t="inlineStr">
        <is>
          <t>Olivia Martin</t>
        </is>
      </c>
      <c r="O1307" t="n">
        <v>5</v>
      </c>
      <c r="P1307" s="3" t="n">
        <v>54.37</v>
      </c>
      <c r="Q1307" s="4" t="n">
        <v>0.024</v>
      </c>
      <c r="R1307" s="3" t="n">
        <v>265.33</v>
      </c>
      <c r="S1307" s="3" t="n">
        <v>113.01</v>
      </c>
      <c r="T1307" s="3" t="n">
        <v>142.32</v>
      </c>
      <c r="U1307" s="4" t="n">
        <v>0.5364</v>
      </c>
      <c r="V1307" s="3" t="n">
        <v>10</v>
      </c>
      <c r="W1307" t="inlineStr">
        <is>
          <t>Debit Card</t>
        </is>
      </c>
      <c r="X1307" t="inlineStr">
        <is>
          <t>High</t>
        </is>
      </c>
    </row>
    <row r="1308">
      <c r="A1308" t="inlineStr">
        <is>
          <t>ORD-01423</t>
        </is>
      </c>
      <c r="B1308" s="2" t="n">
        <v>45189</v>
      </c>
      <c r="C1308" s="2" t="n">
        <v>45190</v>
      </c>
      <c r="D1308" t="inlineStr">
        <is>
          <t>CUST-01423</t>
        </is>
      </c>
      <c r="E1308" t="inlineStr">
        <is>
          <t>Customer 1423</t>
        </is>
      </c>
      <c r="F1308" t="inlineStr">
        <is>
          <t>Home Office</t>
        </is>
      </c>
      <c r="G1308" t="inlineStr">
        <is>
          <t>P1012</t>
        </is>
      </c>
      <c r="H1308" t="inlineStr">
        <is>
          <t>Northstar Lantern</t>
        </is>
      </c>
      <c r="I1308" t="inlineStr">
        <is>
          <t>Outdoor</t>
        </is>
      </c>
      <c r="J1308" t="inlineStr">
        <is>
          <t>Bags</t>
        </is>
      </c>
      <c r="K1308" t="inlineStr">
        <is>
          <t>Central</t>
        </is>
      </c>
      <c r="L1308" t="inlineStr">
        <is>
          <t>Minnesota</t>
        </is>
      </c>
      <c r="M1308" t="inlineStr">
        <is>
          <t>Minneapolis</t>
        </is>
      </c>
      <c r="N1308" t="inlineStr">
        <is>
          <t>Ethan Brooks</t>
        </is>
      </c>
      <c r="O1308" t="n">
        <v>5</v>
      </c>
      <c r="P1308" s="3" t="n">
        <v>127.21</v>
      </c>
      <c r="Q1308" s="4" t="n">
        <v>0</v>
      </c>
      <c r="R1308" s="3" t="n">
        <v>636.05</v>
      </c>
      <c r="S1308" s="3" t="n">
        <v>318.39</v>
      </c>
      <c r="T1308" s="3" t="n">
        <v>307.66</v>
      </c>
      <c r="U1308" s="4" t="n">
        <v>0.4837</v>
      </c>
      <c r="V1308" s="3" t="n">
        <v>10</v>
      </c>
      <c r="W1308" t="inlineStr">
        <is>
          <t>Cash on Delivery</t>
        </is>
      </c>
      <c r="X1308" t="inlineStr">
        <is>
          <t>Medium</t>
        </is>
      </c>
    </row>
    <row r="1309">
      <c r="A1309" t="inlineStr">
        <is>
          <t>ORD-01425</t>
        </is>
      </c>
      <c r="B1309" s="2" t="n">
        <v>45726</v>
      </c>
      <c r="C1309" s="2" t="n">
        <v>45731</v>
      </c>
      <c r="D1309" t="inlineStr">
        <is>
          <t>CUST-01425</t>
        </is>
      </c>
      <c r="E1309" t="inlineStr">
        <is>
          <t>Customer 1425</t>
        </is>
      </c>
      <c r="F1309" t="inlineStr">
        <is>
          <t>Consumer</t>
        </is>
      </c>
      <c r="G1309" t="inlineStr">
        <is>
          <t>P1002</t>
        </is>
      </c>
      <c r="H1309" t="inlineStr">
        <is>
          <t>SmartInk Pen Set</t>
        </is>
      </c>
      <c r="I1309" t="inlineStr">
        <is>
          <t>Office Supplies</t>
        </is>
      </c>
      <c r="J1309" t="inlineStr">
        <is>
          <t>Peripherals</t>
        </is>
      </c>
      <c r="K1309" t="inlineStr">
        <is>
          <t>North</t>
        </is>
      </c>
      <c r="L1309" t="inlineStr">
        <is>
          <t>Quebec</t>
        </is>
      </c>
      <c r="M1309" t="inlineStr">
        <is>
          <t>Toronto</t>
        </is>
      </c>
      <c r="N1309" t="inlineStr">
        <is>
          <t>Olivia Martin</t>
        </is>
      </c>
      <c r="O1309" t="n">
        <v>1</v>
      </c>
      <c r="P1309" s="3" t="n">
        <v>80.41</v>
      </c>
      <c r="Q1309" s="4" t="n">
        <v>0.029</v>
      </c>
      <c r="R1309" s="3" t="n">
        <v>78.08</v>
      </c>
      <c r="S1309" s="3" t="n">
        <v>43.74</v>
      </c>
      <c r="T1309" s="3" t="n">
        <v>27.54</v>
      </c>
      <c r="U1309" s="4" t="n">
        <v>0.3527</v>
      </c>
      <c r="V1309" s="3" t="n">
        <v>6.8</v>
      </c>
      <c r="W1309" t="inlineStr">
        <is>
          <t>Bank Transfer</t>
        </is>
      </c>
      <c r="X1309" t="inlineStr">
        <is>
          <t>High</t>
        </is>
      </c>
    </row>
    <row r="1310">
      <c r="A1310" t="inlineStr">
        <is>
          <t>ORD-01427</t>
        </is>
      </c>
      <c r="B1310" s="2" t="n">
        <v>45160</v>
      </c>
      <c r="C1310" s="2" t="n">
        <v>45167</v>
      </c>
      <c r="D1310" t="inlineStr">
        <is>
          <t>CUST-01427</t>
        </is>
      </c>
      <c r="E1310" t="inlineStr">
        <is>
          <t>Customer 1427</t>
        </is>
      </c>
      <c r="F1310" t="inlineStr">
        <is>
          <t>Corporate</t>
        </is>
      </c>
      <c r="G1310" t="inlineStr">
        <is>
          <t>P1004</t>
        </is>
      </c>
      <c r="H1310" t="inlineStr">
        <is>
          <t>Orbit Wireless Mouse</t>
        </is>
      </c>
      <c r="I1310" t="inlineStr">
        <is>
          <t>Outdoor</t>
        </is>
      </c>
      <c r="J1310" t="inlineStr">
        <is>
          <t>Accessories</t>
        </is>
      </c>
      <c r="K1310" t="inlineStr">
        <is>
          <t>South</t>
        </is>
      </c>
      <c r="L1310" t="inlineStr">
        <is>
          <t>North Carolina</t>
        </is>
      </c>
      <c r="M1310" t="inlineStr">
        <is>
          <t>Miami</t>
        </is>
      </c>
      <c r="N1310" t="inlineStr">
        <is>
          <t>Mia Rodriguez</t>
        </is>
      </c>
      <c r="O1310" t="n">
        <v>1</v>
      </c>
      <c r="P1310" s="3" t="n">
        <v>600.02</v>
      </c>
      <c r="Q1310" s="4" t="n">
        <v>0.036</v>
      </c>
      <c r="R1310" s="3" t="n">
        <v>578.42</v>
      </c>
      <c r="S1310" s="3" t="n">
        <v>373.11</v>
      </c>
      <c r="T1310" s="3" t="n">
        <v>198.51</v>
      </c>
      <c r="U1310" s="4" t="n">
        <v>0.3432</v>
      </c>
      <c r="V1310" s="3" t="n">
        <v>6.8</v>
      </c>
      <c r="W1310" t="inlineStr">
        <is>
          <t>Credit Card</t>
        </is>
      </c>
      <c r="X1310" t="inlineStr">
        <is>
          <t>High</t>
        </is>
      </c>
    </row>
    <row r="1311">
      <c r="A1311" t="inlineStr">
        <is>
          <t>ORD-01430</t>
        </is>
      </c>
      <c r="B1311" s="2" t="n">
        <v>45993</v>
      </c>
      <c r="C1311" s="2" t="n">
        <v>46000</v>
      </c>
      <c r="D1311" t="inlineStr">
        <is>
          <t>CUST-01430</t>
        </is>
      </c>
      <c r="E1311" t="inlineStr">
        <is>
          <t>Customer 1430</t>
        </is>
      </c>
      <c r="F1311" t="inlineStr">
        <is>
          <t>Consumer</t>
        </is>
      </c>
      <c r="G1311" t="inlineStr">
        <is>
          <t>P1011</t>
        </is>
      </c>
      <c r="H1311" t="inlineStr">
        <is>
          <t>Pulse Keyboard</t>
        </is>
      </c>
      <c r="I1311" t="inlineStr">
        <is>
          <t>Office Supplies</t>
        </is>
      </c>
      <c r="J1311" t="inlineStr">
        <is>
          <t>Furniture</t>
        </is>
      </c>
      <c r="K1311" t="inlineStr">
        <is>
          <t>North</t>
        </is>
      </c>
      <c r="L1311" t="inlineStr">
        <is>
          <t>Alberta</t>
        </is>
      </c>
      <c r="M1311" t="inlineStr">
        <is>
          <t>Montreal</t>
        </is>
      </c>
      <c r="N1311" t="inlineStr">
        <is>
          <t>Ethan Brooks</t>
        </is>
      </c>
      <c r="O1311" t="n">
        <v>1</v>
      </c>
      <c r="P1311" s="3" t="n">
        <v>94.65000000000001</v>
      </c>
      <c r="Q1311" s="4" t="n">
        <v>0.014</v>
      </c>
      <c r="R1311" s="3" t="n">
        <v>93.31999999999999</v>
      </c>
      <c r="S1311" s="3" t="n">
        <v>48.56</v>
      </c>
      <c r="T1311" s="3" t="n">
        <v>37.96</v>
      </c>
      <c r="U1311" s="4" t="n">
        <v>0.4068</v>
      </c>
      <c r="V1311" s="3" t="n">
        <v>6.8</v>
      </c>
      <c r="W1311" t="inlineStr">
        <is>
          <t>Cash on Delivery</t>
        </is>
      </c>
      <c r="X1311" t="inlineStr">
        <is>
          <t>Medium</t>
        </is>
      </c>
    </row>
    <row r="1312">
      <c r="A1312" t="inlineStr">
        <is>
          <t>ORD-01432</t>
        </is>
      </c>
      <c r="B1312" s="2" t="n">
        <v>45394</v>
      </c>
      <c r="C1312" s="2" t="n">
        <v>45400</v>
      </c>
      <c r="D1312" t="inlineStr">
        <is>
          <t>CUST-01432</t>
        </is>
      </c>
      <c r="E1312" t="inlineStr">
        <is>
          <t>Customer 1432</t>
        </is>
      </c>
      <c r="F1312" t="inlineStr">
        <is>
          <t>Corporate</t>
        </is>
      </c>
      <c r="G1312" t="inlineStr">
        <is>
          <t>P1017</t>
        </is>
      </c>
      <c r="H1312" t="inlineStr">
        <is>
          <t>Halo Planter</t>
        </is>
      </c>
      <c r="I1312" t="inlineStr">
        <is>
          <t>Office Supplies</t>
        </is>
      </c>
      <c r="J1312" t="inlineStr">
        <is>
          <t>Desks</t>
        </is>
      </c>
      <c r="K1312" t="inlineStr">
        <is>
          <t>South</t>
        </is>
      </c>
      <c r="L1312" t="inlineStr">
        <is>
          <t>North Carolina</t>
        </is>
      </c>
      <c r="M1312" t="inlineStr">
        <is>
          <t>Dallas</t>
        </is>
      </c>
      <c r="N1312" t="inlineStr">
        <is>
          <t>James Carter</t>
        </is>
      </c>
      <c r="O1312" t="n">
        <v>4</v>
      </c>
      <c r="P1312" s="3" t="n">
        <v>560.42</v>
      </c>
      <c r="Q1312" s="4" t="n">
        <v>0.011</v>
      </c>
      <c r="R1312" s="3" t="n">
        <v>2217.02</v>
      </c>
      <c r="S1312" s="3" t="n">
        <v>1472.14</v>
      </c>
      <c r="T1312" s="3" t="n">
        <v>735.6799999999999</v>
      </c>
      <c r="U1312" s="4" t="n">
        <v>0.3318</v>
      </c>
      <c r="V1312" s="3" t="n">
        <v>9.199999999999999</v>
      </c>
      <c r="W1312" t="inlineStr">
        <is>
          <t>Cash on Delivery</t>
        </is>
      </c>
      <c r="X1312" t="inlineStr">
        <is>
          <t>Medium</t>
        </is>
      </c>
    </row>
    <row r="1313">
      <c r="A1313" t="inlineStr">
        <is>
          <t>ORD-01433</t>
        </is>
      </c>
      <c r="B1313" s="2" t="n">
        <v>45363</v>
      </c>
      <c r="C1313" s="2" t="n">
        <v>45368</v>
      </c>
      <c r="D1313" t="inlineStr">
        <is>
          <t>CUST-01433</t>
        </is>
      </c>
      <c r="E1313" t="inlineStr">
        <is>
          <t>Customer 1433</t>
        </is>
      </c>
      <c r="F1313" t="inlineStr">
        <is>
          <t>Consumer</t>
        </is>
      </c>
      <c r="G1313" t="inlineStr">
        <is>
          <t>P1017</t>
        </is>
      </c>
      <c r="H1313" t="inlineStr">
        <is>
          <t>CloudDrive File Box</t>
        </is>
      </c>
      <c r="I1313" t="inlineStr">
        <is>
          <t>Outdoor</t>
        </is>
      </c>
      <c r="J1313" t="inlineStr">
        <is>
          <t>Storage</t>
        </is>
      </c>
      <c r="K1313" t="inlineStr">
        <is>
          <t>South</t>
        </is>
      </c>
      <c r="L1313" t="inlineStr">
        <is>
          <t>North Carolina</t>
        </is>
      </c>
      <c r="M1313" t="inlineStr">
        <is>
          <t>Dallas</t>
        </is>
      </c>
      <c r="N1313" t="inlineStr">
        <is>
          <t>Liam Chen</t>
        </is>
      </c>
      <c r="O1313" t="n">
        <v>3</v>
      </c>
      <c r="P1313" s="3" t="n">
        <v>523.8</v>
      </c>
      <c r="Q1313" s="4" t="n">
        <v>0.025</v>
      </c>
      <c r="R1313" s="3" t="n">
        <v>1532.11</v>
      </c>
      <c r="S1313" s="3" t="n">
        <v>1015.25</v>
      </c>
      <c r="T1313" s="3" t="n">
        <v>508.46</v>
      </c>
      <c r="U1313" s="4" t="n">
        <v>0.3319</v>
      </c>
      <c r="V1313" s="3" t="n">
        <v>8.4</v>
      </c>
      <c r="W1313" t="inlineStr">
        <is>
          <t>Debit Card</t>
        </is>
      </c>
      <c r="X1313" t="inlineStr">
        <is>
          <t>Medium</t>
        </is>
      </c>
    </row>
    <row r="1314">
      <c r="A1314" t="inlineStr">
        <is>
          <t>ORD-01434</t>
        </is>
      </c>
      <c r="B1314" s="2" t="n">
        <v>45916</v>
      </c>
      <c r="C1314" s="2" t="n">
        <v>45921</v>
      </c>
      <c r="D1314" t="inlineStr">
        <is>
          <t>CUST-01434</t>
        </is>
      </c>
      <c r="E1314" t="inlineStr">
        <is>
          <t>Customer 1434</t>
        </is>
      </c>
      <c r="F1314" t="inlineStr">
        <is>
          <t>Home Office</t>
        </is>
      </c>
      <c r="G1314" t="inlineStr">
        <is>
          <t>P1009</t>
        </is>
      </c>
      <c r="H1314" t="inlineStr">
        <is>
          <t>Summit Patio Set</t>
        </is>
      </c>
      <c r="I1314" t="inlineStr">
        <is>
          <t>Technology</t>
        </is>
      </c>
      <c r="J1314" t="inlineStr">
        <is>
          <t>Accessories</t>
        </is>
      </c>
      <c r="K1314" t="inlineStr">
        <is>
          <t>North</t>
        </is>
      </c>
      <c r="L1314" t="inlineStr">
        <is>
          <t>British Columbia</t>
        </is>
      </c>
      <c r="M1314" t="inlineStr">
        <is>
          <t>Calgary</t>
        </is>
      </c>
      <c r="N1314" t="inlineStr">
        <is>
          <t>Ava Patel</t>
        </is>
      </c>
      <c r="O1314" t="n">
        <v>6</v>
      </c>
      <c r="P1314" s="3" t="n">
        <v>90.77</v>
      </c>
      <c r="Q1314" s="4" t="n">
        <v>0.01</v>
      </c>
      <c r="R1314" s="3" t="n">
        <v>539.17</v>
      </c>
      <c r="S1314" s="3" t="n">
        <v>263.33</v>
      </c>
      <c r="T1314" s="3" t="n">
        <v>265.04</v>
      </c>
      <c r="U1314" s="4" t="n">
        <v>0.4916</v>
      </c>
      <c r="V1314" s="3" t="n">
        <v>10.8</v>
      </c>
      <c r="W1314" t="inlineStr">
        <is>
          <t>Bank Transfer</t>
        </is>
      </c>
      <c r="X1314" t="inlineStr">
        <is>
          <t>Low</t>
        </is>
      </c>
    </row>
    <row r="1315">
      <c r="A1315" t="inlineStr">
        <is>
          <t>ORD-01436</t>
        </is>
      </c>
      <c r="B1315" s="2" t="n">
        <v>45191</v>
      </c>
      <c r="C1315" s="2" t="n">
        <v>45193</v>
      </c>
      <c r="D1315" t="inlineStr">
        <is>
          <t>CUST-01436</t>
        </is>
      </c>
      <c r="E1315" t="inlineStr">
        <is>
          <t>Customer 1436</t>
        </is>
      </c>
      <c r="F1315" t="inlineStr">
        <is>
          <t>Consumer</t>
        </is>
      </c>
      <c r="G1315" t="inlineStr">
        <is>
          <t>P1006</t>
        </is>
      </c>
      <c r="H1315" t="inlineStr">
        <is>
          <t>Cove Wall Clock</t>
        </is>
      </c>
      <c r="I1315" t="inlineStr">
        <is>
          <t>Home Decor</t>
        </is>
      </c>
      <c r="J1315" t="inlineStr">
        <is>
          <t>Textiles</t>
        </is>
      </c>
      <c r="K1315" t="inlineStr">
        <is>
          <t>South</t>
        </is>
      </c>
      <c r="L1315" t="inlineStr">
        <is>
          <t>Florida</t>
        </is>
      </c>
      <c r="M1315" t="inlineStr">
        <is>
          <t>Houston</t>
        </is>
      </c>
      <c r="N1315" t="inlineStr">
        <is>
          <t>Noah Kim</t>
        </is>
      </c>
      <c r="O1315" t="n">
        <v>2</v>
      </c>
      <c r="P1315" s="3" t="n">
        <v>18.3</v>
      </c>
      <c r="Q1315" s="4" t="n">
        <v>0.053</v>
      </c>
      <c r="R1315" s="3" t="n">
        <v>34.66</v>
      </c>
      <c r="S1315" s="3" t="n">
        <v>17.41</v>
      </c>
      <c r="T1315" s="3" t="n">
        <v>9.65</v>
      </c>
      <c r="U1315" s="4" t="n">
        <v>0.2784</v>
      </c>
      <c r="V1315" s="3" t="n">
        <v>7.6</v>
      </c>
      <c r="W1315" t="inlineStr">
        <is>
          <t>Credit Card</t>
        </is>
      </c>
      <c r="X1315" t="inlineStr">
        <is>
          <t>High</t>
        </is>
      </c>
    </row>
    <row r="1316">
      <c r="A1316" t="inlineStr">
        <is>
          <t>ORD-01437</t>
        </is>
      </c>
      <c r="B1316" s="2" t="n">
        <v>45349</v>
      </c>
      <c r="C1316" s="2" t="n">
        <v>45356</v>
      </c>
      <c r="D1316" t="inlineStr">
        <is>
          <t>CUST-01437</t>
        </is>
      </c>
      <c r="E1316" t="inlineStr">
        <is>
          <t>Customer 1437</t>
        </is>
      </c>
      <c r="F1316" t="inlineStr">
        <is>
          <t>Home Office</t>
        </is>
      </c>
      <c r="G1316" t="inlineStr">
        <is>
          <t>P1017</t>
        </is>
      </c>
      <c r="H1316" t="inlineStr">
        <is>
          <t>Nova Laptop Stand</t>
        </is>
      </c>
      <c r="I1316" t="inlineStr">
        <is>
          <t>Office Supplies</t>
        </is>
      </c>
      <c r="J1316" t="inlineStr">
        <is>
          <t>Storage</t>
        </is>
      </c>
      <c r="K1316" t="inlineStr">
        <is>
          <t>North</t>
        </is>
      </c>
      <c r="L1316" t="inlineStr">
        <is>
          <t>Ontario</t>
        </is>
      </c>
      <c r="M1316" t="inlineStr">
        <is>
          <t>Montreal</t>
        </is>
      </c>
      <c r="N1316" t="inlineStr">
        <is>
          <t>Ava Patel</t>
        </is>
      </c>
      <c r="O1316" t="n">
        <v>2</v>
      </c>
      <c r="P1316" s="3" t="n">
        <v>564.71</v>
      </c>
      <c r="Q1316" s="4" t="n">
        <v>0.046</v>
      </c>
      <c r="R1316" s="3" t="n">
        <v>1077.47</v>
      </c>
      <c r="S1316" s="3" t="n">
        <v>715.85</v>
      </c>
      <c r="T1316" s="3" t="n">
        <v>354.02</v>
      </c>
      <c r="U1316" s="4" t="n">
        <v>0.3286</v>
      </c>
      <c r="V1316" s="3" t="n">
        <v>7.6</v>
      </c>
      <c r="W1316" t="inlineStr">
        <is>
          <t>Credit Card</t>
        </is>
      </c>
      <c r="X1316" t="inlineStr">
        <is>
          <t>Critical</t>
        </is>
      </c>
    </row>
    <row r="1317">
      <c r="A1317" t="inlineStr">
        <is>
          <t>ORD-01438</t>
        </is>
      </c>
      <c r="B1317" s="2" t="n">
        <v>46015</v>
      </c>
      <c r="C1317" s="2" t="n">
        <v>46022</v>
      </c>
      <c r="D1317" t="inlineStr">
        <is>
          <t>CUST-01438</t>
        </is>
      </c>
      <c r="E1317" t="inlineStr">
        <is>
          <t>Customer 1438</t>
        </is>
      </c>
      <c r="F1317" t="inlineStr">
        <is>
          <t>Home Office</t>
        </is>
      </c>
      <c r="G1317" t="inlineStr">
        <is>
          <t>P1016</t>
        </is>
      </c>
      <c r="H1317" t="inlineStr">
        <is>
          <t>Nimbus Monitor Arm</t>
        </is>
      </c>
      <c r="I1317" t="inlineStr">
        <is>
          <t>Office Supplies</t>
        </is>
      </c>
      <c r="J1317" t="inlineStr">
        <is>
          <t>Plants</t>
        </is>
      </c>
      <c r="K1317" t="inlineStr">
        <is>
          <t>Central</t>
        </is>
      </c>
      <c r="L1317" t="inlineStr">
        <is>
          <t>Kansas</t>
        </is>
      </c>
      <c r="M1317" t="inlineStr">
        <is>
          <t>Minneapolis</t>
        </is>
      </c>
      <c r="N1317" t="inlineStr">
        <is>
          <t>James Carter</t>
        </is>
      </c>
      <c r="O1317" t="n">
        <v>3</v>
      </c>
      <c r="P1317" s="3" t="n">
        <v>41.66</v>
      </c>
      <c r="Q1317" s="4" t="n">
        <v>0.006</v>
      </c>
      <c r="R1317" s="3" t="n">
        <v>124.23</v>
      </c>
      <c r="S1317" s="3" t="n">
        <v>55.15</v>
      </c>
      <c r="T1317" s="3" t="n">
        <v>60.68</v>
      </c>
      <c r="U1317" s="4" t="n">
        <v>0.4884</v>
      </c>
      <c r="V1317" s="3" t="n">
        <v>8.4</v>
      </c>
      <c r="W1317" t="inlineStr">
        <is>
          <t>PayPal</t>
        </is>
      </c>
      <c r="X1317" t="inlineStr">
        <is>
          <t>Medium</t>
        </is>
      </c>
    </row>
    <row r="1318">
      <c r="A1318" t="inlineStr">
        <is>
          <t>ORD-01439</t>
        </is>
      </c>
      <c r="B1318" s="2" t="n">
        <v>45089</v>
      </c>
      <c r="C1318" s="2" t="n">
        <v>45093</v>
      </c>
      <c r="D1318" t="inlineStr">
        <is>
          <t>CUST-01439</t>
        </is>
      </c>
      <c r="E1318" t="inlineStr">
        <is>
          <t>Customer 1439</t>
        </is>
      </c>
      <c r="F1318" t="inlineStr">
        <is>
          <t>Corporate</t>
        </is>
      </c>
      <c r="G1318" t="inlineStr">
        <is>
          <t>P1007</t>
        </is>
      </c>
      <c r="H1318" t="inlineStr">
        <is>
          <t>Echo Web Camera</t>
        </is>
      </c>
      <c r="I1318" t="inlineStr">
        <is>
          <t>Outdoor</t>
        </is>
      </c>
      <c r="J1318" t="inlineStr">
        <is>
          <t>Furniture</t>
        </is>
      </c>
      <c r="K1318" t="inlineStr">
        <is>
          <t>Central</t>
        </is>
      </c>
      <c r="L1318" t="inlineStr">
        <is>
          <t>Minnesota</t>
        </is>
      </c>
      <c r="M1318" t="inlineStr">
        <is>
          <t>Chicago</t>
        </is>
      </c>
      <c r="N1318" t="inlineStr">
        <is>
          <t>Ethan Brooks</t>
        </is>
      </c>
      <c r="O1318" t="n">
        <v>2</v>
      </c>
      <c r="P1318" s="3" t="n">
        <v>24.33</v>
      </c>
      <c r="Q1318" s="4" t="n">
        <v>0.027</v>
      </c>
      <c r="R1318" s="3" t="n">
        <v>47.35</v>
      </c>
      <c r="S1318" s="3" t="n">
        <v>20.25</v>
      </c>
      <c r="T1318" s="3" t="n">
        <v>19.5</v>
      </c>
      <c r="U1318" s="4" t="n">
        <v>0.4118</v>
      </c>
      <c r="V1318" s="3" t="n">
        <v>7.6</v>
      </c>
      <c r="W1318" t="inlineStr">
        <is>
          <t>Credit Card</t>
        </is>
      </c>
      <c r="X1318" t="inlineStr">
        <is>
          <t>High</t>
        </is>
      </c>
    </row>
    <row r="1319">
      <c r="A1319" t="inlineStr">
        <is>
          <t>ORD-01440</t>
        </is>
      </c>
      <c r="B1319" s="2" t="n">
        <v>45798</v>
      </c>
      <c r="C1319" s="2" t="n">
        <v>45802</v>
      </c>
      <c r="D1319" t="inlineStr">
        <is>
          <t>CUST-01440</t>
        </is>
      </c>
      <c r="E1319" t="inlineStr">
        <is>
          <t>Customer 1440</t>
        </is>
      </c>
      <c r="F1319" t="inlineStr">
        <is>
          <t>Consumer</t>
        </is>
      </c>
      <c r="G1319" t="inlineStr">
        <is>
          <t>P1019</t>
        </is>
      </c>
      <c r="H1319" t="inlineStr">
        <is>
          <t>Aero Standing Desk</t>
        </is>
      </c>
      <c r="I1319" t="inlineStr">
        <is>
          <t>Outdoor</t>
        </is>
      </c>
      <c r="J1319" t="inlineStr">
        <is>
          <t>Flooring</t>
        </is>
      </c>
      <c r="K1319" t="inlineStr">
        <is>
          <t>Central</t>
        </is>
      </c>
      <c r="L1319" t="inlineStr">
        <is>
          <t>Illinois</t>
        </is>
      </c>
      <c r="M1319" t="inlineStr">
        <is>
          <t>Chicago</t>
        </is>
      </c>
      <c r="N1319" t="inlineStr">
        <is>
          <t>James Carter</t>
        </is>
      </c>
      <c r="O1319" t="n">
        <v>4</v>
      </c>
      <c r="P1319" s="3" t="n">
        <v>54.99</v>
      </c>
      <c r="Q1319" s="4" t="n">
        <v>0.044</v>
      </c>
      <c r="R1319" s="3" t="n">
        <v>210.28</v>
      </c>
      <c r="S1319" s="3" t="n">
        <v>92.28</v>
      </c>
      <c r="T1319" s="3" t="n">
        <v>108.8</v>
      </c>
      <c r="U1319" s="4" t="n">
        <v>0.5174</v>
      </c>
      <c r="V1319" s="3" t="n">
        <v>9.199999999999999</v>
      </c>
      <c r="W1319" t="inlineStr">
        <is>
          <t>Bank Transfer</t>
        </is>
      </c>
      <c r="X1319" t="inlineStr">
        <is>
          <t>High</t>
        </is>
      </c>
    </row>
    <row r="1320">
      <c r="A1320" t="inlineStr">
        <is>
          <t>ORD-01441</t>
        </is>
      </c>
      <c r="B1320" s="2" t="n">
        <v>45856</v>
      </c>
      <c r="C1320" s="2" t="n">
        <v>45858</v>
      </c>
      <c r="D1320" t="inlineStr">
        <is>
          <t>CUST-01441</t>
        </is>
      </c>
      <c r="E1320" t="inlineStr">
        <is>
          <t>Customer 1441</t>
        </is>
      </c>
      <c r="F1320" t="inlineStr">
        <is>
          <t>Home Office</t>
        </is>
      </c>
      <c r="G1320" t="inlineStr">
        <is>
          <t>P1004</t>
        </is>
      </c>
      <c r="H1320" t="inlineStr">
        <is>
          <t>Halo Planter</t>
        </is>
      </c>
      <c r="I1320" t="inlineStr">
        <is>
          <t>Technology</t>
        </is>
      </c>
      <c r="J1320" t="inlineStr">
        <is>
          <t>Decor</t>
        </is>
      </c>
      <c r="K1320" t="inlineStr">
        <is>
          <t>South</t>
        </is>
      </c>
      <c r="L1320" t="inlineStr">
        <is>
          <t>North Carolina</t>
        </is>
      </c>
      <c r="M1320" t="inlineStr">
        <is>
          <t>Miami</t>
        </is>
      </c>
      <c r="N1320" t="inlineStr">
        <is>
          <t>James Carter</t>
        </is>
      </c>
      <c r="O1320" t="n">
        <v>4</v>
      </c>
      <c r="P1320" s="3" t="n">
        <v>593.46</v>
      </c>
      <c r="Q1320" s="4" t="n">
        <v>0.012</v>
      </c>
      <c r="R1320" s="3" t="n">
        <v>2345.35</v>
      </c>
      <c r="S1320" s="3" t="n">
        <v>1488.64</v>
      </c>
      <c r="T1320" s="3" t="n">
        <v>847.51</v>
      </c>
      <c r="U1320" s="4" t="n">
        <v>0.3614</v>
      </c>
      <c r="V1320" s="3" t="n">
        <v>9.199999999999999</v>
      </c>
      <c r="W1320" t="inlineStr">
        <is>
          <t>Bank Transfer</t>
        </is>
      </c>
      <c r="X1320" t="inlineStr">
        <is>
          <t>Low</t>
        </is>
      </c>
    </row>
    <row r="1321">
      <c r="A1321" t="inlineStr">
        <is>
          <t>ORD-01449</t>
        </is>
      </c>
      <c r="B1321" s="2" t="n">
        <v>45769</v>
      </c>
      <c r="C1321" s="2" t="n">
        <v>45776</v>
      </c>
      <c r="D1321" t="inlineStr">
        <is>
          <t>CUST-01449</t>
        </is>
      </c>
      <c r="E1321" t="inlineStr">
        <is>
          <t>Customer 1449</t>
        </is>
      </c>
      <c r="F1321" t="inlineStr">
        <is>
          <t>Consumer</t>
        </is>
      </c>
      <c r="G1321" t="inlineStr">
        <is>
          <t>P1005</t>
        </is>
      </c>
      <c r="H1321" t="inlineStr">
        <is>
          <t>CloudDrive File Box</t>
        </is>
      </c>
      <c r="I1321" t="inlineStr">
        <is>
          <t>Home Decor</t>
        </is>
      </c>
      <c r="J1321" t="inlineStr">
        <is>
          <t>Desks</t>
        </is>
      </c>
      <c r="K1321" t="inlineStr">
        <is>
          <t>Central</t>
        </is>
      </c>
      <c r="L1321" t="inlineStr">
        <is>
          <t>Missouri</t>
        </is>
      </c>
      <c r="M1321" t="inlineStr">
        <is>
          <t>Minneapolis</t>
        </is>
      </c>
      <c r="N1321" t="inlineStr">
        <is>
          <t>Olivia Martin</t>
        </is>
      </c>
      <c r="O1321" t="n">
        <v>2</v>
      </c>
      <c r="P1321" s="3" t="n">
        <v>11.97</v>
      </c>
      <c r="Q1321" s="4" t="n">
        <v>0.005</v>
      </c>
      <c r="R1321" s="3" t="n">
        <v>23.82</v>
      </c>
      <c r="S1321" s="3" t="n">
        <v>12.83</v>
      </c>
      <c r="T1321" s="3" t="n">
        <v>3.39</v>
      </c>
      <c r="U1321" s="4" t="n">
        <v>0.1423</v>
      </c>
      <c r="V1321" s="3" t="n">
        <v>7.6</v>
      </c>
      <c r="W1321" t="inlineStr">
        <is>
          <t>Credit Card</t>
        </is>
      </c>
      <c r="X1321" t="inlineStr">
        <is>
          <t>Medium</t>
        </is>
      </c>
    </row>
    <row r="1322">
      <c r="A1322" t="inlineStr">
        <is>
          <t>ORD-01451</t>
        </is>
      </c>
      <c r="B1322" s="2" t="n">
        <v>45434</v>
      </c>
      <c r="C1322" s="2" t="n">
        <v>45441</v>
      </c>
      <c r="D1322" t="inlineStr">
        <is>
          <t>CUST-01451</t>
        </is>
      </c>
      <c r="E1322" t="inlineStr">
        <is>
          <t>Customer 1451</t>
        </is>
      </c>
      <c r="F1322" t="inlineStr">
        <is>
          <t>Corporate</t>
        </is>
      </c>
      <c r="G1322" t="inlineStr">
        <is>
          <t>P1006</t>
        </is>
      </c>
      <c r="H1322" t="inlineStr">
        <is>
          <t>Nova Laptop Stand</t>
        </is>
      </c>
      <c r="I1322" t="inlineStr">
        <is>
          <t>Technology</t>
        </is>
      </c>
      <c r="J1322" t="inlineStr">
        <is>
          <t>Chairs</t>
        </is>
      </c>
      <c r="K1322" t="inlineStr">
        <is>
          <t>Central</t>
        </is>
      </c>
      <c r="L1322" t="inlineStr">
        <is>
          <t>Missouri</t>
        </is>
      </c>
      <c r="M1322" t="inlineStr">
        <is>
          <t>Kansas City</t>
        </is>
      </c>
      <c r="N1322" t="inlineStr">
        <is>
          <t>Noah Kim</t>
        </is>
      </c>
      <c r="O1322" t="n">
        <v>2</v>
      </c>
      <c r="P1322" s="3" t="n">
        <v>17.42</v>
      </c>
      <c r="Q1322" s="4" t="n">
        <v>0.017</v>
      </c>
      <c r="R1322" s="3" t="n">
        <v>34.25</v>
      </c>
      <c r="S1322" s="3" t="n">
        <v>16.41</v>
      </c>
      <c r="T1322" s="3" t="n">
        <v>10.24</v>
      </c>
      <c r="U1322" s="4" t="n">
        <v>0.299</v>
      </c>
      <c r="V1322" s="3" t="n">
        <v>7.6</v>
      </c>
      <c r="W1322" t="inlineStr">
        <is>
          <t>Bank Transfer</t>
        </is>
      </c>
      <c r="X1322" t="inlineStr">
        <is>
          <t>Low</t>
        </is>
      </c>
    </row>
    <row r="1323">
      <c r="A1323" t="inlineStr">
        <is>
          <t>ORD-01452</t>
        </is>
      </c>
      <c r="B1323" s="2" t="n">
        <v>45612</v>
      </c>
      <c r="C1323" s="2" t="n">
        <v>45614</v>
      </c>
      <c r="D1323" t="inlineStr">
        <is>
          <t>CUST-01452</t>
        </is>
      </c>
      <c r="E1323" t="inlineStr">
        <is>
          <t>Customer 1452</t>
        </is>
      </c>
      <c r="F1323" t="inlineStr">
        <is>
          <t>Home Office</t>
        </is>
      </c>
      <c r="G1323" t="inlineStr">
        <is>
          <t>P1013</t>
        </is>
      </c>
      <c r="H1323" t="inlineStr">
        <is>
          <t>Summit Patio Set</t>
        </is>
      </c>
      <c r="I1323" t="inlineStr">
        <is>
          <t>Outdoor</t>
        </is>
      </c>
      <c r="J1323" t="inlineStr">
        <is>
          <t>Bags</t>
        </is>
      </c>
      <c r="K1323" t="inlineStr">
        <is>
          <t>Central</t>
        </is>
      </c>
      <c r="L1323" t="inlineStr">
        <is>
          <t>Kansas</t>
        </is>
      </c>
      <c r="M1323" t="inlineStr">
        <is>
          <t>St. Louis</t>
        </is>
      </c>
      <c r="N1323" t="inlineStr">
        <is>
          <t>Mia Rodriguez</t>
        </is>
      </c>
      <c r="O1323" t="n">
        <v>3</v>
      </c>
      <c r="P1323" s="3" t="n">
        <v>169.9</v>
      </c>
      <c r="Q1323" s="4" t="n">
        <v>0.016</v>
      </c>
      <c r="R1323" s="3" t="n">
        <v>501.54</v>
      </c>
      <c r="S1323" s="3" t="n">
        <v>291.07</v>
      </c>
      <c r="T1323" s="3" t="n">
        <v>202.07</v>
      </c>
      <c r="U1323" s="4" t="n">
        <v>0.4029</v>
      </c>
      <c r="V1323" s="3" t="n">
        <v>8.4</v>
      </c>
      <c r="W1323" t="inlineStr">
        <is>
          <t>Cash on Delivery</t>
        </is>
      </c>
      <c r="X1323" t="inlineStr">
        <is>
          <t>Medium</t>
        </is>
      </c>
    </row>
    <row r="1324">
      <c r="A1324" t="inlineStr">
        <is>
          <t>ORD-01453</t>
        </is>
      </c>
      <c r="B1324" s="2" t="n">
        <v>45658</v>
      </c>
      <c r="C1324" s="2" t="n">
        <v>45659</v>
      </c>
      <c r="D1324" t="inlineStr">
        <is>
          <t>CUST-01453</t>
        </is>
      </c>
      <c r="E1324" t="inlineStr">
        <is>
          <t>Customer 1453</t>
        </is>
      </c>
      <c r="F1324" t="inlineStr">
        <is>
          <t>Corporate</t>
        </is>
      </c>
      <c r="G1324" t="inlineStr">
        <is>
          <t>P1015</t>
        </is>
      </c>
      <c r="H1324" t="inlineStr">
        <is>
          <t>FlexNote Notebook</t>
        </is>
      </c>
      <c r="I1324" t="inlineStr">
        <is>
          <t>Furniture</t>
        </is>
      </c>
      <c r="J1324" t="inlineStr">
        <is>
          <t>Accessories</t>
        </is>
      </c>
      <c r="K1324" t="inlineStr">
        <is>
          <t>South</t>
        </is>
      </c>
      <c r="L1324" t="inlineStr">
        <is>
          <t>North Carolina</t>
        </is>
      </c>
      <c r="M1324" t="inlineStr">
        <is>
          <t>Dallas</t>
        </is>
      </c>
      <c r="N1324" t="inlineStr">
        <is>
          <t>Mia Rodriguez</t>
        </is>
      </c>
      <c r="O1324" t="n">
        <v>2</v>
      </c>
      <c r="P1324" s="3" t="n">
        <v>67.14</v>
      </c>
      <c r="Q1324" s="4" t="n">
        <v>0.048</v>
      </c>
      <c r="R1324" s="3" t="n">
        <v>127.83</v>
      </c>
      <c r="S1324" s="3" t="n">
        <v>63.39</v>
      </c>
      <c r="T1324" s="3" t="n">
        <v>56.84</v>
      </c>
      <c r="U1324" s="4" t="n">
        <v>0.4447</v>
      </c>
      <c r="V1324" s="3" t="n">
        <v>7.6</v>
      </c>
      <c r="W1324" t="inlineStr">
        <is>
          <t>Bank Transfer</t>
        </is>
      </c>
      <c r="X1324" t="inlineStr">
        <is>
          <t>High</t>
        </is>
      </c>
    </row>
    <row r="1325">
      <c r="A1325" t="inlineStr">
        <is>
          <t>ORD-01458</t>
        </is>
      </c>
      <c r="B1325" s="2" t="n">
        <v>45975</v>
      </c>
      <c r="C1325" s="2" t="n">
        <v>45977</v>
      </c>
      <c r="D1325" t="inlineStr">
        <is>
          <t>CUST-01458</t>
        </is>
      </c>
      <c r="E1325" t="inlineStr">
        <is>
          <t>Customer 1458</t>
        </is>
      </c>
      <c r="F1325" t="inlineStr">
        <is>
          <t>Consumer</t>
        </is>
      </c>
      <c r="G1325" t="inlineStr">
        <is>
          <t>P1004</t>
        </is>
      </c>
      <c r="H1325" t="inlineStr">
        <is>
          <t>ErgoMesh Chair</t>
        </is>
      </c>
      <c r="I1325" t="inlineStr">
        <is>
          <t>Outdoor</t>
        </is>
      </c>
      <c r="J1325" t="inlineStr">
        <is>
          <t>Peripherals</t>
        </is>
      </c>
      <c r="K1325" t="inlineStr">
        <is>
          <t>South</t>
        </is>
      </c>
      <c r="L1325" t="inlineStr">
        <is>
          <t>North Carolina</t>
        </is>
      </c>
      <c r="M1325" t="inlineStr">
        <is>
          <t>Houston</t>
        </is>
      </c>
      <c r="N1325" t="inlineStr">
        <is>
          <t>Ethan Brooks</t>
        </is>
      </c>
      <c r="O1325" t="n">
        <v>2</v>
      </c>
      <c r="P1325" s="3" t="n">
        <v>622.0700000000001</v>
      </c>
      <c r="Q1325" s="4" t="n">
        <v>0.057</v>
      </c>
      <c r="R1325" s="3" t="n">
        <v>1173.22</v>
      </c>
      <c r="S1325" s="3" t="n">
        <v>746.54</v>
      </c>
      <c r="T1325" s="3" t="n">
        <v>419.08</v>
      </c>
      <c r="U1325" s="4" t="n">
        <v>0.3572</v>
      </c>
      <c r="V1325" s="3" t="n">
        <v>7.6</v>
      </c>
      <c r="W1325" t="inlineStr">
        <is>
          <t>Credit Card</t>
        </is>
      </c>
      <c r="X1325" t="inlineStr">
        <is>
          <t>High</t>
        </is>
      </c>
    </row>
    <row r="1326">
      <c r="A1326" t="inlineStr">
        <is>
          <t>ORD-01459</t>
        </is>
      </c>
      <c r="B1326" s="2" t="n">
        <v>45194</v>
      </c>
      <c r="C1326" s="2" t="n">
        <v>45200</v>
      </c>
      <c r="D1326" t="inlineStr">
        <is>
          <t>CUST-01459</t>
        </is>
      </c>
      <c r="E1326" t="inlineStr">
        <is>
          <t>Customer 1459</t>
        </is>
      </c>
      <c r="F1326" t="inlineStr">
        <is>
          <t>Home Office</t>
        </is>
      </c>
      <c r="G1326" t="inlineStr">
        <is>
          <t>P1007</t>
        </is>
      </c>
      <c r="H1326" t="inlineStr">
        <is>
          <t>CloudDrive File Box</t>
        </is>
      </c>
      <c r="I1326" t="inlineStr">
        <is>
          <t>Home Decor</t>
        </is>
      </c>
      <c r="J1326" t="inlineStr">
        <is>
          <t>Accessories</t>
        </is>
      </c>
      <c r="K1326" t="inlineStr">
        <is>
          <t>South</t>
        </is>
      </c>
      <c r="L1326" t="inlineStr">
        <is>
          <t>Texas</t>
        </is>
      </c>
      <c r="M1326" t="inlineStr">
        <is>
          <t>Houston</t>
        </is>
      </c>
      <c r="N1326" t="inlineStr">
        <is>
          <t>Liam Chen</t>
        </is>
      </c>
      <c r="O1326" t="n">
        <v>2</v>
      </c>
      <c r="P1326" s="3" t="n">
        <v>23.47</v>
      </c>
      <c r="Q1326" s="4" t="n">
        <v>0.047</v>
      </c>
      <c r="R1326" s="3" t="n">
        <v>44.73</v>
      </c>
      <c r="S1326" s="3" t="n">
        <v>19.95</v>
      </c>
      <c r="T1326" s="3" t="n">
        <v>17.18</v>
      </c>
      <c r="U1326" s="4" t="n">
        <v>0.3841</v>
      </c>
      <c r="V1326" s="3" t="n">
        <v>7.6</v>
      </c>
      <c r="W1326" t="inlineStr">
        <is>
          <t>Bank Transfer</t>
        </is>
      </c>
      <c r="X1326" t="inlineStr">
        <is>
          <t>High</t>
        </is>
      </c>
    </row>
    <row r="1327">
      <c r="A1327" t="inlineStr">
        <is>
          <t>ORD-01463</t>
        </is>
      </c>
      <c r="B1327" s="2" t="n">
        <v>45135</v>
      </c>
      <c r="C1327" s="2" t="n">
        <v>45139</v>
      </c>
      <c r="D1327" t="inlineStr">
        <is>
          <t>CUST-01463</t>
        </is>
      </c>
      <c r="E1327" t="inlineStr">
        <is>
          <t>Customer 1463</t>
        </is>
      </c>
      <c r="F1327" t="inlineStr">
        <is>
          <t>Consumer</t>
        </is>
      </c>
      <c r="G1327" t="inlineStr">
        <is>
          <t>P1016</t>
        </is>
      </c>
      <c r="H1327" t="inlineStr">
        <is>
          <t>Summit Patio Set</t>
        </is>
      </c>
      <c r="I1327" t="inlineStr">
        <is>
          <t>Furniture</t>
        </is>
      </c>
      <c r="J1327" t="inlineStr">
        <is>
          <t>Desks</t>
        </is>
      </c>
      <c r="K1327" t="inlineStr">
        <is>
          <t>North</t>
        </is>
      </c>
      <c r="L1327" t="inlineStr">
        <is>
          <t>British Columbia</t>
        </is>
      </c>
      <c r="M1327" t="inlineStr">
        <is>
          <t>Toronto</t>
        </is>
      </c>
      <c r="N1327" t="inlineStr">
        <is>
          <t>Noah Kim</t>
        </is>
      </c>
      <c r="O1327" t="n">
        <v>3</v>
      </c>
      <c r="P1327" s="3" t="n">
        <v>40.39</v>
      </c>
      <c r="Q1327" s="4" t="n">
        <v>0.016</v>
      </c>
      <c r="R1327" s="3" t="n">
        <v>119.23</v>
      </c>
      <c r="S1327" s="3" t="n">
        <v>50.28</v>
      </c>
      <c r="T1327" s="3" t="n">
        <v>60.55</v>
      </c>
      <c r="U1327" s="4" t="n">
        <v>0.5078</v>
      </c>
      <c r="V1327" s="3" t="n">
        <v>8.4</v>
      </c>
      <c r="W1327" t="inlineStr">
        <is>
          <t>PayPal</t>
        </is>
      </c>
      <c r="X1327" t="inlineStr">
        <is>
          <t>High</t>
        </is>
      </c>
    </row>
    <row r="1328">
      <c r="A1328" t="inlineStr">
        <is>
          <t>ORD-01464</t>
        </is>
      </c>
      <c r="B1328" s="2" t="n">
        <v>45679</v>
      </c>
      <c r="C1328" s="2" t="n">
        <v>45681</v>
      </c>
      <c r="D1328" t="inlineStr">
        <is>
          <t>CUST-01464</t>
        </is>
      </c>
      <c r="E1328" t="inlineStr">
        <is>
          <t>Customer 1464</t>
        </is>
      </c>
      <c r="F1328" t="inlineStr">
        <is>
          <t>Corporate</t>
        </is>
      </c>
      <c r="G1328" t="inlineStr">
        <is>
          <t>P1009</t>
        </is>
      </c>
      <c r="H1328" t="inlineStr">
        <is>
          <t>Tide Cooler</t>
        </is>
      </c>
      <c r="I1328" t="inlineStr">
        <is>
          <t>Furniture</t>
        </is>
      </c>
      <c r="J1328" t="inlineStr">
        <is>
          <t>Coolers</t>
        </is>
      </c>
      <c r="K1328" t="inlineStr">
        <is>
          <t>North</t>
        </is>
      </c>
      <c r="L1328" t="inlineStr">
        <is>
          <t>Alberta</t>
        </is>
      </c>
      <c r="M1328" t="inlineStr">
        <is>
          <t>Vancouver</t>
        </is>
      </c>
      <c r="N1328" t="inlineStr">
        <is>
          <t>Liam Chen</t>
        </is>
      </c>
      <c r="O1328" t="n">
        <v>4</v>
      </c>
      <c r="P1328" s="3" t="n">
        <v>92.25</v>
      </c>
      <c r="Q1328" s="4" t="n">
        <v>0.032</v>
      </c>
      <c r="R1328" s="3" t="n">
        <v>357.19</v>
      </c>
      <c r="S1328" s="3" t="n">
        <v>173.28</v>
      </c>
      <c r="T1328" s="3" t="n">
        <v>174.71</v>
      </c>
      <c r="U1328" s="4" t="n">
        <v>0.4891</v>
      </c>
      <c r="V1328" s="3" t="n">
        <v>9.199999999999999</v>
      </c>
      <c r="W1328" t="inlineStr">
        <is>
          <t>PayPal</t>
        </is>
      </c>
      <c r="X1328" t="inlineStr">
        <is>
          <t>Medium</t>
        </is>
      </c>
    </row>
    <row r="1329">
      <c r="A1329" t="inlineStr">
        <is>
          <t>ORD-01465</t>
        </is>
      </c>
      <c r="B1329" s="2" t="n">
        <v>45892</v>
      </c>
      <c r="C1329" s="2" t="n">
        <v>45893</v>
      </c>
      <c r="D1329" t="inlineStr">
        <is>
          <t>CUST-01465</t>
        </is>
      </c>
      <c r="E1329" t="inlineStr">
        <is>
          <t>Customer 1465</t>
        </is>
      </c>
      <c r="F1329" t="inlineStr">
        <is>
          <t>Home Office</t>
        </is>
      </c>
      <c r="G1329" t="inlineStr">
        <is>
          <t>P1002</t>
        </is>
      </c>
      <c r="H1329" t="inlineStr">
        <is>
          <t>Summit Patio Set</t>
        </is>
      </c>
      <c r="I1329" t="inlineStr">
        <is>
          <t>Furniture</t>
        </is>
      </c>
      <c r="J1329" t="inlineStr">
        <is>
          <t>Lighting</t>
        </is>
      </c>
      <c r="K1329" t="inlineStr">
        <is>
          <t>Central</t>
        </is>
      </c>
      <c r="L1329" t="inlineStr">
        <is>
          <t>Illinois</t>
        </is>
      </c>
      <c r="M1329" t="inlineStr">
        <is>
          <t>Chicago</t>
        </is>
      </c>
      <c r="N1329" t="inlineStr">
        <is>
          <t>Ava Patel</t>
        </is>
      </c>
      <c r="O1329" t="n">
        <v>1</v>
      </c>
      <c r="P1329" s="3" t="n">
        <v>78.79000000000001</v>
      </c>
      <c r="Q1329" s="4" t="n">
        <v>0.04</v>
      </c>
      <c r="R1329" s="3" t="n">
        <v>75.64</v>
      </c>
      <c r="S1329" s="3" t="n">
        <v>43.25</v>
      </c>
      <c r="T1329" s="3" t="n">
        <v>25.59</v>
      </c>
      <c r="U1329" s="4" t="n">
        <v>0.3383</v>
      </c>
      <c r="V1329" s="3" t="n">
        <v>6.8</v>
      </c>
      <c r="W1329" t="inlineStr">
        <is>
          <t>Credit Card</t>
        </is>
      </c>
      <c r="X1329" t="inlineStr">
        <is>
          <t>High</t>
        </is>
      </c>
    </row>
    <row r="1330">
      <c r="A1330" t="inlineStr">
        <is>
          <t>ORD-01466</t>
        </is>
      </c>
      <c r="B1330" s="2" t="n">
        <v>45174</v>
      </c>
      <c r="C1330" s="2" t="n">
        <v>45180</v>
      </c>
      <c r="D1330" t="inlineStr">
        <is>
          <t>CUST-01466</t>
        </is>
      </c>
      <c r="E1330" t="inlineStr">
        <is>
          <t>Customer 1466</t>
        </is>
      </c>
      <c r="F1330" t="inlineStr">
        <is>
          <t>Corporate</t>
        </is>
      </c>
      <c r="G1330" t="inlineStr">
        <is>
          <t>P1016</t>
        </is>
      </c>
      <c r="H1330" t="inlineStr">
        <is>
          <t>Cove Wall Clock</t>
        </is>
      </c>
      <c r="I1330" t="inlineStr">
        <is>
          <t>Furniture</t>
        </is>
      </c>
      <c r="J1330" t="inlineStr">
        <is>
          <t>Peripherals</t>
        </is>
      </c>
      <c r="K1330" t="inlineStr">
        <is>
          <t>Central</t>
        </is>
      </c>
      <c r="L1330" t="inlineStr">
        <is>
          <t>Kansas</t>
        </is>
      </c>
      <c r="M1330" t="inlineStr">
        <is>
          <t>Minneapolis</t>
        </is>
      </c>
      <c r="N1330" t="inlineStr">
        <is>
          <t>Olivia Martin</t>
        </is>
      </c>
      <c r="O1330" t="n">
        <v>2</v>
      </c>
      <c r="P1330" s="3" t="n">
        <v>38.47</v>
      </c>
      <c r="Q1330" s="4" t="n">
        <v>0.03</v>
      </c>
      <c r="R1330" s="3" t="n">
        <v>74.63</v>
      </c>
      <c r="S1330" s="3" t="n">
        <v>34.21</v>
      </c>
      <c r="T1330" s="3" t="n">
        <v>32.82</v>
      </c>
      <c r="U1330" s="4" t="n">
        <v>0.4398</v>
      </c>
      <c r="V1330" s="3" t="n">
        <v>7.6</v>
      </c>
      <c r="W1330" t="inlineStr">
        <is>
          <t>Debit Card</t>
        </is>
      </c>
      <c r="X1330" t="inlineStr">
        <is>
          <t>Medium</t>
        </is>
      </c>
    </row>
    <row r="1331">
      <c r="A1331" t="inlineStr">
        <is>
          <t>ORD-01468</t>
        </is>
      </c>
      <c r="B1331" s="2" t="n">
        <v>45592</v>
      </c>
      <c r="C1331" s="2" t="n">
        <v>45594</v>
      </c>
      <c r="D1331" t="inlineStr">
        <is>
          <t>CUST-01468</t>
        </is>
      </c>
      <c r="E1331" t="inlineStr">
        <is>
          <t>Customer 1468</t>
        </is>
      </c>
      <c r="F1331" t="inlineStr">
        <is>
          <t>Home Office</t>
        </is>
      </c>
      <c r="G1331" t="inlineStr">
        <is>
          <t>P1012</t>
        </is>
      </c>
      <c r="H1331" t="inlineStr">
        <is>
          <t>Cove Wall Clock</t>
        </is>
      </c>
      <c r="I1331" t="inlineStr">
        <is>
          <t>Home Decor</t>
        </is>
      </c>
      <c r="J1331" t="inlineStr">
        <is>
          <t>Writing</t>
        </is>
      </c>
      <c r="K1331" t="inlineStr">
        <is>
          <t>South</t>
        </is>
      </c>
      <c r="L1331" t="inlineStr">
        <is>
          <t>Georgia</t>
        </is>
      </c>
      <c r="M1331" t="inlineStr">
        <is>
          <t>Miami</t>
        </is>
      </c>
      <c r="N1331" t="inlineStr">
        <is>
          <t>Ava Patel</t>
        </is>
      </c>
      <c r="O1331" t="n">
        <v>2</v>
      </c>
      <c r="P1331" s="3" t="n">
        <v>133.68</v>
      </c>
      <c r="Q1331" s="4" t="n">
        <v>0.032</v>
      </c>
      <c r="R1331" s="3" t="n">
        <v>258.8</v>
      </c>
      <c r="S1331" s="3" t="n">
        <v>135.98</v>
      </c>
      <c r="T1331" s="3" t="n">
        <v>115.22</v>
      </c>
      <c r="U1331" s="4" t="n">
        <v>0.4452</v>
      </c>
      <c r="V1331" s="3" t="n">
        <v>7.6</v>
      </c>
      <c r="W1331" t="inlineStr">
        <is>
          <t>Debit Card</t>
        </is>
      </c>
      <c r="X1331" t="inlineStr">
        <is>
          <t>High</t>
        </is>
      </c>
    </row>
    <row r="1332">
      <c r="A1332" t="inlineStr">
        <is>
          <t>ORD-01470</t>
        </is>
      </c>
      <c r="B1332" s="2" t="n">
        <v>45710</v>
      </c>
      <c r="C1332" s="2" t="n">
        <v>45716</v>
      </c>
      <c r="D1332" t="inlineStr">
        <is>
          <t>CUST-01470</t>
        </is>
      </c>
      <c r="E1332" t="inlineStr">
        <is>
          <t>Customer 1470</t>
        </is>
      </c>
      <c r="F1332" t="inlineStr">
        <is>
          <t>Consumer</t>
        </is>
      </c>
      <c r="G1332" t="inlineStr">
        <is>
          <t>P1015</t>
        </is>
      </c>
      <c r="H1332" t="inlineStr">
        <is>
          <t>ProClip Binder</t>
        </is>
      </c>
      <c r="I1332" t="inlineStr">
        <is>
          <t>Outdoor</t>
        </is>
      </c>
      <c r="J1332" t="inlineStr">
        <is>
          <t>Furniture</t>
        </is>
      </c>
      <c r="K1332" t="inlineStr">
        <is>
          <t>Central</t>
        </is>
      </c>
      <c r="L1332" t="inlineStr">
        <is>
          <t>Missouri</t>
        </is>
      </c>
      <c r="M1332" t="inlineStr">
        <is>
          <t>Chicago</t>
        </is>
      </c>
      <c r="N1332" t="inlineStr">
        <is>
          <t>Liam Chen</t>
        </is>
      </c>
      <c r="O1332" t="n">
        <v>3</v>
      </c>
      <c r="P1332" s="3" t="n">
        <v>64.56</v>
      </c>
      <c r="Q1332" s="4" t="n">
        <v>0.048</v>
      </c>
      <c r="R1332" s="3" t="n">
        <v>184.38</v>
      </c>
      <c r="S1332" s="3" t="n">
        <v>89.01000000000001</v>
      </c>
      <c r="T1332" s="3" t="n">
        <v>86.97</v>
      </c>
      <c r="U1332" s="4" t="n">
        <v>0.4717</v>
      </c>
      <c r="V1332" s="3" t="n">
        <v>8.4</v>
      </c>
      <c r="W1332" t="inlineStr">
        <is>
          <t>Debit Card</t>
        </is>
      </c>
      <c r="X1332" t="inlineStr">
        <is>
          <t>High</t>
        </is>
      </c>
    </row>
    <row r="1333">
      <c r="A1333" t="inlineStr">
        <is>
          <t>ORD-01473</t>
        </is>
      </c>
      <c r="B1333" s="2" t="n">
        <v>45782</v>
      </c>
      <c r="C1333" s="2" t="n">
        <v>45786</v>
      </c>
      <c r="D1333" t="inlineStr">
        <is>
          <t>CUST-01473</t>
        </is>
      </c>
      <c r="E1333" t="inlineStr">
        <is>
          <t>Customer 1473</t>
        </is>
      </c>
      <c r="F1333" t="inlineStr">
        <is>
          <t>Consumer</t>
        </is>
      </c>
      <c r="G1333" t="inlineStr">
        <is>
          <t>P1007</t>
        </is>
      </c>
      <c r="H1333" t="inlineStr">
        <is>
          <t>Lumen Desk Lamp</t>
        </is>
      </c>
      <c r="I1333" t="inlineStr">
        <is>
          <t>Office Supplies</t>
        </is>
      </c>
      <c r="J1333" t="inlineStr">
        <is>
          <t>Chairs</t>
        </is>
      </c>
      <c r="K1333" t="inlineStr">
        <is>
          <t>Central</t>
        </is>
      </c>
      <c r="L1333" t="inlineStr">
        <is>
          <t>Missouri</t>
        </is>
      </c>
      <c r="M1333" t="inlineStr">
        <is>
          <t>Minneapolis</t>
        </is>
      </c>
      <c r="N1333" t="inlineStr">
        <is>
          <t>Ethan Brooks</t>
        </is>
      </c>
      <c r="O1333" t="n">
        <v>2</v>
      </c>
      <c r="P1333" s="3" t="n">
        <v>24.25</v>
      </c>
      <c r="Q1333" s="4" t="n">
        <v>0.017</v>
      </c>
      <c r="R1333" s="3" t="n">
        <v>47.68</v>
      </c>
      <c r="S1333" s="3" t="n">
        <v>19.3</v>
      </c>
      <c r="T1333" s="3" t="n">
        <v>20.78</v>
      </c>
      <c r="U1333" s="4" t="n">
        <v>0.4358</v>
      </c>
      <c r="V1333" s="3" t="n">
        <v>7.6</v>
      </c>
      <c r="W1333" t="inlineStr">
        <is>
          <t>Cash on Delivery</t>
        </is>
      </c>
      <c r="X1333" t="inlineStr">
        <is>
          <t>Medium</t>
        </is>
      </c>
    </row>
    <row r="1334">
      <c r="A1334" t="inlineStr">
        <is>
          <t>ORD-01474</t>
        </is>
      </c>
      <c r="B1334" s="2" t="n">
        <v>45329</v>
      </c>
      <c r="C1334" s="2" t="n">
        <v>45330</v>
      </c>
      <c r="D1334" t="inlineStr">
        <is>
          <t>CUST-01474</t>
        </is>
      </c>
      <c r="E1334" t="inlineStr">
        <is>
          <t>Customer 1474</t>
        </is>
      </c>
      <c r="F1334" t="inlineStr">
        <is>
          <t>Consumer</t>
        </is>
      </c>
      <c r="G1334" t="inlineStr">
        <is>
          <t>P1004</t>
        </is>
      </c>
      <c r="H1334" t="inlineStr">
        <is>
          <t>Orbit Wireless Mouse</t>
        </is>
      </c>
      <c r="I1334" t="inlineStr">
        <is>
          <t>Office Supplies</t>
        </is>
      </c>
      <c r="J1334" t="inlineStr">
        <is>
          <t>Lighting</t>
        </is>
      </c>
      <c r="K1334" t="inlineStr">
        <is>
          <t>North</t>
        </is>
      </c>
      <c r="L1334" t="inlineStr">
        <is>
          <t>Ontario</t>
        </is>
      </c>
      <c r="M1334" t="inlineStr">
        <is>
          <t>Montreal</t>
        </is>
      </c>
      <c r="N1334" t="inlineStr">
        <is>
          <t>Mia Rodriguez</t>
        </is>
      </c>
      <c r="O1334" t="n">
        <v>4</v>
      </c>
      <c r="P1334" s="3" t="n">
        <v>608.02</v>
      </c>
      <c r="Q1334" s="4" t="n">
        <v>0.005</v>
      </c>
      <c r="R1334" s="3" t="n">
        <v>2419.92</v>
      </c>
      <c r="S1334" s="3" t="n">
        <v>1534.59</v>
      </c>
      <c r="T1334" s="3" t="n">
        <v>876.13</v>
      </c>
      <c r="U1334" s="4" t="n">
        <v>0.362</v>
      </c>
      <c r="V1334" s="3" t="n">
        <v>9.199999999999999</v>
      </c>
      <c r="W1334" t="inlineStr">
        <is>
          <t>Credit Card</t>
        </is>
      </c>
      <c r="X1334" t="inlineStr">
        <is>
          <t>Medium</t>
        </is>
      </c>
    </row>
    <row r="1335">
      <c r="A1335" t="inlineStr">
        <is>
          <t>ORD-01475</t>
        </is>
      </c>
      <c r="B1335" s="2" t="n">
        <v>45449</v>
      </c>
      <c r="C1335" s="2" t="n">
        <v>45455</v>
      </c>
      <c r="D1335" t="inlineStr">
        <is>
          <t>CUST-01475</t>
        </is>
      </c>
      <c r="E1335" t="inlineStr">
        <is>
          <t>Customer 1475</t>
        </is>
      </c>
      <c r="F1335" t="inlineStr">
        <is>
          <t>Consumer</t>
        </is>
      </c>
      <c r="G1335" t="inlineStr">
        <is>
          <t>P1009</t>
        </is>
      </c>
      <c r="H1335" t="inlineStr">
        <is>
          <t>Harbor Rug</t>
        </is>
      </c>
      <c r="I1335" t="inlineStr">
        <is>
          <t>Home Decor</t>
        </is>
      </c>
      <c r="J1335" t="inlineStr">
        <is>
          <t>Decor</t>
        </is>
      </c>
      <c r="K1335" t="inlineStr">
        <is>
          <t>South</t>
        </is>
      </c>
      <c r="L1335" t="inlineStr">
        <is>
          <t>North Carolina</t>
        </is>
      </c>
      <c r="M1335" t="inlineStr">
        <is>
          <t>Atlanta</t>
        </is>
      </c>
      <c r="N1335" t="inlineStr">
        <is>
          <t>James Carter</t>
        </is>
      </c>
      <c r="O1335" t="n">
        <v>2</v>
      </c>
      <c r="P1335" s="3" t="n">
        <v>92.25</v>
      </c>
      <c r="Q1335" s="4" t="n">
        <v>0.004</v>
      </c>
      <c r="R1335" s="3" t="n">
        <v>183.76</v>
      </c>
      <c r="S1335" s="3" t="n">
        <v>97.75</v>
      </c>
      <c r="T1335" s="3" t="n">
        <v>78.41</v>
      </c>
      <c r="U1335" s="4" t="n">
        <v>0.4267</v>
      </c>
      <c r="V1335" s="3" t="n">
        <v>7.6</v>
      </c>
      <c r="W1335" t="inlineStr">
        <is>
          <t>Credit Card</t>
        </is>
      </c>
      <c r="X1335" t="inlineStr">
        <is>
          <t>Low</t>
        </is>
      </c>
    </row>
    <row r="1336">
      <c r="A1336" t="inlineStr">
        <is>
          <t>ORD-01477</t>
        </is>
      </c>
      <c r="B1336" s="2" t="n">
        <v>45781</v>
      </c>
      <c r="C1336" s="2" t="n">
        <v>45788</v>
      </c>
      <c r="D1336" t="inlineStr">
        <is>
          <t>CUST-01477</t>
        </is>
      </c>
      <c r="E1336" t="inlineStr">
        <is>
          <t>Customer 1477</t>
        </is>
      </c>
      <c r="F1336" t="inlineStr">
        <is>
          <t>Consumer</t>
        </is>
      </c>
      <c r="G1336" t="inlineStr">
        <is>
          <t>P1007</t>
        </is>
      </c>
      <c r="H1336" t="inlineStr">
        <is>
          <t>Cove Wall Clock</t>
        </is>
      </c>
      <c r="I1336" t="inlineStr">
        <is>
          <t>Technology</t>
        </is>
      </c>
      <c r="J1336" t="inlineStr">
        <is>
          <t>Plants</t>
        </is>
      </c>
      <c r="K1336" t="inlineStr">
        <is>
          <t>South</t>
        </is>
      </c>
      <c r="L1336" t="inlineStr">
        <is>
          <t>Georgia</t>
        </is>
      </c>
      <c r="M1336" t="inlineStr">
        <is>
          <t>Dallas</t>
        </is>
      </c>
      <c r="N1336" t="inlineStr">
        <is>
          <t>Sophia Singh</t>
        </is>
      </c>
      <c r="O1336" t="n">
        <v>5</v>
      </c>
      <c r="P1336" s="3" t="n">
        <v>22.68</v>
      </c>
      <c r="Q1336" s="4" t="n">
        <v>0.001</v>
      </c>
      <c r="R1336" s="3" t="n">
        <v>113.29</v>
      </c>
      <c r="S1336" s="3" t="n">
        <v>41.48</v>
      </c>
      <c r="T1336" s="3" t="n">
        <v>61.81</v>
      </c>
      <c r="U1336" s="4" t="n">
        <v>0.5456</v>
      </c>
      <c r="V1336" s="3" t="n">
        <v>10</v>
      </c>
      <c r="W1336" t="inlineStr">
        <is>
          <t>Bank Transfer</t>
        </is>
      </c>
      <c r="X1336" t="inlineStr">
        <is>
          <t>Low</t>
        </is>
      </c>
    </row>
    <row r="1337">
      <c r="A1337" t="inlineStr">
        <is>
          <t>ORD-01478</t>
        </is>
      </c>
      <c r="B1337" s="2" t="n">
        <v>45943</v>
      </c>
      <c r="C1337" s="2" t="n">
        <v>45946</v>
      </c>
      <c r="D1337" t="inlineStr">
        <is>
          <t>CUST-01478</t>
        </is>
      </c>
      <c r="E1337" t="inlineStr">
        <is>
          <t>Customer 1478</t>
        </is>
      </c>
      <c r="F1337" t="inlineStr">
        <is>
          <t>Consumer</t>
        </is>
      </c>
      <c r="G1337" t="inlineStr">
        <is>
          <t>P1011</t>
        </is>
      </c>
      <c r="H1337" t="inlineStr">
        <is>
          <t>Summit Patio Set</t>
        </is>
      </c>
      <c r="I1337" t="inlineStr">
        <is>
          <t>Furniture</t>
        </is>
      </c>
      <c r="J1337" t="inlineStr">
        <is>
          <t>Desks</t>
        </is>
      </c>
      <c r="K1337" t="inlineStr">
        <is>
          <t>South</t>
        </is>
      </c>
      <c r="L1337" t="inlineStr">
        <is>
          <t>Texas</t>
        </is>
      </c>
      <c r="M1337" t="inlineStr">
        <is>
          <t>Atlanta</t>
        </is>
      </c>
      <c r="N1337" t="inlineStr">
        <is>
          <t>Ethan Brooks</t>
        </is>
      </c>
      <c r="O1337" t="n">
        <v>1</v>
      </c>
      <c r="P1337" s="3" t="n">
        <v>89.25</v>
      </c>
      <c r="Q1337" s="4" t="n">
        <v>0.059</v>
      </c>
      <c r="R1337" s="3" t="n">
        <v>83.98</v>
      </c>
      <c r="S1337" s="3" t="n">
        <v>48.96</v>
      </c>
      <c r="T1337" s="3" t="n">
        <v>28.22</v>
      </c>
      <c r="U1337" s="4" t="n">
        <v>0.336</v>
      </c>
      <c r="V1337" s="3" t="n">
        <v>6.8</v>
      </c>
      <c r="W1337" t="inlineStr">
        <is>
          <t>Credit Card</t>
        </is>
      </c>
      <c r="X1337" t="inlineStr">
        <is>
          <t>High</t>
        </is>
      </c>
    </row>
    <row r="1338">
      <c r="A1338" t="inlineStr">
        <is>
          <t>ORD-01479</t>
        </is>
      </c>
      <c r="B1338" s="2" t="n">
        <v>45904</v>
      </c>
      <c r="C1338" s="2" t="n">
        <v>45907</v>
      </c>
      <c r="D1338" t="inlineStr">
        <is>
          <t>CUST-01479</t>
        </is>
      </c>
      <c r="E1338" t="inlineStr">
        <is>
          <t>Customer 1479</t>
        </is>
      </c>
      <c r="F1338" t="inlineStr">
        <is>
          <t>Corporate</t>
        </is>
      </c>
      <c r="G1338" t="inlineStr">
        <is>
          <t>P1019</t>
        </is>
      </c>
      <c r="H1338" t="inlineStr">
        <is>
          <t>Nova Laptop Stand</t>
        </is>
      </c>
      <c r="I1338" t="inlineStr">
        <is>
          <t>Furniture</t>
        </is>
      </c>
      <c r="J1338" t="inlineStr">
        <is>
          <t>Accessories</t>
        </is>
      </c>
      <c r="K1338" t="inlineStr">
        <is>
          <t>North</t>
        </is>
      </c>
      <c r="L1338" t="inlineStr">
        <is>
          <t>Quebec</t>
        </is>
      </c>
      <c r="M1338" t="inlineStr">
        <is>
          <t>Montreal</t>
        </is>
      </c>
      <c r="N1338" t="inlineStr">
        <is>
          <t>Mia Rodriguez</t>
        </is>
      </c>
      <c r="O1338" t="n">
        <v>1</v>
      </c>
      <c r="P1338" s="3" t="n">
        <v>56.84</v>
      </c>
      <c r="Q1338" s="4" t="n">
        <v>0.022</v>
      </c>
      <c r="R1338" s="3" t="n">
        <v>55.59</v>
      </c>
      <c r="S1338" s="3" t="n">
        <v>29.79</v>
      </c>
      <c r="T1338" s="3" t="n">
        <v>19</v>
      </c>
      <c r="U1338" s="4" t="n">
        <v>0.3418</v>
      </c>
      <c r="V1338" s="3" t="n">
        <v>6.8</v>
      </c>
      <c r="W1338" t="inlineStr">
        <is>
          <t>Credit Card</t>
        </is>
      </c>
      <c r="X1338" t="inlineStr">
        <is>
          <t>Medium</t>
        </is>
      </c>
    </row>
    <row r="1339">
      <c r="A1339" t="inlineStr">
        <is>
          <t>ORD-01480</t>
        </is>
      </c>
      <c r="B1339" s="2" t="n">
        <v>45422</v>
      </c>
      <c r="C1339" s="2" t="n">
        <v>45427</v>
      </c>
      <c r="D1339" t="inlineStr">
        <is>
          <t>CUST-01480</t>
        </is>
      </c>
      <c r="E1339" t="inlineStr">
        <is>
          <t>Customer 1480</t>
        </is>
      </c>
      <c r="F1339" t="inlineStr">
        <is>
          <t>Corporate</t>
        </is>
      </c>
      <c r="G1339" t="inlineStr">
        <is>
          <t>P1011</t>
        </is>
      </c>
      <c r="H1339" t="inlineStr">
        <is>
          <t>CloudDrive File Box</t>
        </is>
      </c>
      <c r="I1339" t="inlineStr">
        <is>
          <t>Technology</t>
        </is>
      </c>
      <c r="J1339" t="inlineStr">
        <is>
          <t>Plants</t>
        </is>
      </c>
      <c r="K1339" t="inlineStr">
        <is>
          <t>Central</t>
        </is>
      </c>
      <c r="L1339" t="inlineStr">
        <is>
          <t>Minnesota</t>
        </is>
      </c>
      <c r="M1339" t="inlineStr">
        <is>
          <t>St. Louis</t>
        </is>
      </c>
      <c r="N1339" t="inlineStr">
        <is>
          <t>Ava Patel</t>
        </is>
      </c>
      <c r="O1339" t="n">
        <v>4</v>
      </c>
      <c r="P1339" s="3" t="n">
        <v>90.05</v>
      </c>
      <c r="Q1339" s="4" t="n">
        <v>0.07099999999999999</v>
      </c>
      <c r="R1339" s="3" t="n">
        <v>334.63</v>
      </c>
      <c r="S1339" s="3" t="n">
        <v>160.26</v>
      </c>
      <c r="T1339" s="3" t="n">
        <v>165.17</v>
      </c>
      <c r="U1339" s="4" t="n">
        <v>0.4936</v>
      </c>
      <c r="V1339" s="3" t="n">
        <v>9.199999999999999</v>
      </c>
      <c r="W1339" t="inlineStr">
        <is>
          <t>Debit Card</t>
        </is>
      </c>
      <c r="X1339" t="inlineStr">
        <is>
          <t>Critical</t>
        </is>
      </c>
    </row>
    <row r="1340">
      <c r="A1340" t="inlineStr">
        <is>
          <t>ORD-01483</t>
        </is>
      </c>
      <c r="B1340" s="2" t="n">
        <v>45556</v>
      </c>
      <c r="C1340" s="2" t="n">
        <v>45562</v>
      </c>
      <c r="D1340" t="inlineStr">
        <is>
          <t>CUST-01483</t>
        </is>
      </c>
      <c r="E1340" t="inlineStr">
        <is>
          <t>Customer 1483</t>
        </is>
      </c>
      <c r="F1340" t="inlineStr">
        <is>
          <t>Corporate</t>
        </is>
      </c>
      <c r="G1340" t="inlineStr">
        <is>
          <t>P1013</t>
        </is>
      </c>
      <c r="H1340" t="inlineStr">
        <is>
          <t>Atlas Throw Pillow</t>
        </is>
      </c>
      <c r="I1340" t="inlineStr">
        <is>
          <t>Furniture</t>
        </is>
      </c>
      <c r="J1340" t="inlineStr">
        <is>
          <t>Peripherals</t>
        </is>
      </c>
      <c r="K1340" t="inlineStr">
        <is>
          <t>Central</t>
        </is>
      </c>
      <c r="L1340" t="inlineStr">
        <is>
          <t>Minnesota</t>
        </is>
      </c>
      <c r="M1340" t="inlineStr">
        <is>
          <t>Minneapolis</t>
        </is>
      </c>
      <c r="N1340" t="inlineStr">
        <is>
          <t>Ava Patel</t>
        </is>
      </c>
      <c r="O1340" t="n">
        <v>3</v>
      </c>
      <c r="P1340" s="3" t="n">
        <v>166.88</v>
      </c>
      <c r="Q1340" s="4" t="n">
        <v>0.037</v>
      </c>
      <c r="R1340" s="3" t="n">
        <v>482.12</v>
      </c>
      <c r="S1340" s="3" t="n">
        <v>277.68</v>
      </c>
      <c r="T1340" s="3" t="n">
        <v>196.04</v>
      </c>
      <c r="U1340" s="4" t="n">
        <v>0.4066</v>
      </c>
      <c r="V1340" s="3" t="n">
        <v>8.4</v>
      </c>
      <c r="W1340" t="inlineStr">
        <is>
          <t>Credit Card</t>
        </is>
      </c>
      <c r="X1340" t="inlineStr">
        <is>
          <t>Medium</t>
        </is>
      </c>
    </row>
    <row r="1341">
      <c r="A1341" t="inlineStr">
        <is>
          <t>ORD-01484</t>
        </is>
      </c>
      <c r="B1341" s="2" t="n">
        <v>45146</v>
      </c>
      <c r="C1341" s="2" t="n">
        <v>45152</v>
      </c>
      <c r="D1341" t="inlineStr">
        <is>
          <t>CUST-01484</t>
        </is>
      </c>
      <c r="E1341" t="inlineStr">
        <is>
          <t>Customer 1484</t>
        </is>
      </c>
      <c r="F1341" t="inlineStr">
        <is>
          <t>Corporate</t>
        </is>
      </c>
      <c r="G1341" t="inlineStr">
        <is>
          <t>P1002</t>
        </is>
      </c>
      <c r="H1341" t="inlineStr">
        <is>
          <t>Northstar Lantern</t>
        </is>
      </c>
      <c r="I1341" t="inlineStr">
        <is>
          <t>Technology</t>
        </is>
      </c>
      <c r="J1341" t="inlineStr">
        <is>
          <t>Flooring</t>
        </is>
      </c>
      <c r="K1341" t="inlineStr">
        <is>
          <t>North</t>
        </is>
      </c>
      <c r="L1341" t="inlineStr">
        <is>
          <t>Ontario</t>
        </is>
      </c>
      <c r="M1341" t="inlineStr">
        <is>
          <t>Vancouver</t>
        </is>
      </c>
      <c r="N1341" t="inlineStr">
        <is>
          <t>Ava Patel</t>
        </is>
      </c>
      <c r="O1341" t="n">
        <v>1</v>
      </c>
      <c r="P1341" s="3" t="n">
        <v>84.92</v>
      </c>
      <c r="Q1341" s="4" t="n">
        <v>0.02</v>
      </c>
      <c r="R1341" s="3" t="n">
        <v>83.22</v>
      </c>
      <c r="S1341" s="3" t="n">
        <v>40.89</v>
      </c>
      <c r="T1341" s="3" t="n">
        <v>35.53</v>
      </c>
      <c r="U1341" s="4" t="n">
        <v>0.4269</v>
      </c>
      <c r="V1341" s="3" t="n">
        <v>6.8</v>
      </c>
      <c r="W1341" t="inlineStr">
        <is>
          <t>Debit Card</t>
        </is>
      </c>
      <c r="X1341" t="inlineStr">
        <is>
          <t>Medium</t>
        </is>
      </c>
    </row>
    <row r="1342">
      <c r="A1342" t="inlineStr">
        <is>
          <t>ORD-01486</t>
        </is>
      </c>
      <c r="B1342" s="2" t="n">
        <v>45570</v>
      </c>
      <c r="C1342" s="2" t="n">
        <v>45575</v>
      </c>
      <c r="D1342" t="inlineStr">
        <is>
          <t>CUST-01486</t>
        </is>
      </c>
      <c r="E1342" t="inlineStr">
        <is>
          <t>Customer 1486</t>
        </is>
      </c>
      <c r="F1342" t="inlineStr">
        <is>
          <t>Consumer</t>
        </is>
      </c>
      <c r="G1342" t="inlineStr">
        <is>
          <t>P1019</t>
        </is>
      </c>
      <c r="H1342" t="inlineStr">
        <is>
          <t>ErgoMesh Chair</t>
        </is>
      </c>
      <c r="I1342" t="inlineStr">
        <is>
          <t>Home Decor</t>
        </is>
      </c>
      <c r="J1342" t="inlineStr">
        <is>
          <t>Writing</t>
        </is>
      </c>
      <c r="K1342" t="inlineStr">
        <is>
          <t>South</t>
        </is>
      </c>
      <c r="L1342" t="inlineStr">
        <is>
          <t>Georgia</t>
        </is>
      </c>
      <c r="M1342" t="inlineStr">
        <is>
          <t>Dallas</t>
        </is>
      </c>
      <c r="N1342" t="inlineStr">
        <is>
          <t>Liam Chen</t>
        </is>
      </c>
      <c r="O1342" t="n">
        <v>4</v>
      </c>
      <c r="P1342" s="3" t="n">
        <v>58.38</v>
      </c>
      <c r="Q1342" s="4" t="n">
        <v>0.013</v>
      </c>
      <c r="R1342" s="3" t="n">
        <v>230.48</v>
      </c>
      <c r="S1342" s="3" t="n">
        <v>96.81999999999999</v>
      </c>
      <c r="T1342" s="3" t="n">
        <v>124.46</v>
      </c>
      <c r="U1342" s="4" t="n">
        <v>0.54</v>
      </c>
      <c r="V1342" s="3" t="n">
        <v>9.199999999999999</v>
      </c>
      <c r="W1342" t="inlineStr">
        <is>
          <t>Cash on Delivery</t>
        </is>
      </c>
      <c r="X1342" t="inlineStr">
        <is>
          <t>Medium</t>
        </is>
      </c>
    </row>
    <row r="1343">
      <c r="A1343" t="inlineStr">
        <is>
          <t>ORD-01489</t>
        </is>
      </c>
      <c r="B1343" s="2" t="n">
        <v>45623</v>
      </c>
      <c r="C1343" s="2" t="n">
        <v>45626</v>
      </c>
      <c r="D1343" t="inlineStr">
        <is>
          <t>CUST-01489</t>
        </is>
      </c>
      <c r="E1343" t="inlineStr">
        <is>
          <t>Customer 1489</t>
        </is>
      </c>
      <c r="F1343" t="inlineStr">
        <is>
          <t>Home Office</t>
        </is>
      </c>
      <c r="G1343" t="inlineStr">
        <is>
          <t>P1010</t>
        </is>
      </c>
      <c r="H1343" t="inlineStr">
        <is>
          <t>ProClip Binder</t>
        </is>
      </c>
      <c r="I1343" t="inlineStr">
        <is>
          <t>Technology</t>
        </is>
      </c>
      <c r="J1343" t="inlineStr">
        <is>
          <t>Peripherals</t>
        </is>
      </c>
      <c r="K1343" t="inlineStr">
        <is>
          <t>Central</t>
        </is>
      </c>
      <c r="L1343" t="inlineStr">
        <is>
          <t>Minnesota</t>
        </is>
      </c>
      <c r="M1343" t="inlineStr">
        <is>
          <t>Minneapolis</t>
        </is>
      </c>
      <c r="N1343" t="inlineStr">
        <is>
          <t>James Carter</t>
        </is>
      </c>
      <c r="O1343" t="n">
        <v>1</v>
      </c>
      <c r="P1343" s="3" t="n">
        <v>55.87</v>
      </c>
      <c r="Q1343" s="4" t="n">
        <v>0.006</v>
      </c>
      <c r="R1343" s="3" t="n">
        <v>55.53</v>
      </c>
      <c r="S1343" s="3" t="n">
        <v>33.78</v>
      </c>
      <c r="T1343" s="3" t="n">
        <v>14.95</v>
      </c>
      <c r="U1343" s="4" t="n">
        <v>0.2692</v>
      </c>
      <c r="V1343" s="3" t="n">
        <v>6.8</v>
      </c>
      <c r="W1343" t="inlineStr">
        <is>
          <t>Debit Card</t>
        </is>
      </c>
      <c r="X1343" t="inlineStr">
        <is>
          <t>Medium</t>
        </is>
      </c>
    </row>
    <row r="1344">
      <c r="A1344" t="inlineStr">
        <is>
          <t>ORD-01493</t>
        </is>
      </c>
      <c r="B1344" s="2" t="n">
        <v>45061</v>
      </c>
      <c r="C1344" s="2" t="n">
        <v>45065</v>
      </c>
      <c r="D1344" t="inlineStr">
        <is>
          <t>CUST-01493</t>
        </is>
      </c>
      <c r="E1344" t="inlineStr">
        <is>
          <t>Customer 1493</t>
        </is>
      </c>
      <c r="F1344" t="inlineStr">
        <is>
          <t>Consumer</t>
        </is>
      </c>
      <c r="G1344" t="inlineStr">
        <is>
          <t>P1011</t>
        </is>
      </c>
      <c r="H1344" t="inlineStr">
        <is>
          <t>ErgoMesh Chair</t>
        </is>
      </c>
      <c r="I1344" t="inlineStr">
        <is>
          <t>Technology</t>
        </is>
      </c>
      <c r="J1344" t="inlineStr">
        <is>
          <t>Chairs</t>
        </is>
      </c>
      <c r="K1344" t="inlineStr">
        <is>
          <t>North</t>
        </is>
      </c>
      <c r="L1344" t="inlineStr">
        <is>
          <t>British Columbia</t>
        </is>
      </c>
      <c r="M1344" t="inlineStr">
        <is>
          <t>Toronto</t>
        </is>
      </c>
      <c r="N1344" t="inlineStr">
        <is>
          <t>Noah Kim</t>
        </is>
      </c>
      <c r="O1344" t="n">
        <v>4</v>
      </c>
      <c r="P1344" s="3" t="n">
        <v>85.29000000000001</v>
      </c>
      <c r="Q1344" s="4" t="n">
        <v>0.006</v>
      </c>
      <c r="R1344" s="3" t="n">
        <v>339.11</v>
      </c>
      <c r="S1344" s="3" t="n">
        <v>167.92</v>
      </c>
      <c r="T1344" s="3" t="n">
        <v>161.99</v>
      </c>
      <c r="U1344" s="4" t="n">
        <v>0.4777</v>
      </c>
      <c r="V1344" s="3" t="n">
        <v>9.199999999999999</v>
      </c>
      <c r="W1344" t="inlineStr">
        <is>
          <t>Bank Transfer</t>
        </is>
      </c>
      <c r="X1344" t="inlineStr">
        <is>
          <t>Medium</t>
        </is>
      </c>
    </row>
    <row r="1345">
      <c r="A1345" t="inlineStr">
        <is>
          <t>ORD-01494</t>
        </is>
      </c>
      <c r="B1345" s="2" t="n">
        <v>45134</v>
      </c>
      <c r="C1345" s="2" t="n">
        <v>45135</v>
      </c>
      <c r="D1345" t="inlineStr">
        <is>
          <t>CUST-01494</t>
        </is>
      </c>
      <c r="E1345" t="inlineStr">
        <is>
          <t>Customer 1494</t>
        </is>
      </c>
      <c r="F1345" t="inlineStr">
        <is>
          <t>Consumer</t>
        </is>
      </c>
      <c r="G1345" t="inlineStr">
        <is>
          <t>P1006</t>
        </is>
      </c>
      <c r="H1345" t="inlineStr">
        <is>
          <t>Pulse Keyboard</t>
        </is>
      </c>
      <c r="I1345" t="inlineStr">
        <is>
          <t>Technology</t>
        </is>
      </c>
      <c r="J1345" t="inlineStr">
        <is>
          <t>Binders</t>
        </is>
      </c>
      <c r="K1345" t="inlineStr">
        <is>
          <t>South</t>
        </is>
      </c>
      <c r="L1345" t="inlineStr">
        <is>
          <t>North Carolina</t>
        </is>
      </c>
      <c r="M1345" t="inlineStr">
        <is>
          <t>Dallas</t>
        </is>
      </c>
      <c r="N1345" t="inlineStr">
        <is>
          <t>Ethan Brooks</t>
        </is>
      </c>
      <c r="O1345" t="n">
        <v>1</v>
      </c>
      <c r="P1345" s="3" t="n">
        <v>17.51</v>
      </c>
      <c r="Q1345" s="4" t="n">
        <v>0.036</v>
      </c>
      <c r="R1345" s="3" t="n">
        <v>16.88</v>
      </c>
      <c r="S1345" s="3" t="n">
        <v>11.83</v>
      </c>
      <c r="T1345" s="3" t="n">
        <v>-1.75</v>
      </c>
      <c r="U1345" s="4" t="n">
        <v>-0.1037</v>
      </c>
      <c r="V1345" s="3" t="n">
        <v>6.8</v>
      </c>
      <c r="W1345" t="inlineStr">
        <is>
          <t>Debit Card</t>
        </is>
      </c>
      <c r="X1345" t="inlineStr">
        <is>
          <t>Critical</t>
        </is>
      </c>
    </row>
    <row r="1346">
      <c r="A1346" t="inlineStr">
        <is>
          <t>ORD-01497</t>
        </is>
      </c>
      <c r="B1346" s="2" t="n">
        <v>45365</v>
      </c>
      <c r="C1346" s="2" t="n">
        <v>45369</v>
      </c>
      <c r="D1346" t="inlineStr">
        <is>
          <t>CUST-01497</t>
        </is>
      </c>
      <c r="E1346" t="inlineStr">
        <is>
          <t>Customer 1497</t>
        </is>
      </c>
      <c r="F1346" t="inlineStr">
        <is>
          <t>Consumer</t>
        </is>
      </c>
      <c r="G1346" t="inlineStr">
        <is>
          <t>P1015</t>
        </is>
      </c>
      <c r="H1346" t="inlineStr">
        <is>
          <t>Atlas Throw Pillow</t>
        </is>
      </c>
      <c r="I1346" t="inlineStr">
        <is>
          <t>Technology</t>
        </is>
      </c>
      <c r="J1346" t="inlineStr">
        <is>
          <t>Flooring</t>
        </is>
      </c>
      <c r="K1346" t="inlineStr">
        <is>
          <t>South</t>
        </is>
      </c>
      <c r="L1346" t="inlineStr">
        <is>
          <t>Texas</t>
        </is>
      </c>
      <c r="M1346" t="inlineStr">
        <is>
          <t>Miami</t>
        </is>
      </c>
      <c r="N1346" t="inlineStr">
        <is>
          <t>Noah Kim</t>
        </is>
      </c>
      <c r="O1346" t="n">
        <v>5</v>
      </c>
      <c r="P1346" s="3" t="n">
        <v>63.25</v>
      </c>
      <c r="Q1346" s="4" t="n">
        <v>0.024</v>
      </c>
      <c r="R1346" s="3" t="n">
        <v>308.66</v>
      </c>
      <c r="S1346" s="3" t="n">
        <v>137.48</v>
      </c>
      <c r="T1346" s="3" t="n">
        <v>161.18</v>
      </c>
      <c r="U1346" s="4" t="n">
        <v>0.5222</v>
      </c>
      <c r="V1346" s="3" t="n">
        <v>10</v>
      </c>
      <c r="W1346" t="inlineStr">
        <is>
          <t>Bank Transfer</t>
        </is>
      </c>
      <c r="X1346" t="inlineStr">
        <is>
          <t>Medium</t>
        </is>
      </c>
    </row>
    <row r="1347">
      <c r="A1347" t="inlineStr">
        <is>
          <t>ORD-01498</t>
        </is>
      </c>
      <c r="B1347" s="2" t="n">
        <v>45647</v>
      </c>
      <c r="C1347" s="2" t="n">
        <v>45653</v>
      </c>
      <c r="D1347" t="inlineStr">
        <is>
          <t>CUST-01498</t>
        </is>
      </c>
      <c r="E1347" t="inlineStr">
        <is>
          <t>Customer 1498</t>
        </is>
      </c>
      <c r="F1347" t="inlineStr">
        <is>
          <t>Corporate</t>
        </is>
      </c>
      <c r="G1347" t="inlineStr">
        <is>
          <t>P1005</t>
        </is>
      </c>
      <c r="H1347" t="inlineStr">
        <is>
          <t>SmartInk Pen Set</t>
        </is>
      </c>
      <c r="I1347" t="inlineStr">
        <is>
          <t>Home Decor</t>
        </is>
      </c>
      <c r="J1347" t="inlineStr">
        <is>
          <t>Paper</t>
        </is>
      </c>
      <c r="K1347" t="inlineStr">
        <is>
          <t>South</t>
        </is>
      </c>
      <c r="L1347" t="inlineStr">
        <is>
          <t>Georgia</t>
        </is>
      </c>
      <c r="M1347" t="inlineStr">
        <is>
          <t>Atlanta</t>
        </is>
      </c>
      <c r="N1347" t="inlineStr">
        <is>
          <t>Olivia Martin</t>
        </is>
      </c>
      <c r="O1347" t="n">
        <v>2</v>
      </c>
      <c r="P1347" s="3" t="n">
        <v>13.78</v>
      </c>
      <c r="Q1347" s="4" t="n">
        <v>0.027</v>
      </c>
      <c r="R1347" s="3" t="n">
        <v>26.82</v>
      </c>
      <c r="S1347" s="3" t="n">
        <v>15.25</v>
      </c>
      <c r="T1347" s="3" t="n">
        <v>3.97</v>
      </c>
      <c r="U1347" s="4" t="n">
        <v>0.148</v>
      </c>
      <c r="V1347" s="3" t="n">
        <v>7.6</v>
      </c>
      <c r="W1347" t="inlineStr">
        <is>
          <t>Cash on Delivery</t>
        </is>
      </c>
      <c r="X1347" t="inlineStr">
        <is>
          <t>Medium</t>
        </is>
      </c>
    </row>
    <row r="1348">
      <c r="A1348" t="inlineStr">
        <is>
          <t>ORD-01501</t>
        </is>
      </c>
      <c r="B1348" s="2" t="n">
        <v>45650</v>
      </c>
      <c r="C1348" s="2" t="n">
        <v>45654</v>
      </c>
      <c r="D1348" t="inlineStr">
        <is>
          <t>CUST-01501</t>
        </is>
      </c>
      <c r="E1348" t="inlineStr">
        <is>
          <t>Customer 1501</t>
        </is>
      </c>
      <c r="F1348" t="inlineStr">
        <is>
          <t>Consumer</t>
        </is>
      </c>
      <c r="G1348" t="inlineStr">
        <is>
          <t>P1003</t>
        </is>
      </c>
      <c r="H1348" t="inlineStr">
        <is>
          <t>CloudDrive File Box</t>
        </is>
      </c>
      <c r="I1348" t="inlineStr">
        <is>
          <t>Furniture</t>
        </is>
      </c>
      <c r="J1348" t="inlineStr">
        <is>
          <t>Lighting</t>
        </is>
      </c>
      <c r="K1348" t="inlineStr">
        <is>
          <t>South</t>
        </is>
      </c>
      <c r="L1348" t="inlineStr">
        <is>
          <t>Texas</t>
        </is>
      </c>
      <c r="M1348" t="inlineStr">
        <is>
          <t>Miami</t>
        </is>
      </c>
      <c r="N1348" t="inlineStr">
        <is>
          <t>Sophia Singh</t>
        </is>
      </c>
      <c r="O1348" t="n">
        <v>1</v>
      </c>
      <c r="P1348" s="3" t="n">
        <v>160.75</v>
      </c>
      <c r="Q1348" s="4" t="n">
        <v>0.039</v>
      </c>
      <c r="R1348" s="3" t="n">
        <v>154.48</v>
      </c>
      <c r="S1348" s="3" t="n">
        <v>90.69</v>
      </c>
      <c r="T1348" s="3" t="n">
        <v>56.99</v>
      </c>
      <c r="U1348" s="4" t="n">
        <v>0.3689</v>
      </c>
      <c r="V1348" s="3" t="n">
        <v>6.8</v>
      </c>
      <c r="W1348" t="inlineStr">
        <is>
          <t>Bank Transfer</t>
        </is>
      </c>
      <c r="X1348" t="inlineStr">
        <is>
          <t>High</t>
        </is>
      </c>
    </row>
    <row r="1349">
      <c r="A1349" t="inlineStr">
        <is>
          <t>ORD-01509</t>
        </is>
      </c>
      <c r="B1349" s="2" t="n">
        <v>45490</v>
      </c>
      <c r="C1349" s="2" t="n">
        <v>45494</v>
      </c>
      <c r="D1349" t="inlineStr">
        <is>
          <t>CUST-01509</t>
        </is>
      </c>
      <c r="E1349" t="inlineStr">
        <is>
          <t>Customer 1509</t>
        </is>
      </c>
      <c r="F1349" t="inlineStr">
        <is>
          <t>Consumer</t>
        </is>
      </c>
      <c r="G1349" t="inlineStr">
        <is>
          <t>P1016</t>
        </is>
      </c>
      <c r="H1349" t="inlineStr">
        <is>
          <t>FlexNote Notebook</t>
        </is>
      </c>
      <c r="I1349" t="inlineStr">
        <is>
          <t>Office Supplies</t>
        </is>
      </c>
      <c r="J1349" t="inlineStr">
        <is>
          <t>Binders</t>
        </is>
      </c>
      <c r="K1349" t="inlineStr">
        <is>
          <t>North</t>
        </is>
      </c>
      <c r="L1349" t="inlineStr">
        <is>
          <t>Alberta</t>
        </is>
      </c>
      <c r="M1349" t="inlineStr">
        <is>
          <t>Vancouver</t>
        </is>
      </c>
      <c r="N1349" t="inlineStr">
        <is>
          <t>Liam Chen</t>
        </is>
      </c>
      <c r="O1349" t="n">
        <v>3</v>
      </c>
      <c r="P1349" s="3" t="n">
        <v>41.47</v>
      </c>
      <c r="Q1349" s="4" t="n">
        <v>0.01</v>
      </c>
      <c r="R1349" s="3" t="n">
        <v>123.17</v>
      </c>
      <c r="S1349" s="3" t="n">
        <v>50.88</v>
      </c>
      <c r="T1349" s="3" t="n">
        <v>63.89</v>
      </c>
      <c r="U1349" s="4" t="n">
        <v>0.5187</v>
      </c>
      <c r="V1349" s="3" t="n">
        <v>8.4</v>
      </c>
      <c r="W1349" t="inlineStr">
        <is>
          <t>Credit Card</t>
        </is>
      </c>
      <c r="X1349" t="inlineStr">
        <is>
          <t>Medium</t>
        </is>
      </c>
    </row>
    <row r="1350">
      <c r="A1350" t="inlineStr">
        <is>
          <t>ORD-01511</t>
        </is>
      </c>
      <c r="B1350" s="2" t="n">
        <v>45803</v>
      </c>
      <c r="C1350" s="2" t="n">
        <v>45808</v>
      </c>
      <c r="D1350" t="inlineStr">
        <is>
          <t>CUST-01511</t>
        </is>
      </c>
      <c r="E1350" t="inlineStr">
        <is>
          <t>Customer 1511</t>
        </is>
      </c>
      <c r="F1350" t="inlineStr">
        <is>
          <t>Corporate</t>
        </is>
      </c>
      <c r="G1350" t="inlineStr">
        <is>
          <t>P1017</t>
        </is>
      </c>
      <c r="H1350" t="inlineStr">
        <is>
          <t>Nova Laptop Stand</t>
        </is>
      </c>
      <c r="I1350" t="inlineStr">
        <is>
          <t>Furniture</t>
        </is>
      </c>
      <c r="J1350" t="inlineStr">
        <is>
          <t>Flooring</t>
        </is>
      </c>
      <c r="K1350" t="inlineStr">
        <is>
          <t>North</t>
        </is>
      </c>
      <c r="L1350" t="inlineStr">
        <is>
          <t>Ontario</t>
        </is>
      </c>
      <c r="M1350" t="inlineStr">
        <is>
          <t>Vancouver</t>
        </is>
      </c>
      <c r="N1350" t="inlineStr">
        <is>
          <t>Olivia Martin</t>
        </is>
      </c>
      <c r="O1350" t="n">
        <v>5</v>
      </c>
      <c r="P1350" s="3" t="n">
        <v>565.48</v>
      </c>
      <c r="Q1350" s="4" t="n">
        <v>0.034</v>
      </c>
      <c r="R1350" s="3" t="n">
        <v>2731.27</v>
      </c>
      <c r="S1350" s="3" t="n">
        <v>1810.31</v>
      </c>
      <c r="T1350" s="3" t="n">
        <v>910.96</v>
      </c>
      <c r="U1350" s="4" t="n">
        <v>0.3335</v>
      </c>
      <c r="V1350" s="3" t="n">
        <v>10</v>
      </c>
      <c r="W1350" t="inlineStr">
        <is>
          <t>Cash on Delivery</t>
        </is>
      </c>
      <c r="X1350" t="inlineStr">
        <is>
          <t>Medium</t>
        </is>
      </c>
    </row>
    <row r="1351">
      <c r="A1351" t="inlineStr">
        <is>
          <t>ORD-01515</t>
        </is>
      </c>
      <c r="B1351" s="2" t="n">
        <v>45018</v>
      </c>
      <c r="C1351" s="2" t="n">
        <v>45020</v>
      </c>
      <c r="D1351" t="inlineStr">
        <is>
          <t>CUST-01515</t>
        </is>
      </c>
      <c r="E1351" t="inlineStr">
        <is>
          <t>Customer 1515</t>
        </is>
      </c>
      <c r="F1351" t="inlineStr">
        <is>
          <t>Consumer</t>
        </is>
      </c>
      <c r="G1351" t="inlineStr">
        <is>
          <t>P1013</t>
        </is>
      </c>
      <c r="H1351" t="inlineStr">
        <is>
          <t>Atlas Throw Pillow</t>
        </is>
      </c>
      <c r="I1351" t="inlineStr">
        <is>
          <t>Home Decor</t>
        </is>
      </c>
      <c r="J1351" t="inlineStr">
        <is>
          <t>Binders</t>
        </is>
      </c>
      <c r="K1351" t="inlineStr">
        <is>
          <t>North</t>
        </is>
      </c>
      <c r="L1351" t="inlineStr">
        <is>
          <t>Quebec</t>
        </is>
      </c>
      <c r="M1351" t="inlineStr">
        <is>
          <t>Calgary</t>
        </is>
      </c>
      <c r="N1351" t="inlineStr">
        <is>
          <t>Mia Rodriguez</t>
        </is>
      </c>
      <c r="O1351" t="n">
        <v>4</v>
      </c>
      <c r="P1351" s="3" t="n">
        <v>167.1</v>
      </c>
      <c r="Q1351" s="4" t="n">
        <v>0.043</v>
      </c>
      <c r="R1351" s="3" t="n">
        <v>639.66</v>
      </c>
      <c r="S1351" s="3" t="n">
        <v>365.6</v>
      </c>
      <c r="T1351" s="3" t="n">
        <v>264.86</v>
      </c>
      <c r="U1351" s="4" t="n">
        <v>0.4141</v>
      </c>
      <c r="V1351" s="3" t="n">
        <v>9.199999999999999</v>
      </c>
      <c r="W1351" t="inlineStr">
        <is>
          <t>Debit Card</t>
        </is>
      </c>
      <c r="X1351" t="inlineStr">
        <is>
          <t>High</t>
        </is>
      </c>
    </row>
    <row r="1352">
      <c r="A1352" t="inlineStr">
        <is>
          <t>ORD-01516</t>
        </is>
      </c>
      <c r="B1352" s="2" t="n">
        <v>44959</v>
      </c>
      <c r="C1352" s="2" t="n">
        <v>44964</v>
      </c>
      <c r="D1352" t="inlineStr">
        <is>
          <t>CUST-01516</t>
        </is>
      </c>
      <c r="E1352" t="inlineStr">
        <is>
          <t>Customer 1516</t>
        </is>
      </c>
      <c r="F1352" t="inlineStr">
        <is>
          <t>Home Office</t>
        </is>
      </c>
      <c r="G1352" t="inlineStr">
        <is>
          <t>P1001</t>
        </is>
      </c>
      <c r="H1352" t="inlineStr">
        <is>
          <t>Harbor Rug</t>
        </is>
      </c>
      <c r="I1352" t="inlineStr">
        <is>
          <t>Outdoor</t>
        </is>
      </c>
      <c r="J1352" t="inlineStr">
        <is>
          <t>Furniture</t>
        </is>
      </c>
      <c r="K1352" t="inlineStr">
        <is>
          <t>South</t>
        </is>
      </c>
      <c r="L1352" t="inlineStr">
        <is>
          <t>North Carolina</t>
        </is>
      </c>
      <c r="M1352" t="inlineStr">
        <is>
          <t>Dallas</t>
        </is>
      </c>
      <c r="N1352" t="inlineStr">
        <is>
          <t>Noah Kim</t>
        </is>
      </c>
      <c r="O1352" t="n">
        <v>1</v>
      </c>
      <c r="P1352" s="3" t="n">
        <v>277.52</v>
      </c>
      <c r="Q1352" s="4" t="n">
        <v>0.016</v>
      </c>
      <c r="R1352" s="3" t="n">
        <v>273.08</v>
      </c>
      <c r="S1352" s="3" t="n">
        <v>164.86</v>
      </c>
      <c r="T1352" s="3" t="n">
        <v>101.42</v>
      </c>
      <c r="U1352" s="4" t="n">
        <v>0.3714</v>
      </c>
      <c r="V1352" s="3" t="n">
        <v>6.8</v>
      </c>
      <c r="W1352" t="inlineStr">
        <is>
          <t>PayPal</t>
        </is>
      </c>
      <c r="X1352" t="inlineStr">
        <is>
          <t>Medium</t>
        </is>
      </c>
    </row>
    <row r="1353">
      <c r="A1353" t="inlineStr">
        <is>
          <t>ORD-01519</t>
        </is>
      </c>
      <c r="B1353" s="2" t="n">
        <v>44950</v>
      </c>
      <c r="C1353" s="2" t="n">
        <v>44951</v>
      </c>
      <c r="D1353" t="inlineStr">
        <is>
          <t>CUST-01519</t>
        </is>
      </c>
      <c r="E1353" t="inlineStr">
        <is>
          <t>Customer 1519</t>
        </is>
      </c>
      <c r="F1353" t="inlineStr">
        <is>
          <t>Consumer</t>
        </is>
      </c>
      <c r="G1353" t="inlineStr">
        <is>
          <t>P1005</t>
        </is>
      </c>
      <c r="H1353" t="inlineStr">
        <is>
          <t>ProClip Binder</t>
        </is>
      </c>
      <c r="I1353" t="inlineStr">
        <is>
          <t>Technology</t>
        </is>
      </c>
      <c r="J1353" t="inlineStr">
        <is>
          <t>Textiles</t>
        </is>
      </c>
      <c r="K1353" t="inlineStr">
        <is>
          <t>North</t>
        </is>
      </c>
      <c r="L1353" t="inlineStr">
        <is>
          <t>British Columbia</t>
        </is>
      </c>
      <c r="M1353" t="inlineStr">
        <is>
          <t>Montreal</t>
        </is>
      </c>
      <c r="N1353" t="inlineStr">
        <is>
          <t>Mia Rodriguez</t>
        </is>
      </c>
      <c r="O1353" t="n">
        <v>3</v>
      </c>
      <c r="P1353" s="3" t="n">
        <v>12.57</v>
      </c>
      <c r="Q1353" s="4" t="n">
        <v>0.005</v>
      </c>
      <c r="R1353" s="3" t="n">
        <v>37.52</v>
      </c>
      <c r="S1353" s="3" t="n">
        <v>23.06</v>
      </c>
      <c r="T1353" s="3" t="n">
        <v>6.06</v>
      </c>
      <c r="U1353" s="4" t="n">
        <v>0.1615</v>
      </c>
      <c r="V1353" s="3" t="n">
        <v>8.4</v>
      </c>
      <c r="W1353" t="inlineStr">
        <is>
          <t>Credit Card</t>
        </is>
      </c>
      <c r="X1353" t="inlineStr">
        <is>
          <t>Medium</t>
        </is>
      </c>
    </row>
    <row r="1354">
      <c r="A1354" t="inlineStr">
        <is>
          <t>ORD-01524</t>
        </is>
      </c>
      <c r="B1354" s="2" t="n">
        <v>45051</v>
      </c>
      <c r="C1354" s="2" t="n">
        <v>45056</v>
      </c>
      <c r="D1354" t="inlineStr">
        <is>
          <t>CUST-01524</t>
        </is>
      </c>
      <c r="E1354" t="inlineStr">
        <is>
          <t>Customer 1524</t>
        </is>
      </c>
      <c r="F1354" t="inlineStr">
        <is>
          <t>Consumer</t>
        </is>
      </c>
      <c r="G1354" t="inlineStr">
        <is>
          <t>P1012</t>
        </is>
      </c>
      <c r="H1354" t="inlineStr">
        <is>
          <t>Summit Patio Set</t>
        </is>
      </c>
      <c r="I1354" t="inlineStr">
        <is>
          <t>Furniture</t>
        </is>
      </c>
      <c r="J1354" t="inlineStr">
        <is>
          <t>Lighting</t>
        </is>
      </c>
      <c r="K1354" t="inlineStr">
        <is>
          <t>North</t>
        </is>
      </c>
      <c r="L1354" t="inlineStr">
        <is>
          <t>Quebec</t>
        </is>
      </c>
      <c r="M1354" t="inlineStr">
        <is>
          <t>Toronto</t>
        </is>
      </c>
      <c r="N1354" t="inlineStr">
        <is>
          <t>Ava Patel</t>
        </is>
      </c>
      <c r="O1354" t="n">
        <v>4</v>
      </c>
      <c r="P1354" s="3" t="n">
        <v>124.67</v>
      </c>
      <c r="Q1354" s="4" t="n">
        <v>0.017</v>
      </c>
      <c r="R1354" s="3" t="n">
        <v>490.2</v>
      </c>
      <c r="S1354" s="3" t="n">
        <v>246.57</v>
      </c>
      <c r="T1354" s="3" t="n">
        <v>234.43</v>
      </c>
      <c r="U1354" s="4" t="n">
        <v>0.4782</v>
      </c>
      <c r="V1354" s="3" t="n">
        <v>9.199999999999999</v>
      </c>
      <c r="W1354" t="inlineStr">
        <is>
          <t>Bank Transfer</t>
        </is>
      </c>
      <c r="X1354" t="inlineStr">
        <is>
          <t>Medium</t>
        </is>
      </c>
    </row>
    <row r="1355">
      <c r="A1355" t="inlineStr">
        <is>
          <t>ORD-01526</t>
        </is>
      </c>
      <c r="B1355" s="2" t="n">
        <v>45101</v>
      </c>
      <c r="C1355" s="2" t="n">
        <v>45108</v>
      </c>
      <c r="D1355" t="inlineStr">
        <is>
          <t>CUST-01526</t>
        </is>
      </c>
      <c r="E1355" t="inlineStr">
        <is>
          <t>Customer 1526</t>
        </is>
      </c>
      <c r="F1355" t="inlineStr">
        <is>
          <t>Consumer</t>
        </is>
      </c>
      <c r="G1355" t="inlineStr">
        <is>
          <t>P1013</t>
        </is>
      </c>
      <c r="H1355" t="inlineStr">
        <is>
          <t>Echo Web Camera</t>
        </is>
      </c>
      <c r="I1355" t="inlineStr">
        <is>
          <t>Office Supplies</t>
        </is>
      </c>
      <c r="J1355" t="inlineStr">
        <is>
          <t>Decor</t>
        </is>
      </c>
      <c r="K1355" t="inlineStr">
        <is>
          <t>North</t>
        </is>
      </c>
      <c r="L1355" t="inlineStr">
        <is>
          <t>British Columbia</t>
        </is>
      </c>
      <c r="M1355" t="inlineStr">
        <is>
          <t>Toronto</t>
        </is>
      </c>
      <c r="N1355" t="inlineStr">
        <is>
          <t>Olivia Martin</t>
        </is>
      </c>
      <c r="O1355" t="n">
        <v>3</v>
      </c>
      <c r="P1355" s="3" t="n">
        <v>160.68</v>
      </c>
      <c r="Q1355" s="4" t="n">
        <v>0.022</v>
      </c>
      <c r="R1355" s="3" t="n">
        <v>471.44</v>
      </c>
      <c r="S1355" s="3" t="n">
        <v>272.42</v>
      </c>
      <c r="T1355" s="3" t="n">
        <v>190.62</v>
      </c>
      <c r="U1355" s="4" t="n">
        <v>0.4043</v>
      </c>
      <c r="V1355" s="3" t="n">
        <v>8.4</v>
      </c>
      <c r="W1355" t="inlineStr">
        <is>
          <t>Cash on Delivery</t>
        </is>
      </c>
      <c r="X1355" t="inlineStr">
        <is>
          <t>Medium</t>
        </is>
      </c>
    </row>
    <row r="1356">
      <c r="A1356" t="inlineStr">
        <is>
          <t>ORD-01527</t>
        </is>
      </c>
      <c r="B1356" s="2" t="n">
        <v>45151</v>
      </c>
      <c r="C1356" s="2" t="n">
        <v>45158</v>
      </c>
      <c r="D1356" t="inlineStr">
        <is>
          <t>CUST-01527</t>
        </is>
      </c>
      <c r="E1356" t="inlineStr">
        <is>
          <t>Customer 1527</t>
        </is>
      </c>
      <c r="F1356" t="inlineStr">
        <is>
          <t>Consumer</t>
        </is>
      </c>
      <c r="G1356" t="inlineStr">
        <is>
          <t>P1016</t>
        </is>
      </c>
      <c r="H1356" t="inlineStr">
        <is>
          <t>Trail Tote</t>
        </is>
      </c>
      <c r="I1356" t="inlineStr">
        <is>
          <t>Home Decor</t>
        </is>
      </c>
      <c r="J1356" t="inlineStr">
        <is>
          <t>Furniture</t>
        </is>
      </c>
      <c r="K1356" t="inlineStr">
        <is>
          <t>South</t>
        </is>
      </c>
      <c r="L1356" t="inlineStr">
        <is>
          <t>North Carolina</t>
        </is>
      </c>
      <c r="M1356" t="inlineStr">
        <is>
          <t>Houston</t>
        </is>
      </c>
      <c r="N1356" t="inlineStr">
        <is>
          <t>Sophia Singh</t>
        </is>
      </c>
      <c r="O1356" t="n">
        <v>3</v>
      </c>
      <c r="P1356" s="3" t="n">
        <v>36.88</v>
      </c>
      <c r="Q1356" s="4" t="n">
        <v>0.017</v>
      </c>
      <c r="R1356" s="3" t="n">
        <v>108.76</v>
      </c>
      <c r="S1356" s="3" t="n">
        <v>50.37</v>
      </c>
      <c r="T1356" s="3" t="n">
        <v>49.99</v>
      </c>
      <c r="U1356" s="4" t="n">
        <v>0.4596</v>
      </c>
      <c r="V1356" s="3" t="n">
        <v>8.4</v>
      </c>
      <c r="W1356" t="inlineStr">
        <is>
          <t>Credit Card</t>
        </is>
      </c>
      <c r="X1356" t="inlineStr">
        <is>
          <t>Low</t>
        </is>
      </c>
    </row>
    <row r="1357">
      <c r="A1357" t="inlineStr">
        <is>
          <t>ORD-01529</t>
        </is>
      </c>
      <c r="B1357" s="2" t="n">
        <v>46010</v>
      </c>
      <c r="C1357" s="2" t="n">
        <v>46015</v>
      </c>
      <c r="D1357" t="inlineStr">
        <is>
          <t>CUST-01529</t>
        </is>
      </c>
      <c r="E1357" t="inlineStr">
        <is>
          <t>Customer 1529</t>
        </is>
      </c>
      <c r="F1357" t="inlineStr">
        <is>
          <t>Home Office</t>
        </is>
      </c>
      <c r="G1357" t="inlineStr">
        <is>
          <t>P1010</t>
        </is>
      </c>
      <c r="H1357" t="inlineStr">
        <is>
          <t>Aero Standing Desk</t>
        </is>
      </c>
      <c r="I1357" t="inlineStr">
        <is>
          <t>Outdoor</t>
        </is>
      </c>
      <c r="J1357" t="inlineStr">
        <is>
          <t>Furniture</t>
        </is>
      </c>
      <c r="K1357" t="inlineStr">
        <is>
          <t>North</t>
        </is>
      </c>
      <c r="L1357" t="inlineStr">
        <is>
          <t>Quebec</t>
        </is>
      </c>
      <c r="M1357" t="inlineStr">
        <is>
          <t>Calgary</t>
        </is>
      </c>
      <c r="N1357" t="inlineStr">
        <is>
          <t>Noah Kim</t>
        </is>
      </c>
      <c r="O1357" t="n">
        <v>3</v>
      </c>
      <c r="P1357" s="3" t="n">
        <v>57.02</v>
      </c>
      <c r="Q1357" s="4" t="n">
        <v>0.001</v>
      </c>
      <c r="R1357" s="3" t="n">
        <v>170.89</v>
      </c>
      <c r="S1357" s="3" t="n">
        <v>79.69</v>
      </c>
      <c r="T1357" s="3" t="n">
        <v>82.8</v>
      </c>
      <c r="U1357" s="4" t="n">
        <v>0.4845</v>
      </c>
      <c r="V1357" s="3" t="n">
        <v>8.4</v>
      </c>
      <c r="W1357" t="inlineStr">
        <is>
          <t>Cash on Delivery</t>
        </is>
      </c>
      <c r="X1357" t="inlineStr">
        <is>
          <t>Low</t>
        </is>
      </c>
    </row>
    <row r="1358">
      <c r="A1358" t="inlineStr">
        <is>
          <t>ORD-01531</t>
        </is>
      </c>
      <c r="B1358" s="2" t="n">
        <v>45422</v>
      </c>
      <c r="C1358" s="2" t="n">
        <v>45423</v>
      </c>
      <c r="D1358" t="inlineStr">
        <is>
          <t>CUST-01531</t>
        </is>
      </c>
      <c r="E1358" t="inlineStr">
        <is>
          <t>Customer 1531</t>
        </is>
      </c>
      <c r="F1358" t="inlineStr">
        <is>
          <t>Corporate</t>
        </is>
      </c>
      <c r="G1358" t="inlineStr">
        <is>
          <t>P1007</t>
        </is>
      </c>
      <c r="H1358" t="inlineStr">
        <is>
          <t>Halo Planter</t>
        </is>
      </c>
      <c r="I1358" t="inlineStr">
        <is>
          <t>Home Decor</t>
        </is>
      </c>
      <c r="J1358" t="inlineStr">
        <is>
          <t>Writing</t>
        </is>
      </c>
      <c r="K1358" t="inlineStr">
        <is>
          <t>South</t>
        </is>
      </c>
      <c r="L1358" t="inlineStr">
        <is>
          <t>North Carolina</t>
        </is>
      </c>
      <c r="M1358" t="inlineStr">
        <is>
          <t>Houston</t>
        </is>
      </c>
      <c r="N1358" t="inlineStr">
        <is>
          <t>Mia Rodriguez</t>
        </is>
      </c>
      <c r="O1358" t="n">
        <v>3</v>
      </c>
      <c r="P1358" s="3" t="n">
        <v>24.2</v>
      </c>
      <c r="Q1358" s="4" t="n">
        <v>0.056</v>
      </c>
      <c r="R1358" s="3" t="n">
        <v>68.53</v>
      </c>
      <c r="S1358" s="3" t="n">
        <v>31.34</v>
      </c>
      <c r="T1358" s="3" t="n">
        <v>28.79</v>
      </c>
      <c r="U1358" s="4" t="n">
        <v>0.4201</v>
      </c>
      <c r="V1358" s="3" t="n">
        <v>8.4</v>
      </c>
      <c r="W1358" t="inlineStr">
        <is>
          <t>Bank Transfer</t>
        </is>
      </c>
      <c r="X1358" t="inlineStr">
        <is>
          <t>High</t>
        </is>
      </c>
    </row>
    <row r="1359">
      <c r="A1359" t="inlineStr">
        <is>
          <t>ORD-01537</t>
        </is>
      </c>
      <c r="B1359" s="2" t="n">
        <v>44973</v>
      </c>
      <c r="C1359" s="2" t="n">
        <v>44977</v>
      </c>
      <c r="D1359" t="inlineStr">
        <is>
          <t>CUST-01537</t>
        </is>
      </c>
      <c r="E1359" t="inlineStr">
        <is>
          <t>Customer 1537</t>
        </is>
      </c>
      <c r="F1359" t="inlineStr">
        <is>
          <t>Corporate</t>
        </is>
      </c>
      <c r="G1359" t="inlineStr">
        <is>
          <t>P1008</t>
        </is>
      </c>
      <c r="H1359" t="inlineStr">
        <is>
          <t>FlexNote Notebook</t>
        </is>
      </c>
      <c r="I1359" t="inlineStr">
        <is>
          <t>Furniture</t>
        </is>
      </c>
      <c r="J1359" t="inlineStr">
        <is>
          <t>Lighting</t>
        </is>
      </c>
      <c r="K1359" t="inlineStr">
        <is>
          <t>South</t>
        </is>
      </c>
      <c r="L1359" t="inlineStr">
        <is>
          <t>Georgia</t>
        </is>
      </c>
      <c r="M1359" t="inlineStr">
        <is>
          <t>Houston</t>
        </is>
      </c>
      <c r="N1359" t="inlineStr">
        <is>
          <t>Mia Rodriguez</t>
        </is>
      </c>
      <c r="O1359" t="n">
        <v>6</v>
      </c>
      <c r="P1359" s="3" t="n">
        <v>33.6</v>
      </c>
      <c r="Q1359" s="4" t="n">
        <v>0.056</v>
      </c>
      <c r="R1359" s="3" t="n">
        <v>190.31</v>
      </c>
      <c r="S1359" s="3" t="n">
        <v>81.64</v>
      </c>
      <c r="T1359" s="3" t="n">
        <v>97.87</v>
      </c>
      <c r="U1359" s="4" t="n">
        <v>0.5143</v>
      </c>
      <c r="V1359" s="3" t="n">
        <v>10.8</v>
      </c>
      <c r="W1359" t="inlineStr">
        <is>
          <t>Bank Transfer</t>
        </is>
      </c>
      <c r="X1359" t="inlineStr">
        <is>
          <t>High</t>
        </is>
      </c>
    </row>
    <row r="1360">
      <c r="A1360" t="inlineStr">
        <is>
          <t>ORD-01546</t>
        </is>
      </c>
      <c r="B1360" s="2" t="n">
        <v>45296</v>
      </c>
      <c r="C1360" s="2" t="n">
        <v>45298</v>
      </c>
      <c r="D1360" t="inlineStr">
        <is>
          <t>CUST-01546</t>
        </is>
      </c>
      <c r="E1360" t="inlineStr">
        <is>
          <t>Customer 1546</t>
        </is>
      </c>
      <c r="F1360" t="inlineStr">
        <is>
          <t>Home Office</t>
        </is>
      </c>
      <c r="G1360" t="inlineStr">
        <is>
          <t>P1012</t>
        </is>
      </c>
      <c r="H1360" t="inlineStr">
        <is>
          <t>Trail Tote</t>
        </is>
      </c>
      <c r="I1360" t="inlineStr">
        <is>
          <t>Outdoor</t>
        </is>
      </c>
      <c r="J1360" t="inlineStr">
        <is>
          <t>Decor</t>
        </is>
      </c>
      <c r="K1360" t="inlineStr">
        <is>
          <t>North</t>
        </is>
      </c>
      <c r="L1360" t="inlineStr">
        <is>
          <t>Alberta</t>
        </is>
      </c>
      <c r="M1360" t="inlineStr">
        <is>
          <t>Calgary</t>
        </is>
      </c>
      <c r="N1360" t="inlineStr">
        <is>
          <t>Ava Patel</t>
        </is>
      </c>
      <c r="O1360" t="n">
        <v>5</v>
      </c>
      <c r="P1360" s="3" t="n">
        <v>126.83</v>
      </c>
      <c r="Q1360" s="4" t="n">
        <v>0.003</v>
      </c>
      <c r="R1360" s="3" t="n">
        <v>632.25</v>
      </c>
      <c r="S1360" s="3" t="n">
        <v>319.98</v>
      </c>
      <c r="T1360" s="3" t="n">
        <v>302.27</v>
      </c>
      <c r="U1360" s="4" t="n">
        <v>0.4781</v>
      </c>
      <c r="V1360" s="3" t="n">
        <v>10</v>
      </c>
      <c r="W1360" t="inlineStr">
        <is>
          <t>Cash on Delivery</t>
        </is>
      </c>
      <c r="X1360" t="inlineStr">
        <is>
          <t>Medium</t>
        </is>
      </c>
    </row>
    <row r="1361">
      <c r="A1361" t="inlineStr">
        <is>
          <t>ORD-01547</t>
        </is>
      </c>
      <c r="B1361" s="2" t="n">
        <v>45818</v>
      </c>
      <c r="C1361" s="2" t="n">
        <v>45823</v>
      </c>
      <c r="D1361" t="inlineStr">
        <is>
          <t>CUST-01547</t>
        </is>
      </c>
      <c r="E1361" t="inlineStr">
        <is>
          <t>Customer 1547</t>
        </is>
      </c>
      <c r="F1361" t="inlineStr">
        <is>
          <t>Corporate</t>
        </is>
      </c>
      <c r="G1361" t="inlineStr">
        <is>
          <t>P1001</t>
        </is>
      </c>
      <c r="H1361" t="inlineStr">
        <is>
          <t>Echo Web Camera</t>
        </is>
      </c>
      <c r="I1361" t="inlineStr">
        <is>
          <t>Home Decor</t>
        </is>
      </c>
      <c r="J1361" t="inlineStr">
        <is>
          <t>Peripherals</t>
        </is>
      </c>
      <c r="K1361" t="inlineStr">
        <is>
          <t>North</t>
        </is>
      </c>
      <c r="L1361" t="inlineStr">
        <is>
          <t>British Columbia</t>
        </is>
      </c>
      <c r="M1361" t="inlineStr">
        <is>
          <t>Montreal</t>
        </is>
      </c>
      <c r="N1361" t="inlineStr">
        <is>
          <t>Ethan Brooks</t>
        </is>
      </c>
      <c r="O1361" t="n">
        <v>3</v>
      </c>
      <c r="P1361" s="3" t="n">
        <v>291.54</v>
      </c>
      <c r="Q1361" s="4" t="n">
        <v>0.04</v>
      </c>
      <c r="R1361" s="3" t="n">
        <v>839.64</v>
      </c>
      <c r="S1361" s="3" t="n">
        <v>491.66</v>
      </c>
      <c r="T1361" s="3" t="n">
        <v>339.58</v>
      </c>
      <c r="U1361" s="4" t="n">
        <v>0.4044</v>
      </c>
      <c r="V1361" s="3" t="n">
        <v>8.4</v>
      </c>
      <c r="W1361" t="inlineStr">
        <is>
          <t>Bank Transfer</t>
        </is>
      </c>
      <c r="X1361" t="inlineStr">
        <is>
          <t>Medium</t>
        </is>
      </c>
    </row>
    <row r="1362">
      <c r="A1362" t="inlineStr">
        <is>
          <t>ORD-01579</t>
        </is>
      </c>
      <c r="B1362" s="2" t="n">
        <v>45592</v>
      </c>
      <c r="C1362" s="2" t="n">
        <v>45593</v>
      </c>
      <c r="D1362" t="inlineStr">
        <is>
          <t>CUST-01579</t>
        </is>
      </c>
      <c r="E1362" t="inlineStr">
        <is>
          <t>Customer 1579</t>
        </is>
      </c>
      <c r="F1362" t="inlineStr">
        <is>
          <t>Consumer</t>
        </is>
      </c>
      <c r="G1362" t="inlineStr">
        <is>
          <t>P1012</t>
        </is>
      </c>
      <c r="H1362" t="inlineStr">
        <is>
          <t>ProClip Binder</t>
        </is>
      </c>
      <c r="I1362" t="inlineStr">
        <is>
          <t>Furniture</t>
        </is>
      </c>
      <c r="J1362" t="inlineStr">
        <is>
          <t>Peripherals</t>
        </is>
      </c>
      <c r="K1362" t="inlineStr">
        <is>
          <t>North</t>
        </is>
      </c>
      <c r="L1362" t="inlineStr">
        <is>
          <t>Alberta</t>
        </is>
      </c>
      <c r="M1362" t="inlineStr">
        <is>
          <t>Calgary</t>
        </is>
      </c>
      <c r="N1362" t="inlineStr">
        <is>
          <t>Liam Chen</t>
        </is>
      </c>
      <c r="O1362" t="n">
        <v>4</v>
      </c>
      <c r="P1362" s="3" t="n">
        <v>145.92</v>
      </c>
      <c r="Q1362" s="4" t="n">
        <v>0.025</v>
      </c>
      <c r="R1362" s="3" t="n">
        <v>569.09</v>
      </c>
      <c r="S1362" s="3" t="n">
        <v>284.37</v>
      </c>
      <c r="T1362" s="3" t="n">
        <v>275.52</v>
      </c>
      <c r="U1362" s="4" t="n">
        <v>0.4841</v>
      </c>
      <c r="V1362" s="3" t="n">
        <v>9.199999999999999</v>
      </c>
      <c r="W1362" t="inlineStr">
        <is>
          <t>Credit Card</t>
        </is>
      </c>
      <c r="X1362" t="inlineStr">
        <is>
          <t>High</t>
        </is>
      </c>
    </row>
    <row r="1363">
      <c r="A1363" t="inlineStr">
        <is>
          <t>ORD-01585</t>
        </is>
      </c>
      <c r="B1363" s="2" t="n">
        <v>45791</v>
      </c>
      <c r="C1363" s="2" t="n">
        <v>45797</v>
      </c>
      <c r="D1363" t="inlineStr">
        <is>
          <t>CUST-01585</t>
        </is>
      </c>
      <c r="E1363" t="inlineStr">
        <is>
          <t>Customer 1585</t>
        </is>
      </c>
      <c r="F1363" t="inlineStr">
        <is>
          <t>Consumer</t>
        </is>
      </c>
      <c r="G1363" t="inlineStr">
        <is>
          <t>P1015</t>
        </is>
      </c>
      <c r="H1363" t="inlineStr">
        <is>
          <t>Lumen Desk Lamp</t>
        </is>
      </c>
      <c r="I1363" t="inlineStr">
        <is>
          <t>Office Supplies</t>
        </is>
      </c>
      <c r="J1363" t="inlineStr">
        <is>
          <t>Chairs</t>
        </is>
      </c>
      <c r="K1363" t="inlineStr">
        <is>
          <t>North</t>
        </is>
      </c>
      <c r="L1363" t="inlineStr">
        <is>
          <t>Alberta</t>
        </is>
      </c>
      <c r="M1363" t="inlineStr">
        <is>
          <t>Montreal</t>
        </is>
      </c>
      <c r="N1363" t="inlineStr">
        <is>
          <t>Mia Rodriguez</t>
        </is>
      </c>
      <c r="O1363" t="n">
        <v>3</v>
      </c>
      <c r="P1363" s="3" t="n">
        <v>64.45999999999999</v>
      </c>
      <c r="Q1363" s="4" t="n">
        <v>0.046</v>
      </c>
      <c r="R1363" s="3" t="n">
        <v>184.48</v>
      </c>
      <c r="S1363" s="3" t="n">
        <v>89.31</v>
      </c>
      <c r="T1363" s="3" t="n">
        <v>86.77</v>
      </c>
      <c r="U1363" s="4" t="n">
        <v>0.4703</v>
      </c>
      <c r="V1363" s="3" t="n">
        <v>8.4</v>
      </c>
      <c r="W1363" t="inlineStr">
        <is>
          <t>Credit Card</t>
        </is>
      </c>
      <c r="X1363" t="inlineStr">
        <is>
          <t>High</t>
        </is>
      </c>
    </row>
    <row r="1364">
      <c r="A1364" t="inlineStr">
        <is>
          <t>ORD-01594</t>
        </is>
      </c>
      <c r="B1364" s="2" t="n">
        <v>45217</v>
      </c>
      <c r="C1364" s="2" t="n">
        <v>45224</v>
      </c>
      <c r="D1364" t="inlineStr">
        <is>
          <t>CUST-01594</t>
        </is>
      </c>
      <c r="E1364" t="inlineStr">
        <is>
          <t>Customer 1594</t>
        </is>
      </c>
      <c r="F1364" t="inlineStr">
        <is>
          <t>Consumer</t>
        </is>
      </c>
      <c r="G1364" t="inlineStr">
        <is>
          <t>P1007</t>
        </is>
      </c>
      <c r="H1364" t="inlineStr">
        <is>
          <t>SmartInk Pen Set</t>
        </is>
      </c>
      <c r="I1364" t="inlineStr">
        <is>
          <t>Office Supplies</t>
        </is>
      </c>
      <c r="J1364" t="inlineStr">
        <is>
          <t>Accessories</t>
        </is>
      </c>
      <c r="K1364" t="inlineStr">
        <is>
          <t>North</t>
        </is>
      </c>
      <c r="L1364" t="inlineStr">
        <is>
          <t>British Columbia</t>
        </is>
      </c>
      <c r="M1364" t="inlineStr">
        <is>
          <t>Montreal</t>
        </is>
      </c>
      <c r="N1364" t="inlineStr">
        <is>
          <t>Mia Rodriguez</t>
        </is>
      </c>
      <c r="O1364" t="n">
        <v>3</v>
      </c>
      <c r="P1364" s="3" t="n">
        <v>27.48</v>
      </c>
      <c r="Q1364" s="4" t="n">
        <v>0.002</v>
      </c>
      <c r="R1364" s="3" t="n">
        <v>82.28</v>
      </c>
      <c r="S1364" s="3" t="n">
        <v>35.51</v>
      </c>
      <c r="T1364" s="3" t="n">
        <v>38.37</v>
      </c>
      <c r="U1364" s="4" t="n">
        <v>0.4663</v>
      </c>
      <c r="V1364" s="3" t="n">
        <v>8.4</v>
      </c>
      <c r="W1364" t="inlineStr">
        <is>
          <t>Debit Card</t>
        </is>
      </c>
      <c r="X1364" t="inlineStr">
        <is>
          <t>Medium</t>
        </is>
      </c>
    </row>
    <row r="1365">
      <c r="A1365" t="inlineStr">
        <is>
          <t>ORD-01595</t>
        </is>
      </c>
      <c r="B1365" s="2" t="n">
        <v>45866</v>
      </c>
      <c r="C1365" s="2" t="n">
        <v>45873</v>
      </c>
      <c r="D1365" t="inlineStr">
        <is>
          <t>CUST-01595</t>
        </is>
      </c>
      <c r="E1365" t="inlineStr">
        <is>
          <t>Customer 1595</t>
        </is>
      </c>
      <c r="F1365" t="inlineStr">
        <is>
          <t>Consumer</t>
        </is>
      </c>
      <c r="G1365" t="inlineStr">
        <is>
          <t>P1005</t>
        </is>
      </c>
      <c r="H1365" t="inlineStr">
        <is>
          <t>FlexNote Notebook</t>
        </is>
      </c>
      <c r="I1365" t="inlineStr">
        <is>
          <t>Furniture</t>
        </is>
      </c>
      <c r="J1365" t="inlineStr">
        <is>
          <t>Plants</t>
        </is>
      </c>
      <c r="K1365" t="inlineStr">
        <is>
          <t>North</t>
        </is>
      </c>
      <c r="L1365" t="inlineStr">
        <is>
          <t>Quebec</t>
        </is>
      </c>
      <c r="M1365" t="inlineStr">
        <is>
          <t>Vancouver</t>
        </is>
      </c>
      <c r="N1365" t="inlineStr">
        <is>
          <t>Noah Kim</t>
        </is>
      </c>
      <c r="O1365" t="n">
        <v>3</v>
      </c>
      <c r="P1365" s="3" t="n">
        <v>12.62</v>
      </c>
      <c r="Q1365" s="4" t="n">
        <v>0.078</v>
      </c>
      <c r="R1365" s="3" t="n">
        <v>34.91</v>
      </c>
      <c r="S1365" s="3" t="n">
        <v>22.63</v>
      </c>
      <c r="T1365" s="3" t="n">
        <v>3.88</v>
      </c>
      <c r="U1365" s="4" t="n">
        <v>0.1111</v>
      </c>
      <c r="V1365" s="3" t="n">
        <v>8.4</v>
      </c>
      <c r="W1365" t="inlineStr">
        <is>
          <t>Credit Card</t>
        </is>
      </c>
      <c r="X1365" t="inlineStr">
        <is>
          <t>Critical</t>
        </is>
      </c>
    </row>
    <row r="1366">
      <c r="A1366" t="inlineStr">
        <is>
          <t>ORD-01605</t>
        </is>
      </c>
      <c r="B1366" s="2" t="n">
        <v>45003</v>
      </c>
      <c r="C1366" s="2" t="n">
        <v>45010</v>
      </c>
      <c r="D1366" t="inlineStr">
        <is>
          <t>CUST-01605</t>
        </is>
      </c>
      <c r="E1366" t="inlineStr">
        <is>
          <t>Customer 1605</t>
        </is>
      </c>
      <c r="F1366" t="inlineStr">
        <is>
          <t>Corporate</t>
        </is>
      </c>
      <c r="G1366" t="inlineStr">
        <is>
          <t>P1008</t>
        </is>
      </c>
      <c r="H1366" t="inlineStr">
        <is>
          <t>ErgoMesh Chair</t>
        </is>
      </c>
      <c r="I1366" t="inlineStr">
        <is>
          <t>Outdoor</t>
        </is>
      </c>
      <c r="J1366" t="inlineStr">
        <is>
          <t>Peripherals</t>
        </is>
      </c>
      <c r="K1366" t="inlineStr">
        <is>
          <t>North</t>
        </is>
      </c>
      <c r="L1366" t="inlineStr">
        <is>
          <t>Quebec</t>
        </is>
      </c>
      <c r="M1366" t="inlineStr">
        <is>
          <t>Toronto</t>
        </is>
      </c>
      <c r="N1366" t="inlineStr">
        <is>
          <t>James Carter</t>
        </is>
      </c>
      <c r="O1366" t="n">
        <v>3</v>
      </c>
      <c r="P1366" s="3" t="n">
        <v>36.24</v>
      </c>
      <c r="Q1366" s="4" t="n">
        <v>0.024</v>
      </c>
      <c r="R1366" s="3" t="n">
        <v>106.11</v>
      </c>
      <c r="S1366" s="3" t="n">
        <v>48.03</v>
      </c>
      <c r="T1366" s="3" t="n">
        <v>49.68</v>
      </c>
      <c r="U1366" s="4" t="n">
        <v>0.4682</v>
      </c>
      <c r="V1366" s="3" t="n">
        <v>8.4</v>
      </c>
      <c r="W1366" t="inlineStr">
        <is>
          <t>PayPal</t>
        </is>
      </c>
      <c r="X1366" t="inlineStr">
        <is>
          <t>High</t>
        </is>
      </c>
    </row>
    <row r="1367">
      <c r="A1367" t="inlineStr">
        <is>
          <t>ORD-01611</t>
        </is>
      </c>
      <c r="B1367" s="2" t="n">
        <v>45998</v>
      </c>
      <c r="C1367" s="2" t="n">
        <v>46001</v>
      </c>
      <c r="D1367" t="inlineStr">
        <is>
          <t>CUST-01611</t>
        </is>
      </c>
      <c r="E1367" t="inlineStr">
        <is>
          <t>Customer 1611</t>
        </is>
      </c>
      <c r="F1367" t="inlineStr">
        <is>
          <t>Consumer</t>
        </is>
      </c>
      <c r="G1367" t="inlineStr">
        <is>
          <t>P1004</t>
        </is>
      </c>
      <c r="H1367" t="inlineStr">
        <is>
          <t>ProClip Binder</t>
        </is>
      </c>
      <c r="I1367" t="inlineStr">
        <is>
          <t>Technology</t>
        </is>
      </c>
      <c r="J1367" t="inlineStr">
        <is>
          <t>Furniture</t>
        </is>
      </c>
      <c r="K1367" t="inlineStr">
        <is>
          <t>North</t>
        </is>
      </c>
      <c r="L1367" t="inlineStr">
        <is>
          <t>Ontario</t>
        </is>
      </c>
      <c r="M1367" t="inlineStr">
        <is>
          <t>Vancouver</t>
        </is>
      </c>
      <c r="N1367" t="inlineStr">
        <is>
          <t>Liam Chen</t>
        </is>
      </c>
      <c r="O1367" t="n">
        <v>4</v>
      </c>
      <c r="P1367" s="3" t="n">
        <v>641.84</v>
      </c>
      <c r="Q1367" s="4" t="n">
        <v>0.017</v>
      </c>
      <c r="R1367" s="3" t="n">
        <v>2523.71</v>
      </c>
      <c r="S1367" s="3" t="n">
        <v>1598.45</v>
      </c>
      <c r="T1367" s="3" t="n">
        <v>916.0599999999999</v>
      </c>
      <c r="U1367" s="4" t="n">
        <v>0.363</v>
      </c>
      <c r="V1367" s="3" t="n">
        <v>9.199999999999999</v>
      </c>
      <c r="W1367" t="inlineStr">
        <is>
          <t>Bank Transfer</t>
        </is>
      </c>
      <c r="X1367" t="inlineStr">
        <is>
          <t>Medium</t>
        </is>
      </c>
    </row>
    <row r="1368">
      <c r="A1368" t="inlineStr">
        <is>
          <t>ORD-01615</t>
        </is>
      </c>
      <c r="B1368" s="2" t="n">
        <v>45430</v>
      </c>
      <c r="C1368" s="2" t="n">
        <v>45431</v>
      </c>
      <c r="D1368" t="inlineStr">
        <is>
          <t>CUST-01615</t>
        </is>
      </c>
      <c r="E1368" t="inlineStr">
        <is>
          <t>Customer 1615</t>
        </is>
      </c>
      <c r="F1368" t="inlineStr">
        <is>
          <t>Corporate</t>
        </is>
      </c>
      <c r="G1368" t="inlineStr">
        <is>
          <t>P1011</t>
        </is>
      </c>
      <c r="H1368" t="inlineStr">
        <is>
          <t>Tide Cooler</t>
        </is>
      </c>
      <c r="I1368" t="inlineStr">
        <is>
          <t>Furniture</t>
        </is>
      </c>
      <c r="J1368" t="inlineStr">
        <is>
          <t>Decor</t>
        </is>
      </c>
      <c r="K1368" t="inlineStr">
        <is>
          <t>North</t>
        </is>
      </c>
      <c r="L1368" t="inlineStr">
        <is>
          <t>Ontario</t>
        </is>
      </c>
      <c r="M1368" t="inlineStr">
        <is>
          <t>Calgary</t>
        </is>
      </c>
      <c r="N1368" t="inlineStr">
        <is>
          <t>Liam Chen</t>
        </is>
      </c>
      <c r="O1368" t="n">
        <v>3</v>
      </c>
      <c r="P1368" s="3" t="n">
        <v>86.03</v>
      </c>
      <c r="Q1368" s="4" t="n">
        <v>0.06</v>
      </c>
      <c r="R1368" s="3" t="n">
        <v>242.6</v>
      </c>
      <c r="S1368" s="3" t="n">
        <v>117.89</v>
      </c>
      <c r="T1368" s="3" t="n">
        <v>116.31</v>
      </c>
      <c r="U1368" s="4" t="n">
        <v>0.4794</v>
      </c>
      <c r="V1368" s="3" t="n">
        <v>8.4</v>
      </c>
      <c r="W1368" t="inlineStr">
        <is>
          <t>Debit Card</t>
        </is>
      </c>
      <c r="X1368" t="inlineStr">
        <is>
          <t>High</t>
        </is>
      </c>
    </row>
    <row r="1369">
      <c r="A1369" t="inlineStr">
        <is>
          <t>ORD-01618</t>
        </is>
      </c>
      <c r="B1369" s="2" t="n">
        <v>46011</v>
      </c>
      <c r="C1369" s="2" t="n">
        <v>46016</v>
      </c>
      <c r="D1369" t="inlineStr">
        <is>
          <t>CUST-01618</t>
        </is>
      </c>
      <c r="E1369" t="inlineStr">
        <is>
          <t>Customer 1618</t>
        </is>
      </c>
      <c r="F1369" t="inlineStr">
        <is>
          <t>Consumer</t>
        </is>
      </c>
      <c r="G1369" t="inlineStr">
        <is>
          <t>P1020</t>
        </is>
      </c>
      <c r="H1369" t="inlineStr">
        <is>
          <t>Orbit Wireless Mouse</t>
        </is>
      </c>
      <c r="I1369" t="inlineStr">
        <is>
          <t>Office Supplies</t>
        </is>
      </c>
      <c r="J1369" t="inlineStr">
        <is>
          <t>Writing</t>
        </is>
      </c>
      <c r="K1369" t="inlineStr">
        <is>
          <t>North</t>
        </is>
      </c>
      <c r="L1369" t="inlineStr">
        <is>
          <t>Quebec</t>
        </is>
      </c>
      <c r="M1369" t="inlineStr">
        <is>
          <t>Vancouver</t>
        </is>
      </c>
      <c r="N1369" t="inlineStr">
        <is>
          <t>Olivia Martin</t>
        </is>
      </c>
      <c r="O1369" t="n">
        <v>2</v>
      </c>
      <c r="P1369" s="3" t="n">
        <v>77.20999999999999</v>
      </c>
      <c r="Q1369" s="4" t="n">
        <v>0.028</v>
      </c>
      <c r="R1369" s="3" t="n">
        <v>150.1</v>
      </c>
      <c r="S1369" s="3" t="n">
        <v>73.42</v>
      </c>
      <c r="T1369" s="3" t="n">
        <v>69.08</v>
      </c>
      <c r="U1369" s="4" t="n">
        <v>0.4602</v>
      </c>
      <c r="V1369" s="3" t="n">
        <v>7.6</v>
      </c>
      <c r="W1369" t="inlineStr">
        <is>
          <t>Credit Card</t>
        </is>
      </c>
      <c r="X1369" t="inlineStr">
        <is>
          <t>Medium</t>
        </is>
      </c>
    </row>
    <row r="1370">
      <c r="A1370" t="inlineStr">
        <is>
          <t>ORD-01622</t>
        </is>
      </c>
      <c r="B1370" s="2" t="n">
        <v>45132</v>
      </c>
      <c r="C1370" s="2" t="n">
        <v>45136</v>
      </c>
      <c r="D1370" t="inlineStr">
        <is>
          <t>CUST-01622</t>
        </is>
      </c>
      <c r="E1370" t="inlineStr">
        <is>
          <t>Customer 1622</t>
        </is>
      </c>
      <c r="F1370" t="inlineStr">
        <is>
          <t>Consumer</t>
        </is>
      </c>
      <c r="G1370" t="inlineStr">
        <is>
          <t>P1016</t>
        </is>
      </c>
      <c r="H1370" t="inlineStr">
        <is>
          <t>ProClip Binder</t>
        </is>
      </c>
      <c r="I1370" t="inlineStr">
        <is>
          <t>Technology</t>
        </is>
      </c>
      <c r="J1370" t="inlineStr">
        <is>
          <t>Accessories</t>
        </is>
      </c>
      <c r="K1370" t="inlineStr">
        <is>
          <t>North</t>
        </is>
      </c>
      <c r="L1370" t="inlineStr">
        <is>
          <t>Alberta</t>
        </is>
      </c>
      <c r="M1370" t="inlineStr">
        <is>
          <t>Vancouver</t>
        </is>
      </c>
      <c r="N1370" t="inlineStr">
        <is>
          <t>Sophia Singh</t>
        </is>
      </c>
      <c r="O1370" t="n">
        <v>3</v>
      </c>
      <c r="P1370" s="3" t="n">
        <v>41.82</v>
      </c>
      <c r="Q1370" s="4" t="n">
        <v>0.002</v>
      </c>
      <c r="R1370" s="3" t="n">
        <v>125.21</v>
      </c>
      <c r="S1370" s="3" t="n">
        <v>51.79</v>
      </c>
      <c r="T1370" s="3" t="n">
        <v>65.02</v>
      </c>
      <c r="U1370" s="4" t="n">
        <v>0.5193</v>
      </c>
      <c r="V1370" s="3" t="n">
        <v>8.4</v>
      </c>
      <c r="W1370" t="inlineStr">
        <is>
          <t>Debit Card</t>
        </is>
      </c>
      <c r="X1370" t="inlineStr">
        <is>
          <t>Medium</t>
        </is>
      </c>
    </row>
    <row r="1371">
      <c r="A1371" t="inlineStr">
        <is>
          <t>ORD-01628</t>
        </is>
      </c>
      <c r="B1371" s="2" t="n">
        <v>45527</v>
      </c>
      <c r="C1371" s="2" t="n">
        <v>45529</v>
      </c>
      <c r="D1371" t="inlineStr">
        <is>
          <t>CUST-01628</t>
        </is>
      </c>
      <c r="E1371" t="inlineStr">
        <is>
          <t>Customer 1628</t>
        </is>
      </c>
      <c r="F1371" t="inlineStr">
        <is>
          <t>Corporate</t>
        </is>
      </c>
      <c r="G1371" t="inlineStr">
        <is>
          <t>P1015</t>
        </is>
      </c>
      <c r="H1371" t="inlineStr">
        <is>
          <t>SmartInk Pen Set</t>
        </is>
      </c>
      <c r="I1371" t="inlineStr">
        <is>
          <t>Technology</t>
        </is>
      </c>
      <c r="J1371" t="inlineStr">
        <is>
          <t>Writing</t>
        </is>
      </c>
      <c r="K1371" t="inlineStr">
        <is>
          <t>North</t>
        </is>
      </c>
      <c r="L1371" t="inlineStr">
        <is>
          <t>Quebec</t>
        </is>
      </c>
      <c r="M1371" t="inlineStr">
        <is>
          <t>Montreal</t>
        </is>
      </c>
      <c r="N1371" t="inlineStr">
        <is>
          <t>Liam Chen</t>
        </is>
      </c>
      <c r="O1371" t="n">
        <v>2</v>
      </c>
      <c r="P1371" s="3" t="n">
        <v>72.13</v>
      </c>
      <c r="Q1371" s="4" t="n">
        <v>0.06899999999999999</v>
      </c>
      <c r="R1371" s="3" t="n">
        <v>134.31</v>
      </c>
      <c r="S1371" s="3" t="n">
        <v>64.41</v>
      </c>
      <c r="T1371" s="3" t="n">
        <v>62.3</v>
      </c>
      <c r="U1371" s="4" t="n">
        <v>0.4639</v>
      </c>
      <c r="V1371" s="3" t="n">
        <v>7.6</v>
      </c>
      <c r="W1371" t="inlineStr">
        <is>
          <t>Cash on Delivery</t>
        </is>
      </c>
      <c r="X1371" t="inlineStr">
        <is>
          <t>High</t>
        </is>
      </c>
    </row>
    <row r="1372">
      <c r="A1372" t="inlineStr">
        <is>
          <t>ORD-01629</t>
        </is>
      </c>
      <c r="B1372" s="2" t="n">
        <v>45206</v>
      </c>
      <c r="C1372" s="2" t="n">
        <v>45212</v>
      </c>
      <c r="D1372" t="inlineStr">
        <is>
          <t>CUST-01629</t>
        </is>
      </c>
      <c r="E1372" t="inlineStr">
        <is>
          <t>Customer 1629</t>
        </is>
      </c>
      <c r="F1372" t="inlineStr">
        <is>
          <t>Home Office</t>
        </is>
      </c>
      <c r="G1372" t="inlineStr">
        <is>
          <t>P1013</t>
        </is>
      </c>
      <c r="H1372" t="inlineStr">
        <is>
          <t>FlexNote Notebook</t>
        </is>
      </c>
      <c r="I1372" t="inlineStr">
        <is>
          <t>Office Supplies</t>
        </is>
      </c>
      <c r="J1372" t="inlineStr">
        <is>
          <t>Accessories</t>
        </is>
      </c>
      <c r="K1372" t="inlineStr">
        <is>
          <t>North</t>
        </is>
      </c>
      <c r="L1372" t="inlineStr">
        <is>
          <t>British Columbia</t>
        </is>
      </c>
      <c r="M1372" t="inlineStr">
        <is>
          <t>Montreal</t>
        </is>
      </c>
      <c r="N1372" t="inlineStr">
        <is>
          <t>Ava Patel</t>
        </is>
      </c>
      <c r="O1372" t="n">
        <v>3</v>
      </c>
      <c r="P1372" s="3" t="n">
        <v>168.99</v>
      </c>
      <c r="Q1372" s="4" t="n">
        <v>0.023</v>
      </c>
      <c r="R1372" s="3" t="n">
        <v>495.31</v>
      </c>
      <c r="S1372" s="3" t="n">
        <v>285.37</v>
      </c>
      <c r="T1372" s="3" t="n">
        <v>201.54</v>
      </c>
      <c r="U1372" s="4" t="n">
        <v>0.4069</v>
      </c>
      <c r="V1372" s="3" t="n">
        <v>8.4</v>
      </c>
      <c r="W1372" t="inlineStr">
        <is>
          <t>Bank Transfer</t>
        </is>
      </c>
      <c r="X1372" t="inlineStr">
        <is>
          <t>Medium</t>
        </is>
      </c>
    </row>
    <row r="1373">
      <c r="A1373" t="inlineStr">
        <is>
          <t>ORD-01638</t>
        </is>
      </c>
      <c r="B1373" s="2" t="n">
        <v>45050</v>
      </c>
      <c r="C1373" s="2" t="n">
        <v>45053</v>
      </c>
      <c r="D1373" t="inlineStr">
        <is>
          <t>CUST-01638</t>
        </is>
      </c>
      <c r="E1373" t="inlineStr">
        <is>
          <t>Customer 1638</t>
        </is>
      </c>
      <c r="F1373" t="inlineStr">
        <is>
          <t>Corporate</t>
        </is>
      </c>
      <c r="G1373" t="inlineStr">
        <is>
          <t>P1011</t>
        </is>
      </c>
      <c r="H1373" t="inlineStr">
        <is>
          <t>Orbit Wireless Mouse</t>
        </is>
      </c>
      <c r="I1373" t="inlineStr">
        <is>
          <t>Furniture</t>
        </is>
      </c>
      <c r="J1373" t="inlineStr">
        <is>
          <t>Textiles</t>
        </is>
      </c>
      <c r="K1373" t="inlineStr">
        <is>
          <t>North</t>
        </is>
      </c>
      <c r="L1373" t="inlineStr">
        <is>
          <t>British Columbia</t>
        </is>
      </c>
      <c r="M1373" t="inlineStr">
        <is>
          <t>Montreal</t>
        </is>
      </c>
      <c r="N1373" t="inlineStr">
        <is>
          <t>James Carter</t>
        </is>
      </c>
      <c r="O1373" t="n">
        <v>5</v>
      </c>
      <c r="P1373" s="3" t="n">
        <v>90.59999999999999</v>
      </c>
      <c r="Q1373" s="4" t="n">
        <v>0.038</v>
      </c>
      <c r="R1373" s="3" t="n">
        <v>435.79</v>
      </c>
      <c r="S1373" s="3" t="n">
        <v>210.91</v>
      </c>
      <c r="T1373" s="3" t="n">
        <v>214.88</v>
      </c>
      <c r="U1373" s="4" t="n">
        <v>0.4931</v>
      </c>
      <c r="V1373" s="3" t="n">
        <v>10</v>
      </c>
      <c r="W1373" t="inlineStr">
        <is>
          <t>Bank Transfer</t>
        </is>
      </c>
      <c r="X1373" t="inlineStr">
        <is>
          <t>Medium</t>
        </is>
      </c>
    </row>
    <row r="1374">
      <c r="A1374" t="inlineStr">
        <is>
          <t>ORD-01640</t>
        </is>
      </c>
      <c r="B1374" s="2" t="n">
        <v>45906</v>
      </c>
      <c r="C1374" s="2" t="n">
        <v>45910</v>
      </c>
      <c r="D1374" t="inlineStr">
        <is>
          <t>CUST-01640</t>
        </is>
      </c>
      <c r="E1374" t="inlineStr">
        <is>
          <t>Customer 1640</t>
        </is>
      </c>
      <c r="F1374" t="inlineStr">
        <is>
          <t>Home Office</t>
        </is>
      </c>
      <c r="G1374" t="inlineStr">
        <is>
          <t>P1007</t>
        </is>
      </c>
      <c r="H1374" t="inlineStr">
        <is>
          <t>CloudDrive File Box</t>
        </is>
      </c>
      <c r="I1374" t="inlineStr">
        <is>
          <t>Home Decor</t>
        </is>
      </c>
      <c r="J1374" t="inlineStr">
        <is>
          <t>Bags</t>
        </is>
      </c>
      <c r="K1374" t="inlineStr">
        <is>
          <t>North</t>
        </is>
      </c>
      <c r="L1374" t="inlineStr">
        <is>
          <t>British Columbia</t>
        </is>
      </c>
      <c r="M1374" t="inlineStr">
        <is>
          <t>Montreal</t>
        </is>
      </c>
      <c r="N1374" t="inlineStr">
        <is>
          <t>Olivia Martin</t>
        </is>
      </c>
      <c r="O1374" t="n">
        <v>2</v>
      </c>
      <c r="P1374" s="3" t="n">
        <v>25.1</v>
      </c>
      <c r="Q1374" s="4" t="n">
        <v>0.025</v>
      </c>
      <c r="R1374" s="3" t="n">
        <v>48.95</v>
      </c>
      <c r="S1374" s="3" t="n">
        <v>22.03</v>
      </c>
      <c r="T1374" s="3" t="n">
        <v>19.32</v>
      </c>
      <c r="U1374" s="4" t="n">
        <v>0.3947</v>
      </c>
      <c r="V1374" s="3" t="n">
        <v>7.6</v>
      </c>
      <c r="W1374" t="inlineStr">
        <is>
          <t>Bank Transfer</t>
        </is>
      </c>
      <c r="X1374" t="inlineStr">
        <is>
          <t>Medium</t>
        </is>
      </c>
    </row>
    <row r="1375">
      <c r="A1375" t="inlineStr">
        <is>
          <t>ORD-01658</t>
        </is>
      </c>
      <c r="B1375" s="2" t="n">
        <v>45544</v>
      </c>
      <c r="C1375" s="2" t="n">
        <v>45551</v>
      </c>
      <c r="D1375" t="inlineStr">
        <is>
          <t>CUST-01658</t>
        </is>
      </c>
      <c r="E1375" t="inlineStr">
        <is>
          <t>Customer 1658</t>
        </is>
      </c>
      <c r="F1375" t="inlineStr">
        <is>
          <t>Corporate</t>
        </is>
      </c>
      <c r="G1375" t="inlineStr">
        <is>
          <t>P1006</t>
        </is>
      </c>
      <c r="H1375" t="inlineStr">
        <is>
          <t>Aero Standing Desk</t>
        </is>
      </c>
      <c r="I1375" t="inlineStr">
        <is>
          <t>Technology</t>
        </is>
      </c>
      <c r="J1375" t="inlineStr">
        <is>
          <t>Lighting</t>
        </is>
      </c>
      <c r="K1375" t="inlineStr">
        <is>
          <t>North</t>
        </is>
      </c>
      <c r="L1375" t="inlineStr">
        <is>
          <t>Alberta</t>
        </is>
      </c>
      <c r="M1375" t="inlineStr">
        <is>
          <t>Calgary</t>
        </is>
      </c>
      <c r="N1375" t="inlineStr">
        <is>
          <t>Liam Chen</t>
        </is>
      </c>
      <c r="O1375" t="n">
        <v>2</v>
      </c>
      <c r="P1375" s="3" t="n">
        <v>17.87</v>
      </c>
      <c r="Q1375" s="4" t="n">
        <v>0.017</v>
      </c>
      <c r="R1375" s="3" t="n">
        <v>35.13</v>
      </c>
      <c r="S1375" s="3" t="n">
        <v>15.58</v>
      </c>
      <c r="T1375" s="3" t="n">
        <v>11.95</v>
      </c>
      <c r="U1375" s="4" t="n">
        <v>0.3402</v>
      </c>
      <c r="V1375" s="3" t="n">
        <v>7.6</v>
      </c>
      <c r="W1375" t="inlineStr">
        <is>
          <t>Bank Transfer</t>
        </is>
      </c>
      <c r="X1375" t="inlineStr">
        <is>
          <t>Medium</t>
        </is>
      </c>
    </row>
    <row r="1376">
      <c r="A1376" t="inlineStr">
        <is>
          <t>ORD-01687</t>
        </is>
      </c>
      <c r="B1376" s="2" t="n">
        <v>45951</v>
      </c>
      <c r="C1376" s="2" t="n">
        <v>45956</v>
      </c>
      <c r="D1376" t="inlineStr">
        <is>
          <t>CUST-01687</t>
        </is>
      </c>
      <c r="E1376" t="inlineStr">
        <is>
          <t>Customer 1687</t>
        </is>
      </c>
      <c r="F1376" t="inlineStr">
        <is>
          <t>Consumer</t>
        </is>
      </c>
      <c r="G1376" t="inlineStr">
        <is>
          <t>P1007</t>
        </is>
      </c>
      <c r="H1376" t="inlineStr">
        <is>
          <t>Orbit Wireless Mouse</t>
        </is>
      </c>
      <c r="I1376" t="inlineStr">
        <is>
          <t>Furniture</t>
        </is>
      </c>
      <c r="J1376" t="inlineStr">
        <is>
          <t>Textiles</t>
        </is>
      </c>
      <c r="K1376" t="inlineStr">
        <is>
          <t>North</t>
        </is>
      </c>
      <c r="L1376" t="inlineStr">
        <is>
          <t>British Columbia</t>
        </is>
      </c>
      <c r="M1376" t="inlineStr">
        <is>
          <t>Montreal</t>
        </is>
      </c>
      <c r="N1376" t="inlineStr">
        <is>
          <t>Liam Chen</t>
        </is>
      </c>
      <c r="O1376" t="n">
        <v>1</v>
      </c>
      <c r="P1376" s="3" t="n">
        <v>26.36</v>
      </c>
      <c r="Q1376" s="4" t="n">
        <v>0.039</v>
      </c>
      <c r="R1376" s="3" t="n">
        <v>25.33</v>
      </c>
      <c r="S1376" s="3" t="n">
        <v>17.39</v>
      </c>
      <c r="T1376" s="3" t="n">
        <v>1.14</v>
      </c>
      <c r="U1376" s="4" t="n">
        <v>0.045</v>
      </c>
      <c r="V1376" s="3" t="n">
        <v>6.8</v>
      </c>
      <c r="W1376" t="inlineStr">
        <is>
          <t>PayPal</t>
        </is>
      </c>
      <c r="X1376" t="inlineStr">
        <is>
          <t>Critical</t>
        </is>
      </c>
    </row>
    <row r="1377">
      <c r="A1377" t="inlineStr">
        <is>
          <t>ORD-01688</t>
        </is>
      </c>
      <c r="B1377" s="2" t="n">
        <v>45298</v>
      </c>
      <c r="C1377" s="2" t="n">
        <v>45305</v>
      </c>
      <c r="D1377" t="inlineStr">
        <is>
          <t>CUST-01688</t>
        </is>
      </c>
      <c r="E1377" t="inlineStr">
        <is>
          <t>Customer 1688</t>
        </is>
      </c>
      <c r="F1377" t="inlineStr">
        <is>
          <t>Consumer</t>
        </is>
      </c>
      <c r="G1377" t="inlineStr">
        <is>
          <t>P1018</t>
        </is>
      </c>
      <c r="H1377" t="inlineStr">
        <is>
          <t>FlexNote Notebook</t>
        </is>
      </c>
      <c r="I1377" t="inlineStr">
        <is>
          <t>Technology</t>
        </is>
      </c>
      <c r="J1377" t="inlineStr">
        <is>
          <t>Coolers</t>
        </is>
      </c>
      <c r="K1377" t="inlineStr">
        <is>
          <t>North</t>
        </is>
      </c>
      <c r="L1377" t="inlineStr">
        <is>
          <t>Ontario</t>
        </is>
      </c>
      <c r="M1377" t="inlineStr">
        <is>
          <t>Vancouver</t>
        </is>
      </c>
      <c r="N1377" t="inlineStr">
        <is>
          <t>Olivia Martin</t>
        </is>
      </c>
      <c r="O1377" t="n">
        <v>3</v>
      </c>
      <c r="P1377" s="3" t="n">
        <v>87.7</v>
      </c>
      <c r="Q1377" s="4" t="n">
        <v>0.02</v>
      </c>
      <c r="R1377" s="3" t="n">
        <v>257.84</v>
      </c>
      <c r="S1377" s="3" t="n">
        <v>117.76</v>
      </c>
      <c r="T1377" s="3" t="n">
        <v>131.68</v>
      </c>
      <c r="U1377" s="4" t="n">
        <v>0.5107</v>
      </c>
      <c r="V1377" s="3" t="n">
        <v>8.4</v>
      </c>
      <c r="W1377" t="inlineStr">
        <is>
          <t>Bank Transfer</t>
        </is>
      </c>
      <c r="X1377" t="inlineStr">
        <is>
          <t>High</t>
        </is>
      </c>
    </row>
    <row r="1378">
      <c r="A1378" t="inlineStr">
        <is>
          <t>ORD-01700</t>
        </is>
      </c>
      <c r="B1378" s="2" t="n">
        <v>45526</v>
      </c>
      <c r="C1378" s="2" t="n">
        <v>45531</v>
      </c>
      <c r="D1378" t="inlineStr">
        <is>
          <t>CUST-01700</t>
        </is>
      </c>
      <c r="E1378" t="inlineStr">
        <is>
          <t>Customer 1700</t>
        </is>
      </c>
      <c r="F1378" t="inlineStr">
        <is>
          <t>Home Office</t>
        </is>
      </c>
      <c r="G1378" t="inlineStr">
        <is>
          <t>P1016</t>
        </is>
      </c>
      <c r="H1378" t="inlineStr">
        <is>
          <t>Cove Wall Clock</t>
        </is>
      </c>
      <c r="I1378" t="inlineStr">
        <is>
          <t>Home Decor</t>
        </is>
      </c>
      <c r="J1378" t="inlineStr">
        <is>
          <t>Chairs</t>
        </is>
      </c>
      <c r="K1378" t="inlineStr">
        <is>
          <t>North</t>
        </is>
      </c>
      <c r="L1378" t="inlineStr">
        <is>
          <t>British Columbia</t>
        </is>
      </c>
      <c r="M1378" t="inlineStr">
        <is>
          <t>Montreal</t>
        </is>
      </c>
      <c r="N1378" t="inlineStr">
        <is>
          <t>Olivia Martin</t>
        </is>
      </c>
      <c r="O1378" t="n">
        <v>2</v>
      </c>
      <c r="P1378" s="3" t="n">
        <v>39.07</v>
      </c>
      <c r="Q1378" s="4" t="n">
        <v>0.022</v>
      </c>
      <c r="R1378" s="3" t="n">
        <v>76.42</v>
      </c>
      <c r="S1378" s="3" t="n">
        <v>36.29</v>
      </c>
      <c r="T1378" s="3" t="n">
        <v>32.53</v>
      </c>
      <c r="U1378" s="4" t="n">
        <v>0.4257</v>
      </c>
      <c r="V1378" s="3" t="n">
        <v>7.6</v>
      </c>
      <c r="W1378" t="inlineStr">
        <is>
          <t>Cash on Delivery</t>
        </is>
      </c>
      <c r="X1378" t="inlineStr">
        <is>
          <t>Critical</t>
        </is>
      </c>
    </row>
    <row r="1379">
      <c r="A1379" t="inlineStr">
        <is>
          <t>ORD-01702</t>
        </is>
      </c>
      <c r="B1379" s="2" t="n">
        <v>45475</v>
      </c>
      <c r="C1379" s="2" t="n">
        <v>45482</v>
      </c>
      <c r="D1379" t="inlineStr">
        <is>
          <t>CUST-01702</t>
        </is>
      </c>
      <c r="E1379" t="inlineStr">
        <is>
          <t>Customer 1702</t>
        </is>
      </c>
      <c r="F1379" t="inlineStr">
        <is>
          <t>Corporate</t>
        </is>
      </c>
      <c r="G1379" t="inlineStr">
        <is>
          <t>P1015</t>
        </is>
      </c>
      <c r="H1379" t="inlineStr">
        <is>
          <t>FlexNote Notebook</t>
        </is>
      </c>
      <c r="I1379" t="inlineStr">
        <is>
          <t>Office Supplies</t>
        </is>
      </c>
      <c r="J1379" t="inlineStr">
        <is>
          <t>Textiles</t>
        </is>
      </c>
      <c r="K1379" t="inlineStr">
        <is>
          <t>North</t>
        </is>
      </c>
      <c r="L1379" t="inlineStr">
        <is>
          <t>British Columbia</t>
        </is>
      </c>
      <c r="M1379" t="inlineStr">
        <is>
          <t>Montreal</t>
        </is>
      </c>
      <c r="N1379" t="inlineStr">
        <is>
          <t>Noah Kim</t>
        </is>
      </c>
      <c r="O1379" t="n">
        <v>3</v>
      </c>
      <c r="P1379" s="3" t="n">
        <v>72.95</v>
      </c>
      <c r="Q1379" s="4" t="n">
        <v>0.012</v>
      </c>
      <c r="R1379" s="3" t="n">
        <v>216.22</v>
      </c>
      <c r="S1379" s="3" t="n">
        <v>101.07</v>
      </c>
      <c r="T1379" s="3" t="n">
        <v>106.75</v>
      </c>
      <c r="U1379" s="4" t="n">
        <v>0.4937</v>
      </c>
      <c r="V1379" s="3" t="n">
        <v>8.4</v>
      </c>
      <c r="W1379" t="inlineStr">
        <is>
          <t>Cash on Delivery</t>
        </is>
      </c>
      <c r="X1379" t="inlineStr">
        <is>
          <t>Medium</t>
        </is>
      </c>
    </row>
    <row r="1380">
      <c r="A1380" t="inlineStr">
        <is>
          <t>ORD-01707</t>
        </is>
      </c>
      <c r="B1380" s="2" t="n">
        <v>45498</v>
      </c>
      <c r="C1380" s="2" t="n">
        <v>45504</v>
      </c>
      <c r="D1380" t="inlineStr">
        <is>
          <t>CUST-01707</t>
        </is>
      </c>
      <c r="E1380" t="inlineStr">
        <is>
          <t>Customer 1707</t>
        </is>
      </c>
      <c r="F1380" t="inlineStr">
        <is>
          <t>Consumer</t>
        </is>
      </c>
      <c r="G1380" t="inlineStr">
        <is>
          <t>P1007</t>
        </is>
      </c>
      <c r="H1380" t="inlineStr">
        <is>
          <t>Harbor Rug</t>
        </is>
      </c>
      <c r="I1380" t="inlineStr">
        <is>
          <t>Office Supplies</t>
        </is>
      </c>
      <c r="J1380" t="inlineStr">
        <is>
          <t>Textiles</t>
        </is>
      </c>
      <c r="K1380" t="inlineStr">
        <is>
          <t>North</t>
        </is>
      </c>
      <c r="L1380" t="inlineStr">
        <is>
          <t>Ontario</t>
        </is>
      </c>
      <c r="M1380" t="inlineStr">
        <is>
          <t>Montreal</t>
        </is>
      </c>
      <c r="N1380" t="inlineStr">
        <is>
          <t>Olivia Martin</t>
        </is>
      </c>
      <c r="O1380" t="n">
        <v>2</v>
      </c>
      <c r="P1380" s="3" t="n">
        <v>24.16</v>
      </c>
      <c r="Q1380" s="4" t="n">
        <v>0.006</v>
      </c>
      <c r="R1380" s="3" t="n">
        <v>48.03</v>
      </c>
      <c r="S1380" s="3" t="n">
        <v>22.9</v>
      </c>
      <c r="T1380" s="3" t="n">
        <v>17.53</v>
      </c>
      <c r="U1380" s="4" t="n">
        <v>0.365</v>
      </c>
      <c r="V1380" s="3" t="n">
        <v>7.6</v>
      </c>
      <c r="W1380" t="inlineStr">
        <is>
          <t>Credit Card</t>
        </is>
      </c>
      <c r="X1380" t="inlineStr">
        <is>
          <t>Medium</t>
        </is>
      </c>
    </row>
    <row r="1381">
      <c r="A1381" t="inlineStr">
        <is>
          <t>ORD-01716</t>
        </is>
      </c>
      <c r="B1381" s="2" t="n">
        <v>45782</v>
      </c>
      <c r="C1381" s="2" t="n">
        <v>45788</v>
      </c>
      <c r="D1381" t="inlineStr">
        <is>
          <t>CUST-01716</t>
        </is>
      </c>
      <c r="E1381" t="inlineStr">
        <is>
          <t>Customer 1716</t>
        </is>
      </c>
      <c r="F1381" t="inlineStr">
        <is>
          <t>Consumer</t>
        </is>
      </c>
      <c r="G1381" t="inlineStr">
        <is>
          <t>P1003</t>
        </is>
      </c>
      <c r="H1381" t="inlineStr">
        <is>
          <t>Halo Planter</t>
        </is>
      </c>
      <c r="I1381" t="inlineStr">
        <is>
          <t>Home Decor</t>
        </is>
      </c>
      <c r="J1381" t="inlineStr">
        <is>
          <t>Decor</t>
        </is>
      </c>
      <c r="K1381" t="inlineStr">
        <is>
          <t>North</t>
        </is>
      </c>
      <c r="L1381" t="inlineStr">
        <is>
          <t>Quebec</t>
        </is>
      </c>
      <c r="M1381" t="inlineStr">
        <is>
          <t>Calgary</t>
        </is>
      </c>
      <c r="N1381" t="inlineStr">
        <is>
          <t>Ethan Brooks</t>
        </is>
      </c>
      <c r="O1381" t="n">
        <v>4</v>
      </c>
      <c r="P1381" s="3" t="n">
        <v>151.47</v>
      </c>
      <c r="Q1381" s="4" t="n">
        <v>0.002</v>
      </c>
      <c r="R1381" s="3" t="n">
        <v>604.67</v>
      </c>
      <c r="S1381" s="3" t="n">
        <v>312.96</v>
      </c>
      <c r="T1381" s="3" t="n">
        <v>282.51</v>
      </c>
      <c r="U1381" s="4" t="n">
        <v>0.4672</v>
      </c>
      <c r="V1381" s="3" t="n">
        <v>9.199999999999999</v>
      </c>
      <c r="W1381" t="inlineStr">
        <is>
          <t>Debit Card</t>
        </is>
      </c>
      <c r="X1381" t="inlineStr">
        <is>
          <t>Medium</t>
        </is>
      </c>
    </row>
    <row r="1382">
      <c r="A1382" t="inlineStr">
        <is>
          <t>ORD-01728</t>
        </is>
      </c>
      <c r="B1382" s="2" t="n">
        <v>46011</v>
      </c>
      <c r="C1382" s="2" t="n">
        <v>46012</v>
      </c>
      <c r="D1382" t="inlineStr">
        <is>
          <t>CUST-01728</t>
        </is>
      </c>
      <c r="E1382" t="inlineStr">
        <is>
          <t>Customer 1728</t>
        </is>
      </c>
      <c r="F1382" t="inlineStr">
        <is>
          <t>Corporate</t>
        </is>
      </c>
      <c r="G1382" t="inlineStr">
        <is>
          <t>P1013</t>
        </is>
      </c>
      <c r="H1382" t="inlineStr">
        <is>
          <t>Tide Cooler</t>
        </is>
      </c>
      <c r="I1382" t="inlineStr">
        <is>
          <t>Technology</t>
        </is>
      </c>
      <c r="J1382" t="inlineStr">
        <is>
          <t>Video</t>
        </is>
      </c>
      <c r="K1382" t="inlineStr">
        <is>
          <t>North</t>
        </is>
      </c>
      <c r="L1382" t="inlineStr">
        <is>
          <t>British Columbia</t>
        </is>
      </c>
      <c r="M1382" t="inlineStr">
        <is>
          <t>Vancouver</t>
        </is>
      </c>
      <c r="N1382" t="inlineStr">
        <is>
          <t>Ava Patel</t>
        </is>
      </c>
      <c r="O1382" t="n">
        <v>1</v>
      </c>
      <c r="P1382" s="3" t="n">
        <v>164.91</v>
      </c>
      <c r="Q1382" s="4" t="n">
        <v>0.042</v>
      </c>
      <c r="R1382" s="3" t="n">
        <v>157.98</v>
      </c>
      <c r="S1382" s="3" t="n">
        <v>96.88</v>
      </c>
      <c r="T1382" s="3" t="n">
        <v>54.3</v>
      </c>
      <c r="U1382" s="4" t="n">
        <v>0.3437</v>
      </c>
      <c r="V1382" s="3" t="n">
        <v>6.8</v>
      </c>
      <c r="W1382" t="inlineStr">
        <is>
          <t>Credit Card</t>
        </is>
      </c>
      <c r="X1382" t="inlineStr">
        <is>
          <t>High</t>
        </is>
      </c>
    </row>
    <row r="1383">
      <c r="A1383" t="inlineStr">
        <is>
          <t>ORD-01729</t>
        </is>
      </c>
      <c r="B1383" s="2" t="n">
        <v>45834</v>
      </c>
      <c r="C1383" s="2" t="n">
        <v>45839</v>
      </c>
      <c r="D1383" t="inlineStr">
        <is>
          <t>CUST-01729</t>
        </is>
      </c>
      <c r="E1383" t="inlineStr">
        <is>
          <t>Customer 1729</t>
        </is>
      </c>
      <c r="F1383" t="inlineStr">
        <is>
          <t>Corporate</t>
        </is>
      </c>
      <c r="G1383" t="inlineStr">
        <is>
          <t>P1018</t>
        </is>
      </c>
      <c r="H1383" t="inlineStr">
        <is>
          <t>FlexNote Notebook</t>
        </is>
      </c>
      <c r="I1383" t="inlineStr">
        <is>
          <t>Home Decor</t>
        </is>
      </c>
      <c r="J1383" t="inlineStr">
        <is>
          <t>Flooring</t>
        </is>
      </c>
      <c r="K1383" t="inlineStr">
        <is>
          <t>North</t>
        </is>
      </c>
      <c r="L1383" t="inlineStr">
        <is>
          <t>British Columbia</t>
        </is>
      </c>
      <c r="M1383" t="inlineStr">
        <is>
          <t>Montreal</t>
        </is>
      </c>
      <c r="N1383" t="inlineStr">
        <is>
          <t>Ethan Brooks</t>
        </is>
      </c>
      <c r="O1383" t="n">
        <v>2</v>
      </c>
      <c r="P1383" s="3" t="n">
        <v>88.8</v>
      </c>
      <c r="Q1383" s="4" t="n">
        <v>0.03</v>
      </c>
      <c r="R1383" s="3" t="n">
        <v>172.27</v>
      </c>
      <c r="S1383" s="3" t="n">
        <v>83.48</v>
      </c>
      <c r="T1383" s="3" t="n">
        <v>81.19</v>
      </c>
      <c r="U1383" s="4" t="n">
        <v>0.4713</v>
      </c>
      <c r="V1383" s="3" t="n">
        <v>7.6</v>
      </c>
      <c r="W1383" t="inlineStr">
        <is>
          <t>Credit Card</t>
        </is>
      </c>
      <c r="X1383" t="inlineStr">
        <is>
          <t>Low</t>
        </is>
      </c>
    </row>
    <row r="1384">
      <c r="A1384" t="inlineStr">
        <is>
          <t>ORD-01732</t>
        </is>
      </c>
      <c r="B1384" s="2" t="n">
        <v>45364</v>
      </c>
      <c r="C1384" s="2" t="n">
        <v>45367</v>
      </c>
      <c r="D1384" t="inlineStr">
        <is>
          <t>CUST-01732</t>
        </is>
      </c>
      <c r="E1384" t="inlineStr">
        <is>
          <t>Customer 1732</t>
        </is>
      </c>
      <c r="F1384" t="inlineStr">
        <is>
          <t>Consumer</t>
        </is>
      </c>
      <c r="G1384" t="inlineStr">
        <is>
          <t>P1020</t>
        </is>
      </c>
      <c r="H1384" t="inlineStr">
        <is>
          <t>Summit Patio Set</t>
        </is>
      </c>
      <c r="I1384" t="inlineStr">
        <is>
          <t>Outdoor</t>
        </is>
      </c>
      <c r="J1384" t="inlineStr">
        <is>
          <t>Desks</t>
        </is>
      </c>
      <c r="K1384" t="inlineStr">
        <is>
          <t>North</t>
        </is>
      </c>
      <c r="L1384" t="inlineStr">
        <is>
          <t>Alberta</t>
        </is>
      </c>
      <c r="M1384" t="inlineStr">
        <is>
          <t>Calgary</t>
        </is>
      </c>
      <c r="N1384" t="inlineStr">
        <is>
          <t>Sophia Singh</t>
        </is>
      </c>
      <c r="O1384" t="n">
        <v>2</v>
      </c>
      <c r="P1384" s="3" t="n">
        <v>69.52</v>
      </c>
      <c r="Q1384" s="4" t="n">
        <v>0.003</v>
      </c>
      <c r="R1384" s="3" t="n">
        <v>138.62</v>
      </c>
      <c r="S1384" s="3" t="n">
        <v>71.84999999999999</v>
      </c>
      <c r="T1384" s="3" t="n">
        <v>59.17</v>
      </c>
      <c r="U1384" s="4" t="n">
        <v>0.4269</v>
      </c>
      <c r="V1384" s="3" t="n">
        <v>7.6</v>
      </c>
      <c r="W1384" t="inlineStr">
        <is>
          <t>PayPal</t>
        </is>
      </c>
      <c r="X1384" t="inlineStr">
        <is>
          <t>Medium</t>
        </is>
      </c>
    </row>
    <row r="1385">
      <c r="A1385" t="inlineStr">
        <is>
          <t>ORD-01764</t>
        </is>
      </c>
      <c r="B1385" s="2" t="n">
        <v>45563</v>
      </c>
      <c r="C1385" s="2" t="n">
        <v>45570</v>
      </c>
      <c r="D1385" t="inlineStr">
        <is>
          <t>CUST-01764</t>
        </is>
      </c>
      <c r="E1385" t="inlineStr">
        <is>
          <t>Customer 1764</t>
        </is>
      </c>
      <c r="F1385" t="inlineStr">
        <is>
          <t>Consumer</t>
        </is>
      </c>
      <c r="G1385" t="inlineStr">
        <is>
          <t>P1006</t>
        </is>
      </c>
      <c r="H1385" t="inlineStr">
        <is>
          <t>Trail Tote</t>
        </is>
      </c>
      <c r="I1385" t="inlineStr">
        <is>
          <t>Office Supplies</t>
        </is>
      </c>
      <c r="J1385" t="inlineStr">
        <is>
          <t>Writing</t>
        </is>
      </c>
      <c r="K1385" t="inlineStr">
        <is>
          <t>North</t>
        </is>
      </c>
      <c r="L1385" t="inlineStr">
        <is>
          <t>Alberta</t>
        </is>
      </c>
      <c r="M1385" t="inlineStr">
        <is>
          <t>Montreal</t>
        </is>
      </c>
      <c r="N1385" t="inlineStr">
        <is>
          <t>Noah Kim</t>
        </is>
      </c>
      <c r="O1385" t="n">
        <v>4</v>
      </c>
      <c r="P1385" s="3" t="n">
        <v>18.8</v>
      </c>
      <c r="Q1385" s="4" t="n">
        <v>0.049</v>
      </c>
      <c r="R1385" s="3" t="n">
        <v>71.52</v>
      </c>
      <c r="S1385" s="3" t="n">
        <v>26.41</v>
      </c>
      <c r="T1385" s="3" t="n">
        <v>35.91</v>
      </c>
      <c r="U1385" s="4" t="n">
        <v>0.5021</v>
      </c>
      <c r="V1385" s="3" t="n">
        <v>9.199999999999999</v>
      </c>
      <c r="W1385" t="inlineStr">
        <is>
          <t>Bank Transfer</t>
        </is>
      </c>
      <c r="X1385" t="inlineStr">
        <is>
          <t>Critical</t>
        </is>
      </c>
    </row>
    <row r="1386">
      <c r="A1386" t="inlineStr">
        <is>
          <t>ORD-01767</t>
        </is>
      </c>
      <c r="B1386" s="2" t="n">
        <v>45800</v>
      </c>
      <c r="C1386" s="2" t="n">
        <v>45803</v>
      </c>
      <c r="D1386" t="inlineStr">
        <is>
          <t>CUST-01767</t>
        </is>
      </c>
      <c r="E1386" t="inlineStr">
        <is>
          <t>Customer 1767</t>
        </is>
      </c>
      <c r="F1386" t="inlineStr">
        <is>
          <t>Consumer</t>
        </is>
      </c>
      <c r="G1386" t="inlineStr">
        <is>
          <t>P1004</t>
        </is>
      </c>
      <c r="H1386" t="inlineStr">
        <is>
          <t>Atlas Throw Pillow</t>
        </is>
      </c>
      <c r="I1386" t="inlineStr">
        <is>
          <t>Technology</t>
        </is>
      </c>
      <c r="J1386" t="inlineStr">
        <is>
          <t>Peripherals</t>
        </is>
      </c>
      <c r="K1386" t="inlineStr">
        <is>
          <t>North</t>
        </is>
      </c>
      <c r="L1386" t="inlineStr">
        <is>
          <t>Alberta</t>
        </is>
      </c>
      <c r="M1386" t="inlineStr">
        <is>
          <t>Montreal</t>
        </is>
      </c>
      <c r="N1386" t="inlineStr">
        <is>
          <t>Noah Kim</t>
        </is>
      </c>
      <c r="O1386" t="n">
        <v>1</v>
      </c>
      <c r="P1386" s="3" t="n">
        <v>615.16</v>
      </c>
      <c r="Q1386" s="4" t="n">
        <v>0.002</v>
      </c>
      <c r="R1386" s="3" t="n">
        <v>613.9299999999999</v>
      </c>
      <c r="S1386" s="3" t="n">
        <v>397.09</v>
      </c>
      <c r="T1386" s="3" t="n">
        <v>210.04</v>
      </c>
      <c r="U1386" s="4" t="n">
        <v>0.3421</v>
      </c>
      <c r="V1386" s="3" t="n">
        <v>6.8</v>
      </c>
      <c r="W1386" t="inlineStr">
        <is>
          <t>Debit Card</t>
        </is>
      </c>
      <c r="X1386" t="inlineStr">
        <is>
          <t>Medium</t>
        </is>
      </c>
    </row>
    <row r="1387">
      <c r="A1387" t="inlineStr">
        <is>
          <t>ORD-01769</t>
        </is>
      </c>
      <c r="B1387" s="2" t="n">
        <v>45352</v>
      </c>
      <c r="C1387" s="2" t="n">
        <v>45355</v>
      </c>
      <c r="D1387" t="inlineStr">
        <is>
          <t>CUST-01769</t>
        </is>
      </c>
      <c r="E1387" t="inlineStr">
        <is>
          <t>Customer 1769</t>
        </is>
      </c>
      <c r="F1387" t="inlineStr">
        <is>
          <t>Consumer</t>
        </is>
      </c>
      <c r="G1387" t="inlineStr">
        <is>
          <t>P1015</t>
        </is>
      </c>
      <c r="H1387" t="inlineStr">
        <is>
          <t>Summit Patio Set</t>
        </is>
      </c>
      <c r="I1387" t="inlineStr">
        <is>
          <t>Furniture</t>
        </is>
      </c>
      <c r="J1387" t="inlineStr">
        <is>
          <t>Textiles</t>
        </is>
      </c>
      <c r="K1387" t="inlineStr">
        <is>
          <t>North</t>
        </is>
      </c>
      <c r="L1387" t="inlineStr">
        <is>
          <t>British Columbia</t>
        </is>
      </c>
      <c r="M1387" t="inlineStr">
        <is>
          <t>Toronto</t>
        </is>
      </c>
      <c r="N1387" t="inlineStr">
        <is>
          <t>Ethan Brooks</t>
        </is>
      </c>
      <c r="O1387" t="n">
        <v>4</v>
      </c>
      <c r="P1387" s="3" t="n">
        <v>68.45999999999999</v>
      </c>
      <c r="Q1387" s="4" t="n">
        <v>0.012</v>
      </c>
      <c r="R1387" s="3" t="n">
        <v>270.55</v>
      </c>
      <c r="S1387" s="3" t="n">
        <v>121.93</v>
      </c>
      <c r="T1387" s="3" t="n">
        <v>139.42</v>
      </c>
      <c r="U1387" s="4" t="n">
        <v>0.5153</v>
      </c>
      <c r="V1387" s="3" t="n">
        <v>9.199999999999999</v>
      </c>
      <c r="W1387" t="inlineStr">
        <is>
          <t>Cash on Delivery</t>
        </is>
      </c>
      <c r="X1387" t="inlineStr">
        <is>
          <t>Low</t>
        </is>
      </c>
    </row>
    <row r="1388">
      <c r="A1388" t="inlineStr">
        <is>
          <t>ORD-01777</t>
        </is>
      </c>
      <c r="B1388" s="2" t="n">
        <v>45780</v>
      </c>
      <c r="C1388" s="2" t="n">
        <v>45783</v>
      </c>
      <c r="D1388" t="inlineStr">
        <is>
          <t>CUST-01777</t>
        </is>
      </c>
      <c r="E1388" t="inlineStr">
        <is>
          <t>Customer 1777</t>
        </is>
      </c>
      <c r="F1388" t="inlineStr">
        <is>
          <t>Consumer</t>
        </is>
      </c>
      <c r="G1388" t="inlineStr">
        <is>
          <t>P1008</t>
        </is>
      </c>
      <c r="H1388" t="inlineStr">
        <is>
          <t>Harbor Rug</t>
        </is>
      </c>
      <c r="I1388" t="inlineStr">
        <is>
          <t>Furniture</t>
        </is>
      </c>
      <c r="J1388" t="inlineStr">
        <is>
          <t>Bags</t>
        </is>
      </c>
      <c r="K1388" t="inlineStr">
        <is>
          <t>North</t>
        </is>
      </c>
      <c r="L1388" t="inlineStr">
        <is>
          <t>Quebec</t>
        </is>
      </c>
      <c r="M1388" t="inlineStr">
        <is>
          <t>Montreal</t>
        </is>
      </c>
      <c r="N1388" t="inlineStr">
        <is>
          <t>Ava Patel</t>
        </is>
      </c>
      <c r="O1388" t="n">
        <v>2</v>
      </c>
      <c r="P1388" s="3" t="n">
        <v>36.6</v>
      </c>
      <c r="Q1388" s="4" t="n">
        <v>0.001</v>
      </c>
      <c r="R1388" s="3" t="n">
        <v>73.13</v>
      </c>
      <c r="S1388" s="3" t="n">
        <v>38.87</v>
      </c>
      <c r="T1388" s="3" t="n">
        <v>26.66</v>
      </c>
      <c r="U1388" s="4" t="n">
        <v>0.3646</v>
      </c>
      <c r="V1388" s="3" t="n">
        <v>7.6</v>
      </c>
      <c r="W1388" t="inlineStr">
        <is>
          <t>Bank Transfer</t>
        </is>
      </c>
      <c r="X1388" t="inlineStr">
        <is>
          <t>Medium</t>
        </is>
      </c>
    </row>
    <row r="1389">
      <c r="A1389" t="inlineStr">
        <is>
          <t>ORD-01790</t>
        </is>
      </c>
      <c r="B1389" s="2" t="n">
        <v>45383</v>
      </c>
      <c r="C1389" s="2" t="n">
        <v>45387</v>
      </c>
      <c r="D1389" t="inlineStr">
        <is>
          <t>CUST-01790</t>
        </is>
      </c>
      <c r="E1389" t="inlineStr">
        <is>
          <t>Customer 1790</t>
        </is>
      </c>
      <c r="F1389" t="inlineStr">
        <is>
          <t>Home Office</t>
        </is>
      </c>
      <c r="G1389" t="inlineStr">
        <is>
          <t>P1009</t>
        </is>
      </c>
      <c r="H1389" t="inlineStr">
        <is>
          <t>Harbor Rug</t>
        </is>
      </c>
      <c r="I1389" t="inlineStr">
        <is>
          <t>Technology</t>
        </is>
      </c>
      <c r="J1389" t="inlineStr">
        <is>
          <t>Writing</t>
        </is>
      </c>
      <c r="K1389" t="inlineStr">
        <is>
          <t>North</t>
        </is>
      </c>
      <c r="L1389" t="inlineStr">
        <is>
          <t>Quebec</t>
        </is>
      </c>
      <c r="M1389" t="inlineStr">
        <is>
          <t>Calgary</t>
        </is>
      </c>
      <c r="N1389" t="inlineStr">
        <is>
          <t>Ethan Brooks</t>
        </is>
      </c>
      <c r="O1389" t="n">
        <v>5</v>
      </c>
      <c r="P1389" s="3" t="n">
        <v>90.43000000000001</v>
      </c>
      <c r="Q1389" s="4" t="n">
        <v>0.005</v>
      </c>
      <c r="R1389" s="3" t="n">
        <v>449.89</v>
      </c>
      <c r="S1389" s="3" t="n">
        <v>217.06</v>
      </c>
      <c r="T1389" s="3" t="n">
        <v>222.83</v>
      </c>
      <c r="U1389" s="4" t="n">
        <v>0.4953</v>
      </c>
      <c r="V1389" s="3" t="n">
        <v>10</v>
      </c>
      <c r="W1389" t="inlineStr">
        <is>
          <t>PayPal</t>
        </is>
      </c>
      <c r="X1389" t="inlineStr">
        <is>
          <t>Medium</t>
        </is>
      </c>
    </row>
    <row r="1390">
      <c r="A1390" t="inlineStr">
        <is>
          <t>ORD-01799</t>
        </is>
      </c>
      <c r="B1390" s="2" t="n">
        <v>45285</v>
      </c>
      <c r="C1390" s="2" t="n">
        <v>45291</v>
      </c>
      <c r="D1390" t="inlineStr">
        <is>
          <t>CUST-01799</t>
        </is>
      </c>
      <c r="E1390" t="inlineStr">
        <is>
          <t>Customer 1799</t>
        </is>
      </c>
      <c r="F1390" t="inlineStr">
        <is>
          <t>Corporate</t>
        </is>
      </c>
      <c r="G1390" t="inlineStr">
        <is>
          <t>P1015</t>
        </is>
      </c>
      <c r="H1390" t="inlineStr">
        <is>
          <t>SmartInk Pen Set</t>
        </is>
      </c>
      <c r="I1390" t="inlineStr">
        <is>
          <t>Home Decor</t>
        </is>
      </c>
      <c r="J1390" t="inlineStr">
        <is>
          <t>Furniture</t>
        </is>
      </c>
      <c r="K1390" t="inlineStr">
        <is>
          <t>North</t>
        </is>
      </c>
      <c r="L1390" t="inlineStr">
        <is>
          <t>British Columbia</t>
        </is>
      </c>
      <c r="M1390" t="inlineStr">
        <is>
          <t>Toronto</t>
        </is>
      </c>
      <c r="N1390" t="inlineStr">
        <is>
          <t>Liam Chen</t>
        </is>
      </c>
      <c r="O1390" t="n">
        <v>6</v>
      </c>
      <c r="P1390" s="3" t="n">
        <v>70.27</v>
      </c>
      <c r="Q1390" s="4" t="n">
        <v>0.029</v>
      </c>
      <c r="R1390" s="3" t="n">
        <v>409.39</v>
      </c>
      <c r="S1390" s="3" t="n">
        <v>176.11</v>
      </c>
      <c r="T1390" s="3" t="n">
        <v>222.48</v>
      </c>
      <c r="U1390" s="4" t="n">
        <v>0.5434</v>
      </c>
      <c r="V1390" s="3" t="n">
        <v>10.8</v>
      </c>
      <c r="W1390" t="inlineStr">
        <is>
          <t>Bank Transfer</t>
        </is>
      </c>
      <c r="X1390" t="inlineStr">
        <is>
          <t>Medium</t>
        </is>
      </c>
    </row>
    <row r="1391">
      <c r="A1391" t="inlineStr">
        <is>
          <t>ORD-01800</t>
        </is>
      </c>
      <c r="B1391" s="2" t="n">
        <v>44966</v>
      </c>
      <c r="C1391" s="2" t="n">
        <v>44973</v>
      </c>
      <c r="D1391" t="inlineStr">
        <is>
          <t>CUST-01800</t>
        </is>
      </c>
      <c r="E1391" t="inlineStr">
        <is>
          <t>Customer 1800</t>
        </is>
      </c>
      <c r="F1391" t="inlineStr">
        <is>
          <t>Home Office</t>
        </is>
      </c>
      <c r="G1391" t="inlineStr">
        <is>
          <t>P1006</t>
        </is>
      </c>
      <c r="H1391" t="inlineStr">
        <is>
          <t>Echo Web Camera</t>
        </is>
      </c>
      <c r="I1391" t="inlineStr">
        <is>
          <t>Home Decor</t>
        </is>
      </c>
      <c r="J1391" t="inlineStr">
        <is>
          <t>Accessories</t>
        </is>
      </c>
      <c r="K1391" t="inlineStr">
        <is>
          <t>North</t>
        </is>
      </c>
      <c r="L1391" t="inlineStr">
        <is>
          <t>British Columbia</t>
        </is>
      </c>
      <c r="M1391" t="inlineStr">
        <is>
          <t>Montreal</t>
        </is>
      </c>
      <c r="N1391" t="inlineStr">
        <is>
          <t>James Carter</t>
        </is>
      </c>
      <c r="O1391" t="n">
        <v>2</v>
      </c>
      <c r="P1391" s="3" t="n">
        <v>18.43</v>
      </c>
      <c r="Q1391" s="4" t="n">
        <v>0.019</v>
      </c>
      <c r="R1391" s="3" t="n">
        <v>36.16</v>
      </c>
      <c r="S1391" s="3" t="n">
        <v>15.15</v>
      </c>
      <c r="T1391" s="3" t="n">
        <v>13.41</v>
      </c>
      <c r="U1391" s="4" t="n">
        <v>0.3709</v>
      </c>
      <c r="V1391" s="3" t="n">
        <v>7.6</v>
      </c>
      <c r="W1391" t="inlineStr">
        <is>
          <t>Cash on Delivery</t>
        </is>
      </c>
      <c r="X1391" t="inlineStr">
        <is>
          <t>Low</t>
        </is>
      </c>
    </row>
    <row r="1392">
      <c r="A1392" t="inlineStr">
        <is>
          <t>ORD-01821</t>
        </is>
      </c>
      <c r="B1392" s="2" t="n">
        <v>45032</v>
      </c>
      <c r="C1392" s="2" t="n">
        <v>45033</v>
      </c>
      <c r="D1392" t="inlineStr">
        <is>
          <t>CUST-01821</t>
        </is>
      </c>
      <c r="E1392" t="inlineStr">
        <is>
          <t>Customer 21</t>
        </is>
      </c>
      <c r="F1392" t="inlineStr">
        <is>
          <t>Consumer</t>
        </is>
      </c>
      <c r="G1392" t="inlineStr">
        <is>
          <t>P1003</t>
        </is>
      </c>
      <c r="H1392" t="inlineStr">
        <is>
          <t>Halo Planter</t>
        </is>
      </c>
      <c r="I1392" t="inlineStr">
        <is>
          <t>Technology</t>
        </is>
      </c>
      <c r="J1392" t="inlineStr">
        <is>
          <t>Binders</t>
        </is>
      </c>
      <c r="K1392" t="inlineStr">
        <is>
          <t>North</t>
        </is>
      </c>
      <c r="L1392" t="inlineStr">
        <is>
          <t>Ontario</t>
        </is>
      </c>
      <c r="M1392" t="inlineStr">
        <is>
          <t>Calgary</t>
        </is>
      </c>
      <c r="N1392" t="inlineStr">
        <is>
          <t>Liam Chen</t>
        </is>
      </c>
      <c r="O1392" t="n">
        <v>4</v>
      </c>
      <c r="P1392" s="3" t="n">
        <v>149.08</v>
      </c>
      <c r="Q1392" s="4" t="n">
        <v>0.026</v>
      </c>
      <c r="R1392" s="3" t="n">
        <v>580.8200000000001</v>
      </c>
      <c r="S1392" s="3" t="n">
        <v>304.68</v>
      </c>
      <c r="T1392" s="3" t="n">
        <v>266.94</v>
      </c>
      <c r="U1392" s="4" t="n">
        <v>0.4596</v>
      </c>
      <c r="V1392" s="3" t="n">
        <v>9.199999999999999</v>
      </c>
      <c r="W1392" t="inlineStr">
        <is>
          <t>Credit Card</t>
        </is>
      </c>
      <c r="X1392" t="inlineStr">
        <is>
          <t>Medium</t>
        </is>
      </c>
    </row>
    <row r="1393">
      <c r="A1393" t="inlineStr">
        <is>
          <t>ORD-01836</t>
        </is>
      </c>
      <c r="B1393" s="2" t="n">
        <v>45763</v>
      </c>
      <c r="C1393" s="2" t="n">
        <v>45764</v>
      </c>
      <c r="D1393" t="inlineStr">
        <is>
          <t>CUST-01836</t>
        </is>
      </c>
      <c r="E1393" t="inlineStr">
        <is>
          <t>Customer 36</t>
        </is>
      </c>
      <c r="F1393" t="inlineStr">
        <is>
          <t>Consumer</t>
        </is>
      </c>
      <c r="G1393" t="inlineStr">
        <is>
          <t>P1010</t>
        </is>
      </c>
      <c r="H1393" t="inlineStr">
        <is>
          <t>Nova Laptop Stand</t>
        </is>
      </c>
      <c r="I1393" t="inlineStr">
        <is>
          <t>Outdoor</t>
        </is>
      </c>
      <c r="J1393" t="inlineStr">
        <is>
          <t>Storage</t>
        </is>
      </c>
      <c r="K1393" t="inlineStr">
        <is>
          <t>North</t>
        </is>
      </c>
      <c r="L1393" t="inlineStr">
        <is>
          <t>Alberta</t>
        </is>
      </c>
      <c r="M1393" t="inlineStr">
        <is>
          <t>Vancouver</t>
        </is>
      </c>
      <c r="N1393" t="inlineStr">
        <is>
          <t>Mia Rodriguez</t>
        </is>
      </c>
      <c r="O1393" t="n">
        <v>2</v>
      </c>
      <c r="P1393" s="3" t="n">
        <v>56.01</v>
      </c>
      <c r="Q1393" s="4" t="n">
        <v>0.016</v>
      </c>
      <c r="R1393" s="3" t="n">
        <v>110.23</v>
      </c>
      <c r="S1393" s="3" t="n">
        <v>50.23</v>
      </c>
      <c r="T1393" s="3" t="n">
        <v>52.4</v>
      </c>
      <c r="U1393" s="4" t="n">
        <v>0.4754</v>
      </c>
      <c r="V1393" s="3" t="n">
        <v>7.6</v>
      </c>
      <c r="W1393" t="inlineStr">
        <is>
          <t>Credit Card</t>
        </is>
      </c>
      <c r="X1393" t="inlineStr">
        <is>
          <t>High</t>
        </is>
      </c>
    </row>
    <row r="1394">
      <c r="A1394" t="inlineStr">
        <is>
          <t>ORD-01846</t>
        </is>
      </c>
      <c r="B1394" s="2" t="n">
        <v>45269</v>
      </c>
      <c r="C1394" s="2" t="n">
        <v>45275</v>
      </c>
      <c r="D1394" t="inlineStr">
        <is>
          <t>CUST-01846</t>
        </is>
      </c>
      <c r="E1394" t="inlineStr">
        <is>
          <t>Customer 46</t>
        </is>
      </c>
      <c r="F1394" t="inlineStr">
        <is>
          <t>Consumer</t>
        </is>
      </c>
      <c r="G1394" t="inlineStr">
        <is>
          <t>P1002</t>
        </is>
      </c>
      <c r="H1394" t="inlineStr">
        <is>
          <t>Nimbus Monitor Arm</t>
        </is>
      </c>
      <c r="I1394" t="inlineStr">
        <is>
          <t>Technology</t>
        </is>
      </c>
      <c r="J1394" t="inlineStr">
        <is>
          <t>Plants</t>
        </is>
      </c>
      <c r="K1394" t="inlineStr">
        <is>
          <t>North</t>
        </is>
      </c>
      <c r="L1394" t="inlineStr">
        <is>
          <t>Alberta</t>
        </is>
      </c>
      <c r="M1394" t="inlineStr">
        <is>
          <t>Montreal</t>
        </is>
      </c>
      <c r="N1394" t="inlineStr">
        <is>
          <t>Ava Patel</t>
        </is>
      </c>
      <c r="O1394" t="n">
        <v>3</v>
      </c>
      <c r="P1394" s="3" t="n">
        <v>83.89</v>
      </c>
      <c r="Q1394" s="4" t="n">
        <v>0.026</v>
      </c>
      <c r="R1394" s="3" t="n">
        <v>245.13</v>
      </c>
      <c r="S1394" s="3" t="n">
        <v>113.65</v>
      </c>
      <c r="T1394" s="3" t="n">
        <v>123.08</v>
      </c>
      <c r="U1394" s="4" t="n">
        <v>0.5021</v>
      </c>
      <c r="V1394" s="3" t="n">
        <v>8.4</v>
      </c>
      <c r="W1394" t="inlineStr">
        <is>
          <t>PayPal</t>
        </is>
      </c>
      <c r="X1394" t="inlineStr">
        <is>
          <t>Medium</t>
        </is>
      </c>
    </row>
    <row r="1395">
      <c r="A1395" t="inlineStr">
        <is>
          <t>ORD-01850</t>
        </is>
      </c>
      <c r="B1395" s="2" t="n">
        <v>45621</v>
      </c>
      <c r="C1395" s="2" t="n">
        <v>45624</v>
      </c>
      <c r="D1395" t="inlineStr">
        <is>
          <t>CUST-01850</t>
        </is>
      </c>
      <c r="E1395" t="inlineStr">
        <is>
          <t>Customer 50</t>
        </is>
      </c>
      <c r="F1395" t="inlineStr">
        <is>
          <t>Corporate</t>
        </is>
      </c>
      <c r="G1395" t="inlineStr">
        <is>
          <t>P1012</t>
        </is>
      </c>
      <c r="H1395" t="inlineStr">
        <is>
          <t>Halo Planter</t>
        </is>
      </c>
      <c r="I1395" t="inlineStr">
        <is>
          <t>Office Supplies</t>
        </is>
      </c>
      <c r="J1395" t="inlineStr">
        <is>
          <t>Coolers</t>
        </is>
      </c>
      <c r="K1395" t="inlineStr">
        <is>
          <t>North</t>
        </is>
      </c>
      <c r="L1395" t="inlineStr">
        <is>
          <t>Ontario</t>
        </is>
      </c>
      <c r="M1395" t="inlineStr">
        <is>
          <t>Calgary</t>
        </is>
      </c>
      <c r="N1395" t="inlineStr">
        <is>
          <t>Sophia Singh</t>
        </is>
      </c>
      <c r="O1395" t="n">
        <v>5</v>
      </c>
      <c r="P1395" s="3" t="n">
        <v>134.3</v>
      </c>
      <c r="Q1395" s="4" t="n">
        <v>0.029</v>
      </c>
      <c r="R1395" s="3" t="n">
        <v>652.03</v>
      </c>
      <c r="S1395" s="3" t="n">
        <v>328.34</v>
      </c>
      <c r="T1395" s="3" t="n">
        <v>313.69</v>
      </c>
      <c r="U1395" s="4" t="n">
        <v>0.4811</v>
      </c>
      <c r="V1395" s="3" t="n">
        <v>10</v>
      </c>
      <c r="W1395" t="inlineStr">
        <is>
          <t>PayPal</t>
        </is>
      </c>
      <c r="X1395" t="inlineStr">
        <is>
          <t>High</t>
        </is>
      </c>
    </row>
    <row r="1396">
      <c r="A1396" t="inlineStr">
        <is>
          <t>ORD-01855</t>
        </is>
      </c>
      <c r="B1396" s="2" t="n">
        <v>45707</v>
      </c>
      <c r="C1396" s="2" t="n">
        <v>45708</v>
      </c>
      <c r="D1396" t="inlineStr">
        <is>
          <t>CUST-01855</t>
        </is>
      </c>
      <c r="E1396" t="inlineStr">
        <is>
          <t>Customer 55</t>
        </is>
      </c>
      <c r="F1396" t="inlineStr">
        <is>
          <t>Consumer</t>
        </is>
      </c>
      <c r="G1396" t="inlineStr">
        <is>
          <t>P1002</t>
        </is>
      </c>
      <c r="H1396" t="inlineStr">
        <is>
          <t>Pulse Keyboard</t>
        </is>
      </c>
      <c r="I1396" t="inlineStr">
        <is>
          <t>Technology</t>
        </is>
      </c>
      <c r="J1396" t="inlineStr">
        <is>
          <t>Textiles</t>
        </is>
      </c>
      <c r="K1396" t="inlineStr">
        <is>
          <t>North</t>
        </is>
      </c>
      <c r="L1396" t="inlineStr">
        <is>
          <t>British Columbia</t>
        </is>
      </c>
      <c r="M1396" t="inlineStr">
        <is>
          <t>Vancouver</t>
        </is>
      </c>
      <c r="N1396" t="inlineStr">
        <is>
          <t>Sophia Singh</t>
        </is>
      </c>
      <c r="O1396" t="n">
        <v>3</v>
      </c>
      <c r="P1396" s="3" t="n">
        <v>77.26000000000001</v>
      </c>
      <c r="Q1396" s="4" t="n">
        <v>0.04</v>
      </c>
      <c r="R1396" s="3" t="n">
        <v>222.51</v>
      </c>
      <c r="S1396" s="3" t="n">
        <v>105.86</v>
      </c>
      <c r="T1396" s="3" t="n">
        <v>108.25</v>
      </c>
      <c r="U1396" s="4" t="n">
        <v>0.4865</v>
      </c>
      <c r="V1396" s="3" t="n">
        <v>8.4</v>
      </c>
      <c r="W1396" t="inlineStr">
        <is>
          <t>Debit Card</t>
        </is>
      </c>
      <c r="X1396" t="inlineStr">
        <is>
          <t>Critical</t>
        </is>
      </c>
    </row>
    <row r="1397">
      <c r="A1397" t="inlineStr">
        <is>
          <t>ORD-01857</t>
        </is>
      </c>
      <c r="B1397" s="2" t="n">
        <v>45972</v>
      </c>
      <c r="C1397" s="2" t="n">
        <v>45978</v>
      </c>
      <c r="D1397" t="inlineStr">
        <is>
          <t>CUST-01857</t>
        </is>
      </c>
      <c r="E1397" t="inlineStr">
        <is>
          <t>Customer 57</t>
        </is>
      </c>
      <c r="F1397" t="inlineStr">
        <is>
          <t>Consumer</t>
        </is>
      </c>
      <c r="G1397" t="inlineStr">
        <is>
          <t>P1004</t>
        </is>
      </c>
      <c r="H1397" t="inlineStr">
        <is>
          <t>Atlas Throw Pillow</t>
        </is>
      </c>
      <c r="I1397" t="inlineStr">
        <is>
          <t>Home Decor</t>
        </is>
      </c>
      <c r="J1397" t="inlineStr">
        <is>
          <t>Plants</t>
        </is>
      </c>
      <c r="K1397" t="inlineStr">
        <is>
          <t>North</t>
        </is>
      </c>
      <c r="L1397" t="inlineStr">
        <is>
          <t>British Columbia</t>
        </is>
      </c>
      <c r="M1397" t="inlineStr">
        <is>
          <t>Toronto</t>
        </is>
      </c>
      <c r="N1397" t="inlineStr">
        <is>
          <t>Mia Rodriguez</t>
        </is>
      </c>
      <c r="O1397" t="n">
        <v>2</v>
      </c>
      <c r="P1397" s="3" t="n">
        <v>664.73</v>
      </c>
      <c r="Q1397" s="4" t="n">
        <v>0.015</v>
      </c>
      <c r="R1397" s="3" t="n">
        <v>1309.52</v>
      </c>
      <c r="S1397" s="3" t="n">
        <v>829.86</v>
      </c>
      <c r="T1397" s="3" t="n">
        <v>472.06</v>
      </c>
      <c r="U1397" s="4" t="n">
        <v>0.3605</v>
      </c>
      <c r="V1397" s="3" t="n">
        <v>7.6</v>
      </c>
      <c r="W1397" t="inlineStr">
        <is>
          <t>Cash on Delivery</t>
        </is>
      </c>
      <c r="X1397" t="inlineStr">
        <is>
          <t>Medium</t>
        </is>
      </c>
    </row>
    <row r="1398">
      <c r="A1398" t="inlineStr">
        <is>
          <t>ORD-01885</t>
        </is>
      </c>
      <c r="B1398" s="2" t="n">
        <v>45164</v>
      </c>
      <c r="C1398" s="2" t="n">
        <v>45171</v>
      </c>
      <c r="D1398" t="inlineStr">
        <is>
          <t>CUST-01885</t>
        </is>
      </c>
      <c r="E1398" t="inlineStr">
        <is>
          <t>Customer 85</t>
        </is>
      </c>
      <c r="F1398" t="inlineStr">
        <is>
          <t>Consumer</t>
        </is>
      </c>
      <c r="G1398" t="inlineStr">
        <is>
          <t>P1012</t>
        </is>
      </c>
      <c r="H1398" t="inlineStr">
        <is>
          <t>Summit Patio Set</t>
        </is>
      </c>
      <c r="I1398" t="inlineStr">
        <is>
          <t>Home Decor</t>
        </is>
      </c>
      <c r="J1398" t="inlineStr">
        <is>
          <t>Bags</t>
        </is>
      </c>
      <c r="K1398" t="inlineStr">
        <is>
          <t>North</t>
        </is>
      </c>
      <c r="L1398" t="inlineStr">
        <is>
          <t>Quebec</t>
        </is>
      </c>
      <c r="M1398" t="inlineStr">
        <is>
          <t>Vancouver</t>
        </is>
      </c>
      <c r="N1398" t="inlineStr">
        <is>
          <t>Ava Patel</t>
        </is>
      </c>
      <c r="O1398" t="n">
        <v>1</v>
      </c>
      <c r="P1398" s="3" t="n">
        <v>131.06</v>
      </c>
      <c r="Q1398" s="4" t="n">
        <v>0.01</v>
      </c>
      <c r="R1398" s="3" t="n">
        <v>129.75</v>
      </c>
      <c r="S1398" s="3" t="n">
        <v>68.09</v>
      </c>
      <c r="T1398" s="3" t="n">
        <v>54.86</v>
      </c>
      <c r="U1398" s="4" t="n">
        <v>0.4228</v>
      </c>
      <c r="V1398" s="3" t="n">
        <v>6.8</v>
      </c>
      <c r="W1398" t="inlineStr">
        <is>
          <t>Bank Transfer</t>
        </is>
      </c>
      <c r="X1398" t="inlineStr">
        <is>
          <t>Medium</t>
        </is>
      </c>
    </row>
    <row r="1399">
      <c r="A1399" t="inlineStr">
        <is>
          <t>ORD-01888</t>
        </is>
      </c>
      <c r="B1399" s="2" t="n">
        <v>45055</v>
      </c>
      <c r="C1399" s="2" t="n">
        <v>45062</v>
      </c>
      <c r="D1399" t="inlineStr">
        <is>
          <t>CUST-01888</t>
        </is>
      </c>
      <c r="E1399" t="inlineStr">
        <is>
          <t>Customer 88</t>
        </is>
      </c>
      <c r="F1399" t="inlineStr">
        <is>
          <t>Corporate</t>
        </is>
      </c>
      <c r="G1399" t="inlineStr">
        <is>
          <t>P1015</t>
        </is>
      </c>
      <c r="H1399" t="inlineStr">
        <is>
          <t>Cove Wall Clock</t>
        </is>
      </c>
      <c r="I1399" t="inlineStr">
        <is>
          <t>Office Supplies</t>
        </is>
      </c>
      <c r="J1399" t="inlineStr">
        <is>
          <t>Furniture</t>
        </is>
      </c>
      <c r="K1399" t="inlineStr">
        <is>
          <t>North</t>
        </is>
      </c>
      <c r="L1399" t="inlineStr">
        <is>
          <t>Quebec</t>
        </is>
      </c>
      <c r="M1399" t="inlineStr">
        <is>
          <t>Calgary</t>
        </is>
      </c>
      <c r="N1399" t="inlineStr">
        <is>
          <t>Noah Kim</t>
        </is>
      </c>
      <c r="O1399" t="n">
        <v>3</v>
      </c>
      <c r="P1399" s="3" t="n">
        <v>70.11</v>
      </c>
      <c r="Q1399" s="4" t="n">
        <v>0.024</v>
      </c>
      <c r="R1399" s="3" t="n">
        <v>205.28</v>
      </c>
      <c r="S1399" s="3" t="n">
        <v>98.12</v>
      </c>
      <c r="T1399" s="3" t="n">
        <v>98.76000000000001</v>
      </c>
      <c r="U1399" s="4" t="n">
        <v>0.4811</v>
      </c>
      <c r="V1399" s="3" t="n">
        <v>8.4</v>
      </c>
      <c r="W1399" t="inlineStr">
        <is>
          <t>Credit Card</t>
        </is>
      </c>
      <c r="X1399" t="inlineStr">
        <is>
          <t>Low</t>
        </is>
      </c>
    </row>
    <row r="1400">
      <c r="A1400" t="inlineStr">
        <is>
          <t>ORD-01901</t>
        </is>
      </c>
      <c r="B1400" s="2" t="n">
        <v>45577</v>
      </c>
      <c r="C1400" s="2" t="n">
        <v>45583</v>
      </c>
      <c r="D1400" t="inlineStr">
        <is>
          <t>CUST-01901</t>
        </is>
      </c>
      <c r="E1400" t="inlineStr">
        <is>
          <t>Customer 101</t>
        </is>
      </c>
      <c r="F1400" t="inlineStr">
        <is>
          <t>Consumer</t>
        </is>
      </c>
      <c r="G1400" t="inlineStr">
        <is>
          <t>P1006</t>
        </is>
      </c>
      <c r="H1400" t="inlineStr">
        <is>
          <t>FlexNote Notebook</t>
        </is>
      </c>
      <c r="I1400" t="inlineStr">
        <is>
          <t>Outdoor</t>
        </is>
      </c>
      <c r="J1400" t="inlineStr">
        <is>
          <t>Writing</t>
        </is>
      </c>
      <c r="K1400" t="inlineStr">
        <is>
          <t>North</t>
        </is>
      </c>
      <c r="L1400" t="inlineStr">
        <is>
          <t>Alberta</t>
        </is>
      </c>
      <c r="M1400" t="inlineStr">
        <is>
          <t>Vancouver</t>
        </is>
      </c>
      <c r="N1400" t="inlineStr">
        <is>
          <t>Mia Rodriguez</t>
        </is>
      </c>
      <c r="O1400" t="n">
        <v>2</v>
      </c>
      <c r="P1400" s="3" t="n">
        <v>19.75</v>
      </c>
      <c r="Q1400" s="4" t="n">
        <v>0.027</v>
      </c>
      <c r="R1400" s="3" t="n">
        <v>38.43</v>
      </c>
      <c r="S1400" s="3" t="n">
        <v>21.89</v>
      </c>
      <c r="T1400" s="3" t="n">
        <v>8.94</v>
      </c>
      <c r="U1400" s="4" t="n">
        <v>0.2326</v>
      </c>
      <c r="V1400" s="3" t="n">
        <v>7.6</v>
      </c>
      <c r="W1400" t="inlineStr">
        <is>
          <t>Credit Card</t>
        </is>
      </c>
      <c r="X1400" t="inlineStr">
        <is>
          <t>Critical</t>
        </is>
      </c>
    </row>
    <row r="1401">
      <c r="A1401" t="inlineStr">
        <is>
          <t>ORD-01919</t>
        </is>
      </c>
      <c r="B1401" s="2" t="n">
        <v>45514</v>
      </c>
      <c r="C1401" s="2" t="n">
        <v>45516</v>
      </c>
      <c r="D1401" t="inlineStr">
        <is>
          <t>CUST-01919</t>
        </is>
      </c>
      <c r="E1401" t="inlineStr">
        <is>
          <t>Customer 119</t>
        </is>
      </c>
      <c r="F1401" t="inlineStr">
        <is>
          <t>Consumer</t>
        </is>
      </c>
      <c r="G1401" t="inlineStr">
        <is>
          <t>P1016</t>
        </is>
      </c>
      <c r="H1401" t="inlineStr">
        <is>
          <t>FlexNote Notebook</t>
        </is>
      </c>
      <c r="I1401" t="inlineStr">
        <is>
          <t>Furniture</t>
        </is>
      </c>
      <c r="J1401" t="inlineStr">
        <is>
          <t>Video</t>
        </is>
      </c>
      <c r="K1401" t="inlineStr">
        <is>
          <t>North</t>
        </is>
      </c>
      <c r="L1401" t="inlineStr">
        <is>
          <t>Quebec</t>
        </is>
      </c>
      <c r="M1401" t="inlineStr">
        <is>
          <t>Toronto</t>
        </is>
      </c>
      <c r="N1401" t="inlineStr">
        <is>
          <t>Ethan Brooks</t>
        </is>
      </c>
      <c r="O1401" t="n">
        <v>3</v>
      </c>
      <c r="P1401" s="3" t="n">
        <v>38.67</v>
      </c>
      <c r="Q1401" s="4" t="n">
        <v>0.003</v>
      </c>
      <c r="R1401" s="3" t="n">
        <v>115.66</v>
      </c>
      <c r="S1401" s="3" t="n">
        <v>48.18</v>
      </c>
      <c r="T1401" s="3" t="n">
        <v>59.08</v>
      </c>
      <c r="U1401" s="4" t="n">
        <v>0.5108</v>
      </c>
      <c r="V1401" s="3" t="n">
        <v>8.4</v>
      </c>
      <c r="W1401" t="inlineStr">
        <is>
          <t>Bank Transfer</t>
        </is>
      </c>
      <c r="X1401" t="inlineStr">
        <is>
          <t>Medium</t>
        </is>
      </c>
    </row>
    <row r="1402">
      <c r="A1402" t="inlineStr">
        <is>
          <t>ORD-01959</t>
        </is>
      </c>
      <c r="B1402" s="2" t="n">
        <v>45545</v>
      </c>
      <c r="C1402" s="2" t="n">
        <v>45546</v>
      </c>
      <c r="D1402" t="inlineStr">
        <is>
          <t>CUST-01959</t>
        </is>
      </c>
      <c r="E1402" t="inlineStr">
        <is>
          <t>Customer 159</t>
        </is>
      </c>
      <c r="F1402" t="inlineStr">
        <is>
          <t>Consumer</t>
        </is>
      </c>
      <c r="G1402" t="inlineStr">
        <is>
          <t>P1018</t>
        </is>
      </c>
      <c r="H1402" t="inlineStr">
        <is>
          <t>Aero Standing Desk</t>
        </is>
      </c>
      <c r="I1402" t="inlineStr">
        <is>
          <t>Technology</t>
        </is>
      </c>
      <c r="J1402" t="inlineStr">
        <is>
          <t>Writing</t>
        </is>
      </c>
      <c r="K1402" t="inlineStr">
        <is>
          <t>North</t>
        </is>
      </c>
      <c r="L1402" t="inlineStr">
        <is>
          <t>Alberta</t>
        </is>
      </c>
      <c r="M1402" t="inlineStr">
        <is>
          <t>Toronto</t>
        </is>
      </c>
      <c r="N1402" t="inlineStr">
        <is>
          <t>Ethan Brooks</t>
        </is>
      </c>
      <c r="O1402" t="n">
        <v>2</v>
      </c>
      <c r="P1402" s="3" t="n">
        <v>89.97</v>
      </c>
      <c r="Q1402" s="4" t="n">
        <v>0.056</v>
      </c>
      <c r="R1402" s="3" t="n">
        <v>169.86</v>
      </c>
      <c r="S1402" s="3" t="n">
        <v>79.92</v>
      </c>
      <c r="T1402" s="3" t="n">
        <v>82.34</v>
      </c>
      <c r="U1402" s="4" t="n">
        <v>0.4848</v>
      </c>
      <c r="V1402" s="3" t="n">
        <v>7.6</v>
      </c>
      <c r="W1402" t="inlineStr">
        <is>
          <t>Bank Transfer</t>
        </is>
      </c>
      <c r="X1402" t="inlineStr">
        <is>
          <t>High</t>
        </is>
      </c>
    </row>
    <row r="1403">
      <c r="A1403" t="inlineStr">
        <is>
          <t>ORD-01962</t>
        </is>
      </c>
      <c r="B1403" s="2" t="n">
        <v>45299</v>
      </c>
      <c r="C1403" s="2" t="n">
        <v>45306</v>
      </c>
      <c r="D1403" t="inlineStr">
        <is>
          <t>CUST-01962</t>
        </is>
      </c>
      <c r="E1403" t="inlineStr">
        <is>
          <t>Customer 162</t>
        </is>
      </c>
      <c r="F1403" t="inlineStr">
        <is>
          <t>Corporate</t>
        </is>
      </c>
      <c r="G1403" t="inlineStr">
        <is>
          <t>P1001</t>
        </is>
      </c>
      <c r="H1403" t="inlineStr">
        <is>
          <t>Nova Laptop Stand</t>
        </is>
      </c>
      <c r="I1403" t="inlineStr">
        <is>
          <t>Home Decor</t>
        </is>
      </c>
      <c r="J1403" t="inlineStr">
        <is>
          <t>Plants</t>
        </is>
      </c>
      <c r="K1403" t="inlineStr">
        <is>
          <t>North</t>
        </is>
      </c>
      <c r="L1403" t="inlineStr">
        <is>
          <t>Alberta</t>
        </is>
      </c>
      <c r="M1403" t="inlineStr">
        <is>
          <t>Toronto</t>
        </is>
      </c>
      <c r="N1403" t="inlineStr">
        <is>
          <t>Sophia Singh</t>
        </is>
      </c>
      <c r="O1403" t="n">
        <v>1</v>
      </c>
      <c r="P1403" s="3" t="n">
        <v>283.51</v>
      </c>
      <c r="Q1403" s="4" t="n">
        <v>0.036</v>
      </c>
      <c r="R1403" s="3" t="n">
        <v>273.3</v>
      </c>
      <c r="S1403" s="3" t="n">
        <v>165.09</v>
      </c>
      <c r="T1403" s="3" t="n">
        <v>101.41</v>
      </c>
      <c r="U1403" s="4" t="n">
        <v>0.3711</v>
      </c>
      <c r="V1403" s="3" t="n">
        <v>6.8</v>
      </c>
      <c r="W1403" t="inlineStr">
        <is>
          <t>Bank Transfer</t>
        </is>
      </c>
      <c r="X1403" t="inlineStr">
        <is>
          <t>Critical</t>
        </is>
      </c>
    </row>
    <row r="1404">
      <c r="A1404" t="inlineStr">
        <is>
          <t>ORD-01964</t>
        </is>
      </c>
      <c r="B1404" s="2" t="n">
        <v>45477</v>
      </c>
      <c r="C1404" s="2" t="n">
        <v>45484</v>
      </c>
      <c r="D1404" t="inlineStr">
        <is>
          <t>CUST-01964</t>
        </is>
      </c>
      <c r="E1404" t="inlineStr">
        <is>
          <t>Customer 164</t>
        </is>
      </c>
      <c r="F1404" t="inlineStr">
        <is>
          <t>Consumer</t>
        </is>
      </c>
      <c r="G1404" t="inlineStr">
        <is>
          <t>P1003</t>
        </is>
      </c>
      <c r="H1404" t="inlineStr">
        <is>
          <t>CloudDrive File Box</t>
        </is>
      </c>
      <c r="I1404" t="inlineStr">
        <is>
          <t>Home Decor</t>
        </is>
      </c>
      <c r="J1404" t="inlineStr">
        <is>
          <t>Lighting</t>
        </is>
      </c>
      <c r="K1404" t="inlineStr">
        <is>
          <t>North</t>
        </is>
      </c>
      <c r="L1404" t="inlineStr">
        <is>
          <t>British Columbia</t>
        </is>
      </c>
      <c r="M1404" t="inlineStr">
        <is>
          <t>Vancouver</t>
        </is>
      </c>
      <c r="N1404" t="inlineStr">
        <is>
          <t>Olivia Martin</t>
        </is>
      </c>
      <c r="O1404" t="n">
        <v>3</v>
      </c>
      <c r="P1404" s="3" t="n">
        <v>150.21</v>
      </c>
      <c r="Q1404" s="4" t="n">
        <v>0.031</v>
      </c>
      <c r="R1404" s="3" t="n">
        <v>436.66</v>
      </c>
      <c r="S1404" s="3" t="n">
        <v>228.52</v>
      </c>
      <c r="T1404" s="3" t="n">
        <v>199.74</v>
      </c>
      <c r="U1404" s="4" t="n">
        <v>0.4574</v>
      </c>
      <c r="V1404" s="3" t="n">
        <v>8.4</v>
      </c>
      <c r="W1404" t="inlineStr">
        <is>
          <t>Credit Card</t>
        </is>
      </c>
      <c r="X1404" t="inlineStr">
        <is>
          <t>Critical</t>
        </is>
      </c>
    </row>
    <row r="1405">
      <c r="A1405" t="inlineStr">
        <is>
          <t>ORD-01972</t>
        </is>
      </c>
      <c r="B1405" s="2" t="n">
        <v>45955</v>
      </c>
      <c r="C1405" s="2" t="n">
        <v>45961</v>
      </c>
      <c r="D1405" t="inlineStr">
        <is>
          <t>CUST-01972</t>
        </is>
      </c>
      <c r="E1405" t="inlineStr">
        <is>
          <t>Customer 172</t>
        </is>
      </c>
      <c r="F1405" t="inlineStr">
        <is>
          <t>Consumer</t>
        </is>
      </c>
      <c r="G1405" t="inlineStr">
        <is>
          <t>P1005</t>
        </is>
      </c>
      <c r="H1405" t="inlineStr">
        <is>
          <t>Northstar Lantern</t>
        </is>
      </c>
      <c r="I1405" t="inlineStr">
        <is>
          <t>Office Supplies</t>
        </is>
      </c>
      <c r="J1405" t="inlineStr">
        <is>
          <t>Paper</t>
        </is>
      </c>
      <c r="K1405" t="inlineStr">
        <is>
          <t>North</t>
        </is>
      </c>
      <c r="L1405" t="inlineStr">
        <is>
          <t>British Columbia</t>
        </is>
      </c>
      <c r="M1405" t="inlineStr">
        <is>
          <t>Toronto</t>
        </is>
      </c>
      <c r="N1405" t="inlineStr">
        <is>
          <t>Olivia Martin</t>
        </is>
      </c>
      <c r="O1405" t="n">
        <v>4</v>
      </c>
      <c r="P1405" s="3" t="n">
        <v>13.87</v>
      </c>
      <c r="Q1405" s="4" t="n">
        <v>0.004</v>
      </c>
      <c r="R1405" s="3" t="n">
        <v>55.26</v>
      </c>
      <c r="S1405" s="3" t="n">
        <v>27.44</v>
      </c>
      <c r="T1405" s="3" t="n">
        <v>18.62</v>
      </c>
      <c r="U1405" s="4" t="n">
        <v>0.337</v>
      </c>
      <c r="V1405" s="3" t="n">
        <v>9.199999999999999</v>
      </c>
      <c r="W1405" t="inlineStr">
        <is>
          <t>Debit Card</t>
        </is>
      </c>
      <c r="X1405" t="inlineStr">
        <is>
          <t>Medium</t>
        </is>
      </c>
    </row>
    <row r="1406">
      <c r="A1406" t="inlineStr">
        <is>
          <t>ORD-01979</t>
        </is>
      </c>
      <c r="B1406" s="2" t="n">
        <v>45802</v>
      </c>
      <c r="C1406" s="2" t="n">
        <v>45806</v>
      </c>
      <c r="D1406" t="inlineStr">
        <is>
          <t>CUST-01979</t>
        </is>
      </c>
      <c r="E1406" t="inlineStr">
        <is>
          <t>Customer 179</t>
        </is>
      </c>
      <c r="F1406" t="inlineStr">
        <is>
          <t>Consumer</t>
        </is>
      </c>
      <c r="G1406" t="inlineStr">
        <is>
          <t>P1012</t>
        </is>
      </c>
      <c r="H1406" t="inlineStr">
        <is>
          <t>Echo Web Camera</t>
        </is>
      </c>
      <c r="I1406" t="inlineStr">
        <is>
          <t>Home Decor</t>
        </is>
      </c>
      <c r="J1406" t="inlineStr">
        <is>
          <t>Textiles</t>
        </is>
      </c>
      <c r="K1406" t="inlineStr">
        <is>
          <t>North</t>
        </is>
      </c>
      <c r="L1406" t="inlineStr">
        <is>
          <t>Alberta</t>
        </is>
      </c>
      <c r="M1406" t="inlineStr">
        <is>
          <t>Montreal</t>
        </is>
      </c>
      <c r="N1406" t="inlineStr">
        <is>
          <t>Ethan Brooks</t>
        </is>
      </c>
      <c r="O1406" t="n">
        <v>2</v>
      </c>
      <c r="P1406" s="3" t="n">
        <v>124.55</v>
      </c>
      <c r="Q1406" s="4" t="n">
        <v>0.027</v>
      </c>
      <c r="R1406" s="3" t="n">
        <v>242.37</v>
      </c>
      <c r="S1406" s="3" t="n">
        <v>124.78</v>
      </c>
      <c r="T1406" s="3" t="n">
        <v>109.99</v>
      </c>
      <c r="U1406" s="4" t="n">
        <v>0.4538</v>
      </c>
      <c r="V1406" s="3" t="n">
        <v>7.6</v>
      </c>
      <c r="W1406" t="inlineStr">
        <is>
          <t>Debit Card</t>
        </is>
      </c>
      <c r="X1406" t="inlineStr">
        <is>
          <t>Medium</t>
        </is>
      </c>
    </row>
    <row r="1407">
      <c r="A1407" t="inlineStr">
        <is>
          <t>ORD-01981</t>
        </is>
      </c>
      <c r="B1407" s="2" t="n">
        <v>44985</v>
      </c>
      <c r="C1407" s="2" t="n">
        <v>44988</v>
      </c>
      <c r="D1407" t="inlineStr">
        <is>
          <t>CUST-01981</t>
        </is>
      </c>
      <c r="E1407" t="inlineStr">
        <is>
          <t>Customer 181</t>
        </is>
      </c>
      <c r="F1407" t="inlineStr">
        <is>
          <t>Consumer</t>
        </is>
      </c>
      <c r="G1407" t="inlineStr">
        <is>
          <t>P1016</t>
        </is>
      </c>
      <c r="H1407" t="inlineStr">
        <is>
          <t>Atlas Throw Pillow</t>
        </is>
      </c>
      <c r="I1407" t="inlineStr">
        <is>
          <t>Home Decor</t>
        </is>
      </c>
      <c r="J1407" t="inlineStr">
        <is>
          <t>Paper</t>
        </is>
      </c>
      <c r="K1407" t="inlineStr">
        <is>
          <t>North</t>
        </is>
      </c>
      <c r="L1407" t="inlineStr">
        <is>
          <t>Alberta</t>
        </is>
      </c>
      <c r="M1407" t="inlineStr">
        <is>
          <t>Montreal</t>
        </is>
      </c>
      <c r="N1407" t="inlineStr">
        <is>
          <t>Olivia Martin</t>
        </is>
      </c>
      <c r="O1407" t="n">
        <v>3</v>
      </c>
      <c r="P1407" s="3" t="n">
        <v>36.67</v>
      </c>
      <c r="Q1407" s="4" t="n">
        <v>0.002</v>
      </c>
      <c r="R1407" s="3" t="n">
        <v>109.79</v>
      </c>
      <c r="S1407" s="3" t="n">
        <v>50.03</v>
      </c>
      <c r="T1407" s="3" t="n">
        <v>51.36</v>
      </c>
      <c r="U1407" s="4" t="n">
        <v>0.4678</v>
      </c>
      <c r="V1407" s="3" t="n">
        <v>8.4</v>
      </c>
      <c r="W1407" t="inlineStr">
        <is>
          <t>Credit Card</t>
        </is>
      </c>
      <c r="X1407" t="inlineStr">
        <is>
          <t>Medium</t>
        </is>
      </c>
    </row>
    <row r="1408">
      <c r="A1408" t="inlineStr">
        <is>
          <t>ORD-01998</t>
        </is>
      </c>
      <c r="B1408" s="2" t="n">
        <v>45087</v>
      </c>
      <c r="C1408" s="2" t="n">
        <v>45094</v>
      </c>
      <c r="D1408" t="inlineStr">
        <is>
          <t>CUST-01998</t>
        </is>
      </c>
      <c r="E1408" t="inlineStr">
        <is>
          <t>Customer 198</t>
        </is>
      </c>
      <c r="F1408" t="inlineStr">
        <is>
          <t>Corporate</t>
        </is>
      </c>
      <c r="G1408" t="inlineStr">
        <is>
          <t>P1016</t>
        </is>
      </c>
      <c r="H1408" t="inlineStr">
        <is>
          <t>CloudDrive File Box</t>
        </is>
      </c>
      <c r="I1408" t="inlineStr">
        <is>
          <t>Office Supplies</t>
        </is>
      </c>
      <c r="J1408" t="inlineStr">
        <is>
          <t>Plants</t>
        </is>
      </c>
      <c r="K1408" t="inlineStr">
        <is>
          <t>North</t>
        </is>
      </c>
      <c r="L1408" t="inlineStr">
        <is>
          <t>Ontario</t>
        </is>
      </c>
      <c r="M1408" t="inlineStr">
        <is>
          <t>Calgary</t>
        </is>
      </c>
      <c r="N1408" t="inlineStr">
        <is>
          <t>Mia Rodriguez</t>
        </is>
      </c>
      <c r="O1408" t="n">
        <v>4</v>
      </c>
      <c r="P1408" s="3" t="n">
        <v>41.51</v>
      </c>
      <c r="Q1408" s="4" t="n">
        <v>0.028</v>
      </c>
      <c r="R1408" s="3" t="n">
        <v>161.39</v>
      </c>
      <c r="S1408" s="3" t="n">
        <v>62.6</v>
      </c>
      <c r="T1408" s="3" t="n">
        <v>89.59</v>
      </c>
      <c r="U1408" s="4" t="n">
        <v>0.5551</v>
      </c>
      <c r="V1408" s="3" t="n">
        <v>9.199999999999999</v>
      </c>
      <c r="W1408" t="inlineStr">
        <is>
          <t>Credit Card</t>
        </is>
      </c>
      <c r="X1408" t="inlineStr">
        <is>
          <t>High</t>
        </is>
      </c>
    </row>
    <row r="1409">
      <c r="A1409" t="inlineStr">
        <is>
          <t>ORD-02006</t>
        </is>
      </c>
      <c r="B1409" s="2" t="n">
        <v>45865</v>
      </c>
      <c r="C1409" s="2" t="n">
        <v>45871</v>
      </c>
      <c r="D1409" t="inlineStr">
        <is>
          <t>CUST-02006</t>
        </is>
      </c>
      <c r="E1409" t="inlineStr">
        <is>
          <t>Customer 206</t>
        </is>
      </c>
      <c r="F1409" t="inlineStr">
        <is>
          <t>Consumer</t>
        </is>
      </c>
      <c r="G1409" t="inlineStr">
        <is>
          <t>P1018</t>
        </is>
      </c>
      <c r="H1409" t="inlineStr">
        <is>
          <t>FlexNote Notebook</t>
        </is>
      </c>
      <c r="I1409" t="inlineStr">
        <is>
          <t>Technology</t>
        </is>
      </c>
      <c r="J1409" t="inlineStr">
        <is>
          <t>Bags</t>
        </is>
      </c>
      <c r="K1409" t="inlineStr">
        <is>
          <t>North</t>
        </is>
      </c>
      <c r="L1409" t="inlineStr">
        <is>
          <t>Quebec</t>
        </is>
      </c>
      <c r="M1409" t="inlineStr">
        <is>
          <t>Vancouver</t>
        </is>
      </c>
      <c r="N1409" t="inlineStr">
        <is>
          <t>Ethan Brooks</t>
        </is>
      </c>
      <c r="O1409" t="n">
        <v>2</v>
      </c>
      <c r="P1409" s="3" t="n">
        <v>91.31999999999999</v>
      </c>
      <c r="Q1409" s="4" t="n">
        <v>0.054</v>
      </c>
      <c r="R1409" s="3" t="n">
        <v>172.78</v>
      </c>
      <c r="S1409" s="3" t="n">
        <v>83.95</v>
      </c>
      <c r="T1409" s="3" t="n">
        <v>81.23</v>
      </c>
      <c r="U1409" s="4" t="n">
        <v>0.4701</v>
      </c>
      <c r="V1409" s="3" t="n">
        <v>7.6</v>
      </c>
      <c r="W1409" t="inlineStr">
        <is>
          <t>Cash on Delivery</t>
        </is>
      </c>
      <c r="X1409" t="inlineStr">
        <is>
          <t>High</t>
        </is>
      </c>
    </row>
    <row r="1410">
      <c r="A1410" t="inlineStr">
        <is>
          <t>ORD-02014</t>
        </is>
      </c>
      <c r="B1410" s="2" t="n">
        <v>45202</v>
      </c>
      <c r="C1410" s="2" t="n">
        <v>45207</v>
      </c>
      <c r="D1410" t="inlineStr">
        <is>
          <t>CUST-02014</t>
        </is>
      </c>
      <c r="E1410" t="inlineStr">
        <is>
          <t>Customer 214</t>
        </is>
      </c>
      <c r="F1410" t="inlineStr">
        <is>
          <t>Corporate</t>
        </is>
      </c>
      <c r="G1410" t="inlineStr">
        <is>
          <t>P1009</t>
        </is>
      </c>
      <c r="H1410" t="inlineStr">
        <is>
          <t>ProClip Binder</t>
        </is>
      </c>
      <c r="I1410" t="inlineStr">
        <is>
          <t>Outdoor</t>
        </is>
      </c>
      <c r="J1410" t="inlineStr">
        <is>
          <t>Chairs</t>
        </is>
      </c>
      <c r="K1410" t="inlineStr">
        <is>
          <t>North</t>
        </is>
      </c>
      <c r="L1410" t="inlineStr">
        <is>
          <t>Alberta</t>
        </is>
      </c>
      <c r="M1410" t="inlineStr">
        <is>
          <t>Calgary</t>
        </is>
      </c>
      <c r="N1410" t="inlineStr">
        <is>
          <t>Olivia Martin</t>
        </is>
      </c>
      <c r="O1410" t="n">
        <v>3</v>
      </c>
      <c r="P1410" s="3" t="n">
        <v>97.94</v>
      </c>
      <c r="Q1410" s="4" t="n">
        <v>0.032</v>
      </c>
      <c r="R1410" s="3" t="n">
        <v>284.42</v>
      </c>
      <c r="S1410" s="3" t="n">
        <v>143.86</v>
      </c>
      <c r="T1410" s="3" t="n">
        <v>132.16</v>
      </c>
      <c r="U1410" s="4" t="n">
        <v>0.4647</v>
      </c>
      <c r="V1410" s="3" t="n">
        <v>8.4</v>
      </c>
      <c r="W1410" t="inlineStr">
        <is>
          <t>Bank Transfer</t>
        </is>
      </c>
      <c r="X1410" t="inlineStr">
        <is>
          <t>High</t>
        </is>
      </c>
    </row>
    <row r="1411">
      <c r="A1411" t="inlineStr">
        <is>
          <t>ORD-02030</t>
        </is>
      </c>
      <c r="B1411" s="2" t="n">
        <v>46000</v>
      </c>
      <c r="C1411" s="2" t="n">
        <v>46002</v>
      </c>
      <c r="D1411" t="inlineStr">
        <is>
          <t>CUST-02030</t>
        </is>
      </c>
      <c r="E1411" t="inlineStr">
        <is>
          <t>Customer 230</t>
        </is>
      </c>
      <c r="F1411" t="inlineStr">
        <is>
          <t>Home Office</t>
        </is>
      </c>
      <c r="G1411" t="inlineStr">
        <is>
          <t>P1007</t>
        </is>
      </c>
      <c r="H1411" t="inlineStr">
        <is>
          <t>Nova Laptop Stand</t>
        </is>
      </c>
      <c r="I1411" t="inlineStr">
        <is>
          <t>Outdoor</t>
        </is>
      </c>
      <c r="J1411" t="inlineStr">
        <is>
          <t>Paper</t>
        </is>
      </c>
      <c r="K1411" t="inlineStr">
        <is>
          <t>North</t>
        </is>
      </c>
      <c r="L1411" t="inlineStr">
        <is>
          <t>Quebec</t>
        </is>
      </c>
      <c r="M1411" t="inlineStr">
        <is>
          <t>Toronto</t>
        </is>
      </c>
      <c r="N1411" t="inlineStr">
        <is>
          <t>Liam Chen</t>
        </is>
      </c>
      <c r="O1411" t="n">
        <v>4</v>
      </c>
      <c r="P1411" s="3" t="n">
        <v>26.37</v>
      </c>
      <c r="Q1411" s="4" t="n">
        <v>0.019</v>
      </c>
      <c r="R1411" s="3" t="n">
        <v>103.48</v>
      </c>
      <c r="S1411" s="3" t="n">
        <v>38.44</v>
      </c>
      <c r="T1411" s="3" t="n">
        <v>55.84</v>
      </c>
      <c r="U1411" s="4" t="n">
        <v>0.5396</v>
      </c>
      <c r="V1411" s="3" t="n">
        <v>9.199999999999999</v>
      </c>
      <c r="W1411" t="inlineStr">
        <is>
          <t>PayPal</t>
        </is>
      </c>
      <c r="X1411" t="inlineStr">
        <is>
          <t>Low</t>
        </is>
      </c>
    </row>
    <row r="1412">
      <c r="A1412" t="inlineStr">
        <is>
          <t>ORD-02036</t>
        </is>
      </c>
      <c r="B1412" s="2" t="n">
        <v>45461</v>
      </c>
      <c r="C1412" s="2" t="n">
        <v>45466</v>
      </c>
      <c r="D1412" t="inlineStr">
        <is>
          <t>CUST-02036</t>
        </is>
      </c>
      <c r="E1412" t="inlineStr">
        <is>
          <t>Customer 236</t>
        </is>
      </c>
      <c r="F1412" t="inlineStr">
        <is>
          <t>Consumer</t>
        </is>
      </c>
      <c r="G1412" t="inlineStr">
        <is>
          <t>P1012</t>
        </is>
      </c>
      <c r="H1412" t="inlineStr">
        <is>
          <t>CloudDrive File Box</t>
        </is>
      </c>
      <c r="I1412" t="inlineStr">
        <is>
          <t>Furniture</t>
        </is>
      </c>
      <c r="J1412" t="inlineStr">
        <is>
          <t>Bags</t>
        </is>
      </c>
      <c r="K1412" t="inlineStr">
        <is>
          <t>North</t>
        </is>
      </c>
      <c r="L1412" t="inlineStr">
        <is>
          <t>Ontario</t>
        </is>
      </c>
      <c r="M1412" t="inlineStr">
        <is>
          <t>Calgary</t>
        </is>
      </c>
      <c r="N1412" t="inlineStr">
        <is>
          <t>Liam Chen</t>
        </is>
      </c>
      <c r="O1412" t="n">
        <v>3</v>
      </c>
      <c r="P1412" s="3" t="n">
        <v>142</v>
      </c>
      <c r="Q1412" s="4" t="n">
        <v>0.03</v>
      </c>
      <c r="R1412" s="3" t="n">
        <v>413.22</v>
      </c>
      <c r="S1412" s="3" t="n">
        <v>213.36</v>
      </c>
      <c r="T1412" s="3" t="n">
        <v>191.46</v>
      </c>
      <c r="U1412" s="4" t="n">
        <v>0.4633</v>
      </c>
      <c r="V1412" s="3" t="n">
        <v>8.4</v>
      </c>
      <c r="W1412" t="inlineStr">
        <is>
          <t>Credit Card</t>
        </is>
      </c>
      <c r="X1412" t="inlineStr">
        <is>
          <t>Medium</t>
        </is>
      </c>
    </row>
    <row r="1413">
      <c r="A1413" t="inlineStr">
        <is>
          <t>ORD-02055</t>
        </is>
      </c>
      <c r="B1413" s="2" t="n">
        <v>45915</v>
      </c>
      <c r="C1413" s="2" t="n">
        <v>45917</v>
      </c>
      <c r="D1413" t="inlineStr">
        <is>
          <t>CUST-02055</t>
        </is>
      </c>
      <c r="E1413" t="inlineStr">
        <is>
          <t>Customer 255</t>
        </is>
      </c>
      <c r="F1413" t="inlineStr">
        <is>
          <t>Home Office</t>
        </is>
      </c>
      <c r="G1413" t="inlineStr">
        <is>
          <t>P1001</t>
        </is>
      </c>
      <c r="H1413" t="inlineStr">
        <is>
          <t>Aero Standing Desk</t>
        </is>
      </c>
      <c r="I1413" t="inlineStr">
        <is>
          <t>Furniture</t>
        </is>
      </c>
      <c r="J1413" t="inlineStr">
        <is>
          <t>Coolers</t>
        </is>
      </c>
      <c r="K1413" t="inlineStr">
        <is>
          <t>North</t>
        </is>
      </c>
      <c r="L1413" t="inlineStr">
        <is>
          <t>Alberta</t>
        </is>
      </c>
      <c r="M1413" t="inlineStr">
        <is>
          <t>Toronto</t>
        </is>
      </c>
      <c r="N1413" t="inlineStr">
        <is>
          <t>Olivia Martin</t>
        </is>
      </c>
      <c r="O1413" t="n">
        <v>2</v>
      </c>
      <c r="P1413" s="3" t="n">
        <v>296.81</v>
      </c>
      <c r="Q1413" s="4" t="n">
        <v>0.029</v>
      </c>
      <c r="R1413" s="3" t="n">
        <v>576.41</v>
      </c>
      <c r="S1413" s="3" t="n">
        <v>342.59</v>
      </c>
      <c r="T1413" s="3" t="n">
        <v>226.22</v>
      </c>
      <c r="U1413" s="4" t="n">
        <v>0.3925</v>
      </c>
      <c r="V1413" s="3" t="n">
        <v>7.6</v>
      </c>
      <c r="W1413" t="inlineStr">
        <is>
          <t>Credit Card</t>
        </is>
      </c>
      <c r="X1413" t="inlineStr">
        <is>
          <t>Medium</t>
        </is>
      </c>
    </row>
    <row r="1414">
      <c r="A1414" t="inlineStr">
        <is>
          <t>ORD-02062</t>
        </is>
      </c>
      <c r="B1414" s="2" t="n">
        <v>45335</v>
      </c>
      <c r="C1414" s="2" t="n">
        <v>45338</v>
      </c>
      <c r="D1414" t="inlineStr">
        <is>
          <t>CUST-02062</t>
        </is>
      </c>
      <c r="E1414" t="inlineStr">
        <is>
          <t>Customer 262</t>
        </is>
      </c>
      <c r="F1414" t="inlineStr">
        <is>
          <t>Consumer</t>
        </is>
      </c>
      <c r="G1414" t="inlineStr">
        <is>
          <t>P1011</t>
        </is>
      </c>
      <c r="H1414" t="inlineStr">
        <is>
          <t>Lumen Desk Lamp</t>
        </is>
      </c>
      <c r="I1414" t="inlineStr">
        <is>
          <t>Furniture</t>
        </is>
      </c>
      <c r="J1414" t="inlineStr">
        <is>
          <t>Paper</t>
        </is>
      </c>
      <c r="K1414" t="inlineStr">
        <is>
          <t>North</t>
        </is>
      </c>
      <c r="L1414" t="inlineStr">
        <is>
          <t>British Columbia</t>
        </is>
      </c>
      <c r="M1414" t="inlineStr">
        <is>
          <t>Vancouver</t>
        </is>
      </c>
      <c r="N1414" t="inlineStr">
        <is>
          <t>Liam Chen</t>
        </is>
      </c>
      <c r="O1414" t="n">
        <v>1</v>
      </c>
      <c r="P1414" s="3" t="n">
        <v>84.05</v>
      </c>
      <c r="Q1414" s="4" t="n">
        <v>0.016</v>
      </c>
      <c r="R1414" s="3" t="n">
        <v>82.70999999999999</v>
      </c>
      <c r="S1414" s="3" t="n">
        <v>49.6</v>
      </c>
      <c r="T1414" s="3" t="n">
        <v>26.31</v>
      </c>
      <c r="U1414" s="4" t="n">
        <v>0.3181</v>
      </c>
      <c r="V1414" s="3" t="n">
        <v>6.8</v>
      </c>
      <c r="W1414" t="inlineStr">
        <is>
          <t>Credit Card</t>
        </is>
      </c>
      <c r="X1414" t="inlineStr">
        <is>
          <t>Medium</t>
        </is>
      </c>
    </row>
    <row r="1415">
      <c r="A1415" t="inlineStr">
        <is>
          <t>ORD-02077</t>
        </is>
      </c>
      <c r="B1415" s="2" t="n">
        <v>45205</v>
      </c>
      <c r="C1415" s="2" t="n">
        <v>45209</v>
      </c>
      <c r="D1415" t="inlineStr">
        <is>
          <t>CUST-02077</t>
        </is>
      </c>
      <c r="E1415" t="inlineStr">
        <is>
          <t>Customer 277</t>
        </is>
      </c>
      <c r="F1415" t="inlineStr">
        <is>
          <t>Corporate</t>
        </is>
      </c>
      <c r="G1415" t="inlineStr">
        <is>
          <t>P1009</t>
        </is>
      </c>
      <c r="H1415" t="inlineStr">
        <is>
          <t>FlexNote Notebook</t>
        </is>
      </c>
      <c r="I1415" t="inlineStr">
        <is>
          <t>Outdoor</t>
        </is>
      </c>
      <c r="J1415" t="inlineStr">
        <is>
          <t>Writing</t>
        </is>
      </c>
      <c r="K1415" t="inlineStr">
        <is>
          <t>North</t>
        </is>
      </c>
      <c r="L1415" t="inlineStr">
        <is>
          <t>British Columbia</t>
        </is>
      </c>
      <c r="M1415" t="inlineStr">
        <is>
          <t>Vancouver</t>
        </is>
      </c>
      <c r="N1415" t="inlineStr">
        <is>
          <t>Liam Chen</t>
        </is>
      </c>
      <c r="O1415" t="n">
        <v>4</v>
      </c>
      <c r="P1415" s="3" t="n">
        <v>93.53</v>
      </c>
      <c r="Q1415" s="4" t="n">
        <v>0.019</v>
      </c>
      <c r="R1415" s="3" t="n">
        <v>367.01</v>
      </c>
      <c r="S1415" s="3" t="n">
        <v>179.8</v>
      </c>
      <c r="T1415" s="3" t="n">
        <v>178.01</v>
      </c>
      <c r="U1415" s="4" t="n">
        <v>0.485</v>
      </c>
      <c r="V1415" s="3" t="n">
        <v>9.199999999999999</v>
      </c>
      <c r="W1415" t="inlineStr">
        <is>
          <t>Credit Card</t>
        </is>
      </c>
      <c r="X1415" t="inlineStr">
        <is>
          <t>Low</t>
        </is>
      </c>
    </row>
    <row r="1416">
      <c r="A1416" t="inlineStr">
        <is>
          <t>ORD-02083</t>
        </is>
      </c>
      <c r="B1416" s="2" t="n">
        <v>45377</v>
      </c>
      <c r="C1416" s="2" t="n">
        <v>45379</v>
      </c>
      <c r="D1416" t="inlineStr">
        <is>
          <t>CUST-02083</t>
        </is>
      </c>
      <c r="E1416" t="inlineStr">
        <is>
          <t>Customer 283</t>
        </is>
      </c>
      <c r="F1416" t="inlineStr">
        <is>
          <t>Corporate</t>
        </is>
      </c>
      <c r="G1416" t="inlineStr">
        <is>
          <t>P1002</t>
        </is>
      </c>
      <c r="H1416" t="inlineStr">
        <is>
          <t>Summit Patio Set</t>
        </is>
      </c>
      <c r="I1416" t="inlineStr">
        <is>
          <t>Outdoor</t>
        </is>
      </c>
      <c r="J1416" t="inlineStr">
        <is>
          <t>Storage</t>
        </is>
      </c>
      <c r="K1416" t="inlineStr">
        <is>
          <t>North</t>
        </is>
      </c>
      <c r="L1416" t="inlineStr">
        <is>
          <t>British Columbia</t>
        </is>
      </c>
      <c r="M1416" t="inlineStr">
        <is>
          <t>Montreal</t>
        </is>
      </c>
      <c r="N1416" t="inlineStr">
        <is>
          <t>Liam Chen</t>
        </is>
      </c>
      <c r="O1416" t="n">
        <v>3</v>
      </c>
      <c r="P1416" s="3" t="n">
        <v>83.67</v>
      </c>
      <c r="Q1416" s="4" t="n">
        <v>0.015</v>
      </c>
      <c r="R1416" s="3" t="n">
        <v>247.24</v>
      </c>
      <c r="S1416" s="3" t="n">
        <v>117.8</v>
      </c>
      <c r="T1416" s="3" t="n">
        <v>121.04</v>
      </c>
      <c r="U1416" s="4" t="n">
        <v>0.4896</v>
      </c>
      <c r="V1416" s="3" t="n">
        <v>8.4</v>
      </c>
      <c r="W1416" t="inlineStr">
        <is>
          <t>Credit Card</t>
        </is>
      </c>
      <c r="X1416" t="inlineStr">
        <is>
          <t>Medium</t>
        </is>
      </c>
    </row>
    <row r="1417">
      <c r="A1417" t="inlineStr">
        <is>
          <t>ORD-02091</t>
        </is>
      </c>
      <c r="B1417" s="2" t="n">
        <v>45850</v>
      </c>
      <c r="C1417" s="2" t="n">
        <v>45855</v>
      </c>
      <c r="D1417" t="inlineStr">
        <is>
          <t>CUST-02091</t>
        </is>
      </c>
      <c r="E1417" t="inlineStr">
        <is>
          <t>Customer 291</t>
        </is>
      </c>
      <c r="F1417" t="inlineStr">
        <is>
          <t>Consumer</t>
        </is>
      </c>
      <c r="G1417" t="inlineStr">
        <is>
          <t>P1008</t>
        </is>
      </c>
      <c r="H1417" t="inlineStr">
        <is>
          <t>Nimbus Monitor Arm</t>
        </is>
      </c>
      <c r="I1417" t="inlineStr">
        <is>
          <t>Outdoor</t>
        </is>
      </c>
      <c r="J1417" t="inlineStr">
        <is>
          <t>Textiles</t>
        </is>
      </c>
      <c r="K1417" t="inlineStr">
        <is>
          <t>North</t>
        </is>
      </c>
      <c r="L1417" t="inlineStr">
        <is>
          <t>Ontario</t>
        </is>
      </c>
      <c r="M1417" t="inlineStr">
        <is>
          <t>Toronto</t>
        </is>
      </c>
      <c r="N1417" t="inlineStr">
        <is>
          <t>James Carter</t>
        </is>
      </c>
      <c r="O1417" t="n">
        <v>3</v>
      </c>
      <c r="P1417" s="3" t="n">
        <v>38.09</v>
      </c>
      <c r="Q1417" s="4" t="n">
        <v>0</v>
      </c>
      <c r="R1417" s="3" t="n">
        <v>114.27</v>
      </c>
      <c r="S1417" s="3" t="n">
        <v>51.61</v>
      </c>
      <c r="T1417" s="3" t="n">
        <v>54.26</v>
      </c>
      <c r="U1417" s="4" t="n">
        <v>0.4748</v>
      </c>
      <c r="V1417" s="3" t="n">
        <v>8.4</v>
      </c>
      <c r="W1417" t="inlineStr">
        <is>
          <t>Credit Card</t>
        </is>
      </c>
      <c r="X1417" t="inlineStr">
        <is>
          <t>Medium</t>
        </is>
      </c>
    </row>
    <row r="1418">
      <c r="A1418" t="inlineStr">
        <is>
          <t>ORD-02096</t>
        </is>
      </c>
      <c r="B1418" s="2" t="n">
        <v>45828</v>
      </c>
      <c r="C1418" s="2" t="n">
        <v>45829</v>
      </c>
      <c r="D1418" t="inlineStr">
        <is>
          <t>CUST-02096</t>
        </is>
      </c>
      <c r="E1418" t="inlineStr">
        <is>
          <t>Customer 296</t>
        </is>
      </c>
      <c r="F1418" t="inlineStr">
        <is>
          <t>Consumer</t>
        </is>
      </c>
      <c r="G1418" t="inlineStr">
        <is>
          <t>P1007</t>
        </is>
      </c>
      <c r="H1418" t="inlineStr">
        <is>
          <t>CloudDrive File Box</t>
        </is>
      </c>
      <c r="I1418" t="inlineStr">
        <is>
          <t>Office Supplies</t>
        </is>
      </c>
      <c r="J1418" t="inlineStr">
        <is>
          <t>Accessories</t>
        </is>
      </c>
      <c r="K1418" t="inlineStr">
        <is>
          <t>North</t>
        </is>
      </c>
      <c r="L1418" t="inlineStr">
        <is>
          <t>Quebec</t>
        </is>
      </c>
      <c r="M1418" t="inlineStr">
        <is>
          <t>Vancouver</t>
        </is>
      </c>
      <c r="N1418" t="inlineStr">
        <is>
          <t>Sophia Singh</t>
        </is>
      </c>
      <c r="O1418" t="n">
        <v>4</v>
      </c>
      <c r="P1418" s="3" t="n">
        <v>25.48</v>
      </c>
      <c r="Q1418" s="4" t="n">
        <v>0.004</v>
      </c>
      <c r="R1418" s="3" t="n">
        <v>101.51</v>
      </c>
      <c r="S1418" s="3" t="n">
        <v>42.41</v>
      </c>
      <c r="T1418" s="3" t="n">
        <v>49.9</v>
      </c>
      <c r="U1418" s="4" t="n">
        <v>0.4916</v>
      </c>
      <c r="V1418" s="3" t="n">
        <v>9.199999999999999</v>
      </c>
      <c r="W1418" t="inlineStr">
        <is>
          <t>Bank Transfer</t>
        </is>
      </c>
      <c r="X1418" t="inlineStr">
        <is>
          <t>Medium</t>
        </is>
      </c>
    </row>
    <row r="1419">
      <c r="A1419" t="inlineStr">
        <is>
          <t>ORD-02103</t>
        </is>
      </c>
      <c r="B1419" s="2" t="n">
        <v>45000</v>
      </c>
      <c r="C1419" s="2" t="n">
        <v>45006</v>
      </c>
      <c r="D1419" t="inlineStr">
        <is>
          <t>CUST-02103</t>
        </is>
      </c>
      <c r="E1419" t="inlineStr">
        <is>
          <t>Customer 303</t>
        </is>
      </c>
      <c r="F1419" t="inlineStr">
        <is>
          <t>Corporate</t>
        </is>
      </c>
      <c r="G1419" t="inlineStr">
        <is>
          <t>P1005</t>
        </is>
      </c>
      <c r="H1419" t="inlineStr">
        <is>
          <t>Nimbus Monitor Arm</t>
        </is>
      </c>
      <c r="I1419" t="inlineStr">
        <is>
          <t>Outdoor</t>
        </is>
      </c>
      <c r="J1419" t="inlineStr">
        <is>
          <t>Accessories</t>
        </is>
      </c>
      <c r="K1419" t="inlineStr">
        <is>
          <t>North</t>
        </is>
      </c>
      <c r="L1419" t="inlineStr">
        <is>
          <t>Quebec</t>
        </is>
      </c>
      <c r="M1419" t="inlineStr">
        <is>
          <t>Calgary</t>
        </is>
      </c>
      <c r="N1419" t="inlineStr">
        <is>
          <t>Ava Patel</t>
        </is>
      </c>
      <c r="O1419" t="n">
        <v>2</v>
      </c>
      <c r="P1419" s="3" t="n">
        <v>12.28</v>
      </c>
      <c r="Q1419" s="4" t="n">
        <v>0.028</v>
      </c>
      <c r="R1419" s="3" t="n">
        <v>23.87</v>
      </c>
      <c r="S1419" s="3" t="n">
        <v>19.65</v>
      </c>
      <c r="T1419" s="3" t="n">
        <v>-3.38</v>
      </c>
      <c r="U1419" s="4" t="n">
        <v>-0.1416</v>
      </c>
      <c r="V1419" s="3" t="n">
        <v>7.6</v>
      </c>
      <c r="W1419" t="inlineStr">
        <is>
          <t>Debit Card</t>
        </is>
      </c>
      <c r="X1419" t="inlineStr">
        <is>
          <t>High</t>
        </is>
      </c>
    </row>
    <row r="1420">
      <c r="A1420" t="inlineStr">
        <is>
          <t>ORD-02107</t>
        </is>
      </c>
      <c r="B1420" s="2" t="n">
        <v>45970</v>
      </c>
      <c r="C1420" s="2" t="n">
        <v>45976</v>
      </c>
      <c r="D1420" t="inlineStr">
        <is>
          <t>CUST-02107</t>
        </is>
      </c>
      <c r="E1420" t="inlineStr">
        <is>
          <t>Customer 307</t>
        </is>
      </c>
      <c r="F1420" t="inlineStr">
        <is>
          <t>Consumer</t>
        </is>
      </c>
      <c r="G1420" t="inlineStr">
        <is>
          <t>P1009</t>
        </is>
      </c>
      <c r="H1420" t="inlineStr">
        <is>
          <t>Northstar Lantern</t>
        </is>
      </c>
      <c r="I1420" t="inlineStr">
        <is>
          <t>Technology</t>
        </is>
      </c>
      <c r="J1420" t="inlineStr">
        <is>
          <t>Furniture</t>
        </is>
      </c>
      <c r="K1420" t="inlineStr">
        <is>
          <t>North</t>
        </is>
      </c>
      <c r="L1420" t="inlineStr">
        <is>
          <t>Quebec</t>
        </is>
      </c>
      <c r="M1420" t="inlineStr">
        <is>
          <t>Montreal</t>
        </is>
      </c>
      <c r="N1420" t="inlineStr">
        <is>
          <t>Ethan Brooks</t>
        </is>
      </c>
      <c r="O1420" t="n">
        <v>5</v>
      </c>
      <c r="P1420" s="3" t="n">
        <v>97.34</v>
      </c>
      <c r="Q1420" s="4" t="n">
        <v>0.037</v>
      </c>
      <c r="R1420" s="3" t="n">
        <v>468.69</v>
      </c>
      <c r="S1420" s="3" t="n">
        <v>227.36</v>
      </c>
      <c r="T1420" s="3" t="n">
        <v>231.33</v>
      </c>
      <c r="U1420" s="4" t="n">
        <v>0.4936</v>
      </c>
      <c r="V1420" s="3" t="n">
        <v>10</v>
      </c>
      <c r="W1420" t="inlineStr">
        <is>
          <t>Bank Transfer</t>
        </is>
      </c>
      <c r="X1420" t="inlineStr">
        <is>
          <t>High</t>
        </is>
      </c>
    </row>
    <row r="1421">
      <c r="A1421" t="inlineStr">
        <is>
          <t>ORD-02111</t>
        </is>
      </c>
      <c r="B1421" s="2" t="n">
        <v>45208</v>
      </c>
      <c r="C1421" s="2" t="n">
        <v>45215</v>
      </c>
      <c r="D1421" t="inlineStr">
        <is>
          <t>CUST-02111</t>
        </is>
      </c>
      <c r="E1421" t="inlineStr">
        <is>
          <t>Customer 311</t>
        </is>
      </c>
      <c r="F1421" t="inlineStr">
        <is>
          <t>Home Office</t>
        </is>
      </c>
      <c r="G1421" t="inlineStr">
        <is>
          <t>P1014</t>
        </is>
      </c>
      <c r="H1421" t="inlineStr">
        <is>
          <t>Nimbus Monitor Arm</t>
        </is>
      </c>
      <c r="I1421" t="inlineStr">
        <is>
          <t>Furniture</t>
        </is>
      </c>
      <c r="J1421" t="inlineStr">
        <is>
          <t>Coolers</t>
        </is>
      </c>
      <c r="K1421" t="inlineStr">
        <is>
          <t>North</t>
        </is>
      </c>
      <c r="L1421" t="inlineStr">
        <is>
          <t>Quebec</t>
        </is>
      </c>
      <c r="M1421" t="inlineStr">
        <is>
          <t>Calgary</t>
        </is>
      </c>
      <c r="N1421" t="inlineStr">
        <is>
          <t>Liam Chen</t>
        </is>
      </c>
      <c r="O1421" t="n">
        <v>3</v>
      </c>
      <c r="P1421" s="3" t="n">
        <v>44.36</v>
      </c>
      <c r="Q1421" s="4" t="n">
        <v>0.033</v>
      </c>
      <c r="R1421" s="3" t="n">
        <v>128.69</v>
      </c>
      <c r="S1421" s="3" t="n">
        <v>56.98</v>
      </c>
      <c r="T1421" s="3" t="n">
        <v>63.31</v>
      </c>
      <c r="U1421" s="4" t="n">
        <v>0.492</v>
      </c>
      <c r="V1421" s="3" t="n">
        <v>8.4</v>
      </c>
      <c r="W1421" t="inlineStr">
        <is>
          <t>Credit Card</t>
        </is>
      </c>
      <c r="X1421" t="inlineStr">
        <is>
          <t>High</t>
        </is>
      </c>
    </row>
    <row r="1422">
      <c r="A1422" t="inlineStr">
        <is>
          <t>ORD-02115</t>
        </is>
      </c>
      <c r="B1422" s="2" t="n">
        <v>45992</v>
      </c>
      <c r="C1422" s="2" t="n">
        <v>45997</v>
      </c>
      <c r="D1422" t="inlineStr">
        <is>
          <t>CUST-02115</t>
        </is>
      </c>
      <c r="E1422" t="inlineStr">
        <is>
          <t>Customer 315</t>
        </is>
      </c>
      <c r="F1422" t="inlineStr">
        <is>
          <t>Consumer</t>
        </is>
      </c>
      <c r="G1422" t="inlineStr">
        <is>
          <t>P1013</t>
        </is>
      </c>
      <c r="H1422" t="inlineStr">
        <is>
          <t>FlexNote Notebook</t>
        </is>
      </c>
      <c r="I1422" t="inlineStr">
        <is>
          <t>Technology</t>
        </is>
      </c>
      <c r="J1422" t="inlineStr">
        <is>
          <t>Peripherals</t>
        </is>
      </c>
      <c r="K1422" t="inlineStr">
        <is>
          <t>North</t>
        </is>
      </c>
      <c r="L1422" t="inlineStr">
        <is>
          <t>Ontario</t>
        </is>
      </c>
      <c r="M1422" t="inlineStr">
        <is>
          <t>Montreal</t>
        </is>
      </c>
      <c r="N1422" t="inlineStr">
        <is>
          <t>Sophia Singh</t>
        </is>
      </c>
      <c r="O1422" t="n">
        <v>1</v>
      </c>
      <c r="P1422" s="3" t="n">
        <v>180</v>
      </c>
      <c r="Q1422" s="4" t="n">
        <v>0.036</v>
      </c>
      <c r="R1422" s="3" t="n">
        <v>173.52</v>
      </c>
      <c r="S1422" s="3" t="n">
        <v>101.27</v>
      </c>
      <c r="T1422" s="3" t="n">
        <v>65.45</v>
      </c>
      <c r="U1422" s="4" t="n">
        <v>0.3772</v>
      </c>
      <c r="V1422" s="3" t="n">
        <v>6.8</v>
      </c>
      <c r="W1422" t="inlineStr">
        <is>
          <t>Bank Transfer</t>
        </is>
      </c>
      <c r="X1422" t="inlineStr">
        <is>
          <t>High</t>
        </is>
      </c>
    </row>
    <row r="1423">
      <c r="A1423" t="inlineStr">
        <is>
          <t>ORD-02121</t>
        </is>
      </c>
      <c r="B1423" s="2" t="n">
        <v>45852</v>
      </c>
      <c r="C1423" s="2" t="n">
        <v>45856</v>
      </c>
      <c r="D1423" t="inlineStr">
        <is>
          <t>CUST-02121</t>
        </is>
      </c>
      <c r="E1423" t="inlineStr">
        <is>
          <t>Customer 321</t>
        </is>
      </c>
      <c r="F1423" t="inlineStr">
        <is>
          <t>Corporate</t>
        </is>
      </c>
      <c r="G1423" t="inlineStr">
        <is>
          <t>P1010</t>
        </is>
      </c>
      <c r="H1423" t="inlineStr">
        <is>
          <t>Pulse Keyboard</t>
        </is>
      </c>
      <c r="I1423" t="inlineStr">
        <is>
          <t>Office Supplies</t>
        </is>
      </c>
      <c r="J1423" t="inlineStr">
        <is>
          <t>Bags</t>
        </is>
      </c>
      <c r="K1423" t="inlineStr">
        <is>
          <t>North</t>
        </is>
      </c>
      <c r="L1423" t="inlineStr">
        <is>
          <t>Ontario</t>
        </is>
      </c>
      <c r="M1423" t="inlineStr">
        <is>
          <t>Montreal</t>
        </is>
      </c>
      <c r="N1423" t="inlineStr">
        <is>
          <t>James Carter</t>
        </is>
      </c>
      <c r="O1423" t="n">
        <v>4</v>
      </c>
      <c r="P1423" s="3" t="n">
        <v>56.4</v>
      </c>
      <c r="Q1423" s="4" t="n">
        <v>0.037</v>
      </c>
      <c r="R1423" s="3" t="n">
        <v>217.25</v>
      </c>
      <c r="S1423" s="3" t="n">
        <v>94.73</v>
      </c>
      <c r="T1423" s="3" t="n">
        <v>113.32</v>
      </c>
      <c r="U1423" s="4" t="n">
        <v>0.5216</v>
      </c>
      <c r="V1423" s="3" t="n">
        <v>9.199999999999999</v>
      </c>
      <c r="W1423" t="inlineStr">
        <is>
          <t>Credit Card</t>
        </is>
      </c>
      <c r="X1423" t="inlineStr">
        <is>
          <t>Medium</t>
        </is>
      </c>
    </row>
    <row r="1424">
      <c r="A1424" t="inlineStr">
        <is>
          <t>ORD-02136</t>
        </is>
      </c>
      <c r="B1424" s="2" t="n">
        <v>45750</v>
      </c>
      <c r="C1424" s="2" t="n">
        <v>45756</v>
      </c>
      <c r="D1424" t="inlineStr">
        <is>
          <t>CUST-02136</t>
        </is>
      </c>
      <c r="E1424" t="inlineStr">
        <is>
          <t>Customer 336</t>
        </is>
      </c>
      <c r="F1424" t="inlineStr">
        <is>
          <t>Consumer</t>
        </is>
      </c>
      <c r="G1424" t="inlineStr">
        <is>
          <t>P1004</t>
        </is>
      </c>
      <c r="H1424" t="inlineStr">
        <is>
          <t>SmartInk Pen Set</t>
        </is>
      </c>
      <c r="I1424" t="inlineStr">
        <is>
          <t>Outdoor</t>
        </is>
      </c>
      <c r="J1424" t="inlineStr">
        <is>
          <t>Accessories</t>
        </is>
      </c>
      <c r="K1424" t="inlineStr">
        <is>
          <t>North</t>
        </is>
      </c>
      <c r="L1424" t="inlineStr">
        <is>
          <t>Alberta</t>
        </is>
      </c>
      <c r="M1424" t="inlineStr">
        <is>
          <t>Vancouver</t>
        </is>
      </c>
      <c r="N1424" t="inlineStr">
        <is>
          <t>Noah Kim</t>
        </is>
      </c>
      <c r="O1424" t="n">
        <v>1</v>
      </c>
      <c r="P1424" s="3" t="n">
        <v>605.16</v>
      </c>
      <c r="Q1424" s="4" t="n">
        <v>0.014</v>
      </c>
      <c r="R1424" s="3" t="n">
        <v>596.6900000000001</v>
      </c>
      <c r="S1424" s="3" t="n">
        <v>385.2</v>
      </c>
      <c r="T1424" s="3" t="n">
        <v>204.69</v>
      </c>
      <c r="U1424" s="4" t="n">
        <v>0.343</v>
      </c>
      <c r="V1424" s="3" t="n">
        <v>6.8</v>
      </c>
      <c r="W1424" t="inlineStr">
        <is>
          <t>Cash on Delivery</t>
        </is>
      </c>
      <c r="X1424" t="inlineStr">
        <is>
          <t>Medium</t>
        </is>
      </c>
    </row>
    <row r="1425">
      <c r="A1425" t="inlineStr">
        <is>
          <t>ORD-02142</t>
        </is>
      </c>
      <c r="B1425" s="2" t="n">
        <v>45501</v>
      </c>
      <c r="C1425" s="2" t="n">
        <v>45505</v>
      </c>
      <c r="D1425" t="inlineStr">
        <is>
          <t>CUST-02142</t>
        </is>
      </c>
      <c r="E1425" t="inlineStr">
        <is>
          <t>Customer 342</t>
        </is>
      </c>
      <c r="F1425" t="inlineStr">
        <is>
          <t>Corporate</t>
        </is>
      </c>
      <c r="G1425" t="inlineStr">
        <is>
          <t>P1008</t>
        </is>
      </c>
      <c r="H1425" t="inlineStr">
        <is>
          <t>Pulse Keyboard</t>
        </is>
      </c>
      <c r="I1425" t="inlineStr">
        <is>
          <t>Office Supplies</t>
        </is>
      </c>
      <c r="J1425" t="inlineStr">
        <is>
          <t>Binders</t>
        </is>
      </c>
      <c r="K1425" t="inlineStr">
        <is>
          <t>North</t>
        </is>
      </c>
      <c r="L1425" t="inlineStr">
        <is>
          <t>British Columbia</t>
        </is>
      </c>
      <c r="M1425" t="inlineStr">
        <is>
          <t>Vancouver</t>
        </is>
      </c>
      <c r="N1425" t="inlineStr">
        <is>
          <t>Mia Rodriguez</t>
        </is>
      </c>
      <c r="O1425" t="n">
        <v>2</v>
      </c>
      <c r="P1425" s="3" t="n">
        <v>35.7</v>
      </c>
      <c r="Q1425" s="4" t="n">
        <v>0.021</v>
      </c>
      <c r="R1425" s="3" t="n">
        <v>69.90000000000001</v>
      </c>
      <c r="S1425" s="3" t="n">
        <v>33.99</v>
      </c>
      <c r="T1425" s="3" t="n">
        <v>28.31</v>
      </c>
      <c r="U1425" s="4" t="n">
        <v>0.405</v>
      </c>
      <c r="V1425" s="3" t="n">
        <v>7.6</v>
      </c>
      <c r="W1425" t="inlineStr">
        <is>
          <t>Credit Card</t>
        </is>
      </c>
      <c r="X1425" t="inlineStr">
        <is>
          <t>Medium</t>
        </is>
      </c>
    </row>
    <row r="1426">
      <c r="A1426" t="inlineStr">
        <is>
          <t>ORD-02145</t>
        </is>
      </c>
      <c r="B1426" s="2" t="n">
        <v>45451</v>
      </c>
      <c r="C1426" s="2" t="n">
        <v>45452</v>
      </c>
      <c r="D1426" t="inlineStr">
        <is>
          <t>CUST-02145</t>
        </is>
      </c>
      <c r="E1426" t="inlineStr">
        <is>
          <t>Customer 345</t>
        </is>
      </c>
      <c r="F1426" t="inlineStr">
        <is>
          <t>Corporate</t>
        </is>
      </c>
      <c r="G1426" t="inlineStr">
        <is>
          <t>P1018</t>
        </is>
      </c>
      <c r="H1426" t="inlineStr">
        <is>
          <t>Echo Web Camera</t>
        </is>
      </c>
      <c r="I1426" t="inlineStr">
        <is>
          <t>Technology</t>
        </is>
      </c>
      <c r="J1426" t="inlineStr">
        <is>
          <t>Lighting</t>
        </is>
      </c>
      <c r="K1426" t="inlineStr">
        <is>
          <t>North</t>
        </is>
      </c>
      <c r="L1426" t="inlineStr">
        <is>
          <t>Quebec</t>
        </is>
      </c>
      <c r="M1426" t="inlineStr">
        <is>
          <t>Toronto</t>
        </is>
      </c>
      <c r="N1426" t="inlineStr">
        <is>
          <t>Mia Rodriguez</t>
        </is>
      </c>
      <c r="O1426" t="n">
        <v>2</v>
      </c>
      <c r="P1426" s="3" t="n">
        <v>93.90000000000001</v>
      </c>
      <c r="Q1426" s="4" t="n">
        <v>0.035</v>
      </c>
      <c r="R1426" s="3" t="n">
        <v>181.23</v>
      </c>
      <c r="S1426" s="3" t="n">
        <v>87.84999999999999</v>
      </c>
      <c r="T1426" s="3" t="n">
        <v>85.78</v>
      </c>
      <c r="U1426" s="4" t="n">
        <v>0.4733</v>
      </c>
      <c r="V1426" s="3" t="n">
        <v>7.6</v>
      </c>
      <c r="W1426" t="inlineStr">
        <is>
          <t>Bank Transfer</t>
        </is>
      </c>
      <c r="X1426" t="inlineStr">
        <is>
          <t>Medium</t>
        </is>
      </c>
    </row>
    <row r="1427">
      <c r="A1427" t="inlineStr">
        <is>
          <t>ORD-02153</t>
        </is>
      </c>
      <c r="B1427" s="2" t="n">
        <v>45767</v>
      </c>
      <c r="C1427" s="2" t="n">
        <v>45769</v>
      </c>
      <c r="D1427" t="inlineStr">
        <is>
          <t>CUST-02153</t>
        </is>
      </c>
      <c r="E1427" t="inlineStr">
        <is>
          <t>Customer 353</t>
        </is>
      </c>
      <c r="F1427" t="inlineStr">
        <is>
          <t>Consumer</t>
        </is>
      </c>
      <c r="G1427" t="inlineStr">
        <is>
          <t>P1006</t>
        </is>
      </c>
      <c r="H1427" t="inlineStr">
        <is>
          <t>Orbit Wireless Mouse</t>
        </is>
      </c>
      <c r="I1427" t="inlineStr">
        <is>
          <t>Outdoor</t>
        </is>
      </c>
      <c r="J1427" t="inlineStr">
        <is>
          <t>Binders</t>
        </is>
      </c>
      <c r="K1427" t="inlineStr">
        <is>
          <t>North</t>
        </is>
      </c>
      <c r="L1427" t="inlineStr">
        <is>
          <t>Ontario</t>
        </is>
      </c>
      <c r="M1427" t="inlineStr">
        <is>
          <t>Vancouver</t>
        </is>
      </c>
      <c r="N1427" t="inlineStr">
        <is>
          <t>Noah Kim</t>
        </is>
      </c>
      <c r="O1427" t="n">
        <v>2</v>
      </c>
      <c r="P1427" s="3" t="n">
        <v>17.77</v>
      </c>
      <c r="Q1427" s="4" t="n">
        <v>0.021</v>
      </c>
      <c r="R1427" s="3" t="n">
        <v>34.79</v>
      </c>
      <c r="S1427" s="3" t="n">
        <v>19.82</v>
      </c>
      <c r="T1427" s="3" t="n">
        <v>7.37</v>
      </c>
      <c r="U1427" s="4" t="n">
        <v>0.2118</v>
      </c>
      <c r="V1427" s="3" t="n">
        <v>7.6</v>
      </c>
      <c r="W1427" t="inlineStr">
        <is>
          <t>Credit Card</t>
        </is>
      </c>
      <c r="X1427" t="inlineStr">
        <is>
          <t>Medium</t>
        </is>
      </c>
    </row>
    <row r="1428">
      <c r="A1428" t="inlineStr">
        <is>
          <t>ORD-02156</t>
        </is>
      </c>
      <c r="B1428" s="2" t="n">
        <v>45161</v>
      </c>
      <c r="C1428" s="2" t="n">
        <v>45163</v>
      </c>
      <c r="D1428" t="inlineStr">
        <is>
          <t>CUST-02156</t>
        </is>
      </c>
      <c r="E1428" t="inlineStr">
        <is>
          <t>Customer 356</t>
        </is>
      </c>
      <c r="F1428" t="inlineStr">
        <is>
          <t>Consumer</t>
        </is>
      </c>
      <c r="G1428" t="inlineStr">
        <is>
          <t>P1011</t>
        </is>
      </c>
      <c r="H1428" t="inlineStr">
        <is>
          <t>Lumen Desk Lamp</t>
        </is>
      </c>
      <c r="I1428" t="inlineStr">
        <is>
          <t>Office Supplies</t>
        </is>
      </c>
      <c r="J1428" t="inlineStr">
        <is>
          <t>Binders</t>
        </is>
      </c>
      <c r="K1428" t="inlineStr">
        <is>
          <t>North</t>
        </is>
      </c>
      <c r="L1428" t="inlineStr">
        <is>
          <t>British Columbia</t>
        </is>
      </c>
      <c r="M1428" t="inlineStr">
        <is>
          <t>Toronto</t>
        </is>
      </c>
      <c r="N1428" t="inlineStr">
        <is>
          <t>Ethan Brooks</t>
        </is>
      </c>
      <c r="O1428" t="n">
        <v>4</v>
      </c>
      <c r="P1428" s="3" t="n">
        <v>88.91</v>
      </c>
      <c r="Q1428" s="4" t="n">
        <v>0.015</v>
      </c>
      <c r="R1428" s="3" t="n">
        <v>350.31</v>
      </c>
      <c r="S1428" s="3" t="n">
        <v>172.54</v>
      </c>
      <c r="T1428" s="3" t="n">
        <v>168.57</v>
      </c>
      <c r="U1428" s="4" t="n">
        <v>0.4812</v>
      </c>
      <c r="V1428" s="3" t="n">
        <v>9.199999999999999</v>
      </c>
      <c r="W1428" t="inlineStr">
        <is>
          <t>Credit Card</t>
        </is>
      </c>
      <c r="X1428" t="inlineStr">
        <is>
          <t>Medium</t>
        </is>
      </c>
    </row>
    <row r="1429">
      <c r="A1429" t="inlineStr">
        <is>
          <t>ORD-02175</t>
        </is>
      </c>
      <c r="B1429" s="2" t="n">
        <v>45079</v>
      </c>
      <c r="C1429" s="2" t="n">
        <v>45086</v>
      </c>
      <c r="D1429" t="inlineStr">
        <is>
          <t>CUST-02175</t>
        </is>
      </c>
      <c r="E1429" t="inlineStr">
        <is>
          <t>Customer 375</t>
        </is>
      </c>
      <c r="F1429" t="inlineStr">
        <is>
          <t>Consumer</t>
        </is>
      </c>
      <c r="G1429" t="inlineStr">
        <is>
          <t>P1004</t>
        </is>
      </c>
      <c r="H1429" t="inlineStr">
        <is>
          <t>Summit Patio Set</t>
        </is>
      </c>
      <c r="I1429" t="inlineStr">
        <is>
          <t>Outdoor</t>
        </is>
      </c>
      <c r="J1429" t="inlineStr">
        <is>
          <t>Peripherals</t>
        </is>
      </c>
      <c r="K1429" t="inlineStr">
        <is>
          <t>North</t>
        </is>
      </c>
      <c r="L1429" t="inlineStr">
        <is>
          <t>Ontario</t>
        </is>
      </c>
      <c r="M1429" t="inlineStr">
        <is>
          <t>Toronto</t>
        </is>
      </c>
      <c r="N1429" t="inlineStr">
        <is>
          <t>Mia Rodriguez</t>
        </is>
      </c>
      <c r="O1429" t="n">
        <v>2</v>
      </c>
      <c r="P1429" s="3" t="n">
        <v>635.79</v>
      </c>
      <c r="Q1429" s="4" t="n">
        <v>0.006</v>
      </c>
      <c r="R1429" s="3" t="n">
        <v>1263.95</v>
      </c>
      <c r="S1429" s="3" t="n">
        <v>800.91</v>
      </c>
      <c r="T1429" s="3" t="n">
        <v>455.44</v>
      </c>
      <c r="U1429" s="4" t="n">
        <v>0.3603</v>
      </c>
      <c r="V1429" s="3" t="n">
        <v>7.6</v>
      </c>
      <c r="W1429" t="inlineStr">
        <is>
          <t>PayPal</t>
        </is>
      </c>
      <c r="X1429" t="inlineStr">
        <is>
          <t>Medium</t>
        </is>
      </c>
    </row>
    <row r="1430">
      <c r="A1430" t="inlineStr">
        <is>
          <t>ORD-02193</t>
        </is>
      </c>
      <c r="B1430" s="2" t="n">
        <v>45813</v>
      </c>
      <c r="C1430" s="2" t="n">
        <v>45814</v>
      </c>
      <c r="D1430" t="inlineStr">
        <is>
          <t>CUST-02193</t>
        </is>
      </c>
      <c r="E1430" t="inlineStr">
        <is>
          <t>Customer 393</t>
        </is>
      </c>
      <c r="F1430" t="inlineStr">
        <is>
          <t>Corporate</t>
        </is>
      </c>
      <c r="G1430" t="inlineStr">
        <is>
          <t>P1004</t>
        </is>
      </c>
      <c r="H1430" t="inlineStr">
        <is>
          <t>Echo Web Camera</t>
        </is>
      </c>
      <c r="I1430" t="inlineStr">
        <is>
          <t>Office Supplies</t>
        </is>
      </c>
      <c r="J1430" t="inlineStr">
        <is>
          <t>Lighting</t>
        </is>
      </c>
      <c r="K1430" t="inlineStr">
        <is>
          <t>North</t>
        </is>
      </c>
      <c r="L1430" t="inlineStr">
        <is>
          <t>British Columbia</t>
        </is>
      </c>
      <c r="M1430" t="inlineStr">
        <is>
          <t>Vancouver</t>
        </is>
      </c>
      <c r="N1430" t="inlineStr">
        <is>
          <t>Liam Chen</t>
        </is>
      </c>
      <c r="O1430" t="n">
        <v>3</v>
      </c>
      <c r="P1430" s="3" t="n">
        <v>605.75</v>
      </c>
      <c r="Q1430" s="4" t="n">
        <v>0.019</v>
      </c>
      <c r="R1430" s="3" t="n">
        <v>1782.72</v>
      </c>
      <c r="S1430" s="3" t="n">
        <v>1132.02</v>
      </c>
      <c r="T1430" s="3" t="n">
        <v>642.3</v>
      </c>
      <c r="U1430" s="4" t="n">
        <v>0.3603</v>
      </c>
      <c r="V1430" s="3" t="n">
        <v>8.4</v>
      </c>
      <c r="W1430" t="inlineStr">
        <is>
          <t>Credit Card</t>
        </is>
      </c>
      <c r="X1430" t="inlineStr">
        <is>
          <t>Low</t>
        </is>
      </c>
    </row>
    <row r="1431">
      <c r="A1431" t="inlineStr">
        <is>
          <t>ORD-02195</t>
        </is>
      </c>
      <c r="B1431" s="2" t="n">
        <v>45087</v>
      </c>
      <c r="C1431" s="2" t="n">
        <v>45091</v>
      </c>
      <c r="D1431" t="inlineStr">
        <is>
          <t>CUST-02195</t>
        </is>
      </c>
      <c r="E1431" t="inlineStr">
        <is>
          <t>Customer 395</t>
        </is>
      </c>
      <c r="F1431" t="inlineStr">
        <is>
          <t>Consumer</t>
        </is>
      </c>
      <c r="G1431" t="inlineStr">
        <is>
          <t>P1011</t>
        </is>
      </c>
      <c r="H1431" t="inlineStr">
        <is>
          <t>Atlas Throw Pillow</t>
        </is>
      </c>
      <c r="I1431" t="inlineStr">
        <is>
          <t>Office Supplies</t>
        </is>
      </c>
      <c r="J1431" t="inlineStr">
        <is>
          <t>Textiles</t>
        </is>
      </c>
      <c r="K1431" t="inlineStr">
        <is>
          <t>North</t>
        </is>
      </c>
      <c r="L1431" t="inlineStr">
        <is>
          <t>Ontario</t>
        </is>
      </c>
      <c r="M1431" t="inlineStr">
        <is>
          <t>Montreal</t>
        </is>
      </c>
      <c r="N1431" t="inlineStr">
        <is>
          <t>Mia Rodriguez</t>
        </is>
      </c>
      <c r="O1431" t="n">
        <v>4</v>
      </c>
      <c r="P1431" s="3" t="n">
        <v>91.84</v>
      </c>
      <c r="Q1431" s="4" t="n">
        <v>0.006</v>
      </c>
      <c r="R1431" s="3" t="n">
        <v>365.16</v>
      </c>
      <c r="S1431" s="3" t="n">
        <v>177.95</v>
      </c>
      <c r="T1431" s="3" t="n">
        <v>178.01</v>
      </c>
      <c r="U1431" s="4" t="n">
        <v>0.4875</v>
      </c>
      <c r="V1431" s="3" t="n">
        <v>9.199999999999999</v>
      </c>
      <c r="W1431" t="inlineStr">
        <is>
          <t>Debit Card</t>
        </is>
      </c>
      <c r="X1431" t="inlineStr">
        <is>
          <t>Low</t>
        </is>
      </c>
    </row>
    <row r="1432">
      <c r="A1432" t="inlineStr">
        <is>
          <t>ORD-02197</t>
        </is>
      </c>
      <c r="B1432" s="2" t="n">
        <v>45397</v>
      </c>
      <c r="C1432" s="2" t="n">
        <v>45403</v>
      </c>
      <c r="D1432" t="inlineStr">
        <is>
          <t>CUST-02197</t>
        </is>
      </c>
      <c r="E1432" t="inlineStr">
        <is>
          <t>Customer 397</t>
        </is>
      </c>
      <c r="F1432" t="inlineStr">
        <is>
          <t>Home Office</t>
        </is>
      </c>
      <c r="G1432" t="inlineStr">
        <is>
          <t>P1002</t>
        </is>
      </c>
      <c r="H1432" t="inlineStr">
        <is>
          <t>Pulse Keyboard</t>
        </is>
      </c>
      <c r="I1432" t="inlineStr">
        <is>
          <t>Outdoor</t>
        </is>
      </c>
      <c r="J1432" t="inlineStr">
        <is>
          <t>Chairs</t>
        </is>
      </c>
      <c r="K1432" t="inlineStr">
        <is>
          <t>North</t>
        </is>
      </c>
      <c r="L1432" t="inlineStr">
        <is>
          <t>Alberta</t>
        </is>
      </c>
      <c r="M1432" t="inlineStr">
        <is>
          <t>Montreal</t>
        </is>
      </c>
      <c r="N1432" t="inlineStr">
        <is>
          <t>Ethan Brooks</t>
        </is>
      </c>
      <c r="O1432" t="n">
        <v>1</v>
      </c>
      <c r="P1432" s="3" t="n">
        <v>82.91</v>
      </c>
      <c r="Q1432" s="4" t="n">
        <v>0.028</v>
      </c>
      <c r="R1432" s="3" t="n">
        <v>80.59</v>
      </c>
      <c r="S1432" s="3" t="n">
        <v>41.59</v>
      </c>
      <c r="T1432" s="3" t="n">
        <v>32.2</v>
      </c>
      <c r="U1432" s="4" t="n">
        <v>0.3996</v>
      </c>
      <c r="V1432" s="3" t="n">
        <v>6.8</v>
      </c>
      <c r="W1432" t="inlineStr">
        <is>
          <t>Credit Card</t>
        </is>
      </c>
      <c r="X1432" t="inlineStr">
        <is>
          <t>Medium</t>
        </is>
      </c>
    </row>
    <row r="1433">
      <c r="A1433" t="inlineStr">
        <is>
          <t>ORD-02257</t>
        </is>
      </c>
      <c r="B1433" s="2" t="n">
        <v>45406</v>
      </c>
      <c r="C1433" s="2" t="n">
        <v>45409</v>
      </c>
      <c r="D1433" t="inlineStr">
        <is>
          <t>CUST-02257</t>
        </is>
      </c>
      <c r="E1433" t="inlineStr">
        <is>
          <t>Customer 457</t>
        </is>
      </c>
      <c r="F1433" t="inlineStr">
        <is>
          <t>Corporate</t>
        </is>
      </c>
      <c r="G1433" t="inlineStr">
        <is>
          <t>P1017</t>
        </is>
      </c>
      <c r="H1433" t="inlineStr">
        <is>
          <t>Lumen Desk Lamp</t>
        </is>
      </c>
      <c r="I1433" t="inlineStr">
        <is>
          <t>Furniture</t>
        </is>
      </c>
      <c r="J1433" t="inlineStr">
        <is>
          <t>Binders</t>
        </is>
      </c>
      <c r="K1433" t="inlineStr">
        <is>
          <t>North</t>
        </is>
      </c>
      <c r="L1433" t="inlineStr">
        <is>
          <t>British Columbia</t>
        </is>
      </c>
      <c r="M1433" t="inlineStr">
        <is>
          <t>Calgary</t>
        </is>
      </c>
      <c r="N1433" t="inlineStr">
        <is>
          <t>Olivia Martin</t>
        </is>
      </c>
      <c r="O1433" t="n">
        <v>3</v>
      </c>
      <c r="P1433" s="3" t="n">
        <v>542.7</v>
      </c>
      <c r="Q1433" s="4" t="n">
        <v>0.051</v>
      </c>
      <c r="R1433" s="3" t="n">
        <v>1545.07</v>
      </c>
      <c r="S1433" s="3" t="n">
        <v>1031.31</v>
      </c>
      <c r="T1433" s="3" t="n">
        <v>505.36</v>
      </c>
      <c r="U1433" s="4" t="n">
        <v>0.3271</v>
      </c>
      <c r="V1433" s="3" t="n">
        <v>8.4</v>
      </c>
      <c r="W1433" t="inlineStr">
        <is>
          <t>Credit Card</t>
        </is>
      </c>
      <c r="X1433" t="inlineStr">
        <is>
          <t>High</t>
        </is>
      </c>
    </row>
    <row r="1434">
      <c r="A1434" t="inlineStr">
        <is>
          <t>ORD-02265</t>
        </is>
      </c>
      <c r="B1434" s="2" t="n">
        <v>45641</v>
      </c>
      <c r="C1434" s="2" t="n">
        <v>45644</v>
      </c>
      <c r="D1434" t="inlineStr">
        <is>
          <t>CUST-02265</t>
        </is>
      </c>
      <c r="E1434" t="inlineStr">
        <is>
          <t>Customer 465</t>
        </is>
      </c>
      <c r="F1434" t="inlineStr">
        <is>
          <t>Corporate</t>
        </is>
      </c>
      <c r="G1434" t="inlineStr">
        <is>
          <t>P1011</t>
        </is>
      </c>
      <c r="H1434" t="inlineStr">
        <is>
          <t>Lumen Desk Lamp</t>
        </is>
      </c>
      <c r="I1434" t="inlineStr">
        <is>
          <t>Office Supplies</t>
        </is>
      </c>
      <c r="J1434" t="inlineStr">
        <is>
          <t>Video</t>
        </is>
      </c>
      <c r="K1434" t="inlineStr">
        <is>
          <t>North</t>
        </is>
      </c>
      <c r="L1434" t="inlineStr">
        <is>
          <t>Quebec</t>
        </is>
      </c>
      <c r="M1434" t="inlineStr">
        <is>
          <t>Vancouver</t>
        </is>
      </c>
      <c r="N1434" t="inlineStr">
        <is>
          <t>Noah Kim</t>
        </is>
      </c>
      <c r="O1434" t="n">
        <v>2</v>
      </c>
      <c r="P1434" s="3" t="n">
        <v>99.45</v>
      </c>
      <c r="Q1434" s="4" t="n">
        <v>0.065</v>
      </c>
      <c r="R1434" s="3" t="n">
        <v>185.97</v>
      </c>
      <c r="S1434" s="3" t="n">
        <v>94.56</v>
      </c>
      <c r="T1434" s="3" t="n">
        <v>83.81</v>
      </c>
      <c r="U1434" s="4" t="n">
        <v>0.4507</v>
      </c>
      <c r="V1434" s="3" t="n">
        <v>7.6</v>
      </c>
      <c r="W1434" t="inlineStr">
        <is>
          <t>Cash on Delivery</t>
        </is>
      </c>
      <c r="X1434" t="inlineStr">
        <is>
          <t>High</t>
        </is>
      </c>
    </row>
    <row r="1435">
      <c r="A1435" t="inlineStr">
        <is>
          <t>ORD-02274</t>
        </is>
      </c>
      <c r="B1435" s="2" t="n">
        <v>45813</v>
      </c>
      <c r="C1435" s="2" t="n">
        <v>45818</v>
      </c>
      <c r="D1435" t="inlineStr">
        <is>
          <t>CUST-02274</t>
        </is>
      </c>
      <c r="E1435" t="inlineStr">
        <is>
          <t>Customer 474</t>
        </is>
      </c>
      <c r="F1435" t="inlineStr">
        <is>
          <t>Corporate</t>
        </is>
      </c>
      <c r="G1435" t="inlineStr">
        <is>
          <t>P1005</t>
        </is>
      </c>
      <c r="H1435" t="inlineStr">
        <is>
          <t>Northstar Lantern</t>
        </is>
      </c>
      <c r="I1435" t="inlineStr">
        <is>
          <t>Outdoor</t>
        </is>
      </c>
      <c r="J1435" t="inlineStr">
        <is>
          <t>Textiles</t>
        </is>
      </c>
      <c r="K1435" t="inlineStr">
        <is>
          <t>North</t>
        </is>
      </c>
      <c r="L1435" t="inlineStr">
        <is>
          <t>Alberta</t>
        </is>
      </c>
      <c r="M1435" t="inlineStr">
        <is>
          <t>Toronto</t>
        </is>
      </c>
      <c r="N1435" t="inlineStr">
        <is>
          <t>Mia Rodriguez</t>
        </is>
      </c>
      <c r="O1435" t="n">
        <v>2</v>
      </c>
      <c r="P1435" s="3" t="n">
        <v>13.21</v>
      </c>
      <c r="Q1435" s="4" t="n">
        <v>0.036</v>
      </c>
      <c r="R1435" s="3" t="n">
        <v>25.47</v>
      </c>
      <c r="S1435" s="3" t="n">
        <v>17.58</v>
      </c>
      <c r="T1435" s="3" t="n">
        <v>0.29</v>
      </c>
      <c r="U1435" s="4" t="n">
        <v>0.0114</v>
      </c>
      <c r="V1435" s="3" t="n">
        <v>7.6</v>
      </c>
      <c r="W1435" t="inlineStr">
        <is>
          <t>Debit Card</t>
        </is>
      </c>
      <c r="X1435" t="inlineStr">
        <is>
          <t>Medium</t>
        </is>
      </c>
    </row>
    <row r="1436">
      <c r="A1436" t="inlineStr">
        <is>
          <t>ORD-02278</t>
        </is>
      </c>
      <c r="B1436" s="2" t="n">
        <v>45628</v>
      </c>
      <c r="C1436" s="2" t="n">
        <v>45629</v>
      </c>
      <c r="D1436" t="inlineStr">
        <is>
          <t>CUST-02278</t>
        </is>
      </c>
      <c r="E1436" t="inlineStr">
        <is>
          <t>Customer 478</t>
        </is>
      </c>
      <c r="F1436" t="inlineStr">
        <is>
          <t>Consumer</t>
        </is>
      </c>
      <c r="G1436" t="inlineStr">
        <is>
          <t>P1018</t>
        </is>
      </c>
      <c r="H1436" t="inlineStr">
        <is>
          <t>Orbit Wireless Mouse</t>
        </is>
      </c>
      <c r="I1436" t="inlineStr">
        <is>
          <t>Office Supplies</t>
        </is>
      </c>
      <c r="J1436" t="inlineStr">
        <is>
          <t>Storage</t>
        </is>
      </c>
      <c r="K1436" t="inlineStr">
        <is>
          <t>North</t>
        </is>
      </c>
      <c r="L1436" t="inlineStr">
        <is>
          <t>Quebec</t>
        </is>
      </c>
      <c r="M1436" t="inlineStr">
        <is>
          <t>Montreal</t>
        </is>
      </c>
      <c r="N1436" t="inlineStr">
        <is>
          <t>Noah Kim</t>
        </is>
      </c>
      <c r="O1436" t="n">
        <v>1</v>
      </c>
      <c r="P1436" s="3" t="n">
        <v>91.7</v>
      </c>
      <c r="Q1436" s="4" t="n">
        <v>0.007</v>
      </c>
      <c r="R1436" s="3" t="n">
        <v>91.06</v>
      </c>
      <c r="S1436" s="3" t="n">
        <v>45.52</v>
      </c>
      <c r="T1436" s="3" t="n">
        <v>38.74</v>
      </c>
      <c r="U1436" s="4" t="n">
        <v>0.4254</v>
      </c>
      <c r="V1436" s="3" t="n">
        <v>6.8</v>
      </c>
      <c r="W1436" t="inlineStr">
        <is>
          <t>Cash on Delivery</t>
        </is>
      </c>
      <c r="X1436" t="inlineStr">
        <is>
          <t>Medium</t>
        </is>
      </c>
    </row>
    <row r="1437">
      <c r="A1437" t="inlineStr">
        <is>
          <t>ORD-02284</t>
        </is>
      </c>
      <c r="B1437" s="2" t="n">
        <v>45284</v>
      </c>
      <c r="C1437" s="2" t="n">
        <v>45291</v>
      </c>
      <c r="D1437" t="inlineStr">
        <is>
          <t>CUST-02284</t>
        </is>
      </c>
      <c r="E1437" t="inlineStr">
        <is>
          <t>Customer 484</t>
        </is>
      </c>
      <c r="F1437" t="inlineStr">
        <is>
          <t>Consumer</t>
        </is>
      </c>
      <c r="G1437" t="inlineStr">
        <is>
          <t>P1005</t>
        </is>
      </c>
      <c r="H1437" t="inlineStr">
        <is>
          <t>CloudDrive File Box</t>
        </is>
      </c>
      <c r="I1437" t="inlineStr">
        <is>
          <t>Office Supplies</t>
        </is>
      </c>
      <c r="J1437" t="inlineStr">
        <is>
          <t>Desks</t>
        </is>
      </c>
      <c r="K1437" t="inlineStr">
        <is>
          <t>North</t>
        </is>
      </c>
      <c r="L1437" t="inlineStr">
        <is>
          <t>Alberta</t>
        </is>
      </c>
      <c r="M1437" t="inlineStr">
        <is>
          <t>Vancouver</t>
        </is>
      </c>
      <c r="N1437" t="inlineStr">
        <is>
          <t>Sophia Singh</t>
        </is>
      </c>
      <c r="O1437" t="n">
        <v>1</v>
      </c>
      <c r="P1437" s="3" t="n">
        <v>13.9</v>
      </c>
      <c r="Q1437" s="4" t="n">
        <v>0.014</v>
      </c>
      <c r="R1437" s="3" t="n">
        <v>13.71</v>
      </c>
      <c r="S1437" s="3" t="n">
        <v>10.16</v>
      </c>
      <c r="T1437" s="3" t="n">
        <v>-3.25</v>
      </c>
      <c r="U1437" s="4" t="n">
        <v>-0.2371</v>
      </c>
      <c r="V1437" s="3" t="n">
        <v>6.8</v>
      </c>
      <c r="W1437" t="inlineStr">
        <is>
          <t>Debit Card</t>
        </is>
      </c>
      <c r="X1437" t="inlineStr">
        <is>
          <t>Medium</t>
        </is>
      </c>
    </row>
    <row r="1438">
      <c r="A1438" t="inlineStr">
        <is>
          <t>ORD-02293</t>
        </is>
      </c>
      <c r="B1438" s="2" t="n">
        <v>44930</v>
      </c>
      <c r="C1438" s="2" t="n">
        <v>44936</v>
      </c>
      <c r="D1438" t="inlineStr">
        <is>
          <t>CUST-02293</t>
        </is>
      </c>
      <c r="E1438" t="inlineStr">
        <is>
          <t>Customer 493</t>
        </is>
      </c>
      <c r="F1438" t="inlineStr">
        <is>
          <t>Corporate</t>
        </is>
      </c>
      <c r="G1438" t="inlineStr">
        <is>
          <t>P1011</t>
        </is>
      </c>
      <c r="H1438" t="inlineStr">
        <is>
          <t>Halo Planter</t>
        </is>
      </c>
      <c r="I1438" t="inlineStr">
        <is>
          <t>Home Decor</t>
        </is>
      </c>
      <c r="J1438" t="inlineStr">
        <is>
          <t>Plants</t>
        </is>
      </c>
      <c r="K1438" t="inlineStr">
        <is>
          <t>North</t>
        </is>
      </c>
      <c r="L1438" t="inlineStr">
        <is>
          <t>British Columbia</t>
        </is>
      </c>
      <c r="M1438" t="inlineStr">
        <is>
          <t>Vancouver</t>
        </is>
      </c>
      <c r="N1438" t="inlineStr">
        <is>
          <t>Ethan Brooks</t>
        </is>
      </c>
      <c r="O1438" t="n">
        <v>4</v>
      </c>
      <c r="P1438" s="3" t="n">
        <v>86.92</v>
      </c>
      <c r="Q1438" s="4" t="n">
        <v>0.017</v>
      </c>
      <c r="R1438" s="3" t="n">
        <v>341.77</v>
      </c>
      <c r="S1438" s="3" t="n">
        <v>164.69</v>
      </c>
      <c r="T1438" s="3" t="n">
        <v>167.88</v>
      </c>
      <c r="U1438" s="4" t="n">
        <v>0.4912</v>
      </c>
      <c r="V1438" s="3" t="n">
        <v>9.199999999999999</v>
      </c>
      <c r="W1438" t="inlineStr">
        <is>
          <t>Bank Transfer</t>
        </is>
      </c>
      <c r="X1438" t="inlineStr">
        <is>
          <t>Low</t>
        </is>
      </c>
    </row>
    <row r="1439">
      <c r="A1439" t="inlineStr">
        <is>
          <t>ORD-02327</t>
        </is>
      </c>
      <c r="B1439" s="2" t="n">
        <v>45859</v>
      </c>
      <c r="C1439" s="2" t="n">
        <v>45861</v>
      </c>
      <c r="D1439" t="inlineStr">
        <is>
          <t>CUST-02327</t>
        </is>
      </c>
      <c r="E1439" t="inlineStr">
        <is>
          <t>Customer 527</t>
        </is>
      </c>
      <c r="F1439" t="inlineStr">
        <is>
          <t>Corporate</t>
        </is>
      </c>
      <c r="G1439" t="inlineStr">
        <is>
          <t>P1009</t>
        </is>
      </c>
      <c r="H1439" t="inlineStr">
        <is>
          <t>Cove Wall Clock</t>
        </is>
      </c>
      <c r="I1439" t="inlineStr">
        <is>
          <t>Office Supplies</t>
        </is>
      </c>
      <c r="J1439" t="inlineStr">
        <is>
          <t>Coolers</t>
        </is>
      </c>
      <c r="K1439" t="inlineStr">
        <is>
          <t>North</t>
        </is>
      </c>
      <c r="L1439" t="inlineStr">
        <is>
          <t>Quebec</t>
        </is>
      </c>
      <c r="M1439" t="inlineStr">
        <is>
          <t>Toronto</t>
        </is>
      </c>
      <c r="N1439" t="inlineStr">
        <is>
          <t>Noah Kim</t>
        </is>
      </c>
      <c r="O1439" t="n">
        <v>3</v>
      </c>
      <c r="P1439" s="3" t="n">
        <v>95.56999999999999</v>
      </c>
      <c r="Q1439" s="4" t="n">
        <v>0.02</v>
      </c>
      <c r="R1439" s="3" t="n">
        <v>280.98</v>
      </c>
      <c r="S1439" s="3" t="n">
        <v>140.52</v>
      </c>
      <c r="T1439" s="3" t="n">
        <v>132.06</v>
      </c>
      <c r="U1439" s="4" t="n">
        <v>0.47</v>
      </c>
      <c r="V1439" s="3" t="n">
        <v>8.4</v>
      </c>
      <c r="W1439" t="inlineStr">
        <is>
          <t>PayPal</t>
        </is>
      </c>
      <c r="X1439" t="inlineStr">
        <is>
          <t>Medium</t>
        </is>
      </c>
    </row>
    <row r="1440">
      <c r="A1440" t="inlineStr">
        <is>
          <t>ORD-02329</t>
        </is>
      </c>
      <c r="B1440" s="2" t="n">
        <v>45584</v>
      </c>
      <c r="C1440" s="2" t="n">
        <v>45591</v>
      </c>
      <c r="D1440" t="inlineStr">
        <is>
          <t>CUST-02329</t>
        </is>
      </c>
      <c r="E1440" t="inlineStr">
        <is>
          <t>Customer 529</t>
        </is>
      </c>
      <c r="F1440" t="inlineStr">
        <is>
          <t>Corporate</t>
        </is>
      </c>
      <c r="G1440" t="inlineStr">
        <is>
          <t>P1004</t>
        </is>
      </c>
      <c r="H1440" t="inlineStr">
        <is>
          <t>ProClip Binder</t>
        </is>
      </c>
      <c r="I1440" t="inlineStr">
        <is>
          <t>Home Decor</t>
        </is>
      </c>
      <c r="J1440" t="inlineStr">
        <is>
          <t>Furniture</t>
        </is>
      </c>
      <c r="K1440" t="inlineStr">
        <is>
          <t>North</t>
        </is>
      </c>
      <c r="L1440" t="inlineStr">
        <is>
          <t>Ontario</t>
        </is>
      </c>
      <c r="M1440" t="inlineStr">
        <is>
          <t>Calgary</t>
        </is>
      </c>
      <c r="N1440" t="inlineStr">
        <is>
          <t>Olivia Martin</t>
        </is>
      </c>
      <c r="O1440" t="n">
        <v>3</v>
      </c>
      <c r="P1440" s="3" t="n">
        <v>642.9400000000001</v>
      </c>
      <c r="Q1440" s="4" t="n">
        <v>0.04</v>
      </c>
      <c r="R1440" s="3" t="n">
        <v>1851.67</v>
      </c>
      <c r="S1440" s="3" t="n">
        <v>1171.05</v>
      </c>
      <c r="T1440" s="3" t="n">
        <v>672.22</v>
      </c>
      <c r="U1440" s="4" t="n">
        <v>0.363</v>
      </c>
      <c r="V1440" s="3" t="n">
        <v>8.4</v>
      </c>
      <c r="W1440" t="inlineStr">
        <is>
          <t>Credit Card</t>
        </is>
      </c>
      <c r="X1440" t="inlineStr">
        <is>
          <t>Medium</t>
        </is>
      </c>
    </row>
    <row r="1441">
      <c r="A1441" t="inlineStr">
        <is>
          <t>ORD-02336</t>
        </is>
      </c>
      <c r="B1441" s="2" t="n">
        <v>45292</v>
      </c>
      <c r="C1441" s="2" t="n">
        <v>45297</v>
      </c>
      <c r="D1441" t="inlineStr">
        <is>
          <t>CUST-02336</t>
        </is>
      </c>
      <c r="E1441" t="inlineStr">
        <is>
          <t>Customer 536</t>
        </is>
      </c>
      <c r="F1441" t="inlineStr">
        <is>
          <t>Consumer</t>
        </is>
      </c>
      <c r="G1441" t="inlineStr">
        <is>
          <t>P1005</t>
        </is>
      </c>
      <c r="H1441" t="inlineStr">
        <is>
          <t>Halo Planter</t>
        </is>
      </c>
      <c r="I1441" t="inlineStr">
        <is>
          <t>Outdoor</t>
        </is>
      </c>
      <c r="J1441" t="inlineStr">
        <is>
          <t>Lighting</t>
        </is>
      </c>
      <c r="K1441" t="inlineStr">
        <is>
          <t>North</t>
        </is>
      </c>
      <c r="L1441" t="inlineStr">
        <is>
          <t>British Columbia</t>
        </is>
      </c>
      <c r="M1441" t="inlineStr">
        <is>
          <t>Toronto</t>
        </is>
      </c>
      <c r="N1441" t="inlineStr">
        <is>
          <t>James Carter</t>
        </is>
      </c>
      <c r="O1441" t="n">
        <v>3</v>
      </c>
      <c r="P1441" s="3" t="n">
        <v>12.08</v>
      </c>
      <c r="Q1441" s="4" t="n">
        <v>0.018</v>
      </c>
      <c r="R1441" s="3" t="n">
        <v>35.59</v>
      </c>
      <c r="S1441" s="3" t="n">
        <v>20</v>
      </c>
      <c r="T1441" s="3" t="n">
        <v>7.19</v>
      </c>
      <c r="U1441" s="4" t="n">
        <v>0.202</v>
      </c>
      <c r="V1441" s="3" t="n">
        <v>8.4</v>
      </c>
      <c r="W1441" t="inlineStr">
        <is>
          <t>Cash on Delivery</t>
        </is>
      </c>
      <c r="X1441" t="inlineStr">
        <is>
          <t>Medium</t>
        </is>
      </c>
    </row>
    <row r="1442">
      <c r="A1442" t="inlineStr">
        <is>
          <t>ORD-02343</t>
        </is>
      </c>
      <c r="B1442" s="2" t="n">
        <v>45069</v>
      </c>
      <c r="C1442" s="2" t="n">
        <v>45071</v>
      </c>
      <c r="D1442" t="inlineStr">
        <is>
          <t>CUST-02343</t>
        </is>
      </c>
      <c r="E1442" t="inlineStr">
        <is>
          <t>Customer 543</t>
        </is>
      </c>
      <c r="F1442" t="inlineStr">
        <is>
          <t>Consumer</t>
        </is>
      </c>
      <c r="G1442" t="inlineStr">
        <is>
          <t>P1014</t>
        </is>
      </c>
      <c r="H1442" t="inlineStr">
        <is>
          <t>CloudDrive File Box</t>
        </is>
      </c>
      <c r="I1442" t="inlineStr">
        <is>
          <t>Home Decor</t>
        </is>
      </c>
      <c r="J1442" t="inlineStr">
        <is>
          <t>Accessories</t>
        </is>
      </c>
      <c r="K1442" t="inlineStr">
        <is>
          <t>North</t>
        </is>
      </c>
      <c r="L1442" t="inlineStr">
        <is>
          <t>Alberta</t>
        </is>
      </c>
      <c r="M1442" t="inlineStr">
        <is>
          <t>Montreal</t>
        </is>
      </c>
      <c r="N1442" t="inlineStr">
        <is>
          <t>Noah Kim</t>
        </is>
      </c>
      <c r="O1442" t="n">
        <v>2</v>
      </c>
      <c r="P1442" s="3" t="n">
        <v>42.19</v>
      </c>
      <c r="Q1442" s="4" t="n">
        <v>0.033</v>
      </c>
      <c r="R1442" s="3" t="n">
        <v>81.59999999999999</v>
      </c>
      <c r="S1442" s="3" t="n">
        <v>36.37</v>
      </c>
      <c r="T1442" s="3" t="n">
        <v>37.63</v>
      </c>
      <c r="U1442" s="4" t="n">
        <v>0.4612</v>
      </c>
      <c r="V1442" s="3" t="n">
        <v>7.6</v>
      </c>
      <c r="W1442" t="inlineStr">
        <is>
          <t>Credit Card</t>
        </is>
      </c>
      <c r="X1442" t="inlineStr">
        <is>
          <t>High</t>
        </is>
      </c>
    </row>
    <row r="1443">
      <c r="A1443" t="inlineStr">
        <is>
          <t>ORD-02345</t>
        </is>
      </c>
      <c r="B1443" s="2" t="n">
        <v>45711</v>
      </c>
      <c r="C1443" s="2" t="n">
        <v>45715</v>
      </c>
      <c r="D1443" t="inlineStr">
        <is>
          <t>CUST-02345</t>
        </is>
      </c>
      <c r="E1443" t="inlineStr">
        <is>
          <t>Customer 545</t>
        </is>
      </c>
      <c r="F1443" t="inlineStr">
        <is>
          <t>Consumer</t>
        </is>
      </c>
      <c r="G1443" t="inlineStr">
        <is>
          <t>P1017</t>
        </is>
      </c>
      <c r="H1443" t="inlineStr">
        <is>
          <t>Harbor Rug</t>
        </is>
      </c>
      <c r="I1443" t="inlineStr">
        <is>
          <t>Furniture</t>
        </is>
      </c>
      <c r="J1443" t="inlineStr">
        <is>
          <t>Accessories</t>
        </is>
      </c>
      <c r="K1443" t="inlineStr">
        <is>
          <t>North</t>
        </is>
      </c>
      <c r="L1443" t="inlineStr">
        <is>
          <t>Quebec</t>
        </is>
      </c>
      <c r="M1443" t="inlineStr">
        <is>
          <t>Calgary</t>
        </is>
      </c>
      <c r="N1443" t="inlineStr">
        <is>
          <t>Ethan Brooks</t>
        </is>
      </c>
      <c r="O1443" t="n">
        <v>3</v>
      </c>
      <c r="P1443" s="3" t="n">
        <v>565.08</v>
      </c>
      <c r="Q1443" s="4" t="n">
        <v>0.029</v>
      </c>
      <c r="R1443" s="3" t="n">
        <v>1646.08</v>
      </c>
      <c r="S1443" s="3" t="n">
        <v>1091.29</v>
      </c>
      <c r="T1443" s="3" t="n">
        <v>546.39</v>
      </c>
      <c r="U1443" s="4" t="n">
        <v>0.3319</v>
      </c>
      <c r="V1443" s="3" t="n">
        <v>8.4</v>
      </c>
      <c r="W1443" t="inlineStr">
        <is>
          <t>Debit Card</t>
        </is>
      </c>
      <c r="X1443" t="inlineStr">
        <is>
          <t>Medium</t>
        </is>
      </c>
    </row>
    <row r="1444">
      <c r="A1444" t="inlineStr">
        <is>
          <t>ORD-02350</t>
        </is>
      </c>
      <c r="B1444" s="2" t="n">
        <v>45129</v>
      </c>
      <c r="C1444" s="2" t="n">
        <v>45134</v>
      </c>
      <c r="D1444" t="inlineStr">
        <is>
          <t>CUST-02350</t>
        </is>
      </c>
      <c r="E1444" t="inlineStr">
        <is>
          <t>Customer 550</t>
        </is>
      </c>
      <c r="F1444" t="inlineStr">
        <is>
          <t>Consumer</t>
        </is>
      </c>
      <c r="G1444" t="inlineStr">
        <is>
          <t>P1017</t>
        </is>
      </c>
      <c r="H1444" t="inlineStr">
        <is>
          <t>ErgoMesh Chair</t>
        </is>
      </c>
      <c r="I1444" t="inlineStr">
        <is>
          <t>Office Supplies</t>
        </is>
      </c>
      <c r="J1444" t="inlineStr">
        <is>
          <t>Flooring</t>
        </is>
      </c>
      <c r="K1444" t="inlineStr">
        <is>
          <t>North</t>
        </is>
      </c>
      <c r="L1444" t="inlineStr">
        <is>
          <t>Quebec</t>
        </is>
      </c>
      <c r="M1444" t="inlineStr">
        <is>
          <t>Montreal</t>
        </is>
      </c>
      <c r="N1444" t="inlineStr">
        <is>
          <t>Sophia Singh</t>
        </is>
      </c>
      <c r="O1444" t="n">
        <v>3</v>
      </c>
      <c r="P1444" s="3" t="n">
        <v>566.87</v>
      </c>
      <c r="Q1444" s="4" t="n">
        <v>0.033</v>
      </c>
      <c r="R1444" s="3" t="n">
        <v>1644.49</v>
      </c>
      <c r="S1444" s="3" t="n">
        <v>1093.79</v>
      </c>
      <c r="T1444" s="3" t="n">
        <v>542.3</v>
      </c>
      <c r="U1444" s="4" t="n">
        <v>0.3298</v>
      </c>
      <c r="V1444" s="3" t="n">
        <v>8.4</v>
      </c>
      <c r="W1444" t="inlineStr">
        <is>
          <t>Cash on Delivery</t>
        </is>
      </c>
      <c r="X1444" t="inlineStr">
        <is>
          <t>High</t>
        </is>
      </c>
    </row>
    <row r="1445">
      <c r="A1445" t="inlineStr">
        <is>
          <t>ORD-02377</t>
        </is>
      </c>
      <c r="B1445" s="2" t="n">
        <v>45339</v>
      </c>
      <c r="C1445" s="2" t="n">
        <v>45344</v>
      </c>
      <c r="D1445" t="inlineStr">
        <is>
          <t>CUST-02377</t>
        </is>
      </c>
      <c r="E1445" t="inlineStr">
        <is>
          <t>Customer 577</t>
        </is>
      </c>
      <c r="F1445" t="inlineStr">
        <is>
          <t>Corporate</t>
        </is>
      </c>
      <c r="G1445" t="inlineStr">
        <is>
          <t>P1020</t>
        </is>
      </c>
      <c r="H1445" t="inlineStr">
        <is>
          <t>Trail Tote</t>
        </is>
      </c>
      <c r="I1445" t="inlineStr">
        <is>
          <t>Furniture</t>
        </is>
      </c>
      <c r="J1445" t="inlineStr">
        <is>
          <t>Desks</t>
        </is>
      </c>
      <c r="K1445" t="inlineStr">
        <is>
          <t>North</t>
        </is>
      </c>
      <c r="L1445" t="inlineStr">
        <is>
          <t>British Columbia</t>
        </is>
      </c>
      <c r="M1445" t="inlineStr">
        <is>
          <t>Montreal</t>
        </is>
      </c>
      <c r="N1445" t="inlineStr">
        <is>
          <t>Sophia Singh</t>
        </is>
      </c>
      <c r="O1445" t="n">
        <v>4</v>
      </c>
      <c r="P1445" s="3" t="n">
        <v>75.40000000000001</v>
      </c>
      <c r="Q1445" s="4" t="n">
        <v>0.026</v>
      </c>
      <c r="R1445" s="3" t="n">
        <v>293.76</v>
      </c>
      <c r="S1445" s="3" t="n">
        <v>138.56</v>
      </c>
      <c r="T1445" s="3" t="n">
        <v>146</v>
      </c>
      <c r="U1445" s="4" t="n">
        <v>0.497</v>
      </c>
      <c r="V1445" s="3" t="n">
        <v>9.199999999999999</v>
      </c>
      <c r="W1445" t="inlineStr">
        <is>
          <t>Credit Card</t>
        </is>
      </c>
      <c r="X1445" t="inlineStr">
        <is>
          <t>Low</t>
        </is>
      </c>
    </row>
    <row r="1446">
      <c r="A1446" t="inlineStr">
        <is>
          <t>ORD-02396</t>
        </is>
      </c>
      <c r="B1446" s="2" t="n">
        <v>45332</v>
      </c>
      <c r="C1446" s="2" t="n">
        <v>45334</v>
      </c>
      <c r="D1446" t="inlineStr">
        <is>
          <t>CUST-02396</t>
        </is>
      </c>
      <c r="E1446" t="inlineStr">
        <is>
          <t>Customer 596</t>
        </is>
      </c>
      <c r="F1446" t="inlineStr">
        <is>
          <t>Home Office</t>
        </is>
      </c>
      <c r="G1446" t="inlineStr">
        <is>
          <t>P1012</t>
        </is>
      </c>
      <c r="H1446" t="inlineStr">
        <is>
          <t>Orbit Wireless Mouse</t>
        </is>
      </c>
      <c r="I1446" t="inlineStr">
        <is>
          <t>Outdoor</t>
        </is>
      </c>
      <c r="J1446" t="inlineStr">
        <is>
          <t>Furniture</t>
        </is>
      </c>
      <c r="K1446" t="inlineStr">
        <is>
          <t>North</t>
        </is>
      </c>
      <c r="L1446" t="inlineStr">
        <is>
          <t>British Columbia</t>
        </is>
      </c>
      <c r="M1446" t="inlineStr">
        <is>
          <t>Toronto</t>
        </is>
      </c>
      <c r="N1446" t="inlineStr">
        <is>
          <t>Ethan Brooks</t>
        </is>
      </c>
      <c r="O1446" t="n">
        <v>2</v>
      </c>
      <c r="P1446" s="3" t="n">
        <v>132.22</v>
      </c>
      <c r="Q1446" s="4" t="n">
        <v>0.058</v>
      </c>
      <c r="R1446" s="3" t="n">
        <v>249.1</v>
      </c>
      <c r="S1446" s="3" t="n">
        <v>132.61</v>
      </c>
      <c r="T1446" s="3" t="n">
        <v>108.89</v>
      </c>
      <c r="U1446" s="4" t="n">
        <v>0.4371</v>
      </c>
      <c r="V1446" s="3" t="n">
        <v>7.6</v>
      </c>
      <c r="W1446" t="inlineStr">
        <is>
          <t>Debit Card</t>
        </is>
      </c>
      <c r="X1446" t="inlineStr">
        <is>
          <t>High</t>
        </is>
      </c>
    </row>
    <row r="1447">
      <c r="A1447" t="inlineStr">
        <is>
          <t>ORD-02416</t>
        </is>
      </c>
      <c r="B1447" s="2" t="n">
        <v>46011</v>
      </c>
      <c r="C1447" s="2" t="n">
        <v>46016</v>
      </c>
      <c r="D1447" t="inlineStr">
        <is>
          <t>CUST-02416</t>
        </is>
      </c>
      <c r="E1447" t="inlineStr">
        <is>
          <t>Customer 616</t>
        </is>
      </c>
      <c r="F1447" t="inlineStr">
        <is>
          <t>Corporate</t>
        </is>
      </c>
      <c r="G1447" t="inlineStr">
        <is>
          <t>P1009</t>
        </is>
      </c>
      <c r="H1447" t="inlineStr">
        <is>
          <t>Tide Cooler</t>
        </is>
      </c>
      <c r="I1447" t="inlineStr">
        <is>
          <t>Office Supplies</t>
        </is>
      </c>
      <c r="J1447" t="inlineStr">
        <is>
          <t>Accessories</t>
        </is>
      </c>
      <c r="K1447" t="inlineStr">
        <is>
          <t>North</t>
        </is>
      </c>
      <c r="L1447" t="inlineStr">
        <is>
          <t>Ontario</t>
        </is>
      </c>
      <c r="M1447" t="inlineStr">
        <is>
          <t>Toronto</t>
        </is>
      </c>
      <c r="N1447" t="inlineStr">
        <is>
          <t>Ethan Brooks</t>
        </is>
      </c>
      <c r="O1447" t="n">
        <v>1</v>
      </c>
      <c r="P1447" s="3" t="n">
        <v>100.49</v>
      </c>
      <c r="Q1447" s="4" t="n">
        <v>0.056</v>
      </c>
      <c r="R1447" s="3" t="n">
        <v>94.86</v>
      </c>
      <c r="S1447" s="3" t="n">
        <v>54.29</v>
      </c>
      <c r="T1447" s="3" t="n">
        <v>33.77</v>
      </c>
      <c r="U1447" s="4" t="n">
        <v>0.356</v>
      </c>
      <c r="V1447" s="3" t="n">
        <v>6.8</v>
      </c>
      <c r="W1447" t="inlineStr">
        <is>
          <t>PayPal</t>
        </is>
      </c>
      <c r="X1447" t="inlineStr">
        <is>
          <t>High</t>
        </is>
      </c>
    </row>
    <row r="1448">
      <c r="A1448" t="inlineStr">
        <is>
          <t>ORD-02431</t>
        </is>
      </c>
      <c r="B1448" s="2" t="n">
        <v>45598</v>
      </c>
      <c r="C1448" s="2" t="n">
        <v>45605</v>
      </c>
      <c r="D1448" t="inlineStr">
        <is>
          <t>CUST-02431</t>
        </is>
      </c>
      <c r="E1448" t="inlineStr">
        <is>
          <t>Customer 631</t>
        </is>
      </c>
      <c r="F1448" t="inlineStr">
        <is>
          <t>Consumer</t>
        </is>
      </c>
      <c r="G1448" t="inlineStr">
        <is>
          <t>P1003</t>
        </is>
      </c>
      <c r="H1448" t="inlineStr">
        <is>
          <t>Atlas Throw Pillow</t>
        </is>
      </c>
      <c r="I1448" t="inlineStr">
        <is>
          <t>Technology</t>
        </is>
      </c>
      <c r="J1448" t="inlineStr">
        <is>
          <t>Binders</t>
        </is>
      </c>
      <c r="K1448" t="inlineStr">
        <is>
          <t>North</t>
        </is>
      </c>
      <c r="L1448" t="inlineStr">
        <is>
          <t>Ontario</t>
        </is>
      </c>
      <c r="M1448" t="inlineStr">
        <is>
          <t>Toronto</t>
        </is>
      </c>
      <c r="N1448" t="inlineStr">
        <is>
          <t>Mia Rodriguez</t>
        </is>
      </c>
      <c r="O1448" t="n">
        <v>3</v>
      </c>
      <c r="P1448" s="3" t="n">
        <v>169.91</v>
      </c>
      <c r="Q1448" s="4" t="n">
        <v>0.034</v>
      </c>
      <c r="R1448" s="3" t="n">
        <v>492.4</v>
      </c>
      <c r="S1448" s="3" t="n">
        <v>256.5</v>
      </c>
      <c r="T1448" s="3" t="n">
        <v>227.5</v>
      </c>
      <c r="U1448" s="4" t="n">
        <v>0.462</v>
      </c>
      <c r="V1448" s="3" t="n">
        <v>8.4</v>
      </c>
      <c r="W1448" t="inlineStr">
        <is>
          <t>Credit Card</t>
        </is>
      </c>
      <c r="X1448" t="inlineStr">
        <is>
          <t>Critical</t>
        </is>
      </c>
    </row>
    <row r="1449">
      <c r="A1449" t="inlineStr">
        <is>
          <t>ORD-02432</t>
        </is>
      </c>
      <c r="B1449" s="2" t="n">
        <v>45701</v>
      </c>
      <c r="C1449" s="2" t="n">
        <v>45702</v>
      </c>
      <c r="D1449" t="inlineStr">
        <is>
          <t>CUST-02432</t>
        </is>
      </c>
      <c r="E1449" t="inlineStr">
        <is>
          <t>Customer 632</t>
        </is>
      </c>
      <c r="F1449" t="inlineStr">
        <is>
          <t>Home Office</t>
        </is>
      </c>
      <c r="G1449" t="inlineStr">
        <is>
          <t>P1008</t>
        </is>
      </c>
      <c r="H1449" t="inlineStr">
        <is>
          <t>Pulse Keyboard</t>
        </is>
      </c>
      <c r="I1449" t="inlineStr">
        <is>
          <t>Office Supplies</t>
        </is>
      </c>
      <c r="J1449" t="inlineStr">
        <is>
          <t>Accessories</t>
        </is>
      </c>
      <c r="K1449" t="inlineStr">
        <is>
          <t>North</t>
        </is>
      </c>
      <c r="L1449" t="inlineStr">
        <is>
          <t>Ontario</t>
        </is>
      </c>
      <c r="M1449" t="inlineStr">
        <is>
          <t>Vancouver</t>
        </is>
      </c>
      <c r="N1449" t="inlineStr">
        <is>
          <t>Sophia Singh</t>
        </is>
      </c>
      <c r="O1449" t="n">
        <v>1</v>
      </c>
      <c r="P1449" s="3" t="n">
        <v>36.58</v>
      </c>
      <c r="Q1449" s="4" t="n">
        <v>0.013</v>
      </c>
      <c r="R1449" s="3" t="n">
        <v>36.1</v>
      </c>
      <c r="S1449" s="3" t="n">
        <v>22.75</v>
      </c>
      <c r="T1449" s="3" t="n">
        <v>6.55</v>
      </c>
      <c r="U1449" s="4" t="n">
        <v>0.1814</v>
      </c>
      <c r="V1449" s="3" t="n">
        <v>6.8</v>
      </c>
      <c r="W1449" t="inlineStr">
        <is>
          <t>Credit Card</t>
        </is>
      </c>
      <c r="X1449" t="inlineStr">
        <is>
          <t>Low</t>
        </is>
      </c>
    </row>
    <row r="1450">
      <c r="A1450" t="inlineStr">
        <is>
          <t>ORD-02433</t>
        </is>
      </c>
      <c r="B1450" s="2" t="n">
        <v>45765</v>
      </c>
      <c r="C1450" s="2" t="n">
        <v>45766</v>
      </c>
      <c r="D1450" t="inlineStr">
        <is>
          <t>CUST-02433</t>
        </is>
      </c>
      <c r="E1450" t="inlineStr">
        <is>
          <t>Customer 633</t>
        </is>
      </c>
      <c r="F1450" t="inlineStr">
        <is>
          <t>Home Office</t>
        </is>
      </c>
      <c r="G1450" t="inlineStr">
        <is>
          <t>P1002</t>
        </is>
      </c>
      <c r="H1450" t="inlineStr">
        <is>
          <t>Cove Wall Clock</t>
        </is>
      </c>
      <c r="I1450" t="inlineStr">
        <is>
          <t>Technology</t>
        </is>
      </c>
      <c r="J1450" t="inlineStr">
        <is>
          <t>Textiles</t>
        </is>
      </c>
      <c r="K1450" t="inlineStr">
        <is>
          <t>North</t>
        </is>
      </c>
      <c r="L1450" t="inlineStr">
        <is>
          <t>Quebec</t>
        </is>
      </c>
      <c r="M1450" t="inlineStr">
        <is>
          <t>Toronto</t>
        </is>
      </c>
      <c r="N1450" t="inlineStr">
        <is>
          <t>Mia Rodriguez</t>
        </is>
      </c>
      <c r="O1450" t="n">
        <v>4</v>
      </c>
      <c r="P1450" s="3" t="n">
        <v>82.91</v>
      </c>
      <c r="Q1450" s="4" t="n">
        <v>0.029</v>
      </c>
      <c r="R1450" s="3" t="n">
        <v>322.02</v>
      </c>
      <c r="S1450" s="3" t="n">
        <v>150.45</v>
      </c>
      <c r="T1450" s="3" t="n">
        <v>162.37</v>
      </c>
      <c r="U1450" s="4" t="n">
        <v>0.5042</v>
      </c>
      <c r="V1450" s="3" t="n">
        <v>9.199999999999999</v>
      </c>
      <c r="W1450" t="inlineStr">
        <is>
          <t>Credit Card</t>
        </is>
      </c>
      <c r="X1450" t="inlineStr">
        <is>
          <t>Medium</t>
        </is>
      </c>
    </row>
    <row r="1451">
      <c r="A1451" t="inlineStr">
        <is>
          <t>ORD-02434</t>
        </is>
      </c>
      <c r="B1451" s="2" t="n">
        <v>44952</v>
      </c>
      <c r="C1451" s="2" t="n">
        <v>44956</v>
      </c>
      <c r="D1451" t="inlineStr">
        <is>
          <t>CUST-02434</t>
        </is>
      </c>
      <c r="E1451" t="inlineStr">
        <is>
          <t>Customer 634</t>
        </is>
      </c>
      <c r="F1451" t="inlineStr">
        <is>
          <t>Corporate</t>
        </is>
      </c>
      <c r="G1451" t="inlineStr">
        <is>
          <t>P1008</t>
        </is>
      </c>
      <c r="H1451" t="inlineStr">
        <is>
          <t>FlexNote Notebook</t>
        </is>
      </c>
      <c r="I1451" t="inlineStr">
        <is>
          <t>Outdoor</t>
        </is>
      </c>
      <c r="J1451" t="inlineStr">
        <is>
          <t>Desks</t>
        </is>
      </c>
      <c r="K1451" t="inlineStr">
        <is>
          <t>North</t>
        </is>
      </c>
      <c r="L1451" t="inlineStr">
        <is>
          <t>Ontario</t>
        </is>
      </c>
      <c r="M1451" t="inlineStr">
        <is>
          <t>Toronto</t>
        </is>
      </c>
      <c r="N1451" t="inlineStr">
        <is>
          <t>Sophia Singh</t>
        </is>
      </c>
      <c r="O1451" t="n">
        <v>2</v>
      </c>
      <c r="P1451" s="3" t="n">
        <v>33.94</v>
      </c>
      <c r="Q1451" s="4" t="n">
        <v>0.023</v>
      </c>
      <c r="R1451" s="3" t="n">
        <v>66.31999999999999</v>
      </c>
      <c r="S1451" s="3" t="n">
        <v>33.14</v>
      </c>
      <c r="T1451" s="3" t="n">
        <v>25.58</v>
      </c>
      <c r="U1451" s="4" t="n">
        <v>0.3857</v>
      </c>
      <c r="V1451" s="3" t="n">
        <v>7.6</v>
      </c>
      <c r="W1451" t="inlineStr">
        <is>
          <t>Debit Card</t>
        </is>
      </c>
      <c r="X1451" t="inlineStr">
        <is>
          <t>Medium</t>
        </is>
      </c>
    </row>
    <row r="1452">
      <c r="A1452" t="inlineStr">
        <is>
          <t>ORD-02441</t>
        </is>
      </c>
      <c r="B1452" s="2" t="n">
        <v>45636</v>
      </c>
      <c r="C1452" s="2" t="n">
        <v>45643</v>
      </c>
      <c r="D1452" t="inlineStr">
        <is>
          <t>CUST-02441</t>
        </is>
      </c>
      <c r="E1452" t="inlineStr">
        <is>
          <t>Customer 641</t>
        </is>
      </c>
      <c r="F1452" t="inlineStr">
        <is>
          <t>Consumer</t>
        </is>
      </c>
      <c r="G1452" t="inlineStr">
        <is>
          <t>P1015</t>
        </is>
      </c>
      <c r="H1452" t="inlineStr">
        <is>
          <t>Summit Patio Set</t>
        </is>
      </c>
      <c r="I1452" t="inlineStr">
        <is>
          <t>Technology</t>
        </is>
      </c>
      <c r="J1452" t="inlineStr">
        <is>
          <t>Decor</t>
        </is>
      </c>
      <c r="K1452" t="inlineStr">
        <is>
          <t>North</t>
        </is>
      </c>
      <c r="L1452" t="inlineStr">
        <is>
          <t>British Columbia</t>
        </is>
      </c>
      <c r="M1452" t="inlineStr">
        <is>
          <t>Toronto</t>
        </is>
      </c>
      <c r="N1452" t="inlineStr">
        <is>
          <t>Ethan Brooks</t>
        </is>
      </c>
      <c r="O1452" t="n">
        <v>3</v>
      </c>
      <c r="P1452" s="3" t="n">
        <v>69.61</v>
      </c>
      <c r="Q1452" s="4" t="n">
        <v>0.05</v>
      </c>
      <c r="R1452" s="3" t="n">
        <v>198.39</v>
      </c>
      <c r="S1452" s="3" t="n">
        <v>91.63</v>
      </c>
      <c r="T1452" s="3" t="n">
        <v>98.36</v>
      </c>
      <c r="U1452" s="4" t="n">
        <v>0.4958</v>
      </c>
      <c r="V1452" s="3" t="n">
        <v>8.4</v>
      </c>
      <c r="W1452" t="inlineStr">
        <is>
          <t>Bank Transfer</t>
        </is>
      </c>
      <c r="X1452" t="inlineStr">
        <is>
          <t>High</t>
        </is>
      </c>
    </row>
    <row r="1453">
      <c r="A1453" t="inlineStr">
        <is>
          <t>ORD-02452</t>
        </is>
      </c>
      <c r="B1453" s="2" t="n">
        <v>45906</v>
      </c>
      <c r="C1453" s="2" t="n">
        <v>45907</v>
      </c>
      <c r="D1453" t="inlineStr">
        <is>
          <t>CUST-02452</t>
        </is>
      </c>
      <c r="E1453" t="inlineStr">
        <is>
          <t>Customer 652</t>
        </is>
      </c>
      <c r="F1453" t="inlineStr">
        <is>
          <t>Consumer</t>
        </is>
      </c>
      <c r="G1453" t="inlineStr">
        <is>
          <t>P1016</t>
        </is>
      </c>
      <c r="H1453" t="inlineStr">
        <is>
          <t>Halo Planter</t>
        </is>
      </c>
      <c r="I1453" t="inlineStr">
        <is>
          <t>Technology</t>
        </is>
      </c>
      <c r="J1453" t="inlineStr">
        <is>
          <t>Paper</t>
        </is>
      </c>
      <c r="K1453" t="inlineStr">
        <is>
          <t>North</t>
        </is>
      </c>
      <c r="L1453" t="inlineStr">
        <is>
          <t>Quebec</t>
        </is>
      </c>
      <c r="M1453" t="inlineStr">
        <is>
          <t>Montreal</t>
        </is>
      </c>
      <c r="N1453" t="inlineStr">
        <is>
          <t>Sophia Singh</t>
        </is>
      </c>
      <c r="O1453" t="n">
        <v>3</v>
      </c>
      <c r="P1453" s="3" t="n">
        <v>36.95</v>
      </c>
      <c r="Q1453" s="4" t="n">
        <v>0.027</v>
      </c>
      <c r="R1453" s="3" t="n">
        <v>107.86</v>
      </c>
      <c r="S1453" s="3" t="n">
        <v>47.61</v>
      </c>
      <c r="T1453" s="3" t="n">
        <v>51.85</v>
      </c>
      <c r="U1453" s="4" t="n">
        <v>0.4807</v>
      </c>
      <c r="V1453" s="3" t="n">
        <v>8.4</v>
      </c>
      <c r="W1453" t="inlineStr">
        <is>
          <t>Debit Card</t>
        </is>
      </c>
      <c r="X1453" t="inlineStr">
        <is>
          <t>Medium</t>
        </is>
      </c>
    </row>
    <row r="1454">
      <c r="A1454" t="inlineStr">
        <is>
          <t>ORD-02458</t>
        </is>
      </c>
      <c r="B1454" s="2" t="n">
        <v>45566</v>
      </c>
      <c r="C1454" s="2" t="n">
        <v>45567</v>
      </c>
      <c r="D1454" t="inlineStr">
        <is>
          <t>CUST-02458</t>
        </is>
      </c>
      <c r="E1454" t="inlineStr">
        <is>
          <t>Customer 658</t>
        </is>
      </c>
      <c r="F1454" t="inlineStr">
        <is>
          <t>Consumer</t>
        </is>
      </c>
      <c r="G1454" t="inlineStr">
        <is>
          <t>P1014</t>
        </is>
      </c>
      <c r="H1454" t="inlineStr">
        <is>
          <t>Cove Wall Clock</t>
        </is>
      </c>
      <c r="I1454" t="inlineStr">
        <is>
          <t>Home Decor</t>
        </is>
      </c>
      <c r="J1454" t="inlineStr">
        <is>
          <t>Lighting</t>
        </is>
      </c>
      <c r="K1454" t="inlineStr">
        <is>
          <t>North</t>
        </is>
      </c>
      <c r="L1454" t="inlineStr">
        <is>
          <t>British Columbia</t>
        </is>
      </c>
      <c r="M1454" t="inlineStr">
        <is>
          <t>Montreal</t>
        </is>
      </c>
      <c r="N1454" t="inlineStr">
        <is>
          <t>Liam Chen</t>
        </is>
      </c>
      <c r="O1454" t="n">
        <v>4</v>
      </c>
      <c r="P1454" s="3" t="n">
        <v>46.91</v>
      </c>
      <c r="Q1454" s="4" t="n">
        <v>0.028</v>
      </c>
      <c r="R1454" s="3" t="n">
        <v>182.39</v>
      </c>
      <c r="S1454" s="3" t="n">
        <v>77.40000000000001</v>
      </c>
      <c r="T1454" s="3" t="n">
        <v>95.79000000000001</v>
      </c>
      <c r="U1454" s="4" t="n">
        <v>0.5252</v>
      </c>
      <c r="V1454" s="3" t="n">
        <v>9.199999999999999</v>
      </c>
      <c r="W1454" t="inlineStr">
        <is>
          <t>Debit Card</t>
        </is>
      </c>
      <c r="X1454" t="inlineStr">
        <is>
          <t>Medium</t>
        </is>
      </c>
    </row>
    <row r="1455">
      <c r="A1455" t="inlineStr">
        <is>
          <t>ORD-02472</t>
        </is>
      </c>
      <c r="B1455" s="2" t="n">
        <v>46011</v>
      </c>
      <c r="C1455" s="2" t="n">
        <v>46018</v>
      </c>
      <c r="D1455" t="inlineStr">
        <is>
          <t>CUST-02472</t>
        </is>
      </c>
      <c r="E1455" t="inlineStr">
        <is>
          <t>Customer 672</t>
        </is>
      </c>
      <c r="F1455" t="inlineStr">
        <is>
          <t>Consumer</t>
        </is>
      </c>
      <c r="G1455" t="inlineStr">
        <is>
          <t>P1015</t>
        </is>
      </c>
      <c r="H1455" t="inlineStr">
        <is>
          <t>Aero Standing Desk</t>
        </is>
      </c>
      <c r="I1455" t="inlineStr">
        <is>
          <t>Furniture</t>
        </is>
      </c>
      <c r="J1455" t="inlineStr">
        <is>
          <t>Writing</t>
        </is>
      </c>
      <c r="K1455" t="inlineStr">
        <is>
          <t>North</t>
        </is>
      </c>
      <c r="L1455" t="inlineStr">
        <is>
          <t>Quebec</t>
        </is>
      </c>
      <c r="M1455" t="inlineStr">
        <is>
          <t>Calgary</t>
        </is>
      </c>
      <c r="N1455" t="inlineStr">
        <is>
          <t>Liam Chen</t>
        </is>
      </c>
      <c r="O1455" t="n">
        <v>2</v>
      </c>
      <c r="P1455" s="3" t="n">
        <v>76.59999999999999</v>
      </c>
      <c r="Q1455" s="4" t="n">
        <v>0.012</v>
      </c>
      <c r="R1455" s="3" t="n">
        <v>151.36</v>
      </c>
      <c r="S1455" s="3" t="n">
        <v>72.62</v>
      </c>
      <c r="T1455" s="3" t="n">
        <v>71.14</v>
      </c>
      <c r="U1455" s="4" t="n">
        <v>0.47</v>
      </c>
      <c r="V1455" s="3" t="n">
        <v>7.6</v>
      </c>
      <c r="W1455" t="inlineStr">
        <is>
          <t>Credit Card</t>
        </is>
      </c>
      <c r="X1455" t="inlineStr">
        <is>
          <t>Low</t>
        </is>
      </c>
    </row>
    <row r="1456">
      <c r="A1456" t="inlineStr">
        <is>
          <t>ORD-02480</t>
        </is>
      </c>
      <c r="B1456" s="2" t="n">
        <v>45918</v>
      </c>
      <c r="C1456" s="2" t="n">
        <v>45924</v>
      </c>
      <c r="D1456" t="inlineStr">
        <is>
          <t>CUST-02480</t>
        </is>
      </c>
      <c r="E1456" t="inlineStr">
        <is>
          <t>Customer 680</t>
        </is>
      </c>
      <c r="F1456" t="inlineStr">
        <is>
          <t>Home Office</t>
        </is>
      </c>
      <c r="G1456" t="inlineStr">
        <is>
          <t>P1008</t>
        </is>
      </c>
      <c r="H1456" t="inlineStr">
        <is>
          <t>ErgoMesh Chair</t>
        </is>
      </c>
      <c r="I1456" t="inlineStr">
        <is>
          <t>Outdoor</t>
        </is>
      </c>
      <c r="J1456" t="inlineStr">
        <is>
          <t>Desks</t>
        </is>
      </c>
      <c r="K1456" t="inlineStr">
        <is>
          <t>North</t>
        </is>
      </c>
      <c r="L1456" t="inlineStr">
        <is>
          <t>Alberta</t>
        </is>
      </c>
      <c r="M1456" t="inlineStr">
        <is>
          <t>Calgary</t>
        </is>
      </c>
      <c r="N1456" t="inlineStr">
        <is>
          <t>Mia Rodriguez</t>
        </is>
      </c>
      <c r="O1456" t="n">
        <v>2</v>
      </c>
      <c r="P1456" s="3" t="n">
        <v>34.16</v>
      </c>
      <c r="Q1456" s="4" t="n">
        <v>0.008</v>
      </c>
      <c r="R1456" s="3" t="n">
        <v>67.77</v>
      </c>
      <c r="S1456" s="3" t="n">
        <v>36.15</v>
      </c>
      <c r="T1456" s="3" t="n">
        <v>24.02</v>
      </c>
      <c r="U1456" s="4" t="n">
        <v>0.3544</v>
      </c>
      <c r="V1456" s="3" t="n">
        <v>7.6</v>
      </c>
      <c r="W1456" t="inlineStr">
        <is>
          <t>Credit Card</t>
        </is>
      </c>
      <c r="X1456" t="inlineStr">
        <is>
          <t>Medium</t>
        </is>
      </c>
    </row>
    <row r="1457">
      <c r="A1457" t="inlineStr">
        <is>
          <t>ORD-02488</t>
        </is>
      </c>
      <c r="B1457" s="2" t="n">
        <v>45803</v>
      </c>
      <c r="C1457" s="2" t="n">
        <v>45809</v>
      </c>
      <c r="D1457" t="inlineStr">
        <is>
          <t>CUST-02488</t>
        </is>
      </c>
      <c r="E1457" t="inlineStr">
        <is>
          <t>Customer 688</t>
        </is>
      </c>
      <c r="F1457" t="inlineStr">
        <is>
          <t>Consumer</t>
        </is>
      </c>
      <c r="G1457" t="inlineStr">
        <is>
          <t>P1004</t>
        </is>
      </c>
      <c r="H1457" t="inlineStr">
        <is>
          <t>Nimbus Monitor Arm</t>
        </is>
      </c>
      <c r="I1457" t="inlineStr">
        <is>
          <t>Technology</t>
        </is>
      </c>
      <c r="J1457" t="inlineStr">
        <is>
          <t>Textiles</t>
        </is>
      </c>
      <c r="K1457" t="inlineStr">
        <is>
          <t>North</t>
        </is>
      </c>
      <c r="L1457" t="inlineStr">
        <is>
          <t>Quebec</t>
        </is>
      </c>
      <c r="M1457" t="inlineStr">
        <is>
          <t>Toronto</t>
        </is>
      </c>
      <c r="N1457" t="inlineStr">
        <is>
          <t>Olivia Martin</t>
        </is>
      </c>
      <c r="O1457" t="n">
        <v>2</v>
      </c>
      <c r="P1457" s="3" t="n">
        <v>612.36</v>
      </c>
      <c r="Q1457" s="4" t="n">
        <v>0.04</v>
      </c>
      <c r="R1457" s="3" t="n">
        <v>1175.73</v>
      </c>
      <c r="S1457" s="3" t="n">
        <v>748.84</v>
      </c>
      <c r="T1457" s="3" t="n">
        <v>419.29</v>
      </c>
      <c r="U1457" s="4" t="n">
        <v>0.3566</v>
      </c>
      <c r="V1457" s="3" t="n">
        <v>7.6</v>
      </c>
      <c r="W1457" t="inlineStr">
        <is>
          <t>Debit Card</t>
        </is>
      </c>
      <c r="X1457" t="inlineStr">
        <is>
          <t>High</t>
        </is>
      </c>
    </row>
    <row r="1458">
      <c r="A1458" t="inlineStr">
        <is>
          <t>ORD-02490</t>
        </is>
      </c>
      <c r="B1458" s="2" t="n">
        <v>45614</v>
      </c>
      <c r="C1458" s="2" t="n">
        <v>45618</v>
      </c>
      <c r="D1458" t="inlineStr">
        <is>
          <t>CUST-02490</t>
        </is>
      </c>
      <c r="E1458" t="inlineStr">
        <is>
          <t>Customer 690</t>
        </is>
      </c>
      <c r="F1458" t="inlineStr">
        <is>
          <t>Consumer</t>
        </is>
      </c>
      <c r="G1458" t="inlineStr">
        <is>
          <t>P1015</t>
        </is>
      </c>
      <c r="H1458" t="inlineStr">
        <is>
          <t>Trail Tote</t>
        </is>
      </c>
      <c r="I1458" t="inlineStr">
        <is>
          <t>Office Supplies</t>
        </is>
      </c>
      <c r="J1458" t="inlineStr">
        <is>
          <t>Lighting</t>
        </is>
      </c>
      <c r="K1458" t="inlineStr">
        <is>
          <t>North</t>
        </is>
      </c>
      <c r="L1458" t="inlineStr">
        <is>
          <t>British Columbia</t>
        </is>
      </c>
      <c r="M1458" t="inlineStr">
        <is>
          <t>Vancouver</t>
        </is>
      </c>
      <c r="N1458" t="inlineStr">
        <is>
          <t>Ava Patel</t>
        </is>
      </c>
      <c r="O1458" t="n">
        <v>3</v>
      </c>
      <c r="P1458" s="3" t="n">
        <v>73.2</v>
      </c>
      <c r="Q1458" s="4" t="n">
        <v>0.016</v>
      </c>
      <c r="R1458" s="3" t="n">
        <v>216.09</v>
      </c>
      <c r="S1458" s="3" t="n">
        <v>95.23999999999999</v>
      </c>
      <c r="T1458" s="3" t="n">
        <v>112.45</v>
      </c>
      <c r="U1458" s="4" t="n">
        <v>0.5204</v>
      </c>
      <c r="V1458" s="3" t="n">
        <v>8.4</v>
      </c>
      <c r="W1458" t="inlineStr">
        <is>
          <t>Credit Card</t>
        </is>
      </c>
      <c r="X1458" t="inlineStr">
        <is>
          <t>Low</t>
        </is>
      </c>
    </row>
    <row r="1459">
      <c r="A1459" t="inlineStr">
        <is>
          <t>ORD-02499</t>
        </is>
      </c>
      <c r="B1459" s="2" t="n">
        <v>45835</v>
      </c>
      <c r="C1459" s="2" t="n">
        <v>45841</v>
      </c>
      <c r="D1459" t="inlineStr">
        <is>
          <t>CUST-02499</t>
        </is>
      </c>
      <c r="E1459" t="inlineStr">
        <is>
          <t>Customer 699</t>
        </is>
      </c>
      <c r="F1459" t="inlineStr">
        <is>
          <t>Consumer</t>
        </is>
      </c>
      <c r="G1459" t="inlineStr">
        <is>
          <t>P1016</t>
        </is>
      </c>
      <c r="H1459" t="inlineStr">
        <is>
          <t>Orbit Wireless Mouse</t>
        </is>
      </c>
      <c r="I1459" t="inlineStr">
        <is>
          <t>Home Decor</t>
        </is>
      </c>
      <c r="J1459" t="inlineStr">
        <is>
          <t>Peripherals</t>
        </is>
      </c>
      <c r="K1459" t="inlineStr">
        <is>
          <t>North</t>
        </is>
      </c>
      <c r="L1459" t="inlineStr">
        <is>
          <t>Quebec</t>
        </is>
      </c>
      <c r="M1459" t="inlineStr">
        <is>
          <t>Montreal</t>
        </is>
      </c>
      <c r="N1459" t="inlineStr">
        <is>
          <t>Mia Rodriguez</t>
        </is>
      </c>
      <c r="O1459" t="n">
        <v>3</v>
      </c>
      <c r="P1459" s="3" t="n">
        <v>38.59</v>
      </c>
      <c r="Q1459" s="4" t="n">
        <v>0.002</v>
      </c>
      <c r="R1459" s="3" t="n">
        <v>115.54</v>
      </c>
      <c r="S1459" s="3" t="n">
        <v>48.98</v>
      </c>
      <c r="T1459" s="3" t="n">
        <v>58.16</v>
      </c>
      <c r="U1459" s="4" t="n">
        <v>0.5034</v>
      </c>
      <c r="V1459" s="3" t="n">
        <v>8.4</v>
      </c>
      <c r="W1459" t="inlineStr">
        <is>
          <t>Bank Transfer</t>
        </is>
      </c>
      <c r="X1459" t="inlineStr">
        <is>
          <t>Low</t>
        </is>
      </c>
    </row>
    <row r="1460">
      <c r="A1460" t="inlineStr">
        <is>
          <t>ORD-02504</t>
        </is>
      </c>
      <c r="B1460" s="2" t="n">
        <v>45925</v>
      </c>
      <c r="C1460" s="2" t="n">
        <v>45932</v>
      </c>
      <c r="D1460" t="inlineStr">
        <is>
          <t>CUST-02504</t>
        </is>
      </c>
      <c r="E1460" t="inlineStr">
        <is>
          <t>Customer 704</t>
        </is>
      </c>
      <c r="F1460" t="inlineStr">
        <is>
          <t>Consumer</t>
        </is>
      </c>
      <c r="G1460" t="inlineStr">
        <is>
          <t>P1002</t>
        </is>
      </c>
      <c r="H1460" t="inlineStr">
        <is>
          <t>Atlas Throw Pillow</t>
        </is>
      </c>
      <c r="I1460" t="inlineStr">
        <is>
          <t>Outdoor</t>
        </is>
      </c>
      <c r="J1460" t="inlineStr">
        <is>
          <t>Paper</t>
        </is>
      </c>
      <c r="K1460" t="inlineStr">
        <is>
          <t>North</t>
        </is>
      </c>
      <c r="L1460" t="inlineStr">
        <is>
          <t>British Columbia</t>
        </is>
      </c>
      <c r="M1460" t="inlineStr">
        <is>
          <t>Montreal</t>
        </is>
      </c>
      <c r="N1460" t="inlineStr">
        <is>
          <t>Noah Kim</t>
        </is>
      </c>
      <c r="O1460" t="n">
        <v>2</v>
      </c>
      <c r="P1460" s="3" t="n">
        <v>78.34999999999999</v>
      </c>
      <c r="Q1460" s="4" t="n">
        <v>0.007</v>
      </c>
      <c r="R1460" s="3" t="n">
        <v>155.6</v>
      </c>
      <c r="S1460" s="3" t="n">
        <v>78.37</v>
      </c>
      <c r="T1460" s="3" t="n">
        <v>69.63</v>
      </c>
      <c r="U1460" s="4" t="n">
        <v>0.4475</v>
      </c>
      <c r="V1460" s="3" t="n">
        <v>7.6</v>
      </c>
      <c r="W1460" t="inlineStr">
        <is>
          <t>Bank Transfer</t>
        </is>
      </c>
      <c r="X1460" t="inlineStr">
        <is>
          <t>Medium</t>
        </is>
      </c>
    </row>
    <row r="1461">
      <c r="A1461" t="inlineStr">
        <is>
          <t>ORD-02505</t>
        </is>
      </c>
      <c r="B1461" s="2" t="n">
        <v>45124</v>
      </c>
      <c r="C1461" s="2" t="n">
        <v>45125</v>
      </c>
      <c r="D1461" t="inlineStr">
        <is>
          <t>CUST-02505</t>
        </is>
      </c>
      <c r="E1461" t="inlineStr">
        <is>
          <t>Customer 705</t>
        </is>
      </c>
      <c r="F1461" t="inlineStr">
        <is>
          <t>Consumer</t>
        </is>
      </c>
      <c r="G1461" t="inlineStr">
        <is>
          <t>P1020</t>
        </is>
      </c>
      <c r="H1461" t="inlineStr">
        <is>
          <t>ProClip Binder</t>
        </is>
      </c>
      <c r="I1461" t="inlineStr">
        <is>
          <t>Home Decor</t>
        </is>
      </c>
      <c r="J1461" t="inlineStr">
        <is>
          <t>Lighting</t>
        </is>
      </c>
      <c r="K1461" t="inlineStr">
        <is>
          <t>North</t>
        </is>
      </c>
      <c r="L1461" t="inlineStr">
        <is>
          <t>British Columbia</t>
        </is>
      </c>
      <c r="M1461" t="inlineStr">
        <is>
          <t>Montreal</t>
        </is>
      </c>
      <c r="N1461" t="inlineStr">
        <is>
          <t>Sophia Singh</t>
        </is>
      </c>
      <c r="O1461" t="n">
        <v>5</v>
      </c>
      <c r="P1461" s="3" t="n">
        <v>79.17</v>
      </c>
      <c r="Q1461" s="4" t="n">
        <v>0.016</v>
      </c>
      <c r="R1461" s="3" t="n">
        <v>389.52</v>
      </c>
      <c r="S1461" s="3" t="n">
        <v>182.35</v>
      </c>
      <c r="T1461" s="3" t="n">
        <v>197.17</v>
      </c>
      <c r="U1461" s="4" t="n">
        <v>0.5062</v>
      </c>
      <c r="V1461" s="3" t="n">
        <v>10</v>
      </c>
      <c r="W1461" t="inlineStr">
        <is>
          <t>Cash on Delivery</t>
        </is>
      </c>
      <c r="X1461" t="inlineStr">
        <is>
          <t>Low</t>
        </is>
      </c>
    </row>
    <row r="1462">
      <c r="A1462" t="inlineStr">
        <is>
          <t>ORD-02507</t>
        </is>
      </c>
      <c r="B1462" s="2" t="n">
        <v>45675</v>
      </c>
      <c r="C1462" s="2" t="n">
        <v>45677</v>
      </c>
      <c r="D1462" t="inlineStr">
        <is>
          <t>CUST-02507</t>
        </is>
      </c>
      <c r="E1462" t="inlineStr">
        <is>
          <t>Customer 707</t>
        </is>
      </c>
      <c r="F1462" t="inlineStr">
        <is>
          <t>Home Office</t>
        </is>
      </c>
      <c r="G1462" t="inlineStr">
        <is>
          <t>P1006</t>
        </is>
      </c>
      <c r="H1462" t="inlineStr">
        <is>
          <t>SmartInk Pen Set</t>
        </is>
      </c>
      <c r="I1462" t="inlineStr">
        <is>
          <t>Home Decor</t>
        </is>
      </c>
      <c r="J1462" t="inlineStr">
        <is>
          <t>Video</t>
        </is>
      </c>
      <c r="K1462" t="inlineStr">
        <is>
          <t>North</t>
        </is>
      </c>
      <c r="L1462" t="inlineStr">
        <is>
          <t>Ontario</t>
        </is>
      </c>
      <c r="M1462" t="inlineStr">
        <is>
          <t>Vancouver</t>
        </is>
      </c>
      <c r="N1462" t="inlineStr">
        <is>
          <t>Sophia Singh</t>
        </is>
      </c>
      <c r="O1462" t="n">
        <v>4</v>
      </c>
      <c r="P1462" s="3" t="n">
        <v>17.83</v>
      </c>
      <c r="Q1462" s="4" t="n">
        <v>0.003</v>
      </c>
      <c r="R1462" s="3" t="n">
        <v>71.11</v>
      </c>
      <c r="S1462" s="3" t="n">
        <v>32.52</v>
      </c>
      <c r="T1462" s="3" t="n">
        <v>29.39</v>
      </c>
      <c r="U1462" s="4" t="n">
        <v>0.4133</v>
      </c>
      <c r="V1462" s="3" t="n">
        <v>9.199999999999999</v>
      </c>
      <c r="W1462" t="inlineStr">
        <is>
          <t>Credit Card</t>
        </is>
      </c>
      <c r="X1462" t="inlineStr">
        <is>
          <t>Medium</t>
        </is>
      </c>
    </row>
    <row r="1463">
      <c r="A1463" t="inlineStr">
        <is>
          <t>ORD-02515</t>
        </is>
      </c>
      <c r="B1463" s="2" t="n">
        <v>45484</v>
      </c>
      <c r="C1463" s="2" t="n">
        <v>45491</v>
      </c>
      <c r="D1463" t="inlineStr">
        <is>
          <t>CUST-02515</t>
        </is>
      </c>
      <c r="E1463" t="inlineStr">
        <is>
          <t>Customer 715</t>
        </is>
      </c>
      <c r="F1463" t="inlineStr">
        <is>
          <t>Home Office</t>
        </is>
      </c>
      <c r="G1463" t="inlineStr">
        <is>
          <t>P1010</t>
        </is>
      </c>
      <c r="H1463" t="inlineStr">
        <is>
          <t>Trail Tote</t>
        </is>
      </c>
      <c r="I1463" t="inlineStr">
        <is>
          <t>Office Supplies</t>
        </is>
      </c>
      <c r="J1463" t="inlineStr">
        <is>
          <t>Writing</t>
        </is>
      </c>
      <c r="K1463" t="inlineStr">
        <is>
          <t>North</t>
        </is>
      </c>
      <c r="L1463" t="inlineStr">
        <is>
          <t>Ontario</t>
        </is>
      </c>
      <c r="M1463" t="inlineStr">
        <is>
          <t>Toronto</t>
        </is>
      </c>
      <c r="N1463" t="inlineStr">
        <is>
          <t>Mia Rodriguez</t>
        </is>
      </c>
      <c r="O1463" t="n">
        <v>5</v>
      </c>
      <c r="P1463" s="3" t="n">
        <v>54.57</v>
      </c>
      <c r="Q1463" s="4" t="n">
        <v>0.025</v>
      </c>
      <c r="R1463" s="3" t="n">
        <v>266.03</v>
      </c>
      <c r="S1463" s="3" t="n">
        <v>113.11</v>
      </c>
      <c r="T1463" s="3" t="n">
        <v>142.92</v>
      </c>
      <c r="U1463" s="4" t="n">
        <v>0.5372</v>
      </c>
      <c r="V1463" s="3" t="n">
        <v>10</v>
      </c>
      <c r="W1463" t="inlineStr">
        <is>
          <t>Credit Card</t>
        </is>
      </c>
      <c r="X1463" t="inlineStr">
        <is>
          <t>Medium</t>
        </is>
      </c>
    </row>
    <row r="1464">
      <c r="A1464" t="inlineStr">
        <is>
          <t>ORD-02531</t>
        </is>
      </c>
      <c r="B1464" s="2" t="n">
        <v>45667</v>
      </c>
      <c r="C1464" s="2" t="n">
        <v>45674</v>
      </c>
      <c r="D1464" t="inlineStr">
        <is>
          <t>CUST-02531</t>
        </is>
      </c>
      <c r="E1464" t="inlineStr">
        <is>
          <t>Customer 731</t>
        </is>
      </c>
      <c r="F1464" t="inlineStr">
        <is>
          <t>Consumer</t>
        </is>
      </c>
      <c r="G1464" t="inlineStr">
        <is>
          <t>P1004</t>
        </is>
      </c>
      <c r="H1464" t="inlineStr">
        <is>
          <t>Pulse Keyboard</t>
        </is>
      </c>
      <c r="I1464" t="inlineStr">
        <is>
          <t>Furniture</t>
        </is>
      </c>
      <c r="J1464" t="inlineStr">
        <is>
          <t>Peripherals</t>
        </is>
      </c>
      <c r="K1464" t="inlineStr">
        <is>
          <t>North</t>
        </is>
      </c>
      <c r="L1464" t="inlineStr">
        <is>
          <t>British Columbia</t>
        </is>
      </c>
      <c r="M1464" t="inlineStr">
        <is>
          <t>Vancouver</t>
        </is>
      </c>
      <c r="N1464" t="inlineStr">
        <is>
          <t>Ava Patel</t>
        </is>
      </c>
      <c r="O1464" t="n">
        <v>3</v>
      </c>
      <c r="P1464" s="3" t="n">
        <v>626.22</v>
      </c>
      <c r="Q1464" s="4" t="n">
        <v>0.001</v>
      </c>
      <c r="R1464" s="3" t="n">
        <v>1876.78</v>
      </c>
      <c r="S1464" s="3" t="n">
        <v>1192.79</v>
      </c>
      <c r="T1464" s="3" t="n">
        <v>675.59</v>
      </c>
      <c r="U1464" s="4" t="n">
        <v>0.36</v>
      </c>
      <c r="V1464" s="3" t="n">
        <v>8.4</v>
      </c>
      <c r="W1464" t="inlineStr">
        <is>
          <t>Credit Card</t>
        </is>
      </c>
      <c r="X1464" t="inlineStr">
        <is>
          <t>Medium</t>
        </is>
      </c>
    </row>
    <row r="1465">
      <c r="A1465" t="inlineStr">
        <is>
          <t>ORD-02544</t>
        </is>
      </c>
      <c r="B1465" s="2" t="n">
        <v>45525</v>
      </c>
      <c r="C1465" s="2" t="n">
        <v>45532</v>
      </c>
      <c r="D1465" t="inlineStr">
        <is>
          <t>CUST-02544</t>
        </is>
      </c>
      <c r="E1465" t="inlineStr">
        <is>
          <t>Customer 744</t>
        </is>
      </c>
      <c r="F1465" t="inlineStr">
        <is>
          <t>Corporate</t>
        </is>
      </c>
      <c r="G1465" t="inlineStr">
        <is>
          <t>P1012</t>
        </is>
      </c>
      <c r="H1465" t="inlineStr">
        <is>
          <t>Harbor Rug</t>
        </is>
      </c>
      <c r="I1465" t="inlineStr">
        <is>
          <t>Furniture</t>
        </is>
      </c>
      <c r="J1465" t="inlineStr">
        <is>
          <t>Flooring</t>
        </is>
      </c>
      <c r="K1465" t="inlineStr">
        <is>
          <t>North</t>
        </is>
      </c>
      <c r="L1465" t="inlineStr">
        <is>
          <t>British Columbia</t>
        </is>
      </c>
      <c r="M1465" t="inlineStr">
        <is>
          <t>Toronto</t>
        </is>
      </c>
      <c r="N1465" t="inlineStr">
        <is>
          <t>James Carter</t>
        </is>
      </c>
      <c r="O1465" t="n">
        <v>4</v>
      </c>
      <c r="P1465" s="3" t="n">
        <v>131.36</v>
      </c>
      <c r="Q1465" s="4" t="n">
        <v>0.024</v>
      </c>
      <c r="R1465" s="3" t="n">
        <v>512.83</v>
      </c>
      <c r="S1465" s="3" t="n">
        <v>257.74</v>
      </c>
      <c r="T1465" s="3" t="n">
        <v>245.89</v>
      </c>
      <c r="U1465" s="4" t="n">
        <v>0.4795</v>
      </c>
      <c r="V1465" s="3" t="n">
        <v>9.199999999999999</v>
      </c>
      <c r="W1465" t="inlineStr">
        <is>
          <t>Credit Card</t>
        </is>
      </c>
      <c r="X1465" t="inlineStr">
        <is>
          <t>Low</t>
        </is>
      </c>
    </row>
    <row r="1466">
      <c r="A1466" t="inlineStr">
        <is>
          <t>ORD-02548</t>
        </is>
      </c>
      <c r="B1466" s="2" t="n">
        <v>45306</v>
      </c>
      <c r="C1466" s="2" t="n">
        <v>45310</v>
      </c>
      <c r="D1466" t="inlineStr">
        <is>
          <t>CUST-02548</t>
        </is>
      </c>
      <c r="E1466" t="inlineStr">
        <is>
          <t>Customer 748</t>
        </is>
      </c>
      <c r="F1466" t="inlineStr">
        <is>
          <t>Consumer</t>
        </is>
      </c>
      <c r="G1466" t="inlineStr">
        <is>
          <t>P1002</t>
        </is>
      </c>
      <c r="H1466" t="inlineStr">
        <is>
          <t>Harbor Rug</t>
        </is>
      </c>
      <c r="I1466" t="inlineStr">
        <is>
          <t>Home Decor</t>
        </is>
      </c>
      <c r="J1466" t="inlineStr">
        <is>
          <t>Peripherals</t>
        </is>
      </c>
      <c r="K1466" t="inlineStr">
        <is>
          <t>North</t>
        </is>
      </c>
      <c r="L1466" t="inlineStr">
        <is>
          <t>Alberta</t>
        </is>
      </c>
      <c r="M1466" t="inlineStr">
        <is>
          <t>Montreal</t>
        </is>
      </c>
      <c r="N1466" t="inlineStr">
        <is>
          <t>Ava Patel</t>
        </is>
      </c>
      <c r="O1466" t="n">
        <v>4</v>
      </c>
      <c r="P1466" s="3" t="n">
        <v>78.98999999999999</v>
      </c>
      <c r="Q1466" s="4" t="n">
        <v>0.043</v>
      </c>
      <c r="R1466" s="3" t="n">
        <v>302.37</v>
      </c>
      <c r="S1466" s="3" t="n">
        <v>139.95</v>
      </c>
      <c r="T1466" s="3" t="n">
        <v>153.22</v>
      </c>
      <c r="U1466" s="4" t="n">
        <v>0.5067</v>
      </c>
      <c r="V1466" s="3" t="n">
        <v>9.199999999999999</v>
      </c>
      <c r="W1466" t="inlineStr">
        <is>
          <t>Credit Card</t>
        </is>
      </c>
      <c r="X1466" t="inlineStr">
        <is>
          <t>High</t>
        </is>
      </c>
    </row>
    <row r="1467">
      <c r="A1467" t="inlineStr">
        <is>
          <t>ORD-02553</t>
        </is>
      </c>
      <c r="B1467" s="2" t="n">
        <v>46003</v>
      </c>
      <c r="C1467" s="2" t="n">
        <v>46006</v>
      </c>
      <c r="D1467" t="inlineStr">
        <is>
          <t>CUST-02553</t>
        </is>
      </c>
      <c r="E1467" t="inlineStr">
        <is>
          <t>Customer 753</t>
        </is>
      </c>
      <c r="F1467" t="inlineStr">
        <is>
          <t>Corporate</t>
        </is>
      </c>
      <c r="G1467" t="inlineStr">
        <is>
          <t>P1004</t>
        </is>
      </c>
      <c r="H1467" t="inlineStr">
        <is>
          <t>SmartInk Pen Set</t>
        </is>
      </c>
      <c r="I1467" t="inlineStr">
        <is>
          <t>Home Decor</t>
        </is>
      </c>
      <c r="J1467" t="inlineStr">
        <is>
          <t>Coolers</t>
        </is>
      </c>
      <c r="K1467" t="inlineStr">
        <is>
          <t>North</t>
        </is>
      </c>
      <c r="L1467" t="inlineStr">
        <is>
          <t>Alberta</t>
        </is>
      </c>
      <c r="M1467" t="inlineStr">
        <is>
          <t>Vancouver</t>
        </is>
      </c>
      <c r="N1467" t="inlineStr">
        <is>
          <t>Mia Rodriguez</t>
        </is>
      </c>
      <c r="O1467" t="n">
        <v>6</v>
      </c>
      <c r="P1467" s="3" t="n">
        <v>665.02</v>
      </c>
      <c r="Q1467" s="4" t="n">
        <v>0.035</v>
      </c>
      <c r="R1467" s="3" t="n">
        <v>3850.47</v>
      </c>
      <c r="S1467" s="3" t="n">
        <v>2436.54</v>
      </c>
      <c r="T1467" s="3" t="n">
        <v>1403.13</v>
      </c>
      <c r="U1467" s="4" t="n">
        <v>0.3644</v>
      </c>
      <c r="V1467" s="3" t="n">
        <v>10.8</v>
      </c>
      <c r="W1467" t="inlineStr">
        <is>
          <t>Credit Card</t>
        </is>
      </c>
      <c r="X1467" t="inlineStr">
        <is>
          <t>Medium</t>
        </is>
      </c>
    </row>
    <row r="1468">
      <c r="A1468" t="inlineStr">
        <is>
          <t>ORD-02554</t>
        </is>
      </c>
      <c r="B1468" s="2" t="n">
        <v>45827</v>
      </c>
      <c r="C1468" s="2" t="n">
        <v>45829</v>
      </c>
      <c r="D1468" t="inlineStr">
        <is>
          <t>CUST-02554</t>
        </is>
      </c>
      <c r="E1468" t="inlineStr">
        <is>
          <t>Customer 754</t>
        </is>
      </c>
      <c r="F1468" t="inlineStr">
        <is>
          <t>Consumer</t>
        </is>
      </c>
      <c r="G1468" t="inlineStr">
        <is>
          <t>P1015</t>
        </is>
      </c>
      <c r="H1468" t="inlineStr">
        <is>
          <t>ProClip Binder</t>
        </is>
      </c>
      <c r="I1468" t="inlineStr">
        <is>
          <t>Home Decor</t>
        </is>
      </c>
      <c r="J1468" t="inlineStr">
        <is>
          <t>Desks</t>
        </is>
      </c>
      <c r="K1468" t="inlineStr">
        <is>
          <t>North</t>
        </is>
      </c>
      <c r="L1468" t="inlineStr">
        <is>
          <t>British Columbia</t>
        </is>
      </c>
      <c r="M1468" t="inlineStr">
        <is>
          <t>Toronto</t>
        </is>
      </c>
      <c r="N1468" t="inlineStr">
        <is>
          <t>Olivia Martin</t>
        </is>
      </c>
      <c r="O1468" t="n">
        <v>3</v>
      </c>
      <c r="P1468" s="3" t="n">
        <v>71.52</v>
      </c>
      <c r="Q1468" s="4" t="n">
        <v>0.049</v>
      </c>
      <c r="R1468" s="3" t="n">
        <v>204.05</v>
      </c>
      <c r="S1468" s="3" t="n">
        <v>93.25</v>
      </c>
      <c r="T1468" s="3" t="n">
        <v>102.4</v>
      </c>
      <c r="U1468" s="4" t="n">
        <v>0.5018</v>
      </c>
      <c r="V1468" s="3" t="n">
        <v>8.4</v>
      </c>
      <c r="W1468" t="inlineStr">
        <is>
          <t>PayPal</t>
        </is>
      </c>
      <c r="X1468" t="inlineStr">
        <is>
          <t>High</t>
        </is>
      </c>
    </row>
    <row r="1469">
      <c r="A1469" t="inlineStr">
        <is>
          <t>ORD-02555</t>
        </is>
      </c>
      <c r="B1469" s="2" t="n">
        <v>45118</v>
      </c>
      <c r="C1469" s="2" t="n">
        <v>45122</v>
      </c>
      <c r="D1469" t="inlineStr">
        <is>
          <t>CUST-02555</t>
        </is>
      </c>
      <c r="E1469" t="inlineStr">
        <is>
          <t>Customer 755</t>
        </is>
      </c>
      <c r="F1469" t="inlineStr">
        <is>
          <t>Consumer</t>
        </is>
      </c>
      <c r="G1469" t="inlineStr">
        <is>
          <t>P1018</t>
        </is>
      </c>
      <c r="H1469" t="inlineStr">
        <is>
          <t>Echo Web Camera</t>
        </is>
      </c>
      <c r="I1469" t="inlineStr">
        <is>
          <t>Office Supplies</t>
        </is>
      </c>
      <c r="J1469" t="inlineStr">
        <is>
          <t>Storage</t>
        </is>
      </c>
      <c r="K1469" t="inlineStr">
        <is>
          <t>North</t>
        </is>
      </c>
      <c r="L1469" t="inlineStr">
        <is>
          <t>Alberta</t>
        </is>
      </c>
      <c r="M1469" t="inlineStr">
        <is>
          <t>Montreal</t>
        </is>
      </c>
      <c r="N1469" t="inlineStr">
        <is>
          <t>Mia Rodriguez</t>
        </is>
      </c>
      <c r="O1469" t="n">
        <v>5</v>
      </c>
      <c r="P1469" s="3" t="n">
        <v>93.95</v>
      </c>
      <c r="Q1469" s="4" t="n">
        <v>0.014</v>
      </c>
      <c r="R1469" s="3" t="n">
        <v>463.17</v>
      </c>
      <c r="S1469" s="3" t="n">
        <v>206.43</v>
      </c>
      <c r="T1469" s="3" t="n">
        <v>246.74</v>
      </c>
      <c r="U1469" s="4" t="n">
        <v>0.5327</v>
      </c>
      <c r="V1469" s="3" t="n">
        <v>10</v>
      </c>
      <c r="W1469" t="inlineStr">
        <is>
          <t>Debit Card</t>
        </is>
      </c>
      <c r="X1469" t="inlineStr">
        <is>
          <t>Low</t>
        </is>
      </c>
    </row>
    <row r="1470">
      <c r="A1470" t="inlineStr">
        <is>
          <t>ORD-02557</t>
        </is>
      </c>
      <c r="B1470" s="2" t="n">
        <v>45474</v>
      </c>
      <c r="C1470" s="2" t="n">
        <v>45479</v>
      </c>
      <c r="D1470" t="inlineStr">
        <is>
          <t>CUST-02557</t>
        </is>
      </c>
      <c r="E1470" t="inlineStr">
        <is>
          <t>Customer 757</t>
        </is>
      </c>
      <c r="F1470" t="inlineStr">
        <is>
          <t>Corporate</t>
        </is>
      </c>
      <c r="G1470" t="inlineStr">
        <is>
          <t>P1012</t>
        </is>
      </c>
      <c r="H1470" t="inlineStr">
        <is>
          <t>ProClip Binder</t>
        </is>
      </c>
      <c r="I1470" t="inlineStr">
        <is>
          <t>Outdoor</t>
        </is>
      </c>
      <c r="J1470" t="inlineStr">
        <is>
          <t>Textiles</t>
        </is>
      </c>
      <c r="K1470" t="inlineStr">
        <is>
          <t>North</t>
        </is>
      </c>
      <c r="L1470" t="inlineStr">
        <is>
          <t>Ontario</t>
        </is>
      </c>
      <c r="M1470" t="inlineStr">
        <is>
          <t>Calgary</t>
        </is>
      </c>
      <c r="N1470" t="inlineStr">
        <is>
          <t>Olivia Martin</t>
        </is>
      </c>
      <c r="O1470" t="n">
        <v>2</v>
      </c>
      <c r="P1470" s="3" t="n">
        <v>138.92</v>
      </c>
      <c r="Q1470" s="4" t="n">
        <v>0.013</v>
      </c>
      <c r="R1470" s="3" t="n">
        <v>274.23</v>
      </c>
      <c r="S1470" s="3" t="n">
        <v>143.64</v>
      </c>
      <c r="T1470" s="3" t="n">
        <v>122.99</v>
      </c>
      <c r="U1470" s="4" t="n">
        <v>0.4485</v>
      </c>
      <c r="V1470" s="3" t="n">
        <v>7.6</v>
      </c>
      <c r="W1470" t="inlineStr">
        <is>
          <t>Cash on Delivery</t>
        </is>
      </c>
      <c r="X1470" t="inlineStr">
        <is>
          <t>Medium</t>
        </is>
      </c>
    </row>
    <row r="1471">
      <c r="A1471" t="inlineStr">
        <is>
          <t>ORD-02574</t>
        </is>
      </c>
      <c r="B1471" s="2" t="n">
        <v>45440</v>
      </c>
      <c r="C1471" s="2" t="n">
        <v>45446</v>
      </c>
      <c r="D1471" t="inlineStr">
        <is>
          <t>CUST-02574</t>
        </is>
      </c>
      <c r="E1471" t="inlineStr">
        <is>
          <t>Customer 774</t>
        </is>
      </c>
      <c r="F1471" t="inlineStr">
        <is>
          <t>Consumer</t>
        </is>
      </c>
      <c r="G1471" t="inlineStr">
        <is>
          <t>P1003</t>
        </is>
      </c>
      <c r="H1471" t="inlineStr">
        <is>
          <t>Nova Laptop Stand</t>
        </is>
      </c>
      <c r="I1471" t="inlineStr">
        <is>
          <t>Furniture</t>
        </is>
      </c>
      <c r="J1471" t="inlineStr">
        <is>
          <t>Decor</t>
        </is>
      </c>
      <c r="K1471" t="inlineStr">
        <is>
          <t>North</t>
        </is>
      </c>
      <c r="L1471" t="inlineStr">
        <is>
          <t>British Columbia</t>
        </is>
      </c>
      <c r="M1471" t="inlineStr">
        <is>
          <t>Vancouver</t>
        </is>
      </c>
      <c r="N1471" t="inlineStr">
        <is>
          <t>Sophia Singh</t>
        </is>
      </c>
      <c r="O1471" t="n">
        <v>3</v>
      </c>
      <c r="P1471" s="3" t="n">
        <v>152.08</v>
      </c>
      <c r="Q1471" s="4" t="n">
        <v>0.056</v>
      </c>
      <c r="R1471" s="3" t="n">
        <v>430.69</v>
      </c>
      <c r="S1471" s="3" t="n">
        <v>223.87</v>
      </c>
      <c r="T1471" s="3" t="n">
        <v>198.42</v>
      </c>
      <c r="U1471" s="4" t="n">
        <v>0.4607</v>
      </c>
      <c r="V1471" s="3" t="n">
        <v>8.4</v>
      </c>
      <c r="W1471" t="inlineStr">
        <is>
          <t>PayPal</t>
        </is>
      </c>
      <c r="X1471" t="inlineStr">
        <is>
          <t>High</t>
        </is>
      </c>
    </row>
    <row r="1472">
      <c r="A1472" t="inlineStr">
        <is>
          <t>ORD-02579</t>
        </is>
      </c>
      <c r="B1472" s="2" t="n">
        <v>45350</v>
      </c>
      <c r="C1472" s="2" t="n">
        <v>45357</v>
      </c>
      <c r="D1472" t="inlineStr">
        <is>
          <t>CUST-02579</t>
        </is>
      </c>
      <c r="E1472" t="inlineStr">
        <is>
          <t>Customer 779</t>
        </is>
      </c>
      <c r="F1472" t="inlineStr">
        <is>
          <t>Consumer</t>
        </is>
      </c>
      <c r="G1472" t="inlineStr">
        <is>
          <t>P1018</t>
        </is>
      </c>
      <c r="H1472" t="inlineStr">
        <is>
          <t>Cove Wall Clock</t>
        </is>
      </c>
      <c r="I1472" t="inlineStr">
        <is>
          <t>Technology</t>
        </is>
      </c>
      <c r="J1472" t="inlineStr">
        <is>
          <t>Accessories</t>
        </is>
      </c>
      <c r="K1472" t="inlineStr">
        <is>
          <t>North</t>
        </is>
      </c>
      <c r="L1472" t="inlineStr">
        <is>
          <t>Ontario</t>
        </is>
      </c>
      <c r="M1472" t="inlineStr">
        <is>
          <t>Toronto</t>
        </is>
      </c>
      <c r="N1472" t="inlineStr">
        <is>
          <t>Olivia Martin</t>
        </is>
      </c>
      <c r="O1472" t="n">
        <v>2</v>
      </c>
      <c r="P1472" s="3" t="n">
        <v>84.89</v>
      </c>
      <c r="Q1472" s="4" t="n">
        <v>0.008</v>
      </c>
      <c r="R1472" s="3" t="n">
        <v>168.42</v>
      </c>
      <c r="S1472" s="3" t="n">
        <v>79.06999999999999</v>
      </c>
      <c r="T1472" s="3" t="n">
        <v>81.75</v>
      </c>
      <c r="U1472" s="4" t="n">
        <v>0.4854</v>
      </c>
      <c r="V1472" s="3" t="n">
        <v>7.6</v>
      </c>
      <c r="W1472" t="inlineStr">
        <is>
          <t>Credit Card</t>
        </is>
      </c>
      <c r="X1472" t="inlineStr">
        <is>
          <t>Low</t>
        </is>
      </c>
    </row>
    <row r="1473">
      <c r="A1473" t="inlineStr">
        <is>
          <t>ORD-02580</t>
        </is>
      </c>
      <c r="B1473" s="2" t="n">
        <v>45638</v>
      </c>
      <c r="C1473" s="2" t="n">
        <v>45641</v>
      </c>
      <c r="D1473" t="inlineStr">
        <is>
          <t>CUST-02580</t>
        </is>
      </c>
      <c r="E1473" t="inlineStr">
        <is>
          <t>Customer 780</t>
        </is>
      </c>
      <c r="F1473" t="inlineStr">
        <is>
          <t>Consumer</t>
        </is>
      </c>
      <c r="G1473" t="inlineStr">
        <is>
          <t>P1009</t>
        </is>
      </c>
      <c r="H1473" t="inlineStr">
        <is>
          <t>Orbit Wireless Mouse</t>
        </is>
      </c>
      <c r="I1473" t="inlineStr">
        <is>
          <t>Office Supplies</t>
        </is>
      </c>
      <c r="J1473" t="inlineStr">
        <is>
          <t>Video</t>
        </is>
      </c>
      <c r="K1473" t="inlineStr">
        <is>
          <t>North</t>
        </is>
      </c>
      <c r="L1473" t="inlineStr">
        <is>
          <t>British Columbia</t>
        </is>
      </c>
      <c r="M1473" t="inlineStr">
        <is>
          <t>Calgary</t>
        </is>
      </c>
      <c r="N1473" t="inlineStr">
        <is>
          <t>James Carter</t>
        </is>
      </c>
      <c r="O1473" t="n">
        <v>3</v>
      </c>
      <c r="P1473" s="3" t="n">
        <v>93.5</v>
      </c>
      <c r="Q1473" s="4" t="n">
        <v>0.001</v>
      </c>
      <c r="R1473" s="3" t="n">
        <v>280.22</v>
      </c>
      <c r="S1473" s="3" t="n">
        <v>136.19</v>
      </c>
      <c r="T1473" s="3" t="n">
        <v>135.63</v>
      </c>
      <c r="U1473" s="4" t="n">
        <v>0.484</v>
      </c>
      <c r="V1473" s="3" t="n">
        <v>8.4</v>
      </c>
      <c r="W1473" t="inlineStr">
        <is>
          <t>PayPal</t>
        </is>
      </c>
      <c r="X1473" t="inlineStr">
        <is>
          <t>Medium</t>
        </is>
      </c>
    </row>
    <row r="1474">
      <c r="A1474" t="inlineStr">
        <is>
          <t>ORD-02583</t>
        </is>
      </c>
      <c r="B1474" s="2" t="n">
        <v>45546</v>
      </c>
      <c r="C1474" s="2" t="n">
        <v>45553</v>
      </c>
      <c r="D1474" t="inlineStr">
        <is>
          <t>CUST-02583</t>
        </is>
      </c>
      <c r="E1474" t="inlineStr">
        <is>
          <t>Customer 783</t>
        </is>
      </c>
      <c r="F1474" t="inlineStr">
        <is>
          <t>Consumer</t>
        </is>
      </c>
      <c r="G1474" t="inlineStr">
        <is>
          <t>P1009</t>
        </is>
      </c>
      <c r="H1474" t="inlineStr">
        <is>
          <t>Echo Web Camera</t>
        </is>
      </c>
      <c r="I1474" t="inlineStr">
        <is>
          <t>Office Supplies</t>
        </is>
      </c>
      <c r="J1474" t="inlineStr">
        <is>
          <t>Decor</t>
        </is>
      </c>
      <c r="K1474" t="inlineStr">
        <is>
          <t>North</t>
        </is>
      </c>
      <c r="L1474" t="inlineStr">
        <is>
          <t>Quebec</t>
        </is>
      </c>
      <c r="M1474" t="inlineStr">
        <is>
          <t>Montreal</t>
        </is>
      </c>
      <c r="N1474" t="inlineStr">
        <is>
          <t>Sophia Singh</t>
        </is>
      </c>
      <c r="O1474" t="n">
        <v>2</v>
      </c>
      <c r="P1474" s="3" t="n">
        <v>91.2</v>
      </c>
      <c r="Q1474" s="4" t="n">
        <v>0.029</v>
      </c>
      <c r="R1474" s="3" t="n">
        <v>177.11</v>
      </c>
      <c r="S1474" s="3" t="n">
        <v>88.45999999999999</v>
      </c>
      <c r="T1474" s="3" t="n">
        <v>81.05</v>
      </c>
      <c r="U1474" s="4" t="n">
        <v>0.4576</v>
      </c>
      <c r="V1474" s="3" t="n">
        <v>7.6</v>
      </c>
      <c r="W1474" t="inlineStr">
        <is>
          <t>PayPal</t>
        </is>
      </c>
      <c r="X1474" t="inlineStr">
        <is>
          <t>Medium</t>
        </is>
      </c>
    </row>
    <row r="1475">
      <c r="A1475" t="inlineStr">
        <is>
          <t>ORD-02587</t>
        </is>
      </c>
      <c r="B1475" s="2" t="n">
        <v>45211</v>
      </c>
      <c r="C1475" s="2" t="n">
        <v>45216</v>
      </c>
      <c r="D1475" t="inlineStr">
        <is>
          <t>CUST-02587</t>
        </is>
      </c>
      <c r="E1475" t="inlineStr">
        <is>
          <t>Customer 787</t>
        </is>
      </c>
      <c r="F1475" t="inlineStr">
        <is>
          <t>Corporate</t>
        </is>
      </c>
      <c r="G1475" t="inlineStr">
        <is>
          <t>P1011</t>
        </is>
      </c>
      <c r="H1475" t="inlineStr">
        <is>
          <t>Nova Laptop Stand</t>
        </is>
      </c>
      <c r="I1475" t="inlineStr">
        <is>
          <t>Home Decor</t>
        </is>
      </c>
      <c r="J1475" t="inlineStr">
        <is>
          <t>Plants</t>
        </is>
      </c>
      <c r="K1475" t="inlineStr">
        <is>
          <t>North</t>
        </is>
      </c>
      <c r="L1475" t="inlineStr">
        <is>
          <t>Ontario</t>
        </is>
      </c>
      <c r="M1475" t="inlineStr">
        <is>
          <t>Calgary</t>
        </is>
      </c>
      <c r="N1475" t="inlineStr">
        <is>
          <t>Olivia Martin</t>
        </is>
      </c>
      <c r="O1475" t="n">
        <v>3</v>
      </c>
      <c r="P1475" s="3" t="n">
        <v>93.22</v>
      </c>
      <c r="Q1475" s="4" t="n">
        <v>0.014</v>
      </c>
      <c r="R1475" s="3" t="n">
        <v>275.74</v>
      </c>
      <c r="S1475" s="3" t="n">
        <v>133.17</v>
      </c>
      <c r="T1475" s="3" t="n">
        <v>134.17</v>
      </c>
      <c r="U1475" s="4" t="n">
        <v>0.4866</v>
      </c>
      <c r="V1475" s="3" t="n">
        <v>8.4</v>
      </c>
      <c r="W1475" t="inlineStr">
        <is>
          <t>Credit Card</t>
        </is>
      </c>
      <c r="X1475" t="inlineStr">
        <is>
          <t>Low</t>
        </is>
      </c>
    </row>
    <row r="1476">
      <c r="A1476" t="inlineStr">
        <is>
          <t>ORD-02598</t>
        </is>
      </c>
      <c r="B1476" s="2" t="n">
        <v>45571</v>
      </c>
      <c r="C1476" s="2" t="n">
        <v>45572</v>
      </c>
      <c r="D1476" t="inlineStr">
        <is>
          <t>CUST-02598</t>
        </is>
      </c>
      <c r="E1476" t="inlineStr">
        <is>
          <t>Customer 798</t>
        </is>
      </c>
      <c r="F1476" t="inlineStr">
        <is>
          <t>Corporate</t>
        </is>
      </c>
      <c r="G1476" t="inlineStr">
        <is>
          <t>P1006</t>
        </is>
      </c>
      <c r="H1476" t="inlineStr">
        <is>
          <t>Nimbus Monitor Arm</t>
        </is>
      </c>
      <c r="I1476" t="inlineStr">
        <is>
          <t>Home Decor</t>
        </is>
      </c>
      <c r="J1476" t="inlineStr">
        <is>
          <t>Accessories</t>
        </is>
      </c>
      <c r="K1476" t="inlineStr">
        <is>
          <t>North</t>
        </is>
      </c>
      <c r="L1476" t="inlineStr">
        <is>
          <t>Alberta</t>
        </is>
      </c>
      <c r="M1476" t="inlineStr">
        <is>
          <t>Calgary</t>
        </is>
      </c>
      <c r="N1476" t="inlineStr">
        <is>
          <t>Noah Kim</t>
        </is>
      </c>
      <c r="O1476" t="n">
        <v>3</v>
      </c>
      <c r="P1476" s="3" t="n">
        <v>19.11</v>
      </c>
      <c r="Q1476" s="4" t="n">
        <v>0.06899999999999999</v>
      </c>
      <c r="R1476" s="3" t="n">
        <v>53.37</v>
      </c>
      <c r="S1476" s="3" t="n">
        <v>26.7</v>
      </c>
      <c r="T1476" s="3" t="n">
        <v>18.27</v>
      </c>
      <c r="U1476" s="4" t="n">
        <v>0.3423</v>
      </c>
      <c r="V1476" s="3" t="n">
        <v>8.4</v>
      </c>
      <c r="W1476" t="inlineStr">
        <is>
          <t>Credit Card</t>
        </is>
      </c>
      <c r="X1476" t="inlineStr">
        <is>
          <t>High</t>
        </is>
      </c>
    </row>
    <row r="1477">
      <c r="A1477" t="inlineStr">
        <is>
          <t>ORD-02615</t>
        </is>
      </c>
      <c r="B1477" s="2" t="n">
        <v>45333</v>
      </c>
      <c r="C1477" s="2" t="n">
        <v>45335</v>
      </c>
      <c r="D1477" t="inlineStr">
        <is>
          <t>CUST-02615</t>
        </is>
      </c>
      <c r="E1477" t="inlineStr">
        <is>
          <t>Customer 815</t>
        </is>
      </c>
      <c r="F1477" t="inlineStr">
        <is>
          <t>Home Office</t>
        </is>
      </c>
      <c r="G1477" t="inlineStr">
        <is>
          <t>P1007</t>
        </is>
      </c>
      <c r="H1477" t="inlineStr">
        <is>
          <t>CloudDrive File Box</t>
        </is>
      </c>
      <c r="I1477" t="inlineStr">
        <is>
          <t>Office Supplies</t>
        </is>
      </c>
      <c r="J1477" t="inlineStr">
        <is>
          <t>Flooring</t>
        </is>
      </c>
      <c r="K1477" t="inlineStr">
        <is>
          <t>North</t>
        </is>
      </c>
      <c r="L1477" t="inlineStr">
        <is>
          <t>British Columbia</t>
        </is>
      </c>
      <c r="M1477" t="inlineStr">
        <is>
          <t>Calgary</t>
        </is>
      </c>
      <c r="N1477" t="inlineStr">
        <is>
          <t>Noah Kim</t>
        </is>
      </c>
      <c r="O1477" t="n">
        <v>5</v>
      </c>
      <c r="P1477" s="3" t="n">
        <v>24.26</v>
      </c>
      <c r="Q1477" s="4" t="n">
        <v>0.016</v>
      </c>
      <c r="R1477" s="3" t="n">
        <v>119.36</v>
      </c>
      <c r="S1477" s="3" t="n">
        <v>47.61</v>
      </c>
      <c r="T1477" s="3" t="n">
        <v>61.75</v>
      </c>
      <c r="U1477" s="4" t="n">
        <v>0.5173</v>
      </c>
      <c r="V1477" s="3" t="n">
        <v>10</v>
      </c>
      <c r="W1477" t="inlineStr">
        <is>
          <t>Credit Card</t>
        </is>
      </c>
      <c r="X1477" t="inlineStr">
        <is>
          <t>Medium</t>
        </is>
      </c>
    </row>
    <row r="1478">
      <c r="A1478" t="inlineStr">
        <is>
          <t>ORD-02617</t>
        </is>
      </c>
      <c r="B1478" s="2" t="n">
        <v>45342</v>
      </c>
      <c r="C1478" s="2" t="n">
        <v>45345</v>
      </c>
      <c r="D1478" t="inlineStr">
        <is>
          <t>CUST-02617</t>
        </is>
      </c>
      <c r="E1478" t="inlineStr">
        <is>
          <t>Customer 817</t>
        </is>
      </c>
      <c r="F1478" t="inlineStr">
        <is>
          <t>Consumer</t>
        </is>
      </c>
      <c r="G1478" t="inlineStr">
        <is>
          <t>P1002</t>
        </is>
      </c>
      <c r="H1478" t="inlineStr">
        <is>
          <t>SmartInk Pen Set</t>
        </is>
      </c>
      <c r="I1478" t="inlineStr">
        <is>
          <t>Office Supplies</t>
        </is>
      </c>
      <c r="J1478" t="inlineStr">
        <is>
          <t>Peripherals</t>
        </is>
      </c>
      <c r="K1478" t="inlineStr">
        <is>
          <t>North</t>
        </is>
      </c>
      <c r="L1478" t="inlineStr">
        <is>
          <t>Alberta</t>
        </is>
      </c>
      <c r="M1478" t="inlineStr">
        <is>
          <t>Calgary</t>
        </is>
      </c>
      <c r="N1478" t="inlineStr">
        <is>
          <t>Ava Patel</t>
        </is>
      </c>
      <c r="O1478" t="n">
        <v>4</v>
      </c>
      <c r="P1478" s="3" t="n">
        <v>78.8</v>
      </c>
      <c r="Q1478" s="4" t="n">
        <v>0.026</v>
      </c>
      <c r="R1478" s="3" t="n">
        <v>307</v>
      </c>
      <c r="S1478" s="3" t="n">
        <v>139.14</v>
      </c>
      <c r="T1478" s="3" t="n">
        <v>158.66</v>
      </c>
      <c r="U1478" s="4" t="n">
        <v>0.5168</v>
      </c>
      <c r="V1478" s="3" t="n">
        <v>9.199999999999999</v>
      </c>
      <c r="W1478" t="inlineStr">
        <is>
          <t>Credit Card</t>
        </is>
      </c>
      <c r="X1478" t="inlineStr">
        <is>
          <t>Medium</t>
        </is>
      </c>
    </row>
    <row r="1479">
      <c r="A1479" t="inlineStr">
        <is>
          <t>ORD-02634</t>
        </is>
      </c>
      <c r="B1479" s="2" t="n">
        <v>45116</v>
      </c>
      <c r="C1479" s="2" t="n">
        <v>45121</v>
      </c>
      <c r="D1479" t="inlineStr">
        <is>
          <t>CUST-02634</t>
        </is>
      </c>
      <c r="E1479" t="inlineStr">
        <is>
          <t>Customer 834</t>
        </is>
      </c>
      <c r="F1479" t="inlineStr">
        <is>
          <t>Consumer</t>
        </is>
      </c>
      <c r="G1479" t="inlineStr">
        <is>
          <t>P1018</t>
        </is>
      </c>
      <c r="H1479" t="inlineStr">
        <is>
          <t>Northstar Lantern</t>
        </is>
      </c>
      <c r="I1479" t="inlineStr">
        <is>
          <t>Home Decor</t>
        </is>
      </c>
      <c r="J1479" t="inlineStr">
        <is>
          <t>Chairs</t>
        </is>
      </c>
      <c r="K1479" t="inlineStr">
        <is>
          <t>North</t>
        </is>
      </c>
      <c r="L1479" t="inlineStr">
        <is>
          <t>Ontario</t>
        </is>
      </c>
      <c r="M1479" t="inlineStr">
        <is>
          <t>Montreal</t>
        </is>
      </c>
      <c r="N1479" t="inlineStr">
        <is>
          <t>Ava Patel</t>
        </is>
      </c>
      <c r="O1479" t="n">
        <v>4</v>
      </c>
      <c r="P1479" s="3" t="n">
        <v>93.56</v>
      </c>
      <c r="Q1479" s="4" t="n">
        <v>0.027</v>
      </c>
      <c r="R1479" s="3" t="n">
        <v>364.14</v>
      </c>
      <c r="S1479" s="3" t="n">
        <v>162.14</v>
      </c>
      <c r="T1479" s="3" t="n">
        <v>192.8</v>
      </c>
      <c r="U1479" s="4" t="n">
        <v>0.5295</v>
      </c>
      <c r="V1479" s="3" t="n">
        <v>9.199999999999999</v>
      </c>
      <c r="W1479" t="inlineStr">
        <is>
          <t>Credit Card</t>
        </is>
      </c>
      <c r="X1479" t="inlineStr">
        <is>
          <t>Medium</t>
        </is>
      </c>
    </row>
    <row r="1480">
      <c r="A1480" t="inlineStr">
        <is>
          <t>ORD-02646</t>
        </is>
      </c>
      <c r="B1480" s="2" t="n">
        <v>45603</v>
      </c>
      <c r="C1480" s="2" t="n">
        <v>45610</v>
      </c>
      <c r="D1480" t="inlineStr">
        <is>
          <t>CUST-02646</t>
        </is>
      </c>
      <c r="E1480" t="inlineStr">
        <is>
          <t>Customer 846</t>
        </is>
      </c>
      <c r="F1480" t="inlineStr">
        <is>
          <t>Corporate</t>
        </is>
      </c>
      <c r="G1480" t="inlineStr">
        <is>
          <t>P1001</t>
        </is>
      </c>
      <c r="H1480" t="inlineStr">
        <is>
          <t>ErgoMesh Chair</t>
        </is>
      </c>
      <c r="I1480" t="inlineStr">
        <is>
          <t>Outdoor</t>
        </is>
      </c>
      <c r="J1480" t="inlineStr">
        <is>
          <t>Accessories</t>
        </is>
      </c>
      <c r="K1480" t="inlineStr">
        <is>
          <t>North</t>
        </is>
      </c>
      <c r="L1480" t="inlineStr">
        <is>
          <t>Quebec</t>
        </is>
      </c>
      <c r="M1480" t="inlineStr">
        <is>
          <t>Toronto</t>
        </is>
      </c>
      <c r="N1480" t="inlineStr">
        <is>
          <t>Liam Chen</t>
        </is>
      </c>
      <c r="O1480" t="n">
        <v>4</v>
      </c>
      <c r="P1480" s="3" t="n">
        <v>322.32</v>
      </c>
      <c r="Q1480" s="4" t="n">
        <v>0.028</v>
      </c>
      <c r="R1480" s="3" t="n">
        <v>1253.18</v>
      </c>
      <c r="S1480" s="3" t="n">
        <v>736.73</v>
      </c>
      <c r="T1480" s="3" t="n">
        <v>507.25</v>
      </c>
      <c r="U1480" s="4" t="n">
        <v>0.4048</v>
      </c>
      <c r="V1480" s="3" t="n">
        <v>9.199999999999999</v>
      </c>
      <c r="W1480" t="inlineStr">
        <is>
          <t>Bank Transfer</t>
        </is>
      </c>
      <c r="X1480" t="inlineStr">
        <is>
          <t>High</t>
        </is>
      </c>
    </row>
    <row r="1481">
      <c r="A1481" t="inlineStr">
        <is>
          <t>ORD-02651</t>
        </is>
      </c>
      <c r="B1481" s="2" t="n">
        <v>45280</v>
      </c>
      <c r="C1481" s="2" t="n">
        <v>45281</v>
      </c>
      <c r="D1481" t="inlineStr">
        <is>
          <t>CUST-02651</t>
        </is>
      </c>
      <c r="E1481" t="inlineStr">
        <is>
          <t>Customer 851</t>
        </is>
      </c>
      <c r="F1481" t="inlineStr">
        <is>
          <t>Corporate</t>
        </is>
      </c>
      <c r="G1481" t="inlineStr">
        <is>
          <t>P1005</t>
        </is>
      </c>
      <c r="H1481" t="inlineStr">
        <is>
          <t>SmartInk Pen Set</t>
        </is>
      </c>
      <c r="I1481" t="inlineStr">
        <is>
          <t>Home Decor</t>
        </is>
      </c>
      <c r="J1481" t="inlineStr">
        <is>
          <t>Peripherals</t>
        </is>
      </c>
      <c r="K1481" t="inlineStr">
        <is>
          <t>North</t>
        </is>
      </c>
      <c r="L1481" t="inlineStr">
        <is>
          <t>Alberta</t>
        </is>
      </c>
      <c r="M1481" t="inlineStr">
        <is>
          <t>Montreal</t>
        </is>
      </c>
      <c r="N1481" t="inlineStr">
        <is>
          <t>Ethan Brooks</t>
        </is>
      </c>
      <c r="O1481" t="n">
        <v>3</v>
      </c>
      <c r="P1481" s="3" t="n">
        <v>13.81</v>
      </c>
      <c r="Q1481" s="4" t="n">
        <v>0.042</v>
      </c>
      <c r="R1481" s="3" t="n">
        <v>39.69</v>
      </c>
      <c r="S1481" s="3" t="n">
        <v>17.5</v>
      </c>
      <c r="T1481" s="3" t="n">
        <v>13.79</v>
      </c>
      <c r="U1481" s="4" t="n">
        <v>0.3474</v>
      </c>
      <c r="V1481" s="3" t="n">
        <v>8.4</v>
      </c>
      <c r="W1481" t="inlineStr">
        <is>
          <t>Credit Card</t>
        </is>
      </c>
      <c r="X1481" t="inlineStr">
        <is>
          <t>High</t>
        </is>
      </c>
    </row>
    <row r="1482">
      <c r="A1482" t="inlineStr">
        <is>
          <t>ORD-02673</t>
        </is>
      </c>
      <c r="B1482" s="2" t="n">
        <v>45844</v>
      </c>
      <c r="C1482" s="2" t="n">
        <v>45846</v>
      </c>
      <c r="D1482" t="inlineStr">
        <is>
          <t>CUST-02673</t>
        </is>
      </c>
      <c r="E1482" t="inlineStr">
        <is>
          <t>Customer 873</t>
        </is>
      </c>
      <c r="F1482" t="inlineStr">
        <is>
          <t>Consumer</t>
        </is>
      </c>
      <c r="G1482" t="inlineStr">
        <is>
          <t>P1014</t>
        </is>
      </c>
      <c r="H1482" t="inlineStr">
        <is>
          <t>Aero Standing Desk</t>
        </is>
      </c>
      <c r="I1482" t="inlineStr">
        <is>
          <t>Furniture</t>
        </is>
      </c>
      <c r="J1482" t="inlineStr">
        <is>
          <t>Peripherals</t>
        </is>
      </c>
      <c r="K1482" t="inlineStr">
        <is>
          <t>North</t>
        </is>
      </c>
      <c r="L1482" t="inlineStr">
        <is>
          <t>Ontario</t>
        </is>
      </c>
      <c r="M1482" t="inlineStr">
        <is>
          <t>Calgary</t>
        </is>
      </c>
      <c r="N1482" t="inlineStr">
        <is>
          <t>James Carter</t>
        </is>
      </c>
      <c r="O1482" t="n">
        <v>3</v>
      </c>
      <c r="P1482" s="3" t="n">
        <v>44.84</v>
      </c>
      <c r="Q1482" s="4" t="n">
        <v>0.046</v>
      </c>
      <c r="R1482" s="3" t="n">
        <v>128.33</v>
      </c>
      <c r="S1482" s="3" t="n">
        <v>58.81</v>
      </c>
      <c r="T1482" s="3" t="n">
        <v>61.12</v>
      </c>
      <c r="U1482" s="4" t="n">
        <v>0.4763</v>
      </c>
      <c r="V1482" s="3" t="n">
        <v>8.4</v>
      </c>
      <c r="W1482" t="inlineStr">
        <is>
          <t>PayPal</t>
        </is>
      </c>
      <c r="X1482" t="inlineStr">
        <is>
          <t>Critical</t>
        </is>
      </c>
    </row>
    <row r="1483">
      <c r="A1483" t="inlineStr">
        <is>
          <t>ORD-02679</t>
        </is>
      </c>
      <c r="B1483" s="2" t="n">
        <v>45191</v>
      </c>
      <c r="C1483" s="2" t="n">
        <v>45196</v>
      </c>
      <c r="D1483" t="inlineStr">
        <is>
          <t>CUST-02679</t>
        </is>
      </c>
      <c r="E1483" t="inlineStr">
        <is>
          <t>Customer 879</t>
        </is>
      </c>
      <c r="F1483" t="inlineStr">
        <is>
          <t>Home Office</t>
        </is>
      </c>
      <c r="G1483" t="inlineStr">
        <is>
          <t>P1012</t>
        </is>
      </c>
      <c r="H1483" t="inlineStr">
        <is>
          <t>Aero Standing Desk</t>
        </is>
      </c>
      <c r="I1483" t="inlineStr">
        <is>
          <t>Outdoor</t>
        </is>
      </c>
      <c r="J1483" t="inlineStr">
        <is>
          <t>Peripherals</t>
        </is>
      </c>
      <c r="K1483" t="inlineStr">
        <is>
          <t>North</t>
        </is>
      </c>
      <c r="L1483" t="inlineStr">
        <is>
          <t>British Columbia</t>
        </is>
      </c>
      <c r="M1483" t="inlineStr">
        <is>
          <t>Calgary</t>
        </is>
      </c>
      <c r="N1483" t="inlineStr">
        <is>
          <t>James Carter</t>
        </is>
      </c>
      <c r="O1483" t="n">
        <v>3</v>
      </c>
      <c r="P1483" s="3" t="n">
        <v>135.86</v>
      </c>
      <c r="Q1483" s="4" t="n">
        <v>0.052</v>
      </c>
      <c r="R1483" s="3" t="n">
        <v>386.39</v>
      </c>
      <c r="S1483" s="3" t="n">
        <v>197.44</v>
      </c>
      <c r="T1483" s="3" t="n">
        <v>180.55</v>
      </c>
      <c r="U1483" s="4" t="n">
        <v>0.4673</v>
      </c>
      <c r="V1483" s="3" t="n">
        <v>8.4</v>
      </c>
      <c r="W1483" t="inlineStr">
        <is>
          <t>Credit Card</t>
        </is>
      </c>
      <c r="X1483" t="inlineStr">
        <is>
          <t>High</t>
        </is>
      </c>
    </row>
    <row r="1484">
      <c r="A1484" t="inlineStr">
        <is>
          <t>ORD-02682</t>
        </is>
      </c>
      <c r="B1484" s="2" t="n">
        <v>45851</v>
      </c>
      <c r="C1484" s="2" t="n">
        <v>45857</v>
      </c>
      <c r="D1484" t="inlineStr">
        <is>
          <t>CUST-02682</t>
        </is>
      </c>
      <c r="E1484" t="inlineStr">
        <is>
          <t>Customer 882</t>
        </is>
      </c>
      <c r="F1484" t="inlineStr">
        <is>
          <t>Home Office</t>
        </is>
      </c>
      <c r="G1484" t="inlineStr">
        <is>
          <t>P1011</t>
        </is>
      </c>
      <c r="H1484" t="inlineStr">
        <is>
          <t>Cove Wall Clock</t>
        </is>
      </c>
      <c r="I1484" t="inlineStr">
        <is>
          <t>Furniture</t>
        </is>
      </c>
      <c r="J1484" t="inlineStr">
        <is>
          <t>Furniture</t>
        </is>
      </c>
      <c r="K1484" t="inlineStr">
        <is>
          <t>North</t>
        </is>
      </c>
      <c r="L1484" t="inlineStr">
        <is>
          <t>Ontario</t>
        </is>
      </c>
      <c r="M1484" t="inlineStr">
        <is>
          <t>Toronto</t>
        </is>
      </c>
      <c r="N1484" t="inlineStr">
        <is>
          <t>Liam Chen</t>
        </is>
      </c>
      <c r="O1484" t="n">
        <v>4</v>
      </c>
      <c r="P1484" s="3" t="n">
        <v>91.42</v>
      </c>
      <c r="Q1484" s="4" t="n">
        <v>0.027</v>
      </c>
      <c r="R1484" s="3" t="n">
        <v>355.81</v>
      </c>
      <c r="S1484" s="3" t="n">
        <v>170.78</v>
      </c>
      <c r="T1484" s="3" t="n">
        <v>175.83</v>
      </c>
      <c r="U1484" s="4" t="n">
        <v>0.4942</v>
      </c>
      <c r="V1484" s="3" t="n">
        <v>9.199999999999999</v>
      </c>
      <c r="W1484" t="inlineStr">
        <is>
          <t>Bank Transfer</t>
        </is>
      </c>
      <c r="X1484" t="inlineStr">
        <is>
          <t>Medium</t>
        </is>
      </c>
    </row>
    <row r="1485">
      <c r="A1485" t="inlineStr">
        <is>
          <t>ORD-02690</t>
        </is>
      </c>
      <c r="B1485" s="2" t="n">
        <v>45379</v>
      </c>
      <c r="C1485" s="2" t="n">
        <v>45383</v>
      </c>
      <c r="D1485" t="inlineStr">
        <is>
          <t>CUST-02690</t>
        </is>
      </c>
      <c r="E1485" t="inlineStr">
        <is>
          <t>Customer 890</t>
        </is>
      </c>
      <c r="F1485" t="inlineStr">
        <is>
          <t>Corporate</t>
        </is>
      </c>
      <c r="G1485" t="inlineStr">
        <is>
          <t>P1009</t>
        </is>
      </c>
      <c r="H1485" t="inlineStr">
        <is>
          <t>Summit Patio Set</t>
        </is>
      </c>
      <c r="I1485" t="inlineStr">
        <is>
          <t>Outdoor</t>
        </is>
      </c>
      <c r="J1485" t="inlineStr">
        <is>
          <t>Video</t>
        </is>
      </c>
      <c r="K1485" t="inlineStr">
        <is>
          <t>North</t>
        </is>
      </c>
      <c r="L1485" t="inlineStr">
        <is>
          <t>Quebec</t>
        </is>
      </c>
      <c r="M1485" t="inlineStr">
        <is>
          <t>Calgary</t>
        </is>
      </c>
      <c r="N1485" t="inlineStr">
        <is>
          <t>Olivia Martin</t>
        </is>
      </c>
      <c r="O1485" t="n">
        <v>2</v>
      </c>
      <c r="P1485" s="3" t="n">
        <v>86.76000000000001</v>
      </c>
      <c r="Q1485" s="4" t="n">
        <v>0.029</v>
      </c>
      <c r="R1485" s="3" t="n">
        <v>168.49</v>
      </c>
      <c r="S1485" s="3" t="n">
        <v>90.40000000000001</v>
      </c>
      <c r="T1485" s="3" t="n">
        <v>70.48999999999999</v>
      </c>
      <c r="U1485" s="4" t="n">
        <v>0.4184</v>
      </c>
      <c r="V1485" s="3" t="n">
        <v>7.6</v>
      </c>
      <c r="W1485" t="inlineStr">
        <is>
          <t>Credit Card</t>
        </is>
      </c>
      <c r="X1485" t="inlineStr">
        <is>
          <t>Medium</t>
        </is>
      </c>
    </row>
    <row r="1486">
      <c r="A1486" t="inlineStr">
        <is>
          <t>ORD-02693</t>
        </is>
      </c>
      <c r="B1486" s="2" t="n">
        <v>44939</v>
      </c>
      <c r="C1486" s="2" t="n">
        <v>44940</v>
      </c>
      <c r="D1486" t="inlineStr">
        <is>
          <t>CUST-02693</t>
        </is>
      </c>
      <c r="E1486" t="inlineStr">
        <is>
          <t>Customer 893</t>
        </is>
      </c>
      <c r="F1486" t="inlineStr">
        <is>
          <t>Consumer</t>
        </is>
      </c>
      <c r="G1486" t="inlineStr">
        <is>
          <t>P1002</t>
        </is>
      </c>
      <c r="H1486" t="inlineStr">
        <is>
          <t>Northstar Lantern</t>
        </is>
      </c>
      <c r="I1486" t="inlineStr">
        <is>
          <t>Outdoor</t>
        </is>
      </c>
      <c r="J1486" t="inlineStr">
        <is>
          <t>Furniture</t>
        </is>
      </c>
      <c r="K1486" t="inlineStr">
        <is>
          <t>North</t>
        </is>
      </c>
      <c r="L1486" t="inlineStr">
        <is>
          <t>Ontario</t>
        </is>
      </c>
      <c r="M1486" t="inlineStr">
        <is>
          <t>Montreal</t>
        </is>
      </c>
      <c r="N1486" t="inlineStr">
        <is>
          <t>Ethan Brooks</t>
        </is>
      </c>
      <c r="O1486" t="n">
        <v>3</v>
      </c>
      <c r="P1486" s="3" t="n">
        <v>75.84999999999999</v>
      </c>
      <c r="Q1486" s="4" t="n">
        <v>0.024</v>
      </c>
      <c r="R1486" s="3" t="n">
        <v>222.09</v>
      </c>
      <c r="S1486" s="3" t="n">
        <v>101.84</v>
      </c>
      <c r="T1486" s="3" t="n">
        <v>111.85</v>
      </c>
      <c r="U1486" s="4" t="n">
        <v>0.5036</v>
      </c>
      <c r="V1486" s="3" t="n">
        <v>8.4</v>
      </c>
      <c r="W1486" t="inlineStr">
        <is>
          <t>Debit Card</t>
        </is>
      </c>
      <c r="X1486" t="inlineStr">
        <is>
          <t>Medium</t>
        </is>
      </c>
    </row>
    <row r="1487">
      <c r="A1487" t="inlineStr">
        <is>
          <t>ORD-02735</t>
        </is>
      </c>
      <c r="B1487" s="2" t="n">
        <v>45977</v>
      </c>
      <c r="C1487" s="2" t="n">
        <v>45979</v>
      </c>
      <c r="D1487" t="inlineStr">
        <is>
          <t>CUST-02735</t>
        </is>
      </c>
      <c r="E1487" t="inlineStr">
        <is>
          <t>Customer 935</t>
        </is>
      </c>
      <c r="F1487" t="inlineStr">
        <is>
          <t>Consumer</t>
        </is>
      </c>
      <c r="G1487" t="inlineStr">
        <is>
          <t>P1002</t>
        </is>
      </c>
      <c r="H1487" t="inlineStr">
        <is>
          <t>Harbor Rug</t>
        </is>
      </c>
      <c r="I1487" t="inlineStr">
        <is>
          <t>Furniture</t>
        </is>
      </c>
      <c r="J1487" t="inlineStr">
        <is>
          <t>Video</t>
        </is>
      </c>
      <c r="K1487" t="inlineStr">
        <is>
          <t>North</t>
        </is>
      </c>
      <c r="L1487" t="inlineStr">
        <is>
          <t>British Columbia</t>
        </is>
      </c>
      <c r="M1487" t="inlineStr">
        <is>
          <t>Montreal</t>
        </is>
      </c>
      <c r="N1487" t="inlineStr">
        <is>
          <t>Mia Rodriguez</t>
        </is>
      </c>
      <c r="O1487" t="n">
        <v>2</v>
      </c>
      <c r="P1487" s="3" t="n">
        <v>82.87</v>
      </c>
      <c r="Q1487" s="4" t="n">
        <v>0.017</v>
      </c>
      <c r="R1487" s="3" t="n">
        <v>162.92</v>
      </c>
      <c r="S1487" s="3" t="n">
        <v>80.38</v>
      </c>
      <c r="T1487" s="3" t="n">
        <v>74.94</v>
      </c>
      <c r="U1487" s="4" t="n">
        <v>0.46</v>
      </c>
      <c r="V1487" s="3" t="n">
        <v>7.6</v>
      </c>
      <c r="W1487" t="inlineStr">
        <is>
          <t>Bank Transfer</t>
        </is>
      </c>
      <c r="X1487" t="inlineStr">
        <is>
          <t>Low</t>
        </is>
      </c>
    </row>
    <row r="1488">
      <c r="A1488" t="inlineStr">
        <is>
          <t>ORD-02752</t>
        </is>
      </c>
      <c r="B1488" s="2" t="n">
        <v>45769</v>
      </c>
      <c r="C1488" s="2" t="n">
        <v>45770</v>
      </c>
      <c r="D1488" t="inlineStr">
        <is>
          <t>CUST-02752</t>
        </is>
      </c>
      <c r="E1488" t="inlineStr">
        <is>
          <t>Customer 952</t>
        </is>
      </c>
      <c r="F1488" t="inlineStr">
        <is>
          <t>Consumer</t>
        </is>
      </c>
      <c r="G1488" t="inlineStr">
        <is>
          <t>P1003</t>
        </is>
      </c>
      <c r="H1488" t="inlineStr">
        <is>
          <t>Trail Tote</t>
        </is>
      </c>
      <c r="I1488" t="inlineStr">
        <is>
          <t>Outdoor</t>
        </is>
      </c>
      <c r="J1488" t="inlineStr">
        <is>
          <t>Lighting</t>
        </is>
      </c>
      <c r="K1488" t="inlineStr">
        <is>
          <t>North</t>
        </is>
      </c>
      <c r="L1488" t="inlineStr">
        <is>
          <t>Quebec</t>
        </is>
      </c>
      <c r="M1488" t="inlineStr">
        <is>
          <t>Calgary</t>
        </is>
      </c>
      <c r="N1488" t="inlineStr">
        <is>
          <t>Mia Rodriguez</t>
        </is>
      </c>
      <c r="O1488" t="n">
        <v>2</v>
      </c>
      <c r="P1488" s="3" t="n">
        <v>148.8</v>
      </c>
      <c r="Q1488" s="4" t="n">
        <v>0.023</v>
      </c>
      <c r="R1488" s="3" t="n">
        <v>290.76</v>
      </c>
      <c r="S1488" s="3" t="n">
        <v>159.74</v>
      </c>
      <c r="T1488" s="3" t="n">
        <v>123.42</v>
      </c>
      <c r="U1488" s="4" t="n">
        <v>0.4245</v>
      </c>
      <c r="V1488" s="3" t="n">
        <v>7.6</v>
      </c>
      <c r="W1488" t="inlineStr">
        <is>
          <t>PayPal</t>
        </is>
      </c>
      <c r="X1488" t="inlineStr">
        <is>
          <t>High</t>
        </is>
      </c>
    </row>
    <row r="1489">
      <c r="A1489" t="inlineStr">
        <is>
          <t>ORD-02754</t>
        </is>
      </c>
      <c r="B1489" s="2" t="n">
        <v>45446</v>
      </c>
      <c r="C1489" s="2" t="n">
        <v>45452</v>
      </c>
      <c r="D1489" t="inlineStr">
        <is>
          <t>CUST-02754</t>
        </is>
      </c>
      <c r="E1489" t="inlineStr">
        <is>
          <t>Customer 954</t>
        </is>
      </c>
      <c r="F1489" t="inlineStr">
        <is>
          <t>Consumer</t>
        </is>
      </c>
      <c r="G1489" t="inlineStr">
        <is>
          <t>P1014</t>
        </is>
      </c>
      <c r="H1489" t="inlineStr">
        <is>
          <t>SmartInk Pen Set</t>
        </is>
      </c>
      <c r="I1489" t="inlineStr">
        <is>
          <t>Technology</t>
        </is>
      </c>
      <c r="J1489" t="inlineStr">
        <is>
          <t>Plants</t>
        </is>
      </c>
      <c r="K1489" t="inlineStr">
        <is>
          <t>North</t>
        </is>
      </c>
      <c r="L1489" t="inlineStr">
        <is>
          <t>Ontario</t>
        </is>
      </c>
      <c r="M1489" t="inlineStr">
        <is>
          <t>Montreal</t>
        </is>
      </c>
      <c r="N1489" t="inlineStr">
        <is>
          <t>Liam Chen</t>
        </is>
      </c>
      <c r="O1489" t="n">
        <v>3</v>
      </c>
      <c r="P1489" s="3" t="n">
        <v>44.69</v>
      </c>
      <c r="Q1489" s="4" t="n">
        <v>0.04</v>
      </c>
      <c r="R1489" s="3" t="n">
        <v>128.71</v>
      </c>
      <c r="S1489" s="3" t="n">
        <v>59.02</v>
      </c>
      <c r="T1489" s="3" t="n">
        <v>61.29</v>
      </c>
      <c r="U1489" s="4" t="n">
        <v>0.4762</v>
      </c>
      <c r="V1489" s="3" t="n">
        <v>8.4</v>
      </c>
      <c r="W1489" t="inlineStr">
        <is>
          <t>Credit Card</t>
        </is>
      </c>
      <c r="X1489" t="inlineStr">
        <is>
          <t>High</t>
        </is>
      </c>
    </row>
    <row r="1490">
      <c r="A1490" t="inlineStr">
        <is>
          <t>ORD-02759</t>
        </is>
      </c>
      <c r="B1490" s="2" t="n">
        <v>45988</v>
      </c>
      <c r="C1490" s="2" t="n">
        <v>45995</v>
      </c>
      <c r="D1490" t="inlineStr">
        <is>
          <t>CUST-02759</t>
        </is>
      </c>
      <c r="E1490" t="inlineStr">
        <is>
          <t>Customer 959</t>
        </is>
      </c>
      <c r="F1490" t="inlineStr">
        <is>
          <t>Consumer</t>
        </is>
      </c>
      <c r="G1490" t="inlineStr">
        <is>
          <t>P1010</t>
        </is>
      </c>
      <c r="H1490" t="inlineStr">
        <is>
          <t>Echo Web Camera</t>
        </is>
      </c>
      <c r="I1490" t="inlineStr">
        <is>
          <t>Home Decor</t>
        </is>
      </c>
      <c r="J1490" t="inlineStr">
        <is>
          <t>Lighting</t>
        </is>
      </c>
      <c r="K1490" t="inlineStr">
        <is>
          <t>North</t>
        </is>
      </c>
      <c r="L1490" t="inlineStr">
        <is>
          <t>Quebec</t>
        </is>
      </c>
      <c r="M1490" t="inlineStr">
        <is>
          <t>Toronto</t>
        </is>
      </c>
      <c r="N1490" t="inlineStr">
        <is>
          <t>Liam Chen</t>
        </is>
      </c>
      <c r="O1490" t="n">
        <v>4</v>
      </c>
      <c r="P1490" s="3" t="n">
        <v>57.75</v>
      </c>
      <c r="Q1490" s="4" t="n">
        <v>0.023</v>
      </c>
      <c r="R1490" s="3" t="n">
        <v>225.69</v>
      </c>
      <c r="S1490" s="3" t="n">
        <v>104.14</v>
      </c>
      <c r="T1490" s="3" t="n">
        <v>112.35</v>
      </c>
      <c r="U1490" s="4" t="n">
        <v>0.4978</v>
      </c>
      <c r="V1490" s="3" t="n">
        <v>9.199999999999999</v>
      </c>
      <c r="W1490" t="inlineStr">
        <is>
          <t>PayPal</t>
        </is>
      </c>
      <c r="X1490" t="inlineStr">
        <is>
          <t>Medium</t>
        </is>
      </c>
    </row>
    <row r="1491">
      <c r="A1491" t="inlineStr">
        <is>
          <t>ORD-02760</t>
        </is>
      </c>
      <c r="B1491" s="2" t="n">
        <v>44972</v>
      </c>
      <c r="C1491" s="2" t="n">
        <v>44976</v>
      </c>
      <c r="D1491" t="inlineStr">
        <is>
          <t>CUST-02760</t>
        </is>
      </c>
      <c r="E1491" t="inlineStr">
        <is>
          <t>Customer 960</t>
        </is>
      </c>
      <c r="F1491" t="inlineStr">
        <is>
          <t>Corporate</t>
        </is>
      </c>
      <c r="G1491" t="inlineStr">
        <is>
          <t>P1020</t>
        </is>
      </c>
      <c r="H1491" t="inlineStr">
        <is>
          <t>Trail Tote</t>
        </is>
      </c>
      <c r="I1491" t="inlineStr">
        <is>
          <t>Technology</t>
        </is>
      </c>
      <c r="J1491" t="inlineStr">
        <is>
          <t>Coolers</t>
        </is>
      </c>
      <c r="K1491" t="inlineStr">
        <is>
          <t>North</t>
        </is>
      </c>
      <c r="L1491" t="inlineStr">
        <is>
          <t>Alberta</t>
        </is>
      </c>
      <c r="M1491" t="inlineStr">
        <is>
          <t>Calgary</t>
        </is>
      </c>
      <c r="N1491" t="inlineStr">
        <is>
          <t>Olivia Martin</t>
        </is>
      </c>
      <c r="O1491" t="n">
        <v>1</v>
      </c>
      <c r="P1491" s="3" t="n">
        <v>70.91</v>
      </c>
      <c r="Q1491" s="4" t="n">
        <v>0.028</v>
      </c>
      <c r="R1491" s="3" t="n">
        <v>68.92</v>
      </c>
      <c r="S1491" s="3" t="n">
        <v>37.44</v>
      </c>
      <c r="T1491" s="3" t="n">
        <v>24.68</v>
      </c>
      <c r="U1491" s="4" t="n">
        <v>0.3581</v>
      </c>
      <c r="V1491" s="3" t="n">
        <v>6.8</v>
      </c>
      <c r="W1491" t="inlineStr">
        <is>
          <t>Credit Card</t>
        </is>
      </c>
      <c r="X1491" t="inlineStr">
        <is>
          <t>Medium</t>
        </is>
      </c>
    </row>
    <row r="1492">
      <c r="A1492" t="inlineStr">
        <is>
          <t>ORD-02763</t>
        </is>
      </c>
      <c r="B1492" s="2" t="n">
        <v>45549</v>
      </c>
      <c r="C1492" s="2" t="n">
        <v>45551</v>
      </c>
      <c r="D1492" t="inlineStr">
        <is>
          <t>CUST-02763</t>
        </is>
      </c>
      <c r="E1492" t="inlineStr">
        <is>
          <t>Customer 963</t>
        </is>
      </c>
      <c r="F1492" t="inlineStr">
        <is>
          <t>Home Office</t>
        </is>
      </c>
      <c r="G1492" t="inlineStr">
        <is>
          <t>P1011</t>
        </is>
      </c>
      <c r="H1492" t="inlineStr">
        <is>
          <t>Nova Laptop Stand</t>
        </is>
      </c>
      <c r="I1492" t="inlineStr">
        <is>
          <t>Furniture</t>
        </is>
      </c>
      <c r="J1492" t="inlineStr">
        <is>
          <t>Flooring</t>
        </is>
      </c>
      <c r="K1492" t="inlineStr">
        <is>
          <t>North</t>
        </is>
      </c>
      <c r="L1492" t="inlineStr">
        <is>
          <t>Ontario</t>
        </is>
      </c>
      <c r="M1492" t="inlineStr">
        <is>
          <t>Toronto</t>
        </is>
      </c>
      <c r="N1492" t="inlineStr">
        <is>
          <t>James Carter</t>
        </is>
      </c>
      <c r="O1492" t="n">
        <v>2</v>
      </c>
      <c r="P1492" s="3" t="n">
        <v>89.04000000000001</v>
      </c>
      <c r="Q1492" s="4" t="n">
        <v>0.025</v>
      </c>
      <c r="R1492" s="3" t="n">
        <v>173.63</v>
      </c>
      <c r="S1492" s="3" t="n">
        <v>88.76000000000001</v>
      </c>
      <c r="T1492" s="3" t="n">
        <v>77.27</v>
      </c>
      <c r="U1492" s="4" t="n">
        <v>0.445</v>
      </c>
      <c r="V1492" s="3" t="n">
        <v>7.6</v>
      </c>
      <c r="W1492" t="inlineStr">
        <is>
          <t>Bank Transfer</t>
        </is>
      </c>
      <c r="X1492" t="inlineStr">
        <is>
          <t>Medium</t>
        </is>
      </c>
    </row>
    <row r="1493">
      <c r="A1493" t="inlineStr">
        <is>
          <t>ORD-02772</t>
        </is>
      </c>
      <c r="B1493" s="2" t="n">
        <v>45093</v>
      </c>
      <c r="C1493" s="2" t="n">
        <v>45098</v>
      </c>
      <c r="D1493" t="inlineStr">
        <is>
          <t>CUST-02772</t>
        </is>
      </c>
      <c r="E1493" t="inlineStr">
        <is>
          <t>Customer 972</t>
        </is>
      </c>
      <c r="F1493" t="inlineStr">
        <is>
          <t>Consumer</t>
        </is>
      </c>
      <c r="G1493" t="inlineStr">
        <is>
          <t>P1016</t>
        </is>
      </c>
      <c r="H1493" t="inlineStr">
        <is>
          <t>SmartInk Pen Set</t>
        </is>
      </c>
      <c r="I1493" t="inlineStr">
        <is>
          <t>Outdoor</t>
        </is>
      </c>
      <c r="J1493" t="inlineStr">
        <is>
          <t>Writing</t>
        </is>
      </c>
      <c r="K1493" t="inlineStr">
        <is>
          <t>North</t>
        </is>
      </c>
      <c r="L1493" t="inlineStr">
        <is>
          <t>Ontario</t>
        </is>
      </c>
      <c r="M1493" t="inlineStr">
        <is>
          <t>Calgary</t>
        </is>
      </c>
      <c r="N1493" t="inlineStr">
        <is>
          <t>Mia Rodriguez</t>
        </is>
      </c>
      <c r="O1493" t="n">
        <v>3</v>
      </c>
      <c r="P1493" s="3" t="n">
        <v>39.39</v>
      </c>
      <c r="Q1493" s="4" t="n">
        <v>0.024</v>
      </c>
      <c r="R1493" s="3" t="n">
        <v>115.33</v>
      </c>
      <c r="S1493" s="3" t="n">
        <v>46.72</v>
      </c>
      <c r="T1493" s="3" t="n">
        <v>60.21</v>
      </c>
      <c r="U1493" s="4" t="n">
        <v>0.5221</v>
      </c>
      <c r="V1493" s="3" t="n">
        <v>8.4</v>
      </c>
      <c r="W1493" t="inlineStr">
        <is>
          <t>PayPal</t>
        </is>
      </c>
      <c r="X1493" t="inlineStr">
        <is>
          <t>Medium</t>
        </is>
      </c>
    </row>
    <row r="1494">
      <c r="A1494" t="inlineStr">
        <is>
          <t>ORD-02776</t>
        </is>
      </c>
      <c r="B1494" s="2" t="n">
        <v>45483</v>
      </c>
      <c r="C1494" s="2" t="n">
        <v>45490</v>
      </c>
      <c r="D1494" t="inlineStr">
        <is>
          <t>CUST-02776</t>
        </is>
      </c>
      <c r="E1494" t="inlineStr">
        <is>
          <t>Customer 976</t>
        </is>
      </c>
      <c r="F1494" t="inlineStr">
        <is>
          <t>Corporate</t>
        </is>
      </c>
      <c r="G1494" t="inlineStr">
        <is>
          <t>P1012</t>
        </is>
      </c>
      <c r="H1494" t="inlineStr">
        <is>
          <t>ProClip Binder</t>
        </is>
      </c>
      <c r="I1494" t="inlineStr">
        <is>
          <t>Office Supplies</t>
        </is>
      </c>
      <c r="J1494" t="inlineStr">
        <is>
          <t>Plants</t>
        </is>
      </c>
      <c r="K1494" t="inlineStr">
        <is>
          <t>North</t>
        </is>
      </c>
      <c r="L1494" t="inlineStr">
        <is>
          <t>Alberta</t>
        </is>
      </c>
      <c r="M1494" t="inlineStr">
        <is>
          <t>Toronto</t>
        </is>
      </c>
      <c r="N1494" t="inlineStr">
        <is>
          <t>Ethan Brooks</t>
        </is>
      </c>
      <c r="O1494" t="n">
        <v>1</v>
      </c>
      <c r="P1494" s="3" t="n">
        <v>135.35</v>
      </c>
      <c r="Q1494" s="4" t="n">
        <v>0.031</v>
      </c>
      <c r="R1494" s="3" t="n">
        <v>131.15</v>
      </c>
      <c r="S1494" s="3" t="n">
        <v>68.77</v>
      </c>
      <c r="T1494" s="3" t="n">
        <v>55.58</v>
      </c>
      <c r="U1494" s="4" t="n">
        <v>0.4238</v>
      </c>
      <c r="V1494" s="3" t="n">
        <v>6.8</v>
      </c>
      <c r="W1494" t="inlineStr">
        <is>
          <t>Credit Card</t>
        </is>
      </c>
      <c r="X1494" t="inlineStr">
        <is>
          <t>Critical</t>
        </is>
      </c>
    </row>
    <row r="1495">
      <c r="A1495" t="inlineStr">
        <is>
          <t>ORD-02786</t>
        </is>
      </c>
      <c r="B1495" s="2" t="n">
        <v>44964</v>
      </c>
      <c r="C1495" s="2" t="n">
        <v>44968</v>
      </c>
      <c r="D1495" t="inlineStr">
        <is>
          <t>CUST-02786</t>
        </is>
      </c>
      <c r="E1495" t="inlineStr">
        <is>
          <t>Customer 986</t>
        </is>
      </c>
      <c r="F1495" t="inlineStr">
        <is>
          <t>Consumer</t>
        </is>
      </c>
      <c r="G1495" t="inlineStr">
        <is>
          <t>P1009</t>
        </is>
      </c>
      <c r="H1495" t="inlineStr">
        <is>
          <t>Trail Tote</t>
        </is>
      </c>
      <c r="I1495" t="inlineStr">
        <is>
          <t>Office Supplies</t>
        </is>
      </c>
      <c r="J1495" t="inlineStr">
        <is>
          <t>Accessories</t>
        </is>
      </c>
      <c r="K1495" t="inlineStr">
        <is>
          <t>North</t>
        </is>
      </c>
      <c r="L1495" t="inlineStr">
        <is>
          <t>Quebec</t>
        </is>
      </c>
      <c r="M1495" t="inlineStr">
        <is>
          <t>Vancouver</t>
        </is>
      </c>
      <c r="N1495" t="inlineStr">
        <is>
          <t>Sophia Singh</t>
        </is>
      </c>
      <c r="O1495" t="n">
        <v>2</v>
      </c>
      <c r="P1495" s="3" t="n">
        <v>92.7</v>
      </c>
      <c r="Q1495" s="4" t="n">
        <v>0.044</v>
      </c>
      <c r="R1495" s="3" t="n">
        <v>177.24</v>
      </c>
      <c r="S1495" s="3" t="n">
        <v>88.62</v>
      </c>
      <c r="T1495" s="3" t="n">
        <v>81.02</v>
      </c>
      <c r="U1495" s="4" t="n">
        <v>0.4571</v>
      </c>
      <c r="V1495" s="3" t="n">
        <v>7.6</v>
      </c>
      <c r="W1495" t="inlineStr">
        <is>
          <t>Bank Transfer</t>
        </is>
      </c>
      <c r="X1495" t="inlineStr">
        <is>
          <t>Critical</t>
        </is>
      </c>
    </row>
    <row r="1496">
      <c r="A1496" t="inlineStr">
        <is>
          <t>ORD-02787</t>
        </is>
      </c>
      <c r="B1496" s="2" t="n">
        <v>45833</v>
      </c>
      <c r="C1496" s="2" t="n">
        <v>45837</v>
      </c>
      <c r="D1496" t="inlineStr">
        <is>
          <t>CUST-02787</t>
        </is>
      </c>
      <c r="E1496" t="inlineStr">
        <is>
          <t>Customer 987</t>
        </is>
      </c>
      <c r="F1496" t="inlineStr">
        <is>
          <t>Corporate</t>
        </is>
      </c>
      <c r="G1496" t="inlineStr">
        <is>
          <t>P1017</t>
        </is>
      </c>
      <c r="H1496" t="inlineStr">
        <is>
          <t>ErgoMesh Chair</t>
        </is>
      </c>
      <c r="I1496" t="inlineStr">
        <is>
          <t>Home Decor</t>
        </is>
      </c>
      <c r="J1496" t="inlineStr">
        <is>
          <t>Flooring</t>
        </is>
      </c>
      <c r="K1496" t="inlineStr">
        <is>
          <t>North</t>
        </is>
      </c>
      <c r="L1496" t="inlineStr">
        <is>
          <t>Quebec</t>
        </is>
      </c>
      <c r="M1496" t="inlineStr">
        <is>
          <t>Toronto</t>
        </is>
      </c>
      <c r="N1496" t="inlineStr">
        <is>
          <t>Sophia Singh</t>
        </is>
      </c>
      <c r="O1496" t="n">
        <v>3</v>
      </c>
      <c r="P1496" s="3" t="n">
        <v>590.0700000000001</v>
      </c>
      <c r="Q1496" s="4" t="n">
        <v>0.017</v>
      </c>
      <c r="R1496" s="3" t="n">
        <v>1740.12</v>
      </c>
      <c r="S1496" s="3" t="n">
        <v>1157.8</v>
      </c>
      <c r="T1496" s="3" t="n">
        <v>573.92</v>
      </c>
      <c r="U1496" s="4" t="n">
        <v>0.3298</v>
      </c>
      <c r="V1496" s="3" t="n">
        <v>8.4</v>
      </c>
      <c r="W1496" t="inlineStr">
        <is>
          <t>PayPal</t>
        </is>
      </c>
      <c r="X1496" t="inlineStr">
        <is>
          <t>Medium</t>
        </is>
      </c>
    </row>
    <row r="1497">
      <c r="A1497" t="inlineStr">
        <is>
          <t>ORD-02808</t>
        </is>
      </c>
      <c r="B1497" s="2" t="n">
        <v>45037</v>
      </c>
      <c r="C1497" s="2" t="n">
        <v>45042</v>
      </c>
      <c r="D1497" t="inlineStr">
        <is>
          <t>CUST-02808</t>
        </is>
      </c>
      <c r="E1497" t="inlineStr">
        <is>
          <t>Customer 1008</t>
        </is>
      </c>
      <c r="F1497" t="inlineStr">
        <is>
          <t>Consumer</t>
        </is>
      </c>
      <c r="G1497" t="inlineStr">
        <is>
          <t>P1004</t>
        </is>
      </c>
      <c r="H1497" t="inlineStr">
        <is>
          <t>Atlas Throw Pillow</t>
        </is>
      </c>
      <c r="I1497" t="inlineStr">
        <is>
          <t>Outdoor</t>
        </is>
      </c>
      <c r="J1497" t="inlineStr">
        <is>
          <t>Chairs</t>
        </is>
      </c>
      <c r="K1497" t="inlineStr">
        <is>
          <t>North</t>
        </is>
      </c>
      <c r="L1497" t="inlineStr">
        <is>
          <t>Quebec</t>
        </is>
      </c>
      <c r="M1497" t="inlineStr">
        <is>
          <t>Toronto</t>
        </is>
      </c>
      <c r="N1497" t="inlineStr">
        <is>
          <t>Ava Patel</t>
        </is>
      </c>
      <c r="O1497" t="n">
        <v>4</v>
      </c>
      <c r="P1497" s="3" t="n">
        <v>627.98</v>
      </c>
      <c r="Q1497" s="4" t="n">
        <v>0.015</v>
      </c>
      <c r="R1497" s="3" t="n">
        <v>2474.24</v>
      </c>
      <c r="S1497" s="3" t="n">
        <v>1569.68</v>
      </c>
      <c r="T1497" s="3" t="n">
        <v>895.36</v>
      </c>
      <c r="U1497" s="4" t="n">
        <v>0.3619</v>
      </c>
      <c r="V1497" s="3" t="n">
        <v>9.199999999999999</v>
      </c>
      <c r="W1497" t="inlineStr">
        <is>
          <t>Credit Card</t>
        </is>
      </c>
      <c r="X1497" t="inlineStr">
        <is>
          <t>Medium</t>
        </is>
      </c>
    </row>
    <row r="1498">
      <c r="A1498" t="inlineStr">
        <is>
          <t>ORD-02817</t>
        </is>
      </c>
      <c r="B1498" s="2" t="n">
        <v>45476</v>
      </c>
      <c r="C1498" s="2" t="n">
        <v>45481</v>
      </c>
      <c r="D1498" t="inlineStr">
        <is>
          <t>CUST-02817</t>
        </is>
      </c>
      <c r="E1498" t="inlineStr">
        <is>
          <t>Customer 1017</t>
        </is>
      </c>
      <c r="F1498" t="inlineStr">
        <is>
          <t>Consumer</t>
        </is>
      </c>
      <c r="G1498" t="inlineStr">
        <is>
          <t>P1001</t>
        </is>
      </c>
      <c r="H1498" t="inlineStr">
        <is>
          <t>Halo Planter</t>
        </is>
      </c>
      <c r="I1498" t="inlineStr">
        <is>
          <t>Home Decor</t>
        </is>
      </c>
      <c r="J1498" t="inlineStr">
        <is>
          <t>Accessories</t>
        </is>
      </c>
      <c r="K1498" t="inlineStr">
        <is>
          <t>North</t>
        </is>
      </c>
      <c r="L1498" t="inlineStr">
        <is>
          <t>British Columbia</t>
        </is>
      </c>
      <c r="M1498" t="inlineStr">
        <is>
          <t>Calgary</t>
        </is>
      </c>
      <c r="N1498" t="inlineStr">
        <is>
          <t>James Carter</t>
        </is>
      </c>
      <c r="O1498" t="n">
        <v>5</v>
      </c>
      <c r="P1498" s="3" t="n">
        <v>304.04</v>
      </c>
      <c r="Q1498" s="4" t="n">
        <v>0.068</v>
      </c>
      <c r="R1498" s="3" t="n">
        <v>1416.83</v>
      </c>
      <c r="S1498" s="3" t="n">
        <v>830.42</v>
      </c>
      <c r="T1498" s="3" t="n">
        <v>576.41</v>
      </c>
      <c r="U1498" s="4" t="n">
        <v>0.4068</v>
      </c>
      <c r="V1498" s="3" t="n">
        <v>10</v>
      </c>
      <c r="W1498" t="inlineStr">
        <is>
          <t>Bank Transfer</t>
        </is>
      </c>
      <c r="X1498" t="inlineStr">
        <is>
          <t>Critical</t>
        </is>
      </c>
    </row>
    <row r="1499">
      <c r="A1499" t="inlineStr">
        <is>
          <t>ORD-02818</t>
        </is>
      </c>
      <c r="B1499" s="2" t="n">
        <v>45020</v>
      </c>
      <c r="C1499" s="2" t="n">
        <v>45024</v>
      </c>
      <c r="D1499" t="inlineStr">
        <is>
          <t>CUST-02818</t>
        </is>
      </c>
      <c r="E1499" t="inlineStr">
        <is>
          <t>Customer 1018</t>
        </is>
      </c>
      <c r="F1499" t="inlineStr">
        <is>
          <t>Home Office</t>
        </is>
      </c>
      <c r="G1499" t="inlineStr">
        <is>
          <t>P1017</t>
        </is>
      </c>
      <c r="H1499" t="inlineStr">
        <is>
          <t>Halo Planter</t>
        </is>
      </c>
      <c r="I1499" t="inlineStr">
        <is>
          <t>Furniture</t>
        </is>
      </c>
      <c r="J1499" t="inlineStr">
        <is>
          <t>Writing</t>
        </is>
      </c>
      <c r="K1499" t="inlineStr">
        <is>
          <t>North</t>
        </is>
      </c>
      <c r="L1499" t="inlineStr">
        <is>
          <t>British Columbia</t>
        </is>
      </c>
      <c r="M1499" t="inlineStr">
        <is>
          <t>Montreal</t>
        </is>
      </c>
      <c r="N1499" t="inlineStr">
        <is>
          <t>Noah Kim</t>
        </is>
      </c>
      <c r="O1499" t="n">
        <v>1</v>
      </c>
      <c r="P1499" s="3" t="n">
        <v>558.9400000000001</v>
      </c>
      <c r="Q1499" s="4" t="n">
        <v>0.058</v>
      </c>
      <c r="R1499" s="3" t="n">
        <v>526.52</v>
      </c>
      <c r="S1499" s="3" t="n">
        <v>352.48</v>
      </c>
      <c r="T1499" s="3" t="n">
        <v>167.24</v>
      </c>
      <c r="U1499" s="4" t="n">
        <v>0.3176</v>
      </c>
      <c r="V1499" s="3" t="n">
        <v>6.8</v>
      </c>
      <c r="W1499" t="inlineStr">
        <is>
          <t>Credit Card</t>
        </is>
      </c>
      <c r="X1499" t="inlineStr">
        <is>
          <t>High</t>
        </is>
      </c>
    </row>
    <row r="1500">
      <c r="A1500" t="inlineStr">
        <is>
          <t>ORD-02824</t>
        </is>
      </c>
      <c r="B1500" s="2" t="n">
        <v>44947</v>
      </c>
      <c r="C1500" s="2" t="n">
        <v>44948</v>
      </c>
      <c r="D1500" t="inlineStr">
        <is>
          <t>CUST-02824</t>
        </is>
      </c>
      <c r="E1500" t="inlineStr">
        <is>
          <t>Customer 1024</t>
        </is>
      </c>
      <c r="F1500" t="inlineStr">
        <is>
          <t>Consumer</t>
        </is>
      </c>
      <c r="G1500" t="inlineStr">
        <is>
          <t>P1007</t>
        </is>
      </c>
      <c r="H1500" t="inlineStr">
        <is>
          <t>Tide Cooler</t>
        </is>
      </c>
      <c r="I1500" t="inlineStr">
        <is>
          <t>Office Supplies</t>
        </is>
      </c>
      <c r="J1500" t="inlineStr">
        <is>
          <t>Bags</t>
        </is>
      </c>
      <c r="K1500" t="inlineStr">
        <is>
          <t>North</t>
        </is>
      </c>
      <c r="L1500" t="inlineStr">
        <is>
          <t>Alberta</t>
        </is>
      </c>
      <c r="M1500" t="inlineStr">
        <is>
          <t>Vancouver</t>
        </is>
      </c>
      <c r="N1500" t="inlineStr">
        <is>
          <t>Olivia Martin</t>
        </is>
      </c>
      <c r="O1500" t="n">
        <v>4</v>
      </c>
      <c r="P1500" s="3" t="n">
        <v>23.9</v>
      </c>
      <c r="Q1500" s="4" t="n">
        <v>0.034</v>
      </c>
      <c r="R1500" s="3" t="n">
        <v>92.34999999999999</v>
      </c>
      <c r="S1500" s="3" t="n">
        <v>38.03</v>
      </c>
      <c r="T1500" s="3" t="n">
        <v>45.12</v>
      </c>
      <c r="U1500" s="4" t="n">
        <v>0.4886</v>
      </c>
      <c r="V1500" s="3" t="n">
        <v>9.199999999999999</v>
      </c>
      <c r="W1500" t="inlineStr">
        <is>
          <t>PayPal</t>
        </is>
      </c>
      <c r="X1500" t="inlineStr">
        <is>
          <t>High</t>
        </is>
      </c>
    </row>
    <row r="1501">
      <c r="A1501" t="inlineStr">
        <is>
          <t>ORD-02845</t>
        </is>
      </c>
      <c r="B1501" s="2" t="n">
        <v>45632</v>
      </c>
      <c r="C1501" s="2" t="n">
        <v>45636</v>
      </c>
      <c r="D1501" t="inlineStr">
        <is>
          <t>CUST-02845</t>
        </is>
      </c>
      <c r="E1501" t="inlineStr">
        <is>
          <t>Customer 1045</t>
        </is>
      </c>
      <c r="F1501" t="inlineStr">
        <is>
          <t>Consumer</t>
        </is>
      </c>
      <c r="G1501" t="inlineStr">
        <is>
          <t>P1010</t>
        </is>
      </c>
      <c r="H1501" t="inlineStr">
        <is>
          <t>Summit Patio Set</t>
        </is>
      </c>
      <c r="I1501" t="inlineStr">
        <is>
          <t>Outdoor</t>
        </is>
      </c>
      <c r="J1501" t="inlineStr">
        <is>
          <t>Video</t>
        </is>
      </c>
      <c r="K1501" t="inlineStr">
        <is>
          <t>North</t>
        </is>
      </c>
      <c r="L1501" t="inlineStr">
        <is>
          <t>Quebec</t>
        </is>
      </c>
      <c r="M1501" t="inlineStr">
        <is>
          <t>Vancouver</t>
        </is>
      </c>
      <c r="N1501" t="inlineStr">
        <is>
          <t>Liam Chen</t>
        </is>
      </c>
      <c r="O1501" t="n">
        <v>4</v>
      </c>
      <c r="P1501" s="3" t="n">
        <v>59.26</v>
      </c>
      <c r="Q1501" s="4" t="n">
        <v>0.002</v>
      </c>
      <c r="R1501" s="3" t="n">
        <v>236.57</v>
      </c>
      <c r="S1501" s="3" t="n">
        <v>105.58</v>
      </c>
      <c r="T1501" s="3" t="n">
        <v>121.79</v>
      </c>
      <c r="U1501" s="4" t="n">
        <v>0.5148</v>
      </c>
      <c r="V1501" s="3" t="n">
        <v>9.199999999999999</v>
      </c>
      <c r="W1501" t="inlineStr">
        <is>
          <t>Debit Card</t>
        </is>
      </c>
      <c r="X1501" t="inlineStr">
        <is>
          <t>Medium</t>
        </is>
      </c>
    </row>
  </sheetData>
  <autoFilter ref="A1:X7501"/>
  <conditionalFormatting sqref="T2:T7501">
    <cfRule type="colorScale" priority="1">
      <colorScale>
        <cfvo type="min" val="0"/>
        <cfvo type="percentile" val="50"/>
        <cfvo type="max" val="0"/>
        <color rgb="FFFDE2E2"/>
        <color rgb="FFFDE68A"/>
        <color rgb="FFECFDF3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.7109375" customWidth="1" min="1" max="32"/>
  </cols>
  <sheetData>
    <row r="1" ht="20" customFormat="1" customHeight="1" s="1">
      <c r="A1" s="1" t="inlineStr">
        <is>
          <t>Order ID</t>
        </is>
      </c>
      <c r="B1" s="1" t="inlineStr">
        <is>
          <t>Order Date</t>
        </is>
      </c>
      <c r="C1" s="1" t="inlineStr">
        <is>
          <t>Ship Date</t>
        </is>
      </c>
      <c r="D1" s="1" t="inlineStr">
        <is>
          <t>Customer ID</t>
        </is>
      </c>
      <c r="E1" s="1" t="inlineStr">
        <is>
          <t>Customer Name</t>
        </is>
      </c>
      <c r="F1" s="1" t="inlineStr">
        <is>
          <t>Customer Segment</t>
        </is>
      </c>
      <c r="G1" s="1" t="inlineStr">
        <is>
          <t>Product ID</t>
        </is>
      </c>
      <c r="H1" s="1" t="inlineStr">
        <is>
          <t>Product Name</t>
        </is>
      </c>
      <c r="I1" s="1" t="inlineStr">
        <is>
          <t>Category</t>
        </is>
      </c>
      <c r="J1" s="1" t="inlineStr">
        <is>
          <t>Sub-Category</t>
        </is>
      </c>
      <c r="K1" s="1" t="inlineStr">
        <is>
          <t>Region</t>
        </is>
      </c>
      <c r="L1" s="1" t="inlineStr">
        <is>
          <t>State</t>
        </is>
      </c>
      <c r="M1" s="1" t="inlineStr">
        <is>
          <t>City</t>
        </is>
      </c>
      <c r="N1" s="1" t="inlineStr">
        <is>
          <t>Sales Representative</t>
        </is>
      </c>
      <c r="O1" s="1" t="inlineStr">
        <is>
          <t>Quantity</t>
        </is>
      </c>
      <c r="P1" s="1" t="inlineStr">
        <is>
          <t>Unit Price</t>
        </is>
      </c>
      <c r="Q1" s="1" t="inlineStr">
        <is>
          <t>Discount (%)</t>
        </is>
      </c>
      <c r="R1" s="1" t="inlineStr">
        <is>
          <t>Sales</t>
        </is>
      </c>
      <c r="S1" s="1" t="inlineStr">
        <is>
          <t>Cost</t>
        </is>
      </c>
      <c r="T1" s="1" t="inlineStr">
        <is>
          <t>Profit</t>
        </is>
      </c>
      <c r="U1" s="1" t="inlineStr">
        <is>
          <t>Profit Margin</t>
        </is>
      </c>
      <c r="V1" s="1" t="inlineStr">
        <is>
          <t>Shipping Cost</t>
        </is>
      </c>
      <c r="W1" s="1" t="inlineStr">
        <is>
          <t>Payment Method</t>
        </is>
      </c>
      <c r="X1" s="1" t="inlineStr">
        <is>
          <t>Order Priority</t>
        </is>
      </c>
      <c r="Y1" s="1" t="inlineStr">
        <is>
          <t>Order Year</t>
        </is>
      </c>
      <c r="Z1" s="1" t="inlineStr">
        <is>
          <t>Order Month</t>
        </is>
      </c>
      <c r="AA1" s="1" t="inlineStr">
        <is>
          <t>Month Name</t>
        </is>
      </c>
      <c r="AB1" s="1" t="inlineStr">
        <is>
          <t>Weekday</t>
        </is>
      </c>
      <c r="AC1" s="1" t="inlineStr">
        <is>
          <t>Days to Ship</t>
        </is>
      </c>
      <c r="AD1" s="1" t="inlineStr">
        <is>
          <t>Profitability Flag</t>
        </is>
      </c>
      <c r="AE1" s="1" t="inlineStr">
        <is>
          <t>Discount Band</t>
        </is>
      </c>
      <c r="AF1" s="1" t="inlineStr">
        <is>
          <t>Revenue Band</t>
        </is>
      </c>
    </row>
    <row r="2">
      <c r="A2" t="inlineStr">
        <is>
          <t>ORD-00001</t>
        </is>
      </c>
      <c r="B2" s="2" t="n">
        <v>45532</v>
      </c>
      <c r="C2" s="2" t="n">
        <v>45537</v>
      </c>
      <c r="D2" t="inlineStr">
        <is>
          <t>CUST-00001</t>
        </is>
      </c>
      <c r="E2" t="inlineStr">
        <is>
          <t>Customer 1</t>
        </is>
      </c>
      <c r="F2" t="inlineStr">
        <is>
          <t>Consumer</t>
        </is>
      </c>
      <c r="G2" t="inlineStr">
        <is>
          <t>P1018</t>
        </is>
      </c>
      <c r="H2" t="inlineStr">
        <is>
          <t>Northstar Lantern</t>
        </is>
      </c>
      <c r="I2" t="inlineStr">
        <is>
          <t>Technology</t>
        </is>
      </c>
      <c r="J2" t="inlineStr">
        <is>
          <t>Peripherals</t>
        </is>
      </c>
      <c r="K2" t="inlineStr">
        <is>
          <t>East</t>
        </is>
      </c>
      <c r="L2" t="inlineStr">
        <is>
          <t>New Jersey</t>
        </is>
      </c>
      <c r="M2" t="inlineStr">
        <is>
          <t>New York</t>
        </is>
      </c>
      <c r="N2" t="inlineStr">
        <is>
          <t>Noah Kim</t>
        </is>
      </c>
      <c r="O2" t="n">
        <v>2</v>
      </c>
      <c r="P2" s="3" t="n">
        <v>96.20999999999999</v>
      </c>
      <c r="Q2" s="4" t="n">
        <v>0.03</v>
      </c>
      <c r="R2" s="3" t="n">
        <v>186.65</v>
      </c>
      <c r="S2" s="3" t="n">
        <v>85.25</v>
      </c>
      <c r="T2" s="3" t="n">
        <v>92.8</v>
      </c>
      <c r="U2" s="4" t="n">
        <v>0.4972</v>
      </c>
      <c r="V2" s="3" t="n">
        <v>8.6</v>
      </c>
      <c r="W2" t="inlineStr">
        <is>
          <t>Debit Card</t>
        </is>
      </c>
      <c r="X2" t="inlineStr">
        <is>
          <t>Medium</t>
        </is>
      </c>
      <c r="Y2" t="n">
        <v>2024</v>
      </c>
      <c r="Z2" t="n">
        <v>8</v>
      </c>
      <c r="AA2" t="inlineStr">
        <is>
          <t>Aug</t>
        </is>
      </c>
      <c r="AB2" t="inlineStr">
        <is>
          <t>Wednesday</t>
        </is>
      </c>
      <c r="AC2" t="n">
        <v>5</v>
      </c>
      <c r="AD2" t="inlineStr">
        <is>
          <t>Profitable</t>
        </is>
      </c>
      <c r="AE2" t="inlineStr">
        <is>
          <t>Medium</t>
        </is>
      </c>
      <c r="AF2" t="inlineStr">
        <is>
          <t>Small</t>
        </is>
      </c>
    </row>
    <row r="3">
      <c r="A3" t="inlineStr">
        <is>
          <t>ORD-00002</t>
        </is>
      </c>
      <c r="B3" s="2" t="n">
        <v>45983</v>
      </c>
      <c r="C3" s="2" t="n">
        <v>45990</v>
      </c>
      <c r="D3" t="inlineStr">
        <is>
          <t>CUST-00002</t>
        </is>
      </c>
      <c r="E3" t="inlineStr">
        <is>
          <t>Customer 2</t>
        </is>
      </c>
      <c r="F3" t="inlineStr">
        <is>
          <t>Consumer</t>
        </is>
      </c>
      <c r="G3" t="inlineStr">
        <is>
          <t>P1011</t>
        </is>
      </c>
      <c r="H3" t="inlineStr">
        <is>
          <t>Cove Wall Clock</t>
        </is>
      </c>
      <c r="I3" t="inlineStr">
        <is>
          <t>Technology</t>
        </is>
      </c>
      <c r="J3" t="inlineStr">
        <is>
          <t>Paper</t>
        </is>
      </c>
      <c r="K3" t="inlineStr">
        <is>
          <t>South</t>
        </is>
      </c>
      <c r="L3" t="inlineStr">
        <is>
          <t>North Carolina</t>
        </is>
      </c>
      <c r="M3" t="inlineStr">
        <is>
          <t>Miami</t>
        </is>
      </c>
      <c r="N3" t="inlineStr">
        <is>
          <t>James Carter</t>
        </is>
      </c>
      <c r="O3" t="n">
        <v>3</v>
      </c>
      <c r="P3" s="3" t="n">
        <v>89.81999999999999</v>
      </c>
      <c r="Q3" s="4" t="n">
        <v>0.046</v>
      </c>
      <c r="R3" s="3" t="n">
        <v>257.06</v>
      </c>
      <c r="S3" s="3" t="n">
        <v>126.37</v>
      </c>
      <c r="T3" s="3" t="n">
        <v>122.29</v>
      </c>
      <c r="U3" s="4" t="n">
        <v>0.4757</v>
      </c>
      <c r="V3" s="3" t="n">
        <v>8.4</v>
      </c>
      <c r="W3" t="inlineStr">
        <is>
          <t>Bank Transfer</t>
        </is>
      </c>
      <c r="X3" t="inlineStr">
        <is>
          <t>High</t>
        </is>
      </c>
      <c r="Y3" t="n">
        <v>2025</v>
      </c>
      <c r="Z3" t="n">
        <v>11</v>
      </c>
      <c r="AA3" t="inlineStr">
        <is>
          <t>Nov</t>
        </is>
      </c>
      <c r="AB3" t="inlineStr">
        <is>
          <t>Saturday</t>
        </is>
      </c>
      <c r="AC3" t="n">
        <v>7</v>
      </c>
      <c r="AD3" t="inlineStr">
        <is>
          <t>Profitable</t>
        </is>
      </c>
      <c r="AE3" t="inlineStr">
        <is>
          <t>Medium</t>
        </is>
      </c>
      <c r="AF3" t="inlineStr">
        <is>
          <t>Small</t>
        </is>
      </c>
    </row>
    <row r="4">
      <c r="A4" t="inlineStr">
        <is>
          <t>ORD-00003</t>
        </is>
      </c>
      <c r="B4" s="2" t="n">
        <v>45729</v>
      </c>
      <c r="C4" s="2" t="n">
        <v>45736</v>
      </c>
      <c r="D4" t="inlineStr">
        <is>
          <t>CUST-00003</t>
        </is>
      </c>
      <c r="E4" t="inlineStr">
        <is>
          <t>Customer 3</t>
        </is>
      </c>
      <c r="F4" t="inlineStr">
        <is>
          <t>Consumer</t>
        </is>
      </c>
      <c r="G4" t="inlineStr">
        <is>
          <t>P1011</t>
        </is>
      </c>
      <c r="H4" t="inlineStr">
        <is>
          <t>Harbor Rug</t>
        </is>
      </c>
      <c r="I4" t="inlineStr">
        <is>
          <t>Outdoor</t>
        </is>
      </c>
      <c r="J4" t="inlineStr">
        <is>
          <t>Lighting</t>
        </is>
      </c>
      <c r="K4" t="inlineStr">
        <is>
          <t>North</t>
        </is>
      </c>
      <c r="L4" t="inlineStr">
        <is>
          <t>Quebec</t>
        </is>
      </c>
      <c r="M4" t="inlineStr">
        <is>
          <t>Montreal</t>
        </is>
      </c>
      <c r="N4" t="inlineStr">
        <is>
          <t>Ava Patel</t>
        </is>
      </c>
      <c r="O4" t="n">
        <v>4</v>
      </c>
      <c r="P4" s="3" t="n">
        <v>84.03</v>
      </c>
      <c r="Q4" s="4" t="n">
        <v>0.05</v>
      </c>
      <c r="R4" s="3" t="n">
        <v>319.31</v>
      </c>
      <c r="S4" s="3" t="n">
        <v>153.69</v>
      </c>
      <c r="T4" s="3" t="n">
        <v>156.42</v>
      </c>
      <c r="U4" s="4" t="n">
        <v>0.4899</v>
      </c>
      <c r="V4" s="3" t="n">
        <v>9.199999999999999</v>
      </c>
      <c r="W4" t="inlineStr">
        <is>
          <t>Credit Card</t>
        </is>
      </c>
      <c r="X4" t="inlineStr">
        <is>
          <t>Critical</t>
        </is>
      </c>
      <c r="Y4" t="n">
        <v>2025</v>
      </c>
      <c r="Z4" t="n">
        <v>3</v>
      </c>
      <c r="AA4" t="inlineStr">
        <is>
          <t>Mar</t>
        </is>
      </c>
      <c r="AB4" t="inlineStr">
        <is>
          <t>Thursday</t>
        </is>
      </c>
      <c r="AC4" t="n">
        <v>7</v>
      </c>
      <c r="AD4" t="inlineStr">
        <is>
          <t>Profitable</t>
        </is>
      </c>
      <c r="AE4" t="inlineStr">
        <is>
          <t>High</t>
        </is>
      </c>
      <c r="AF4" t="inlineStr">
        <is>
          <t>Small</t>
        </is>
      </c>
    </row>
    <row r="5">
      <c r="A5" t="inlineStr">
        <is>
          <t>ORD-00004</t>
        </is>
      </c>
      <c r="B5" s="2" t="n">
        <v>45367</v>
      </c>
      <c r="C5" s="2" t="n">
        <v>45371</v>
      </c>
      <c r="D5" t="inlineStr">
        <is>
          <t>CUST-00004</t>
        </is>
      </c>
      <c r="E5" t="inlineStr">
        <is>
          <t>Customer 4</t>
        </is>
      </c>
      <c r="F5" t="inlineStr">
        <is>
          <t>Corporate</t>
        </is>
      </c>
      <c r="G5" t="inlineStr">
        <is>
          <t>P1016</t>
        </is>
      </c>
      <c r="H5" t="inlineStr">
        <is>
          <t>FlexNote Notebook</t>
        </is>
      </c>
      <c r="I5" t="inlineStr">
        <is>
          <t>Outdoor</t>
        </is>
      </c>
      <c r="J5" t="inlineStr">
        <is>
          <t>Furniture</t>
        </is>
      </c>
      <c r="K5" t="inlineStr">
        <is>
          <t>Central</t>
        </is>
      </c>
      <c r="L5" t="inlineStr">
        <is>
          <t>Minnesota</t>
        </is>
      </c>
      <c r="M5" t="inlineStr">
        <is>
          <t>St. Louis</t>
        </is>
      </c>
      <c r="N5" t="inlineStr">
        <is>
          <t>Sophia Singh</t>
        </is>
      </c>
      <c r="O5" t="n">
        <v>3</v>
      </c>
      <c r="P5" s="3" t="n">
        <v>37.05</v>
      </c>
      <c r="Q5" s="4" t="n">
        <v>0.039</v>
      </c>
      <c r="R5" s="3" t="n">
        <v>106.82</v>
      </c>
      <c r="S5" s="3" t="n">
        <v>50.25</v>
      </c>
      <c r="T5" s="3" t="n">
        <v>48.17</v>
      </c>
      <c r="U5" s="4" t="n">
        <v>0.4509</v>
      </c>
      <c r="V5" s="3" t="n">
        <v>8.4</v>
      </c>
      <c r="W5" t="inlineStr">
        <is>
          <t>Credit Card</t>
        </is>
      </c>
      <c r="X5" t="inlineStr">
        <is>
          <t>High</t>
        </is>
      </c>
      <c r="Y5" t="n">
        <v>2024</v>
      </c>
      <c r="Z5" t="n">
        <v>3</v>
      </c>
      <c r="AA5" t="inlineStr">
        <is>
          <t>Mar</t>
        </is>
      </c>
      <c r="AB5" t="inlineStr">
        <is>
          <t>Saturday</t>
        </is>
      </c>
      <c r="AC5" t="n">
        <v>4</v>
      </c>
      <c r="AD5" t="inlineStr">
        <is>
          <t>Profitable</t>
        </is>
      </c>
      <c r="AE5" t="inlineStr">
        <is>
          <t>Medium</t>
        </is>
      </c>
      <c r="AF5" t="inlineStr">
        <is>
          <t>Small</t>
        </is>
      </c>
    </row>
    <row r="6">
      <c r="A6" t="inlineStr">
        <is>
          <t>ORD-00005</t>
        </is>
      </c>
      <c r="B6" s="2" t="n">
        <v>45151</v>
      </c>
      <c r="C6" s="2" t="n">
        <v>45152</v>
      </c>
      <c r="D6" t="inlineStr">
        <is>
          <t>CUST-00005</t>
        </is>
      </c>
      <c r="E6" t="inlineStr">
        <is>
          <t>Customer 5</t>
        </is>
      </c>
      <c r="F6" t="inlineStr">
        <is>
          <t>Corporate</t>
        </is>
      </c>
      <c r="G6" t="inlineStr">
        <is>
          <t>P1008</t>
        </is>
      </c>
      <c r="H6" t="inlineStr">
        <is>
          <t>Tide Cooler</t>
        </is>
      </c>
      <c r="I6" t="inlineStr">
        <is>
          <t>Technology</t>
        </is>
      </c>
      <c r="J6" t="inlineStr">
        <is>
          <t>Coolers</t>
        </is>
      </c>
      <c r="K6" t="inlineStr">
        <is>
          <t>Central</t>
        </is>
      </c>
      <c r="L6" t="inlineStr">
        <is>
          <t>Kansas</t>
        </is>
      </c>
      <c r="M6" t="inlineStr">
        <is>
          <t>Kansas City</t>
        </is>
      </c>
      <c r="N6" t="inlineStr">
        <is>
          <t>Liam Chen</t>
        </is>
      </c>
      <c r="O6" t="n">
        <v>1</v>
      </c>
      <c r="P6" s="3" t="n">
        <v>34.67</v>
      </c>
      <c r="Q6" s="4" t="n">
        <v>0.038</v>
      </c>
      <c r="R6" s="3" t="n">
        <v>33.35</v>
      </c>
      <c r="S6" s="3" t="n">
        <v>23.1</v>
      </c>
      <c r="T6" s="3" t="n">
        <v>3.45</v>
      </c>
      <c r="U6" s="4" t="n">
        <v>0.1034</v>
      </c>
      <c r="V6" s="3" t="n">
        <v>6.8</v>
      </c>
      <c r="W6" t="inlineStr">
        <is>
          <t>Bank Transfer</t>
        </is>
      </c>
      <c r="X6" t="inlineStr">
        <is>
          <t>Medium</t>
        </is>
      </c>
      <c r="Y6" t="n">
        <v>2023</v>
      </c>
      <c r="Z6" t="n">
        <v>8</v>
      </c>
      <c r="AA6" t="inlineStr">
        <is>
          <t>Aug</t>
        </is>
      </c>
      <c r="AB6" t="inlineStr">
        <is>
          <t>Sunday</t>
        </is>
      </c>
      <c r="AC6" t="n">
        <v>1</v>
      </c>
      <c r="AD6" t="inlineStr">
        <is>
          <t>Profitable</t>
        </is>
      </c>
      <c r="AE6" t="inlineStr">
        <is>
          <t>Medium</t>
        </is>
      </c>
      <c r="AF6" t="inlineStr">
        <is>
          <t>Small</t>
        </is>
      </c>
    </row>
    <row r="7">
      <c r="A7" t="inlineStr">
        <is>
          <t>ORD-00006</t>
        </is>
      </c>
      <c r="B7" s="2" t="n">
        <v>45264</v>
      </c>
      <c r="C7" s="2" t="n">
        <v>45268</v>
      </c>
      <c r="D7" t="inlineStr">
        <is>
          <t>CUST-00006</t>
        </is>
      </c>
      <c r="E7" t="inlineStr">
        <is>
          <t>Customer 6</t>
        </is>
      </c>
      <c r="F7" t="inlineStr">
        <is>
          <t>Consumer</t>
        </is>
      </c>
      <c r="G7" t="inlineStr">
        <is>
          <t>P1002</t>
        </is>
      </c>
      <c r="H7" t="inlineStr">
        <is>
          <t>Halo Planter</t>
        </is>
      </c>
      <c r="I7" t="inlineStr">
        <is>
          <t>Home Decor</t>
        </is>
      </c>
      <c r="J7" t="inlineStr">
        <is>
          <t>Decor</t>
        </is>
      </c>
      <c r="K7" t="inlineStr">
        <is>
          <t>Central</t>
        </is>
      </c>
      <c r="L7" t="inlineStr">
        <is>
          <t>Illinois</t>
        </is>
      </c>
      <c r="M7" t="inlineStr">
        <is>
          <t>Kansas City</t>
        </is>
      </c>
      <c r="N7" t="inlineStr">
        <is>
          <t>Ethan Brooks</t>
        </is>
      </c>
      <c r="O7" t="n">
        <v>2</v>
      </c>
      <c r="P7" s="3" t="n">
        <v>85.59999999999999</v>
      </c>
      <c r="Q7" s="4" t="n">
        <v>0.01</v>
      </c>
      <c r="R7" s="3" t="n">
        <v>169.49</v>
      </c>
      <c r="S7" s="3" t="n">
        <v>79.72</v>
      </c>
      <c r="T7" s="3" t="n">
        <v>82.17</v>
      </c>
      <c r="U7" s="4" t="n">
        <v>0.4848</v>
      </c>
      <c r="V7" s="3" t="n">
        <v>7.6</v>
      </c>
      <c r="W7" t="inlineStr">
        <is>
          <t>Debit Card</t>
        </is>
      </c>
      <c r="X7" t="inlineStr">
        <is>
          <t>Medium</t>
        </is>
      </c>
      <c r="Y7" t="n">
        <v>2023</v>
      </c>
      <c r="Z7" t="n">
        <v>12</v>
      </c>
      <c r="AA7" t="inlineStr">
        <is>
          <t>Dec</t>
        </is>
      </c>
      <c r="AB7" t="inlineStr">
        <is>
          <t>Monday</t>
        </is>
      </c>
      <c r="AC7" t="n">
        <v>4</v>
      </c>
      <c r="AD7" t="inlineStr">
        <is>
          <t>Profitable</t>
        </is>
      </c>
      <c r="AE7" t="inlineStr">
        <is>
          <t>Low</t>
        </is>
      </c>
      <c r="AF7" t="inlineStr">
        <is>
          <t>Small</t>
        </is>
      </c>
    </row>
    <row r="8">
      <c r="A8" t="inlineStr">
        <is>
          <t>ORD-00007</t>
        </is>
      </c>
      <c r="B8" s="2" t="n">
        <v>45081</v>
      </c>
      <c r="C8" s="2" t="n">
        <v>45082</v>
      </c>
      <c r="D8" t="inlineStr">
        <is>
          <t>CUST-00007</t>
        </is>
      </c>
      <c r="E8" t="inlineStr">
        <is>
          <t>Customer 7</t>
        </is>
      </c>
      <c r="F8" t="inlineStr">
        <is>
          <t>Consumer</t>
        </is>
      </c>
      <c r="G8" t="inlineStr">
        <is>
          <t>P1010</t>
        </is>
      </c>
      <c r="H8" t="inlineStr">
        <is>
          <t>Pulse Keyboard</t>
        </is>
      </c>
      <c r="I8" t="inlineStr">
        <is>
          <t>Furniture</t>
        </is>
      </c>
      <c r="J8" t="inlineStr">
        <is>
          <t>Peripherals</t>
        </is>
      </c>
      <c r="K8" t="inlineStr">
        <is>
          <t>Central</t>
        </is>
      </c>
      <c r="L8" t="inlineStr">
        <is>
          <t>Illinois</t>
        </is>
      </c>
      <c r="M8" t="inlineStr">
        <is>
          <t>Chicago</t>
        </is>
      </c>
      <c r="N8" t="inlineStr">
        <is>
          <t>Ava Patel</t>
        </is>
      </c>
      <c r="O8" t="n">
        <v>4</v>
      </c>
      <c r="P8" s="3" t="n">
        <v>55.36</v>
      </c>
      <c r="Q8" s="4" t="n">
        <v>0.038</v>
      </c>
      <c r="R8" s="3" t="n">
        <v>213.03</v>
      </c>
      <c r="S8" s="3" t="n">
        <v>93.59999999999999</v>
      </c>
      <c r="T8" s="3" t="n">
        <v>110.23</v>
      </c>
      <c r="U8" s="4" t="n">
        <v>0.5174</v>
      </c>
      <c r="V8" s="3" t="n">
        <v>9.199999999999999</v>
      </c>
      <c r="W8" t="inlineStr">
        <is>
          <t>PayPal</t>
        </is>
      </c>
      <c r="X8" t="inlineStr">
        <is>
          <t>High</t>
        </is>
      </c>
      <c r="Y8" t="n">
        <v>2023</v>
      </c>
      <c r="Z8" t="n">
        <v>6</v>
      </c>
      <c r="AA8" t="inlineStr">
        <is>
          <t>Jun</t>
        </is>
      </c>
      <c r="AB8" t="inlineStr">
        <is>
          <t>Sunday</t>
        </is>
      </c>
      <c r="AC8" t="n">
        <v>1</v>
      </c>
      <c r="AD8" t="inlineStr">
        <is>
          <t>Profitable</t>
        </is>
      </c>
      <c r="AE8" t="inlineStr">
        <is>
          <t>Medium</t>
        </is>
      </c>
      <c r="AF8" t="inlineStr">
        <is>
          <t>Small</t>
        </is>
      </c>
    </row>
    <row r="9">
      <c r="A9" t="inlineStr">
        <is>
          <t>ORD-00008</t>
        </is>
      </c>
      <c r="B9" s="2" t="n">
        <v>45788</v>
      </c>
      <c r="C9" s="2" t="n">
        <v>45794</v>
      </c>
      <c r="D9" t="inlineStr">
        <is>
          <t>CUST-00008</t>
        </is>
      </c>
      <c r="E9" t="inlineStr">
        <is>
          <t>Customer 8</t>
        </is>
      </c>
      <c r="F9" t="inlineStr">
        <is>
          <t>Consumer</t>
        </is>
      </c>
      <c r="G9" t="inlineStr">
        <is>
          <t>P1006</t>
        </is>
      </c>
      <c r="H9" t="inlineStr">
        <is>
          <t>Northstar Lantern</t>
        </is>
      </c>
      <c r="I9" t="inlineStr">
        <is>
          <t>Technology</t>
        </is>
      </c>
      <c r="J9" t="inlineStr">
        <is>
          <t>Furniture</t>
        </is>
      </c>
      <c r="K9" t="inlineStr">
        <is>
          <t>East</t>
        </is>
      </c>
      <c r="L9" t="inlineStr">
        <is>
          <t>Virginia</t>
        </is>
      </c>
      <c r="M9" t="inlineStr">
        <is>
          <t>New York</t>
        </is>
      </c>
      <c r="N9" t="inlineStr">
        <is>
          <t>Noah Kim</t>
        </is>
      </c>
      <c r="O9" t="n">
        <v>4</v>
      </c>
      <c r="P9" s="3" t="n">
        <v>18.45</v>
      </c>
      <c r="Q9" s="4" t="n">
        <v>0.024</v>
      </c>
      <c r="R9" s="3" t="n">
        <v>72.03</v>
      </c>
      <c r="S9" s="3" t="n">
        <v>32.66</v>
      </c>
      <c r="T9" s="3" t="n">
        <v>29.17</v>
      </c>
      <c r="U9" s="4" t="n">
        <v>0.405</v>
      </c>
      <c r="V9" s="3" t="n">
        <v>10.2</v>
      </c>
      <c r="W9" t="inlineStr">
        <is>
          <t>Bank Transfer</t>
        </is>
      </c>
      <c r="X9" t="inlineStr">
        <is>
          <t>High</t>
        </is>
      </c>
      <c r="Y9" t="n">
        <v>2025</v>
      </c>
      <c r="Z9" t="n">
        <v>5</v>
      </c>
      <c r="AA9" t="inlineStr">
        <is>
          <t>May</t>
        </is>
      </c>
      <c r="AB9" t="inlineStr">
        <is>
          <t>Sunday</t>
        </is>
      </c>
      <c r="AC9" t="n">
        <v>6</v>
      </c>
      <c r="AD9" t="inlineStr">
        <is>
          <t>Profitable</t>
        </is>
      </c>
      <c r="AE9" t="inlineStr">
        <is>
          <t>Medium</t>
        </is>
      </c>
      <c r="AF9" t="inlineStr">
        <is>
          <t>Small</t>
        </is>
      </c>
    </row>
    <row r="10">
      <c r="A10" t="inlineStr">
        <is>
          <t>ORD-00009</t>
        </is>
      </c>
      <c r="B10" s="2" t="n">
        <v>45558</v>
      </c>
      <c r="C10" s="2" t="n">
        <v>45562</v>
      </c>
      <c r="D10" t="inlineStr">
        <is>
          <t>CUST-00009</t>
        </is>
      </c>
      <c r="E10" t="inlineStr">
        <is>
          <t>Customer 9</t>
        </is>
      </c>
      <c r="F10" t="inlineStr">
        <is>
          <t>Home Office</t>
        </is>
      </c>
      <c r="G10" t="inlineStr">
        <is>
          <t>P1004</t>
        </is>
      </c>
      <c r="H10" t="inlineStr">
        <is>
          <t>FlexNote Notebook</t>
        </is>
      </c>
      <c r="I10" t="inlineStr">
        <is>
          <t>Furniture</t>
        </is>
      </c>
      <c r="J10" t="inlineStr">
        <is>
          <t>Peripherals</t>
        </is>
      </c>
      <c r="K10" t="inlineStr">
        <is>
          <t>South</t>
        </is>
      </c>
      <c r="L10" t="inlineStr">
        <is>
          <t>Florida</t>
        </is>
      </c>
      <c r="M10" t="inlineStr">
        <is>
          <t>Dallas</t>
        </is>
      </c>
      <c r="N10" t="inlineStr">
        <is>
          <t>Ethan Brooks</t>
        </is>
      </c>
      <c r="O10" t="n">
        <v>4</v>
      </c>
      <c r="P10" s="3" t="n">
        <v>605.1</v>
      </c>
      <c r="Q10" s="4" t="n">
        <v>0.014</v>
      </c>
      <c r="R10" s="3" t="n">
        <v>2386.51</v>
      </c>
      <c r="S10" s="3" t="n">
        <v>1508.58</v>
      </c>
      <c r="T10" s="3" t="n">
        <v>868.73</v>
      </c>
      <c r="U10" s="4" t="n">
        <v>0.364</v>
      </c>
      <c r="V10" s="3" t="n">
        <v>9.199999999999999</v>
      </c>
      <c r="W10" t="inlineStr">
        <is>
          <t>Credit Card</t>
        </is>
      </c>
      <c r="X10" t="inlineStr">
        <is>
          <t>Low</t>
        </is>
      </c>
      <c r="Y10" t="n">
        <v>2024</v>
      </c>
      <c r="Z10" t="n">
        <v>9</v>
      </c>
      <c r="AA10" t="inlineStr">
        <is>
          <t>Sep</t>
        </is>
      </c>
      <c r="AB10" t="inlineStr">
        <is>
          <t>Monday</t>
        </is>
      </c>
      <c r="AC10" t="n">
        <v>4</v>
      </c>
      <c r="AD10" t="inlineStr">
        <is>
          <t>Profitable</t>
        </is>
      </c>
      <c r="AE10" t="inlineStr">
        <is>
          <t>Low</t>
        </is>
      </c>
      <c r="AF10" t="inlineStr">
        <is>
          <t>Large</t>
        </is>
      </c>
    </row>
    <row r="11">
      <c r="A11" t="inlineStr">
        <is>
          <t>ORD-00010</t>
        </is>
      </c>
      <c r="B11" s="2" t="n">
        <v>46005</v>
      </c>
      <c r="C11" s="2" t="n">
        <v>46007</v>
      </c>
      <c r="D11" t="inlineStr">
        <is>
          <t>CUST-00010</t>
        </is>
      </c>
      <c r="E11" t="inlineStr">
        <is>
          <t>Customer 10</t>
        </is>
      </c>
      <c r="F11" t="inlineStr">
        <is>
          <t>Home Office</t>
        </is>
      </c>
      <c r="G11" t="inlineStr">
        <is>
          <t>P1005</t>
        </is>
      </c>
      <c r="H11" t="inlineStr">
        <is>
          <t>SmartInk Pen Set</t>
        </is>
      </c>
      <c r="I11" t="inlineStr">
        <is>
          <t>Outdoor</t>
        </is>
      </c>
      <c r="J11" t="inlineStr">
        <is>
          <t>Lighting</t>
        </is>
      </c>
      <c r="K11" t="inlineStr">
        <is>
          <t>South</t>
        </is>
      </c>
      <c r="L11" t="inlineStr">
        <is>
          <t>Georgia</t>
        </is>
      </c>
      <c r="M11" t="inlineStr">
        <is>
          <t>Atlanta</t>
        </is>
      </c>
      <c r="N11" t="inlineStr">
        <is>
          <t>Sophia Singh</t>
        </is>
      </c>
      <c r="O11" t="n">
        <v>3</v>
      </c>
      <c r="P11" s="3" t="n">
        <v>12.9</v>
      </c>
      <c r="Q11" s="4" t="n">
        <v>0.027</v>
      </c>
      <c r="R11" s="3" t="n">
        <v>37.66</v>
      </c>
      <c r="S11" s="3" t="n">
        <v>22.58</v>
      </c>
      <c r="T11" s="3" t="n">
        <v>6.68</v>
      </c>
      <c r="U11" s="4" t="n">
        <v>0.1774</v>
      </c>
      <c r="V11" s="3" t="n">
        <v>8.4</v>
      </c>
      <c r="W11" t="inlineStr">
        <is>
          <t>Debit Card</t>
        </is>
      </c>
      <c r="X11" t="inlineStr">
        <is>
          <t>Medium</t>
        </is>
      </c>
      <c r="Y11" t="n">
        <v>2025</v>
      </c>
      <c r="Z11" t="n">
        <v>12</v>
      </c>
      <c r="AA11" t="inlineStr">
        <is>
          <t>Dec</t>
        </is>
      </c>
      <c r="AB11" t="inlineStr">
        <is>
          <t>Sunday</t>
        </is>
      </c>
      <c r="AC11" t="n">
        <v>2</v>
      </c>
      <c r="AD11" t="inlineStr">
        <is>
          <t>Profitable</t>
        </is>
      </c>
      <c r="AE11" t="inlineStr">
        <is>
          <t>Medium</t>
        </is>
      </c>
      <c r="AF11" t="inlineStr">
        <is>
          <t>Small</t>
        </is>
      </c>
    </row>
    <row r="12">
      <c r="A12" t="inlineStr">
        <is>
          <t>ORD-00011</t>
        </is>
      </c>
      <c r="B12" s="2" t="n">
        <v>45233</v>
      </c>
      <c r="C12" s="2" t="n">
        <v>45236</v>
      </c>
      <c r="D12" t="inlineStr">
        <is>
          <t>CUST-00011</t>
        </is>
      </c>
      <c r="E12" t="inlineStr">
        <is>
          <t>Customer 11</t>
        </is>
      </c>
      <c r="F12" t="inlineStr">
        <is>
          <t>Consumer</t>
        </is>
      </c>
      <c r="G12" t="inlineStr">
        <is>
          <t>P1011</t>
        </is>
      </c>
      <c r="H12" t="inlineStr">
        <is>
          <t>Lumen Desk Lamp</t>
        </is>
      </c>
      <c r="I12" t="inlineStr">
        <is>
          <t>Outdoor</t>
        </is>
      </c>
      <c r="J12" t="inlineStr">
        <is>
          <t>Peripherals</t>
        </is>
      </c>
      <c r="K12" t="inlineStr">
        <is>
          <t>East</t>
        </is>
      </c>
      <c r="L12" t="inlineStr">
        <is>
          <t>New York</t>
        </is>
      </c>
      <c r="M12" t="inlineStr">
        <is>
          <t>New York</t>
        </is>
      </c>
      <c r="N12" t="inlineStr">
        <is>
          <t>James Carter</t>
        </is>
      </c>
      <c r="O12" t="n">
        <v>3</v>
      </c>
      <c r="P12" s="3" t="n">
        <v>93.98</v>
      </c>
      <c r="Q12" s="4" t="n">
        <v>0.012</v>
      </c>
      <c r="R12" s="3" t="n">
        <v>278.56</v>
      </c>
      <c r="S12" s="3" t="n">
        <v>137.99</v>
      </c>
      <c r="T12" s="3" t="n">
        <v>131.17</v>
      </c>
      <c r="U12" s="4" t="n">
        <v>0.4709</v>
      </c>
      <c r="V12" s="3" t="n">
        <v>9.4</v>
      </c>
      <c r="W12" t="inlineStr">
        <is>
          <t>PayPal</t>
        </is>
      </c>
      <c r="X12" t="inlineStr">
        <is>
          <t>Medium</t>
        </is>
      </c>
      <c r="Y12" t="n">
        <v>2023</v>
      </c>
      <c r="Z12" t="n">
        <v>11</v>
      </c>
      <c r="AA12" t="inlineStr">
        <is>
          <t>Nov</t>
        </is>
      </c>
      <c r="AB12" t="inlineStr">
        <is>
          <t>Friday</t>
        </is>
      </c>
      <c r="AC12" t="n">
        <v>3</v>
      </c>
      <c r="AD12" t="inlineStr">
        <is>
          <t>Profitable</t>
        </is>
      </c>
      <c r="AE12" t="inlineStr">
        <is>
          <t>Low</t>
        </is>
      </c>
      <c r="AF12" t="inlineStr">
        <is>
          <t>Small</t>
        </is>
      </c>
    </row>
    <row r="13">
      <c r="A13" t="inlineStr">
        <is>
          <t>ORD-00012</t>
        </is>
      </c>
      <c r="B13" s="2" t="n">
        <v>46018</v>
      </c>
      <c r="C13" s="2" t="n">
        <v>46022</v>
      </c>
      <c r="D13" t="inlineStr">
        <is>
          <t>CUST-00012</t>
        </is>
      </c>
      <c r="E13" t="inlineStr">
        <is>
          <t>Customer 12</t>
        </is>
      </c>
      <c r="F13" t="inlineStr">
        <is>
          <t>Home Office</t>
        </is>
      </c>
      <c r="G13" t="inlineStr">
        <is>
          <t>P1012</t>
        </is>
      </c>
      <c r="H13" t="inlineStr">
        <is>
          <t>Northstar Lantern</t>
        </is>
      </c>
      <c r="I13" t="inlineStr">
        <is>
          <t>Technology</t>
        </is>
      </c>
      <c r="J13" t="inlineStr">
        <is>
          <t>Chairs</t>
        </is>
      </c>
      <c r="K13" t="inlineStr">
        <is>
          <t>North</t>
        </is>
      </c>
      <c r="L13" t="inlineStr">
        <is>
          <t>British Columbia</t>
        </is>
      </c>
      <c r="M13" t="inlineStr">
        <is>
          <t>Toronto</t>
        </is>
      </c>
      <c r="N13" t="inlineStr">
        <is>
          <t>Sophia Singh</t>
        </is>
      </c>
      <c r="O13" t="n">
        <v>2</v>
      </c>
      <c r="P13" s="3" t="n">
        <v>140.05</v>
      </c>
      <c r="Q13" s="4" t="n">
        <v>0.017</v>
      </c>
      <c r="R13" s="3" t="n">
        <v>275.34</v>
      </c>
      <c r="S13" s="3" t="n">
        <v>141.3</v>
      </c>
      <c r="T13" s="3" t="n">
        <v>126.44</v>
      </c>
      <c r="U13" s="4" t="n">
        <v>0.4592</v>
      </c>
      <c r="V13" s="3" t="n">
        <v>7.6</v>
      </c>
      <c r="W13" t="inlineStr">
        <is>
          <t>PayPal</t>
        </is>
      </c>
      <c r="X13" t="inlineStr">
        <is>
          <t>Medium</t>
        </is>
      </c>
      <c r="Y13" t="n">
        <v>2025</v>
      </c>
      <c r="Z13" t="n">
        <v>12</v>
      </c>
      <c r="AA13" t="inlineStr">
        <is>
          <t>Dec</t>
        </is>
      </c>
      <c r="AB13" t="inlineStr">
        <is>
          <t>Saturday</t>
        </is>
      </c>
      <c r="AC13" t="n">
        <v>4</v>
      </c>
      <c r="AD13" t="inlineStr">
        <is>
          <t>Profitable</t>
        </is>
      </c>
      <c r="AE13" t="inlineStr">
        <is>
          <t>Low</t>
        </is>
      </c>
      <c r="AF13" t="inlineStr">
        <is>
          <t>Small</t>
        </is>
      </c>
    </row>
    <row r="14">
      <c r="A14" t="inlineStr">
        <is>
          <t>ORD-00013</t>
        </is>
      </c>
      <c r="B14" s="2" t="n">
        <v>45676</v>
      </c>
      <c r="C14" s="2" t="n">
        <v>45681</v>
      </c>
      <c r="D14" t="inlineStr">
        <is>
          <t>CUST-00013</t>
        </is>
      </c>
      <c r="E14" t="inlineStr">
        <is>
          <t>Customer 13</t>
        </is>
      </c>
      <c r="F14" t="inlineStr">
        <is>
          <t>Consumer</t>
        </is>
      </c>
      <c r="G14" t="inlineStr">
        <is>
          <t>P1016</t>
        </is>
      </c>
      <c r="H14" t="inlineStr">
        <is>
          <t>Atlas Throw Pillow</t>
        </is>
      </c>
      <c r="I14" t="inlineStr">
        <is>
          <t>Furniture</t>
        </is>
      </c>
      <c r="J14" t="inlineStr">
        <is>
          <t>Decor</t>
        </is>
      </c>
      <c r="K14" t="inlineStr">
        <is>
          <t>East</t>
        </is>
      </c>
      <c r="L14" t="inlineStr">
        <is>
          <t>Massachusetts</t>
        </is>
      </c>
      <c r="M14" t="inlineStr">
        <is>
          <t>New York</t>
        </is>
      </c>
      <c r="N14" t="inlineStr">
        <is>
          <t>Ethan Brooks</t>
        </is>
      </c>
      <c r="O14" t="n">
        <v>3</v>
      </c>
      <c r="P14" s="3" t="n">
        <v>37.89</v>
      </c>
      <c r="Q14" s="4" t="n">
        <v>0.002</v>
      </c>
      <c r="R14" s="3" t="n">
        <v>113.44</v>
      </c>
      <c r="S14" s="3" t="n">
        <v>51.13</v>
      </c>
      <c r="T14" s="3" t="n">
        <v>52.91</v>
      </c>
      <c r="U14" s="4" t="n">
        <v>0.4664</v>
      </c>
      <c r="V14" s="3" t="n">
        <v>9.4</v>
      </c>
      <c r="W14" t="inlineStr">
        <is>
          <t>Bank Transfer</t>
        </is>
      </c>
      <c r="X14" t="inlineStr">
        <is>
          <t>Medium</t>
        </is>
      </c>
      <c r="Y14" t="n">
        <v>2025</v>
      </c>
      <c r="Z14" t="n">
        <v>1</v>
      </c>
      <c r="AA14" t="inlineStr">
        <is>
          <t>Jan</t>
        </is>
      </c>
      <c r="AB14" t="inlineStr">
        <is>
          <t>Sunday</t>
        </is>
      </c>
      <c r="AC14" t="n">
        <v>5</v>
      </c>
      <c r="AD14" t="inlineStr">
        <is>
          <t>Profitable</t>
        </is>
      </c>
      <c r="AE14" t="inlineStr">
        <is>
          <t>Low</t>
        </is>
      </c>
      <c r="AF14" t="inlineStr">
        <is>
          <t>Small</t>
        </is>
      </c>
    </row>
    <row r="15">
      <c r="A15" t="inlineStr">
        <is>
          <t>ORD-00014</t>
        </is>
      </c>
      <c r="B15" s="2" t="n">
        <v>44979</v>
      </c>
      <c r="C15" s="2" t="n">
        <v>44982</v>
      </c>
      <c r="D15" t="inlineStr">
        <is>
          <t>CUST-00014</t>
        </is>
      </c>
      <c r="E15" t="inlineStr">
        <is>
          <t>Customer 14</t>
        </is>
      </c>
      <c r="F15" t="inlineStr">
        <is>
          <t>Corporate</t>
        </is>
      </c>
      <c r="G15" t="inlineStr">
        <is>
          <t>P1020</t>
        </is>
      </c>
      <c r="H15" t="inlineStr">
        <is>
          <t>Nimbus Monitor Arm</t>
        </is>
      </c>
      <c r="I15" t="inlineStr">
        <is>
          <t>Home Decor</t>
        </is>
      </c>
      <c r="J15" t="inlineStr">
        <is>
          <t>Peripherals</t>
        </is>
      </c>
      <c r="K15" t="inlineStr">
        <is>
          <t>East</t>
        </is>
      </c>
      <c r="L15" t="inlineStr">
        <is>
          <t>Massachusetts</t>
        </is>
      </c>
      <c r="M15" t="inlineStr">
        <is>
          <t>Philadelphia</t>
        </is>
      </c>
      <c r="N15" t="inlineStr">
        <is>
          <t>Liam Chen</t>
        </is>
      </c>
      <c r="O15" t="n">
        <v>3</v>
      </c>
      <c r="P15" s="3" t="n">
        <v>75.98</v>
      </c>
      <c r="Q15" s="4" t="n">
        <v>0.022</v>
      </c>
      <c r="R15" s="3" t="n">
        <v>222.93</v>
      </c>
      <c r="S15" s="3" t="n">
        <v>110.97</v>
      </c>
      <c r="T15" s="3" t="n">
        <v>102.56</v>
      </c>
      <c r="U15" s="4" t="n">
        <v>0.4601</v>
      </c>
      <c r="V15" s="3" t="n">
        <v>9.4</v>
      </c>
      <c r="W15" t="inlineStr">
        <is>
          <t>Debit Card</t>
        </is>
      </c>
      <c r="X15" t="inlineStr">
        <is>
          <t>Low</t>
        </is>
      </c>
      <c r="Y15" t="n">
        <v>2023</v>
      </c>
      <c r="Z15" t="n">
        <v>2</v>
      </c>
      <c r="AA15" t="inlineStr">
        <is>
          <t>Feb</t>
        </is>
      </c>
      <c r="AB15" t="inlineStr">
        <is>
          <t>Wednesday</t>
        </is>
      </c>
      <c r="AC15" t="n">
        <v>3</v>
      </c>
      <c r="AD15" t="inlineStr">
        <is>
          <t>Profitable</t>
        </is>
      </c>
      <c r="AE15" t="inlineStr">
        <is>
          <t>Medium</t>
        </is>
      </c>
      <c r="AF15" t="inlineStr">
        <is>
          <t>Small</t>
        </is>
      </c>
    </row>
    <row r="16">
      <c r="A16" t="inlineStr">
        <is>
          <t>ORD-00015</t>
        </is>
      </c>
      <c r="B16" s="2" t="n">
        <v>45194</v>
      </c>
      <c r="C16" s="2" t="n">
        <v>45197</v>
      </c>
      <c r="D16" t="inlineStr">
        <is>
          <t>CUST-00015</t>
        </is>
      </c>
      <c r="E16" t="inlineStr">
        <is>
          <t>Customer 15</t>
        </is>
      </c>
      <c r="F16" t="inlineStr">
        <is>
          <t>Home Office</t>
        </is>
      </c>
      <c r="G16" t="inlineStr">
        <is>
          <t>P1014</t>
        </is>
      </c>
      <c r="H16" t="inlineStr">
        <is>
          <t>Orbit Wireless Mouse</t>
        </is>
      </c>
      <c r="I16" t="inlineStr">
        <is>
          <t>Furniture</t>
        </is>
      </c>
      <c r="J16" t="inlineStr">
        <is>
          <t>Peripherals</t>
        </is>
      </c>
      <c r="K16" t="inlineStr">
        <is>
          <t>East</t>
        </is>
      </c>
      <c r="L16" t="inlineStr">
        <is>
          <t>New Jersey</t>
        </is>
      </c>
      <c r="M16" t="inlineStr">
        <is>
          <t>Washington</t>
        </is>
      </c>
      <c r="N16" t="inlineStr">
        <is>
          <t>Olivia Martin</t>
        </is>
      </c>
      <c r="O16" t="n">
        <v>3</v>
      </c>
      <c r="P16" s="3" t="n">
        <v>43.09</v>
      </c>
      <c r="Q16" s="4" t="n">
        <v>0</v>
      </c>
      <c r="R16" s="3" t="n">
        <v>129.27</v>
      </c>
      <c r="S16" s="3" t="n">
        <v>56.47</v>
      </c>
      <c r="T16" s="3" t="n">
        <v>63.4</v>
      </c>
      <c r="U16" s="4" t="n">
        <v>0.4904</v>
      </c>
      <c r="V16" s="3" t="n">
        <v>9.4</v>
      </c>
      <c r="W16" t="inlineStr">
        <is>
          <t>Credit Card</t>
        </is>
      </c>
      <c r="X16" t="inlineStr">
        <is>
          <t>Low</t>
        </is>
      </c>
      <c r="Y16" t="n">
        <v>2023</v>
      </c>
      <c r="Z16" t="n">
        <v>9</v>
      </c>
      <c r="AA16" t="inlineStr">
        <is>
          <t>Sep</t>
        </is>
      </c>
      <c r="AB16" t="inlineStr">
        <is>
          <t>Monday</t>
        </is>
      </c>
      <c r="AC16" t="n">
        <v>3</v>
      </c>
      <c r="AD16" t="inlineStr">
        <is>
          <t>Profitable</t>
        </is>
      </c>
      <c r="AE16" t="inlineStr">
        <is>
          <t>Low</t>
        </is>
      </c>
      <c r="AF16" t="inlineStr">
        <is>
          <t>Small</t>
        </is>
      </c>
    </row>
    <row r="17">
      <c r="A17" t="inlineStr">
        <is>
          <t>ORD-00016</t>
        </is>
      </c>
      <c r="B17" s="2" t="n">
        <v>45231</v>
      </c>
      <c r="C17" s="2" t="n">
        <v>45232</v>
      </c>
      <c r="D17" t="inlineStr">
        <is>
          <t>CUST-00016</t>
        </is>
      </c>
      <c r="E17" t="inlineStr">
        <is>
          <t>Customer 16</t>
        </is>
      </c>
      <c r="F17" t="inlineStr">
        <is>
          <t>Consumer</t>
        </is>
      </c>
      <c r="G17" t="inlineStr">
        <is>
          <t>P1014</t>
        </is>
      </c>
      <c r="H17" t="inlineStr">
        <is>
          <t>Echo Web Camera</t>
        </is>
      </c>
      <c r="I17" t="inlineStr">
        <is>
          <t>Outdoor</t>
        </is>
      </c>
      <c r="J17" t="inlineStr">
        <is>
          <t>Peripherals</t>
        </is>
      </c>
      <c r="K17" t="inlineStr">
        <is>
          <t>West</t>
        </is>
      </c>
      <c r="L17" t="inlineStr">
        <is>
          <t>Washington</t>
        </is>
      </c>
      <c r="M17" t="inlineStr">
        <is>
          <t>Seattle</t>
        </is>
      </c>
      <c r="N17" t="inlineStr">
        <is>
          <t>Sophia Singh</t>
        </is>
      </c>
      <c r="O17" t="n">
        <v>2</v>
      </c>
      <c r="P17" s="3" t="n">
        <v>47.35</v>
      </c>
      <c r="Q17" s="4" t="n">
        <v>0.024</v>
      </c>
      <c r="R17" s="3" t="n">
        <v>92.43000000000001</v>
      </c>
      <c r="S17" s="3" t="n">
        <v>42.29</v>
      </c>
      <c r="T17" s="3" t="n">
        <v>41.54</v>
      </c>
      <c r="U17" s="4" t="n">
        <v>0.4494</v>
      </c>
      <c r="V17" s="3" t="n">
        <v>8.6</v>
      </c>
      <c r="W17" t="inlineStr">
        <is>
          <t>Bank Transfer</t>
        </is>
      </c>
      <c r="X17" t="inlineStr">
        <is>
          <t>Medium</t>
        </is>
      </c>
      <c r="Y17" t="n">
        <v>2023</v>
      </c>
      <c r="Z17" t="n">
        <v>11</v>
      </c>
      <c r="AA17" t="inlineStr">
        <is>
          <t>Nov</t>
        </is>
      </c>
      <c r="AB17" t="inlineStr">
        <is>
          <t>Wednesday</t>
        </is>
      </c>
      <c r="AC17" t="n">
        <v>1</v>
      </c>
      <c r="AD17" t="inlineStr">
        <is>
          <t>Profitable</t>
        </is>
      </c>
      <c r="AE17" t="inlineStr">
        <is>
          <t>Medium</t>
        </is>
      </c>
      <c r="AF17" t="inlineStr">
        <is>
          <t>Small</t>
        </is>
      </c>
    </row>
    <row r="18">
      <c r="A18" t="inlineStr">
        <is>
          <t>ORD-00017</t>
        </is>
      </c>
      <c r="B18" s="2" t="n">
        <v>45417</v>
      </c>
      <c r="C18" s="2" t="n">
        <v>45421</v>
      </c>
      <c r="D18" t="inlineStr">
        <is>
          <t>CUST-00017</t>
        </is>
      </c>
      <c r="E18" t="inlineStr">
        <is>
          <t>Customer 17</t>
        </is>
      </c>
      <c r="F18" t="inlineStr">
        <is>
          <t>Corporate</t>
        </is>
      </c>
      <c r="G18" t="inlineStr">
        <is>
          <t>P1020</t>
        </is>
      </c>
      <c r="H18" t="inlineStr">
        <is>
          <t>Lumen Desk Lamp</t>
        </is>
      </c>
      <c r="I18" t="inlineStr">
        <is>
          <t>Office Supplies</t>
        </is>
      </c>
      <c r="J18" t="inlineStr">
        <is>
          <t>Bags</t>
        </is>
      </c>
      <c r="K18" t="inlineStr">
        <is>
          <t>South</t>
        </is>
      </c>
      <c r="L18" t="inlineStr">
        <is>
          <t>Georgia</t>
        </is>
      </c>
      <c r="M18" t="inlineStr">
        <is>
          <t>Dallas</t>
        </is>
      </c>
      <c r="N18" t="inlineStr">
        <is>
          <t>Ava Patel</t>
        </is>
      </c>
      <c r="O18" t="n">
        <v>5</v>
      </c>
      <c r="P18" s="3" t="n">
        <v>71.22</v>
      </c>
      <c r="Q18" s="4" t="n">
        <v>0.037</v>
      </c>
      <c r="R18" s="3" t="n">
        <v>342.92</v>
      </c>
      <c r="S18" s="3" t="n">
        <v>160.26</v>
      </c>
      <c r="T18" s="3" t="n">
        <v>172.66</v>
      </c>
      <c r="U18" s="4" t="n">
        <v>0.5034999999999999</v>
      </c>
      <c r="V18" s="3" t="n">
        <v>10</v>
      </c>
      <c r="W18" t="inlineStr">
        <is>
          <t>Bank Transfer</t>
        </is>
      </c>
      <c r="X18" t="inlineStr">
        <is>
          <t>Medium</t>
        </is>
      </c>
      <c r="Y18" t="n">
        <v>2024</v>
      </c>
      <c r="Z18" t="n">
        <v>5</v>
      </c>
      <c r="AA18" t="inlineStr">
        <is>
          <t>May</t>
        </is>
      </c>
      <c r="AB18" t="inlineStr">
        <is>
          <t>Sunday</t>
        </is>
      </c>
      <c r="AC18" t="n">
        <v>4</v>
      </c>
      <c r="AD18" t="inlineStr">
        <is>
          <t>Profitable</t>
        </is>
      </c>
      <c r="AE18" t="inlineStr">
        <is>
          <t>Medium</t>
        </is>
      </c>
      <c r="AF18" t="inlineStr">
        <is>
          <t>Small</t>
        </is>
      </c>
    </row>
    <row r="19">
      <c r="A19" t="inlineStr">
        <is>
          <t>ORD-00018</t>
        </is>
      </c>
      <c r="B19" s="2" t="n">
        <v>45399</v>
      </c>
      <c r="C19" s="2" t="n">
        <v>45405</v>
      </c>
      <c r="D19" t="inlineStr">
        <is>
          <t>CUST-00018</t>
        </is>
      </c>
      <c r="E19" t="inlineStr">
        <is>
          <t>Customer 18</t>
        </is>
      </c>
      <c r="F19" t="inlineStr">
        <is>
          <t>Consumer</t>
        </is>
      </c>
      <c r="G19" t="inlineStr">
        <is>
          <t>P1020</t>
        </is>
      </c>
      <c r="H19" t="inlineStr">
        <is>
          <t>CloudDrive File Box</t>
        </is>
      </c>
      <c r="I19" t="inlineStr">
        <is>
          <t>Outdoor</t>
        </is>
      </c>
      <c r="J19" t="inlineStr">
        <is>
          <t>Paper</t>
        </is>
      </c>
      <c r="K19" t="inlineStr">
        <is>
          <t>East</t>
        </is>
      </c>
      <c r="L19" t="inlineStr">
        <is>
          <t>New York</t>
        </is>
      </c>
      <c r="M19" t="inlineStr">
        <is>
          <t>Washington</t>
        </is>
      </c>
      <c r="N19" t="inlineStr">
        <is>
          <t>Sophia Singh</t>
        </is>
      </c>
      <c r="O19" t="n">
        <v>2</v>
      </c>
      <c r="P19" s="3" t="n">
        <v>69.92</v>
      </c>
      <c r="Q19" s="4" t="n">
        <v>0.012</v>
      </c>
      <c r="R19" s="3" t="n">
        <v>138.16</v>
      </c>
      <c r="S19" s="3" t="n">
        <v>68.58</v>
      </c>
      <c r="T19" s="3" t="n">
        <v>60.98</v>
      </c>
      <c r="U19" s="4" t="n">
        <v>0.4414</v>
      </c>
      <c r="V19" s="3" t="n">
        <v>8.6</v>
      </c>
      <c r="W19" t="inlineStr">
        <is>
          <t>Debit Card</t>
        </is>
      </c>
      <c r="X19" t="inlineStr">
        <is>
          <t>Low</t>
        </is>
      </c>
      <c r="Y19" t="n">
        <v>2024</v>
      </c>
      <c r="Z19" t="n">
        <v>4</v>
      </c>
      <c r="AA19" t="inlineStr">
        <is>
          <t>Apr</t>
        </is>
      </c>
      <c r="AB19" t="inlineStr">
        <is>
          <t>Wednesday</t>
        </is>
      </c>
      <c r="AC19" t="n">
        <v>6</v>
      </c>
      <c r="AD19" t="inlineStr">
        <is>
          <t>Profitable</t>
        </is>
      </c>
      <c r="AE19" t="inlineStr">
        <is>
          <t>Low</t>
        </is>
      </c>
      <c r="AF19" t="inlineStr">
        <is>
          <t>Small</t>
        </is>
      </c>
    </row>
    <row r="20">
      <c r="A20" t="inlineStr">
        <is>
          <t>ORD-00019</t>
        </is>
      </c>
      <c r="B20" s="2" t="n">
        <v>45597</v>
      </c>
      <c r="C20" s="2" t="n">
        <v>45604</v>
      </c>
      <c r="D20" t="inlineStr">
        <is>
          <t>CUST-00019</t>
        </is>
      </c>
      <c r="E20" t="inlineStr">
        <is>
          <t>Customer 19</t>
        </is>
      </c>
      <c r="F20" t="inlineStr">
        <is>
          <t>Consumer</t>
        </is>
      </c>
      <c r="G20" t="inlineStr">
        <is>
          <t>P1015</t>
        </is>
      </c>
      <c r="H20" t="inlineStr">
        <is>
          <t>Nova Laptop Stand</t>
        </is>
      </c>
      <c r="I20" t="inlineStr">
        <is>
          <t>Office Supplies</t>
        </is>
      </c>
      <c r="J20" t="inlineStr">
        <is>
          <t>Paper</t>
        </is>
      </c>
      <c r="K20" t="inlineStr">
        <is>
          <t>Central</t>
        </is>
      </c>
      <c r="L20" t="inlineStr">
        <is>
          <t>Kansas</t>
        </is>
      </c>
      <c r="M20" t="inlineStr">
        <is>
          <t>St. Louis</t>
        </is>
      </c>
      <c r="N20" t="inlineStr">
        <is>
          <t>Ethan Brooks</t>
        </is>
      </c>
      <c r="O20" t="n">
        <v>4</v>
      </c>
      <c r="P20" s="3" t="n">
        <v>73.28</v>
      </c>
      <c r="Q20" s="4" t="n">
        <v>0.011</v>
      </c>
      <c r="R20" s="3" t="n">
        <v>289.9</v>
      </c>
      <c r="S20" s="3" t="n">
        <v>127.01</v>
      </c>
      <c r="T20" s="3" t="n">
        <v>153.69</v>
      </c>
      <c r="U20" s="4" t="n">
        <v>0.5301</v>
      </c>
      <c r="V20" s="3" t="n">
        <v>9.199999999999999</v>
      </c>
      <c r="W20" t="inlineStr">
        <is>
          <t>Bank Transfer</t>
        </is>
      </c>
      <c r="X20" t="inlineStr">
        <is>
          <t>High</t>
        </is>
      </c>
      <c r="Y20" t="n">
        <v>2024</v>
      </c>
      <c r="Z20" t="n">
        <v>11</v>
      </c>
      <c r="AA20" t="inlineStr">
        <is>
          <t>Nov</t>
        </is>
      </c>
      <c r="AB20" t="inlineStr">
        <is>
          <t>Friday</t>
        </is>
      </c>
      <c r="AC20" t="n">
        <v>7</v>
      </c>
      <c r="AD20" t="inlineStr">
        <is>
          <t>Profitable</t>
        </is>
      </c>
      <c r="AE20" t="inlineStr">
        <is>
          <t>Low</t>
        </is>
      </c>
      <c r="AF20" t="inlineStr">
        <is>
          <t>Small</t>
        </is>
      </c>
    </row>
    <row r="21">
      <c r="A21" t="inlineStr">
        <is>
          <t>ORD-00020</t>
        </is>
      </c>
      <c r="B21" s="2" t="n">
        <v>44976</v>
      </c>
      <c r="C21" s="2" t="n">
        <v>44979</v>
      </c>
      <c r="D21" t="inlineStr">
        <is>
          <t>CUST-00020</t>
        </is>
      </c>
      <c r="E21" t="inlineStr">
        <is>
          <t>Customer 20</t>
        </is>
      </c>
      <c r="F21" t="inlineStr">
        <is>
          <t>Corporate</t>
        </is>
      </c>
      <c r="G21" t="inlineStr">
        <is>
          <t>P1008</t>
        </is>
      </c>
      <c r="H21" t="inlineStr">
        <is>
          <t>Trail Tote</t>
        </is>
      </c>
      <c r="I21" t="inlineStr">
        <is>
          <t>Office Supplies</t>
        </is>
      </c>
      <c r="J21" t="inlineStr">
        <is>
          <t>Decor</t>
        </is>
      </c>
      <c r="K21" t="inlineStr">
        <is>
          <t>East</t>
        </is>
      </c>
      <c r="L21" t="inlineStr">
        <is>
          <t>Virginia</t>
        </is>
      </c>
      <c r="M21" t="inlineStr">
        <is>
          <t>Washington</t>
        </is>
      </c>
      <c r="N21" t="inlineStr">
        <is>
          <t>Noah Kim</t>
        </is>
      </c>
      <c r="O21" t="n">
        <v>2</v>
      </c>
      <c r="P21" s="3" t="n">
        <v>35.51</v>
      </c>
      <c r="Q21" s="4" t="n">
        <v>0.037</v>
      </c>
      <c r="R21" s="3" t="n">
        <v>68.39</v>
      </c>
      <c r="S21" s="3" t="n">
        <v>32.67</v>
      </c>
      <c r="T21" s="3" t="n">
        <v>27.12</v>
      </c>
      <c r="U21" s="4" t="n">
        <v>0.3965</v>
      </c>
      <c r="V21" s="3" t="n">
        <v>8.6</v>
      </c>
      <c r="W21" t="inlineStr">
        <is>
          <t>Credit Card</t>
        </is>
      </c>
      <c r="X21" t="inlineStr">
        <is>
          <t>Medium</t>
        </is>
      </c>
      <c r="Y21" t="n">
        <v>2023</v>
      </c>
      <c r="Z21" t="n">
        <v>2</v>
      </c>
      <c r="AA21" t="inlineStr">
        <is>
          <t>Feb</t>
        </is>
      </c>
      <c r="AB21" t="inlineStr">
        <is>
          <t>Sunday</t>
        </is>
      </c>
      <c r="AC21" t="n">
        <v>3</v>
      </c>
      <c r="AD21" t="inlineStr">
        <is>
          <t>Profitable</t>
        </is>
      </c>
      <c r="AE21" t="inlineStr">
        <is>
          <t>Medium</t>
        </is>
      </c>
      <c r="AF21" t="inlineStr">
        <is>
          <t>Small</t>
        </is>
      </c>
    </row>
    <row r="22">
      <c r="A22" t="inlineStr">
        <is>
          <t>ORD-00021</t>
        </is>
      </c>
      <c r="B22" s="2" t="n">
        <v>45462</v>
      </c>
      <c r="C22" s="2" t="n">
        <v>45467</v>
      </c>
      <c r="D22" t="inlineStr">
        <is>
          <t>CUST-00021</t>
        </is>
      </c>
      <c r="E22" t="inlineStr">
        <is>
          <t>Customer 21</t>
        </is>
      </c>
      <c r="F22" t="inlineStr">
        <is>
          <t>Home Office</t>
        </is>
      </c>
      <c r="G22" t="inlineStr">
        <is>
          <t>P1005</t>
        </is>
      </c>
      <c r="H22" t="inlineStr">
        <is>
          <t>Echo Web Camera</t>
        </is>
      </c>
      <c r="I22" t="inlineStr">
        <is>
          <t>Furniture</t>
        </is>
      </c>
      <c r="J22" t="inlineStr">
        <is>
          <t>Paper</t>
        </is>
      </c>
      <c r="K22" t="inlineStr">
        <is>
          <t>South</t>
        </is>
      </c>
      <c r="L22" t="inlineStr">
        <is>
          <t>Texas</t>
        </is>
      </c>
      <c r="M22" t="inlineStr">
        <is>
          <t>Atlanta</t>
        </is>
      </c>
      <c r="N22" t="inlineStr">
        <is>
          <t>Sophia Singh</t>
        </is>
      </c>
      <c r="O22" t="n">
        <v>1</v>
      </c>
      <c r="P22" s="3" t="n">
        <v>13.33</v>
      </c>
      <c r="Q22" s="4" t="n">
        <v>0.07000000000000001</v>
      </c>
      <c r="R22" s="3" t="n">
        <v>12.4</v>
      </c>
      <c r="S22" s="3" t="n">
        <v>10.04</v>
      </c>
      <c r="T22" s="3" t="n">
        <v>-4.44</v>
      </c>
      <c r="U22" s="4" t="n">
        <v>-0.3581</v>
      </c>
      <c r="V22" s="3" t="n">
        <v>6.8</v>
      </c>
      <c r="W22" t="inlineStr">
        <is>
          <t>Credit Card</t>
        </is>
      </c>
      <c r="X22" t="inlineStr">
        <is>
          <t>Critical</t>
        </is>
      </c>
      <c r="Y22" t="n">
        <v>2024</v>
      </c>
      <c r="Z22" t="n">
        <v>6</v>
      </c>
      <c r="AA22" t="inlineStr">
        <is>
          <t>Jun</t>
        </is>
      </c>
      <c r="AB22" t="inlineStr">
        <is>
          <t>Wednesday</t>
        </is>
      </c>
      <c r="AC22" t="n">
        <v>5</v>
      </c>
      <c r="AD22" t="inlineStr">
        <is>
          <t>Unprofitable</t>
        </is>
      </c>
      <c r="AE22" t="inlineStr">
        <is>
          <t>High</t>
        </is>
      </c>
      <c r="AF22" t="inlineStr">
        <is>
          <t>Small</t>
        </is>
      </c>
    </row>
    <row r="23">
      <c r="A23" t="inlineStr">
        <is>
          <t>ORD-00022</t>
        </is>
      </c>
      <c r="B23" s="2" t="n">
        <v>45111</v>
      </c>
      <c r="C23" s="2" t="n">
        <v>45117</v>
      </c>
      <c r="D23" t="inlineStr">
        <is>
          <t>CUST-00022</t>
        </is>
      </c>
      <c r="E23" t="inlineStr">
        <is>
          <t>Customer 22</t>
        </is>
      </c>
      <c r="F23" t="inlineStr">
        <is>
          <t>Consumer</t>
        </is>
      </c>
      <c r="G23" t="inlineStr">
        <is>
          <t>P1009</t>
        </is>
      </c>
      <c r="H23" t="inlineStr">
        <is>
          <t>FlexNote Notebook</t>
        </is>
      </c>
      <c r="I23" t="inlineStr">
        <is>
          <t>Home Decor</t>
        </is>
      </c>
      <c r="J23" t="inlineStr">
        <is>
          <t>Binders</t>
        </is>
      </c>
      <c r="K23" t="inlineStr">
        <is>
          <t>West</t>
        </is>
      </c>
      <c r="L23" t="inlineStr">
        <is>
          <t>Washington</t>
        </is>
      </c>
      <c r="M23" t="inlineStr">
        <is>
          <t>Denver</t>
        </is>
      </c>
      <c r="N23" t="inlineStr">
        <is>
          <t>Noah Kim</t>
        </is>
      </c>
      <c r="O23" t="n">
        <v>4</v>
      </c>
      <c r="P23" s="3" t="n">
        <v>93.84</v>
      </c>
      <c r="Q23" s="4" t="n">
        <v>0.063</v>
      </c>
      <c r="R23" s="3" t="n">
        <v>351.71</v>
      </c>
      <c r="S23" s="3" t="n">
        <v>173.43</v>
      </c>
      <c r="T23" s="3" t="n">
        <v>168.08</v>
      </c>
      <c r="U23" s="4" t="n">
        <v>0.4779</v>
      </c>
      <c r="V23" s="3" t="n">
        <v>10.2</v>
      </c>
      <c r="W23" t="inlineStr">
        <is>
          <t>Debit Card</t>
        </is>
      </c>
      <c r="X23" t="inlineStr">
        <is>
          <t>High</t>
        </is>
      </c>
      <c r="Y23" t="n">
        <v>2023</v>
      </c>
      <c r="Z23" t="n">
        <v>7</v>
      </c>
      <c r="AA23" t="inlineStr">
        <is>
          <t>Jul</t>
        </is>
      </c>
      <c r="AB23" t="inlineStr">
        <is>
          <t>Tuesday</t>
        </is>
      </c>
      <c r="AC23" t="n">
        <v>6</v>
      </c>
      <c r="AD23" t="inlineStr">
        <is>
          <t>Profitable</t>
        </is>
      </c>
      <c r="AE23" t="inlineStr">
        <is>
          <t>High</t>
        </is>
      </c>
      <c r="AF23" t="inlineStr">
        <is>
          <t>Small</t>
        </is>
      </c>
    </row>
    <row r="24">
      <c r="A24" t="inlineStr">
        <is>
          <t>ORD-00023</t>
        </is>
      </c>
      <c r="B24" s="2" t="n">
        <v>45157</v>
      </c>
      <c r="C24" s="2" t="n">
        <v>45163</v>
      </c>
      <c r="D24" t="inlineStr">
        <is>
          <t>CUST-00023</t>
        </is>
      </c>
      <c r="E24" t="inlineStr">
        <is>
          <t>Customer 23</t>
        </is>
      </c>
      <c r="F24" t="inlineStr">
        <is>
          <t>Home Office</t>
        </is>
      </c>
      <c r="G24" t="inlineStr">
        <is>
          <t>P1016</t>
        </is>
      </c>
      <c r="H24" t="inlineStr">
        <is>
          <t>Harbor Rug</t>
        </is>
      </c>
      <c r="I24" t="inlineStr">
        <is>
          <t>Outdoor</t>
        </is>
      </c>
      <c r="J24" t="inlineStr">
        <is>
          <t>Textiles</t>
        </is>
      </c>
      <c r="K24" t="inlineStr">
        <is>
          <t>North</t>
        </is>
      </c>
      <c r="L24" t="inlineStr">
        <is>
          <t>British Columbia</t>
        </is>
      </c>
      <c r="M24" t="inlineStr">
        <is>
          <t>Toronto</t>
        </is>
      </c>
      <c r="N24" t="inlineStr">
        <is>
          <t>Sophia Singh</t>
        </is>
      </c>
      <c r="O24" t="n">
        <v>5</v>
      </c>
      <c r="P24" s="3" t="n">
        <v>41.23</v>
      </c>
      <c r="Q24" s="4" t="n">
        <v>0.004</v>
      </c>
      <c r="R24" s="3" t="n">
        <v>205.33</v>
      </c>
      <c r="S24" s="3" t="n">
        <v>80.03</v>
      </c>
      <c r="T24" s="3" t="n">
        <v>115.3</v>
      </c>
      <c r="U24" s="4" t="n">
        <v>0.5615</v>
      </c>
      <c r="V24" s="3" t="n">
        <v>10</v>
      </c>
      <c r="W24" t="inlineStr">
        <is>
          <t>Debit Card</t>
        </is>
      </c>
      <c r="X24" t="inlineStr">
        <is>
          <t>Medium</t>
        </is>
      </c>
      <c r="Y24" t="n">
        <v>2023</v>
      </c>
      <c r="Z24" t="n">
        <v>8</v>
      </c>
      <c r="AA24" t="inlineStr">
        <is>
          <t>Aug</t>
        </is>
      </c>
      <c r="AB24" t="inlineStr">
        <is>
          <t>Saturday</t>
        </is>
      </c>
      <c r="AC24" t="n">
        <v>6</v>
      </c>
      <c r="AD24" t="inlineStr">
        <is>
          <t>Profitable</t>
        </is>
      </c>
      <c r="AE24" t="inlineStr">
        <is>
          <t>Low</t>
        </is>
      </c>
      <c r="AF24" t="inlineStr">
        <is>
          <t>Small</t>
        </is>
      </c>
    </row>
    <row r="25">
      <c r="A25" t="inlineStr">
        <is>
          <t>ORD-00024</t>
        </is>
      </c>
      <c r="B25" s="2" t="n">
        <v>45571</v>
      </c>
      <c r="C25" s="2" t="n">
        <v>45576</v>
      </c>
      <c r="D25" t="inlineStr">
        <is>
          <t>CUST-00024</t>
        </is>
      </c>
      <c r="E25" t="inlineStr">
        <is>
          <t>Customer 24</t>
        </is>
      </c>
      <c r="F25" t="inlineStr">
        <is>
          <t>Home Office</t>
        </is>
      </c>
      <c r="G25" t="inlineStr">
        <is>
          <t>P1003</t>
        </is>
      </c>
      <c r="H25" t="inlineStr">
        <is>
          <t>FlexNote Notebook</t>
        </is>
      </c>
      <c r="I25" t="inlineStr">
        <is>
          <t>Furniture</t>
        </is>
      </c>
      <c r="J25" t="inlineStr">
        <is>
          <t>Plants</t>
        </is>
      </c>
      <c r="K25" t="inlineStr">
        <is>
          <t>Central</t>
        </is>
      </c>
      <c r="L25" t="inlineStr">
        <is>
          <t>Minnesota</t>
        </is>
      </c>
      <c r="M25" t="inlineStr">
        <is>
          <t>St. Louis</t>
        </is>
      </c>
      <c r="N25" t="inlineStr">
        <is>
          <t>Liam Chen</t>
        </is>
      </c>
      <c r="O25" t="n">
        <v>2</v>
      </c>
      <c r="P25" s="3" t="n">
        <v>162.75</v>
      </c>
      <c r="Q25" s="4" t="n">
        <v>0.03</v>
      </c>
      <c r="R25" s="3" t="n">
        <v>315.74</v>
      </c>
      <c r="S25" s="3" t="n">
        <v>166.71</v>
      </c>
      <c r="T25" s="3" t="n">
        <v>141.43</v>
      </c>
      <c r="U25" s="4" t="n">
        <v>0.4479</v>
      </c>
      <c r="V25" s="3" t="n">
        <v>7.6</v>
      </c>
      <c r="W25" t="inlineStr">
        <is>
          <t>Credit Card</t>
        </is>
      </c>
      <c r="X25" t="inlineStr">
        <is>
          <t>Critical</t>
        </is>
      </c>
      <c r="Y25" t="n">
        <v>2024</v>
      </c>
      <c r="Z25" t="n">
        <v>10</v>
      </c>
      <c r="AA25" t="inlineStr">
        <is>
          <t>Oct</t>
        </is>
      </c>
      <c r="AB25" t="inlineStr">
        <is>
          <t>Sunday</t>
        </is>
      </c>
      <c r="AC25" t="n">
        <v>5</v>
      </c>
      <c r="AD25" t="inlineStr">
        <is>
          <t>Profitable</t>
        </is>
      </c>
      <c r="AE25" t="inlineStr">
        <is>
          <t>Medium</t>
        </is>
      </c>
      <c r="AF25" t="inlineStr">
        <is>
          <t>Small</t>
        </is>
      </c>
    </row>
    <row r="26">
      <c r="A26" t="inlineStr">
        <is>
          <t>ORD-00025</t>
        </is>
      </c>
      <c r="B26" s="2" t="n">
        <v>45471</v>
      </c>
      <c r="C26" s="2" t="n">
        <v>45478</v>
      </c>
      <c r="D26" t="inlineStr">
        <is>
          <t>CUST-00025</t>
        </is>
      </c>
      <c r="E26" t="inlineStr">
        <is>
          <t>Customer 25</t>
        </is>
      </c>
      <c r="F26" t="inlineStr">
        <is>
          <t>Consumer</t>
        </is>
      </c>
      <c r="G26" t="inlineStr">
        <is>
          <t>P1012</t>
        </is>
      </c>
      <c r="H26" t="inlineStr">
        <is>
          <t>Halo Planter</t>
        </is>
      </c>
      <c r="I26" t="inlineStr">
        <is>
          <t>Home Decor</t>
        </is>
      </c>
      <c r="J26" t="inlineStr">
        <is>
          <t>Binders</t>
        </is>
      </c>
      <c r="K26" t="inlineStr">
        <is>
          <t>East</t>
        </is>
      </c>
      <c r="L26" t="inlineStr">
        <is>
          <t>Massachusetts</t>
        </is>
      </c>
      <c r="M26" t="inlineStr">
        <is>
          <t>Washington</t>
        </is>
      </c>
      <c r="N26" t="inlineStr">
        <is>
          <t>James Carter</t>
        </is>
      </c>
      <c r="O26" t="n">
        <v>3</v>
      </c>
      <c r="P26" s="3" t="n">
        <v>141.27</v>
      </c>
      <c r="Q26" s="4" t="n">
        <v>0</v>
      </c>
      <c r="R26" s="3" t="n">
        <v>423.81</v>
      </c>
      <c r="S26" s="3" t="n">
        <v>219.28</v>
      </c>
      <c r="T26" s="3" t="n">
        <v>195.13</v>
      </c>
      <c r="U26" s="4" t="n">
        <v>0.4604</v>
      </c>
      <c r="V26" s="3" t="n">
        <v>9.4</v>
      </c>
      <c r="W26" t="inlineStr">
        <is>
          <t>Credit Card</t>
        </is>
      </c>
      <c r="X26" t="inlineStr">
        <is>
          <t>Medium</t>
        </is>
      </c>
      <c r="Y26" t="n">
        <v>2024</v>
      </c>
      <c r="Z26" t="n">
        <v>6</v>
      </c>
      <c r="AA26" t="inlineStr">
        <is>
          <t>Jun</t>
        </is>
      </c>
      <c r="AB26" t="inlineStr">
        <is>
          <t>Friday</t>
        </is>
      </c>
      <c r="AC26" t="n">
        <v>7</v>
      </c>
      <c r="AD26" t="inlineStr">
        <is>
          <t>Profitable</t>
        </is>
      </c>
      <c r="AE26" t="inlineStr">
        <is>
          <t>Low</t>
        </is>
      </c>
      <c r="AF26" t="inlineStr">
        <is>
          <t>Small</t>
        </is>
      </c>
    </row>
    <row r="27">
      <c r="A27" t="inlineStr">
        <is>
          <t>ORD-00026</t>
        </is>
      </c>
      <c r="B27" s="2" t="n">
        <v>45915</v>
      </c>
      <c r="C27" s="2" t="n">
        <v>45920</v>
      </c>
      <c r="D27" t="inlineStr">
        <is>
          <t>CUST-00026</t>
        </is>
      </c>
      <c r="E27" t="inlineStr">
        <is>
          <t>Customer 26</t>
        </is>
      </c>
      <c r="F27" t="inlineStr">
        <is>
          <t>Consumer</t>
        </is>
      </c>
      <c r="G27" t="inlineStr">
        <is>
          <t>P1007</t>
        </is>
      </c>
      <c r="H27" t="inlineStr">
        <is>
          <t>FlexNote Notebook</t>
        </is>
      </c>
      <c r="I27" t="inlineStr">
        <is>
          <t>Home Decor</t>
        </is>
      </c>
      <c r="J27" t="inlineStr">
        <is>
          <t>Bags</t>
        </is>
      </c>
      <c r="K27" t="inlineStr">
        <is>
          <t>South</t>
        </is>
      </c>
      <c r="L27" t="inlineStr">
        <is>
          <t>Georgia</t>
        </is>
      </c>
      <c r="M27" t="inlineStr">
        <is>
          <t>Dallas</t>
        </is>
      </c>
      <c r="N27" t="inlineStr">
        <is>
          <t>Ava Patel</t>
        </is>
      </c>
      <c r="O27" t="n">
        <v>4</v>
      </c>
      <c r="P27" s="3" t="n">
        <v>23.45</v>
      </c>
      <c r="Q27" s="4" t="n">
        <v>0.007</v>
      </c>
      <c r="R27" s="3" t="n">
        <v>93.14</v>
      </c>
      <c r="S27" s="3" t="n">
        <v>35.88</v>
      </c>
      <c r="T27" s="3" t="n">
        <v>48.06</v>
      </c>
      <c r="U27" s="4" t="n">
        <v>0.516</v>
      </c>
      <c r="V27" s="3" t="n">
        <v>9.199999999999999</v>
      </c>
      <c r="W27" t="inlineStr">
        <is>
          <t>Bank Transfer</t>
        </is>
      </c>
      <c r="X27" t="inlineStr">
        <is>
          <t>Low</t>
        </is>
      </c>
      <c r="Y27" t="n">
        <v>2025</v>
      </c>
      <c r="Z27" t="n">
        <v>9</v>
      </c>
      <c r="AA27" t="inlineStr">
        <is>
          <t>Sep</t>
        </is>
      </c>
      <c r="AB27" t="inlineStr">
        <is>
          <t>Monday</t>
        </is>
      </c>
      <c r="AC27" t="n">
        <v>5</v>
      </c>
      <c r="AD27" t="inlineStr">
        <is>
          <t>Profitable</t>
        </is>
      </c>
      <c r="AE27" t="inlineStr">
        <is>
          <t>Low</t>
        </is>
      </c>
      <c r="AF27" t="inlineStr">
        <is>
          <t>Small</t>
        </is>
      </c>
    </row>
    <row r="28">
      <c r="A28" t="inlineStr">
        <is>
          <t>ORD-00027</t>
        </is>
      </c>
      <c r="B28" s="2" t="n">
        <v>45142</v>
      </c>
      <c r="C28" s="2" t="n">
        <v>45143</v>
      </c>
      <c r="D28" t="inlineStr">
        <is>
          <t>CUST-00027</t>
        </is>
      </c>
      <c r="E28" t="inlineStr">
        <is>
          <t>Customer 27</t>
        </is>
      </c>
      <c r="F28" t="inlineStr">
        <is>
          <t>Corporate</t>
        </is>
      </c>
      <c r="G28" t="inlineStr">
        <is>
          <t>P1017</t>
        </is>
      </c>
      <c r="H28" t="inlineStr">
        <is>
          <t>FlexNote Notebook</t>
        </is>
      </c>
      <c r="I28" t="inlineStr">
        <is>
          <t>Home Decor</t>
        </is>
      </c>
      <c r="J28" t="inlineStr">
        <is>
          <t>Textiles</t>
        </is>
      </c>
      <c r="K28" t="inlineStr">
        <is>
          <t>North</t>
        </is>
      </c>
      <c r="L28" t="inlineStr">
        <is>
          <t>Alberta</t>
        </is>
      </c>
      <c r="M28" t="inlineStr">
        <is>
          <t>Toronto</t>
        </is>
      </c>
      <c r="N28" t="inlineStr">
        <is>
          <t>Noah Kim</t>
        </is>
      </c>
      <c r="O28" t="n">
        <v>2</v>
      </c>
      <c r="P28" s="3" t="n">
        <v>559.98</v>
      </c>
      <c r="Q28" s="4" t="n">
        <v>0.013</v>
      </c>
      <c r="R28" s="3" t="n">
        <v>1105.4</v>
      </c>
      <c r="S28" s="3" t="n">
        <v>738.05</v>
      </c>
      <c r="T28" s="3" t="n">
        <v>359.75</v>
      </c>
      <c r="U28" s="4" t="n">
        <v>0.3254</v>
      </c>
      <c r="V28" s="3" t="n">
        <v>7.6</v>
      </c>
      <c r="W28" t="inlineStr">
        <is>
          <t>Bank Transfer</t>
        </is>
      </c>
      <c r="X28" t="inlineStr">
        <is>
          <t>Low</t>
        </is>
      </c>
      <c r="Y28" t="n">
        <v>2023</v>
      </c>
      <c r="Z28" t="n">
        <v>8</v>
      </c>
      <c r="AA28" t="inlineStr">
        <is>
          <t>Aug</t>
        </is>
      </c>
      <c r="AB28" t="inlineStr">
        <is>
          <t>Friday</t>
        </is>
      </c>
      <c r="AC28" t="n">
        <v>1</v>
      </c>
      <c r="AD28" t="inlineStr">
        <is>
          <t>Profitable</t>
        </is>
      </c>
      <c r="AE28" t="inlineStr">
        <is>
          <t>Low</t>
        </is>
      </c>
      <c r="AF28" t="inlineStr">
        <is>
          <t>Medium</t>
        </is>
      </c>
    </row>
    <row r="29">
      <c r="A29" t="inlineStr">
        <is>
          <t>ORD-00028</t>
        </is>
      </c>
      <c r="B29" s="2" t="n">
        <v>45528</v>
      </c>
      <c r="C29" s="2" t="n">
        <v>45530</v>
      </c>
      <c r="D29" t="inlineStr">
        <is>
          <t>CUST-00028</t>
        </is>
      </c>
      <c r="E29" t="inlineStr">
        <is>
          <t>Customer 28</t>
        </is>
      </c>
      <c r="F29" t="inlineStr">
        <is>
          <t>Corporate</t>
        </is>
      </c>
      <c r="G29" t="inlineStr">
        <is>
          <t>P1015</t>
        </is>
      </c>
      <c r="H29" t="inlineStr">
        <is>
          <t>Aero Standing Desk</t>
        </is>
      </c>
      <c r="I29" t="inlineStr">
        <is>
          <t>Office Supplies</t>
        </is>
      </c>
      <c r="J29" t="inlineStr">
        <is>
          <t>Lighting</t>
        </is>
      </c>
      <c r="K29" t="inlineStr">
        <is>
          <t>West</t>
        </is>
      </c>
      <c r="L29" t="inlineStr">
        <is>
          <t>Oregon</t>
        </is>
      </c>
      <c r="M29" t="inlineStr">
        <is>
          <t>Los Angeles</t>
        </is>
      </c>
      <c r="N29" t="inlineStr">
        <is>
          <t>Sophia Singh</t>
        </is>
      </c>
      <c r="O29" t="n">
        <v>2</v>
      </c>
      <c r="P29" s="3" t="n">
        <v>74.45999999999999</v>
      </c>
      <c r="Q29" s="4" t="n">
        <v>0.05</v>
      </c>
      <c r="R29" s="3" t="n">
        <v>141.47</v>
      </c>
      <c r="S29" s="3" t="n">
        <v>66.56</v>
      </c>
      <c r="T29" s="3" t="n">
        <v>66.31</v>
      </c>
      <c r="U29" s="4" t="n">
        <v>0.4687</v>
      </c>
      <c r="V29" s="3" t="n">
        <v>8.6</v>
      </c>
      <c r="W29" t="inlineStr">
        <is>
          <t>Credit Card</t>
        </is>
      </c>
      <c r="X29" t="inlineStr">
        <is>
          <t>High</t>
        </is>
      </c>
      <c r="Y29" t="n">
        <v>2024</v>
      </c>
      <c r="Z29" t="n">
        <v>8</v>
      </c>
      <c r="AA29" t="inlineStr">
        <is>
          <t>Aug</t>
        </is>
      </c>
      <c r="AB29" t="inlineStr">
        <is>
          <t>Saturday</t>
        </is>
      </c>
      <c r="AC29" t="n">
        <v>2</v>
      </c>
      <c r="AD29" t="inlineStr">
        <is>
          <t>Profitable</t>
        </is>
      </c>
      <c r="AE29" t="inlineStr">
        <is>
          <t>High</t>
        </is>
      </c>
      <c r="AF29" t="inlineStr">
        <is>
          <t>Small</t>
        </is>
      </c>
    </row>
    <row r="30">
      <c r="A30" t="inlineStr">
        <is>
          <t>ORD-00029</t>
        </is>
      </c>
      <c r="B30" s="2" t="n">
        <v>45536</v>
      </c>
      <c r="C30" s="2" t="n">
        <v>45543</v>
      </c>
      <c r="D30" t="inlineStr">
        <is>
          <t>CUST-00029</t>
        </is>
      </c>
      <c r="E30" t="inlineStr">
        <is>
          <t>Customer 29</t>
        </is>
      </c>
      <c r="F30" t="inlineStr">
        <is>
          <t>Consumer</t>
        </is>
      </c>
      <c r="G30" t="inlineStr">
        <is>
          <t>P1015</t>
        </is>
      </c>
      <c r="H30" t="inlineStr">
        <is>
          <t>Atlas Throw Pillow</t>
        </is>
      </c>
      <c r="I30" t="inlineStr">
        <is>
          <t>Furniture</t>
        </is>
      </c>
      <c r="J30" t="inlineStr">
        <is>
          <t>Bags</t>
        </is>
      </c>
      <c r="K30" t="inlineStr">
        <is>
          <t>East</t>
        </is>
      </c>
      <c r="L30" t="inlineStr">
        <is>
          <t>New Jersey</t>
        </is>
      </c>
      <c r="M30" t="inlineStr">
        <is>
          <t>Boston</t>
        </is>
      </c>
      <c r="N30" t="inlineStr">
        <is>
          <t>Mia Rodriguez</t>
        </is>
      </c>
      <c r="O30" t="n">
        <v>3</v>
      </c>
      <c r="P30" s="3" t="n">
        <v>68.87</v>
      </c>
      <c r="Q30" s="4" t="n">
        <v>0.008</v>
      </c>
      <c r="R30" s="3" t="n">
        <v>204.96</v>
      </c>
      <c r="S30" s="3" t="n">
        <v>96.62</v>
      </c>
      <c r="T30" s="3" t="n">
        <v>98.94</v>
      </c>
      <c r="U30" s="4" t="n">
        <v>0.4827</v>
      </c>
      <c r="V30" s="3" t="n">
        <v>9.4</v>
      </c>
      <c r="W30" t="inlineStr">
        <is>
          <t>Debit Card</t>
        </is>
      </c>
      <c r="X30" t="inlineStr">
        <is>
          <t>Medium</t>
        </is>
      </c>
      <c r="Y30" t="n">
        <v>2024</v>
      </c>
      <c r="Z30" t="n">
        <v>9</v>
      </c>
      <c r="AA30" t="inlineStr">
        <is>
          <t>Sep</t>
        </is>
      </c>
      <c r="AB30" t="inlineStr">
        <is>
          <t>Sunday</t>
        </is>
      </c>
      <c r="AC30" t="n">
        <v>7</v>
      </c>
      <c r="AD30" t="inlineStr">
        <is>
          <t>Profitable</t>
        </is>
      </c>
      <c r="AE30" t="inlineStr">
        <is>
          <t>Low</t>
        </is>
      </c>
      <c r="AF30" t="inlineStr">
        <is>
          <t>Small</t>
        </is>
      </c>
    </row>
    <row r="31">
      <c r="A31" t="inlineStr">
        <is>
          <t>ORD-00030</t>
        </is>
      </c>
      <c r="B31" s="2" t="n">
        <v>45040</v>
      </c>
      <c r="C31" s="2" t="n">
        <v>45044</v>
      </c>
      <c r="D31" t="inlineStr">
        <is>
          <t>CUST-00030</t>
        </is>
      </c>
      <c r="E31" t="inlineStr">
        <is>
          <t>Customer 30</t>
        </is>
      </c>
      <c r="F31" t="inlineStr">
        <is>
          <t>Home Office</t>
        </is>
      </c>
      <c r="G31" t="inlineStr">
        <is>
          <t>P1012</t>
        </is>
      </c>
      <c r="H31" t="inlineStr">
        <is>
          <t>Tide Cooler</t>
        </is>
      </c>
      <c r="I31" t="inlineStr">
        <is>
          <t>Furniture</t>
        </is>
      </c>
      <c r="J31" t="inlineStr">
        <is>
          <t>Flooring</t>
        </is>
      </c>
      <c r="K31" t="inlineStr">
        <is>
          <t>Central</t>
        </is>
      </c>
      <c r="L31" t="inlineStr">
        <is>
          <t>Kansas</t>
        </is>
      </c>
      <c r="M31" t="inlineStr">
        <is>
          <t>St. Louis</t>
        </is>
      </c>
      <c r="N31" t="inlineStr">
        <is>
          <t>Mia Rodriguez</t>
        </is>
      </c>
      <c r="O31" t="n">
        <v>3</v>
      </c>
      <c r="P31" s="3" t="n">
        <v>130.86</v>
      </c>
      <c r="Q31" s="4" t="n">
        <v>0.043</v>
      </c>
      <c r="R31" s="3" t="n">
        <v>375.7</v>
      </c>
      <c r="S31" s="3" t="n">
        <v>192.91</v>
      </c>
      <c r="T31" s="3" t="n">
        <v>174.39</v>
      </c>
      <c r="U31" s="4" t="n">
        <v>0.4642</v>
      </c>
      <c r="V31" s="3" t="n">
        <v>8.4</v>
      </c>
      <c r="W31" t="inlineStr">
        <is>
          <t>PayPal</t>
        </is>
      </c>
      <c r="X31" t="inlineStr">
        <is>
          <t>Critical</t>
        </is>
      </c>
      <c r="Y31" t="n">
        <v>2023</v>
      </c>
      <c r="Z31" t="n">
        <v>4</v>
      </c>
      <c r="AA31" t="inlineStr">
        <is>
          <t>Apr</t>
        </is>
      </c>
      <c r="AB31" t="inlineStr">
        <is>
          <t>Monday</t>
        </is>
      </c>
      <c r="AC31" t="n">
        <v>4</v>
      </c>
      <c r="AD31" t="inlineStr">
        <is>
          <t>Profitable</t>
        </is>
      </c>
      <c r="AE31" t="inlineStr">
        <is>
          <t>Medium</t>
        </is>
      </c>
      <c r="AF31" t="inlineStr">
        <is>
          <t>Small</t>
        </is>
      </c>
    </row>
    <row r="32">
      <c r="A32" t="inlineStr">
        <is>
          <t>ORD-00031</t>
        </is>
      </c>
      <c r="B32" s="2" t="n">
        <v>45349</v>
      </c>
      <c r="C32" s="2" t="n">
        <v>45352</v>
      </c>
      <c r="D32" t="inlineStr">
        <is>
          <t>CUST-00031</t>
        </is>
      </c>
      <c r="E32" t="inlineStr">
        <is>
          <t>Customer 31</t>
        </is>
      </c>
      <c r="F32" t="inlineStr">
        <is>
          <t>Corporate</t>
        </is>
      </c>
      <c r="G32" t="inlineStr">
        <is>
          <t>P1002</t>
        </is>
      </c>
      <c r="H32" t="inlineStr">
        <is>
          <t>Orbit Wireless Mouse</t>
        </is>
      </c>
      <c r="I32" t="inlineStr">
        <is>
          <t>Outdoor</t>
        </is>
      </c>
      <c r="J32" t="inlineStr">
        <is>
          <t>Lighting</t>
        </is>
      </c>
      <c r="K32" t="inlineStr">
        <is>
          <t>South</t>
        </is>
      </c>
      <c r="L32" t="inlineStr">
        <is>
          <t>Florida</t>
        </is>
      </c>
      <c r="M32" t="inlineStr">
        <is>
          <t>Atlanta</t>
        </is>
      </c>
      <c r="N32" t="inlineStr">
        <is>
          <t>Olivia Martin</t>
        </is>
      </c>
      <c r="O32" t="n">
        <v>3</v>
      </c>
      <c r="P32" s="3" t="n">
        <v>78.79000000000001</v>
      </c>
      <c r="Q32" s="4" t="n">
        <v>0.039</v>
      </c>
      <c r="R32" s="3" t="n">
        <v>227.15</v>
      </c>
      <c r="S32" s="3" t="n">
        <v>107.29</v>
      </c>
      <c r="T32" s="3" t="n">
        <v>111.46</v>
      </c>
      <c r="U32" s="4" t="n">
        <v>0.4907</v>
      </c>
      <c r="V32" s="3" t="n">
        <v>8.4</v>
      </c>
      <c r="W32" t="inlineStr">
        <is>
          <t>Debit Card</t>
        </is>
      </c>
      <c r="X32" t="inlineStr">
        <is>
          <t>High</t>
        </is>
      </c>
      <c r="Y32" t="n">
        <v>2024</v>
      </c>
      <c r="Z32" t="n">
        <v>2</v>
      </c>
      <c r="AA32" t="inlineStr">
        <is>
          <t>Feb</t>
        </is>
      </c>
      <c r="AB32" t="inlineStr">
        <is>
          <t>Tuesday</t>
        </is>
      </c>
      <c r="AC32" t="n">
        <v>3</v>
      </c>
      <c r="AD32" t="inlineStr">
        <is>
          <t>Profitable</t>
        </is>
      </c>
      <c r="AE32" t="inlineStr">
        <is>
          <t>Medium</t>
        </is>
      </c>
      <c r="AF32" t="inlineStr">
        <is>
          <t>Small</t>
        </is>
      </c>
    </row>
    <row r="33">
      <c r="A33" t="inlineStr">
        <is>
          <t>ORD-00032</t>
        </is>
      </c>
      <c r="B33" s="2" t="n">
        <v>45002</v>
      </c>
      <c r="C33" s="2" t="n">
        <v>45006</v>
      </c>
      <c r="D33" t="inlineStr">
        <is>
          <t>CUST-00032</t>
        </is>
      </c>
      <c r="E33" t="inlineStr">
        <is>
          <t>Customer 32</t>
        </is>
      </c>
      <c r="F33" t="inlineStr">
        <is>
          <t>Consumer</t>
        </is>
      </c>
      <c r="G33" t="inlineStr">
        <is>
          <t>P1008</t>
        </is>
      </c>
      <c r="H33" t="inlineStr">
        <is>
          <t>Trail Tote</t>
        </is>
      </c>
      <c r="I33" t="inlineStr">
        <is>
          <t>Office Supplies</t>
        </is>
      </c>
      <c r="J33" t="inlineStr">
        <is>
          <t>Flooring</t>
        </is>
      </c>
      <c r="K33" t="inlineStr">
        <is>
          <t>North</t>
        </is>
      </c>
      <c r="L33" t="inlineStr">
        <is>
          <t>Quebec</t>
        </is>
      </c>
      <c r="M33" t="inlineStr">
        <is>
          <t>Vancouver</t>
        </is>
      </c>
      <c r="N33" t="inlineStr">
        <is>
          <t>Ava Patel</t>
        </is>
      </c>
      <c r="O33" t="n">
        <v>3</v>
      </c>
      <c r="P33" s="3" t="n">
        <v>33.97</v>
      </c>
      <c r="Q33" s="4" t="n">
        <v>0.003</v>
      </c>
      <c r="R33" s="3" t="n">
        <v>101.6</v>
      </c>
      <c r="S33" s="3" t="n">
        <v>50.53</v>
      </c>
      <c r="T33" s="3" t="n">
        <v>42.67</v>
      </c>
      <c r="U33" s="4" t="n">
        <v>0.42</v>
      </c>
      <c r="V33" s="3" t="n">
        <v>8.4</v>
      </c>
      <c r="W33" t="inlineStr">
        <is>
          <t>Cash on Delivery</t>
        </is>
      </c>
      <c r="X33" t="inlineStr">
        <is>
          <t>Low</t>
        </is>
      </c>
      <c r="Y33" t="n">
        <v>2023</v>
      </c>
      <c r="Z33" t="n">
        <v>3</v>
      </c>
      <c r="AA33" t="inlineStr">
        <is>
          <t>Mar</t>
        </is>
      </c>
      <c r="AB33" t="inlineStr">
        <is>
          <t>Friday</t>
        </is>
      </c>
      <c r="AC33" t="n">
        <v>4</v>
      </c>
      <c r="AD33" t="inlineStr">
        <is>
          <t>Profitable</t>
        </is>
      </c>
      <c r="AE33" t="inlineStr">
        <is>
          <t>Low</t>
        </is>
      </c>
      <c r="AF33" t="inlineStr">
        <is>
          <t>Small</t>
        </is>
      </c>
    </row>
    <row r="34">
      <c r="A34" t="inlineStr">
        <is>
          <t>ORD-00033</t>
        </is>
      </c>
      <c r="B34" s="2" t="n">
        <v>45027</v>
      </c>
      <c r="C34" s="2" t="n">
        <v>45033</v>
      </c>
      <c r="D34" t="inlineStr">
        <is>
          <t>CUST-00033</t>
        </is>
      </c>
      <c r="E34" t="inlineStr">
        <is>
          <t>Customer 33</t>
        </is>
      </c>
      <c r="F34" t="inlineStr">
        <is>
          <t>Corporate</t>
        </is>
      </c>
      <c r="G34" t="inlineStr">
        <is>
          <t>P1005</t>
        </is>
      </c>
      <c r="H34" t="inlineStr">
        <is>
          <t>Nimbus Monitor Arm</t>
        </is>
      </c>
      <c r="I34" t="inlineStr">
        <is>
          <t>Furniture</t>
        </is>
      </c>
      <c r="J34" t="inlineStr">
        <is>
          <t>Storage</t>
        </is>
      </c>
      <c r="K34" t="inlineStr">
        <is>
          <t>South</t>
        </is>
      </c>
      <c r="L34" t="inlineStr">
        <is>
          <t>North Carolina</t>
        </is>
      </c>
      <c r="M34" t="inlineStr">
        <is>
          <t>Atlanta</t>
        </is>
      </c>
      <c r="N34" t="inlineStr">
        <is>
          <t>James Carter</t>
        </is>
      </c>
      <c r="O34" t="n">
        <v>4</v>
      </c>
      <c r="P34" s="3" t="n">
        <v>12.2</v>
      </c>
      <c r="Q34" s="4" t="n">
        <v>0.014</v>
      </c>
      <c r="R34" s="3" t="n">
        <v>48.12</v>
      </c>
      <c r="S34" s="3" t="n">
        <v>25.51</v>
      </c>
      <c r="T34" s="3" t="n">
        <v>13.41</v>
      </c>
      <c r="U34" s="4" t="n">
        <v>0.2787</v>
      </c>
      <c r="V34" s="3" t="n">
        <v>9.199999999999999</v>
      </c>
      <c r="W34" t="inlineStr">
        <is>
          <t>Debit Card</t>
        </is>
      </c>
      <c r="X34" t="inlineStr">
        <is>
          <t>Medium</t>
        </is>
      </c>
      <c r="Y34" t="n">
        <v>2023</v>
      </c>
      <c r="Z34" t="n">
        <v>4</v>
      </c>
      <c r="AA34" t="inlineStr">
        <is>
          <t>Apr</t>
        </is>
      </c>
      <c r="AB34" t="inlineStr">
        <is>
          <t>Tuesday</t>
        </is>
      </c>
      <c r="AC34" t="n">
        <v>6</v>
      </c>
      <c r="AD34" t="inlineStr">
        <is>
          <t>Profitable</t>
        </is>
      </c>
      <c r="AE34" t="inlineStr">
        <is>
          <t>Low</t>
        </is>
      </c>
      <c r="AF34" t="inlineStr">
        <is>
          <t>Small</t>
        </is>
      </c>
    </row>
    <row r="35">
      <c r="A35" t="inlineStr">
        <is>
          <t>ORD-00034</t>
        </is>
      </c>
      <c r="B35" s="2" t="n">
        <v>45855</v>
      </c>
      <c r="C35" s="2" t="n">
        <v>45858</v>
      </c>
      <c r="D35" t="inlineStr">
        <is>
          <t>CUST-00034</t>
        </is>
      </c>
      <c r="E35" t="inlineStr">
        <is>
          <t>Customer 34</t>
        </is>
      </c>
      <c r="F35" t="inlineStr">
        <is>
          <t>Consumer</t>
        </is>
      </c>
      <c r="G35" t="inlineStr">
        <is>
          <t>P1003</t>
        </is>
      </c>
      <c r="H35" t="inlineStr">
        <is>
          <t>Orbit Wireless Mouse</t>
        </is>
      </c>
      <c r="I35" t="inlineStr">
        <is>
          <t>Office Supplies</t>
        </is>
      </c>
      <c r="J35" t="inlineStr">
        <is>
          <t>Binders</t>
        </is>
      </c>
      <c r="K35" t="inlineStr">
        <is>
          <t>South</t>
        </is>
      </c>
      <c r="L35" t="inlineStr">
        <is>
          <t>North Carolina</t>
        </is>
      </c>
      <c r="M35" t="inlineStr">
        <is>
          <t>Houston</t>
        </is>
      </c>
      <c r="N35" t="inlineStr">
        <is>
          <t>Olivia Martin</t>
        </is>
      </c>
      <c r="O35" t="n">
        <v>2</v>
      </c>
      <c r="P35" s="3" t="n">
        <v>152.33</v>
      </c>
      <c r="Q35" s="4" t="n">
        <v>0.001</v>
      </c>
      <c r="R35" s="3" t="n">
        <v>304.36</v>
      </c>
      <c r="S35" s="3" t="n">
        <v>163.31</v>
      </c>
      <c r="T35" s="3" t="n">
        <v>133.45</v>
      </c>
      <c r="U35" s="4" t="n">
        <v>0.4385</v>
      </c>
      <c r="V35" s="3" t="n">
        <v>7.6</v>
      </c>
      <c r="W35" t="inlineStr">
        <is>
          <t>Debit Card</t>
        </is>
      </c>
      <c r="X35" t="inlineStr">
        <is>
          <t>Medium</t>
        </is>
      </c>
      <c r="Y35" t="n">
        <v>2025</v>
      </c>
      <c r="Z35" t="n">
        <v>7</v>
      </c>
      <c r="AA35" t="inlineStr">
        <is>
          <t>Jul</t>
        </is>
      </c>
      <c r="AB35" t="inlineStr">
        <is>
          <t>Thursday</t>
        </is>
      </c>
      <c r="AC35" t="n">
        <v>3</v>
      </c>
      <c r="AD35" t="inlineStr">
        <is>
          <t>Profitable</t>
        </is>
      </c>
      <c r="AE35" t="inlineStr">
        <is>
          <t>Low</t>
        </is>
      </c>
      <c r="AF35" t="inlineStr">
        <is>
          <t>Small</t>
        </is>
      </c>
    </row>
    <row r="36">
      <c r="A36" t="inlineStr">
        <is>
          <t>ORD-00035</t>
        </is>
      </c>
      <c r="B36" s="2" t="n">
        <v>45984</v>
      </c>
      <c r="C36" s="2" t="n">
        <v>45991</v>
      </c>
      <c r="D36" t="inlineStr">
        <is>
          <t>CUST-00035</t>
        </is>
      </c>
      <c r="E36" t="inlineStr">
        <is>
          <t>Customer 35</t>
        </is>
      </c>
      <c r="F36" t="inlineStr">
        <is>
          <t>Consumer</t>
        </is>
      </c>
      <c r="G36" t="inlineStr">
        <is>
          <t>P1001</t>
        </is>
      </c>
      <c r="H36" t="inlineStr">
        <is>
          <t>Harbor Rug</t>
        </is>
      </c>
      <c r="I36" t="inlineStr">
        <is>
          <t>Furniture</t>
        </is>
      </c>
      <c r="J36" t="inlineStr">
        <is>
          <t>Furniture</t>
        </is>
      </c>
      <c r="K36" t="inlineStr">
        <is>
          <t>North</t>
        </is>
      </c>
      <c r="L36" t="inlineStr">
        <is>
          <t>Ontario</t>
        </is>
      </c>
      <c r="M36" t="inlineStr">
        <is>
          <t>Toronto</t>
        </is>
      </c>
      <c r="N36" t="inlineStr">
        <is>
          <t>Ethan Brooks</t>
        </is>
      </c>
      <c r="O36" t="n">
        <v>1</v>
      </c>
      <c r="P36" s="3" t="n">
        <v>313.11</v>
      </c>
      <c r="Q36" s="4" t="n">
        <v>0.025</v>
      </c>
      <c r="R36" s="3" t="n">
        <v>305.28</v>
      </c>
      <c r="S36" s="3" t="n">
        <v>182.11</v>
      </c>
      <c r="T36" s="3" t="n">
        <v>116.37</v>
      </c>
      <c r="U36" s="4" t="n">
        <v>0.3812</v>
      </c>
      <c r="V36" s="3" t="n">
        <v>6.8</v>
      </c>
      <c r="W36" t="inlineStr">
        <is>
          <t>Credit Card</t>
        </is>
      </c>
      <c r="X36" t="inlineStr">
        <is>
          <t>High</t>
        </is>
      </c>
      <c r="Y36" t="n">
        <v>2025</v>
      </c>
      <c r="Z36" t="n">
        <v>11</v>
      </c>
      <c r="AA36" t="inlineStr">
        <is>
          <t>Nov</t>
        </is>
      </c>
      <c r="AB36" t="inlineStr">
        <is>
          <t>Sunday</t>
        </is>
      </c>
      <c r="AC36" t="n">
        <v>7</v>
      </c>
      <c r="AD36" t="inlineStr">
        <is>
          <t>Profitable</t>
        </is>
      </c>
      <c r="AE36" t="inlineStr">
        <is>
          <t>Medium</t>
        </is>
      </c>
      <c r="AF36" t="inlineStr">
        <is>
          <t>Small</t>
        </is>
      </c>
    </row>
    <row r="37">
      <c r="A37" t="inlineStr">
        <is>
          <t>ORD-00036</t>
        </is>
      </c>
      <c r="B37" s="2" t="n">
        <v>45931</v>
      </c>
      <c r="C37" s="2" t="n">
        <v>45932</v>
      </c>
      <c r="D37" t="inlineStr">
        <is>
          <t>CUST-00036</t>
        </is>
      </c>
      <c r="E37" t="inlineStr">
        <is>
          <t>Customer 36</t>
        </is>
      </c>
      <c r="F37" t="inlineStr">
        <is>
          <t>Home Office</t>
        </is>
      </c>
      <c r="G37" t="inlineStr">
        <is>
          <t>P1016</t>
        </is>
      </c>
      <c r="H37" t="inlineStr">
        <is>
          <t>Nimbus Monitor Arm</t>
        </is>
      </c>
      <c r="I37" t="inlineStr">
        <is>
          <t>Technology</t>
        </is>
      </c>
      <c r="J37" t="inlineStr">
        <is>
          <t>Paper</t>
        </is>
      </c>
      <c r="K37" t="inlineStr">
        <is>
          <t>West</t>
        </is>
      </c>
      <c r="L37" t="inlineStr">
        <is>
          <t>Colorado</t>
        </is>
      </c>
      <c r="M37" t="inlineStr">
        <is>
          <t>Los Angeles</t>
        </is>
      </c>
      <c r="N37" t="inlineStr">
        <is>
          <t>Noah Kim</t>
        </is>
      </c>
      <c r="O37" t="n">
        <v>2</v>
      </c>
      <c r="P37" s="3" t="n">
        <v>43.52</v>
      </c>
      <c r="Q37" s="4" t="n">
        <v>0.022</v>
      </c>
      <c r="R37" s="3" t="n">
        <v>85.13</v>
      </c>
      <c r="S37" s="3" t="n">
        <v>35.92</v>
      </c>
      <c r="T37" s="3" t="n">
        <v>40.61</v>
      </c>
      <c r="U37" s="4" t="n">
        <v>0.477</v>
      </c>
      <c r="V37" s="3" t="n">
        <v>8.6</v>
      </c>
      <c r="W37" t="inlineStr">
        <is>
          <t>Credit Card</t>
        </is>
      </c>
      <c r="X37" t="inlineStr">
        <is>
          <t>Medium</t>
        </is>
      </c>
      <c r="Y37" t="n">
        <v>2025</v>
      </c>
      <c r="Z37" t="n">
        <v>10</v>
      </c>
      <c r="AA37" t="inlineStr">
        <is>
          <t>Oct</t>
        </is>
      </c>
      <c r="AB37" t="inlineStr">
        <is>
          <t>Wednesday</t>
        </is>
      </c>
      <c r="AC37" t="n">
        <v>1</v>
      </c>
      <c r="AD37" t="inlineStr">
        <is>
          <t>Profitable</t>
        </is>
      </c>
      <c r="AE37" t="inlineStr">
        <is>
          <t>Medium</t>
        </is>
      </c>
      <c r="AF37" t="inlineStr">
        <is>
          <t>Small</t>
        </is>
      </c>
    </row>
    <row r="38">
      <c r="A38" t="inlineStr">
        <is>
          <t>ORD-00037</t>
        </is>
      </c>
      <c r="B38" s="2" t="n">
        <v>45605</v>
      </c>
      <c r="C38" s="2" t="n">
        <v>45609</v>
      </c>
      <c r="D38" t="inlineStr">
        <is>
          <t>CUST-00037</t>
        </is>
      </c>
      <c r="E38" t="inlineStr">
        <is>
          <t>Customer 37</t>
        </is>
      </c>
      <c r="F38" t="inlineStr">
        <is>
          <t>Home Office</t>
        </is>
      </c>
      <c r="G38" t="inlineStr">
        <is>
          <t>P1010</t>
        </is>
      </c>
      <c r="H38" t="inlineStr">
        <is>
          <t>Aero Standing Desk</t>
        </is>
      </c>
      <c r="I38" t="inlineStr">
        <is>
          <t>Home Decor</t>
        </is>
      </c>
      <c r="J38" t="inlineStr">
        <is>
          <t>Storage</t>
        </is>
      </c>
      <c r="K38" t="inlineStr">
        <is>
          <t>South</t>
        </is>
      </c>
      <c r="L38" t="inlineStr">
        <is>
          <t>Florida</t>
        </is>
      </c>
      <c r="M38" t="inlineStr">
        <is>
          <t>Dallas</t>
        </is>
      </c>
      <c r="N38" t="inlineStr">
        <is>
          <t>Olivia Martin</t>
        </is>
      </c>
      <c r="O38" t="n">
        <v>4</v>
      </c>
      <c r="P38" s="3" t="n">
        <v>59.29</v>
      </c>
      <c r="Q38" s="4" t="n">
        <v>0.008</v>
      </c>
      <c r="R38" s="3" t="n">
        <v>235.26</v>
      </c>
      <c r="S38" s="3" t="n">
        <v>104.49</v>
      </c>
      <c r="T38" s="3" t="n">
        <v>121.57</v>
      </c>
      <c r="U38" s="4" t="n">
        <v>0.5167</v>
      </c>
      <c r="V38" s="3" t="n">
        <v>9.199999999999999</v>
      </c>
      <c r="W38" t="inlineStr">
        <is>
          <t>Bank Transfer</t>
        </is>
      </c>
      <c r="X38" t="inlineStr">
        <is>
          <t>Medium</t>
        </is>
      </c>
      <c r="Y38" t="n">
        <v>2024</v>
      </c>
      <c r="Z38" t="n">
        <v>11</v>
      </c>
      <c r="AA38" t="inlineStr">
        <is>
          <t>Nov</t>
        </is>
      </c>
      <c r="AB38" t="inlineStr">
        <is>
          <t>Saturday</t>
        </is>
      </c>
      <c r="AC38" t="n">
        <v>4</v>
      </c>
      <c r="AD38" t="inlineStr">
        <is>
          <t>Profitable</t>
        </is>
      </c>
      <c r="AE38" t="inlineStr">
        <is>
          <t>Low</t>
        </is>
      </c>
      <c r="AF38" t="inlineStr">
        <is>
          <t>Small</t>
        </is>
      </c>
    </row>
    <row r="39">
      <c r="A39" t="inlineStr">
        <is>
          <t>ORD-00038</t>
        </is>
      </c>
      <c r="B39" s="2" t="n">
        <v>45091</v>
      </c>
      <c r="C39" s="2" t="n">
        <v>45092</v>
      </c>
      <c r="D39" t="inlineStr">
        <is>
          <t>CUST-00038</t>
        </is>
      </c>
      <c r="E39" t="inlineStr">
        <is>
          <t>Customer 38</t>
        </is>
      </c>
      <c r="F39" t="inlineStr">
        <is>
          <t>Consumer</t>
        </is>
      </c>
      <c r="G39" t="inlineStr">
        <is>
          <t>P1010</t>
        </is>
      </c>
      <c r="H39" t="inlineStr">
        <is>
          <t>Harbor Rug</t>
        </is>
      </c>
      <c r="I39" t="inlineStr">
        <is>
          <t>Technology</t>
        </is>
      </c>
      <c r="J39" t="inlineStr">
        <is>
          <t>Coolers</t>
        </is>
      </c>
      <c r="K39" t="inlineStr">
        <is>
          <t>Central</t>
        </is>
      </c>
      <c r="L39" t="inlineStr">
        <is>
          <t>Illinois</t>
        </is>
      </c>
      <c r="M39" t="inlineStr">
        <is>
          <t>Minneapolis</t>
        </is>
      </c>
      <c r="N39" t="inlineStr">
        <is>
          <t>Liam Chen</t>
        </is>
      </c>
      <c r="O39" t="n">
        <v>1</v>
      </c>
      <c r="P39" s="3" t="n">
        <v>54.36</v>
      </c>
      <c r="Q39" s="4" t="n">
        <v>0.012</v>
      </c>
      <c r="R39" s="3" t="n">
        <v>53.71</v>
      </c>
      <c r="S39" s="3" t="n">
        <v>31.12</v>
      </c>
      <c r="T39" s="3" t="n">
        <v>15.79</v>
      </c>
      <c r="U39" s="4" t="n">
        <v>0.294</v>
      </c>
      <c r="V39" s="3" t="n">
        <v>6.8</v>
      </c>
      <c r="W39" t="inlineStr">
        <is>
          <t>Cash on Delivery</t>
        </is>
      </c>
      <c r="X39" t="inlineStr">
        <is>
          <t>Medium</t>
        </is>
      </c>
      <c r="Y39" t="n">
        <v>2023</v>
      </c>
      <c r="Z39" t="n">
        <v>6</v>
      </c>
      <c r="AA39" t="inlineStr">
        <is>
          <t>Jun</t>
        </is>
      </c>
      <c r="AB39" t="inlineStr">
        <is>
          <t>Wednesday</t>
        </is>
      </c>
      <c r="AC39" t="n">
        <v>1</v>
      </c>
      <c r="AD39" t="inlineStr">
        <is>
          <t>Profitable</t>
        </is>
      </c>
      <c r="AE39" t="inlineStr">
        <is>
          <t>Low</t>
        </is>
      </c>
      <c r="AF39" t="inlineStr">
        <is>
          <t>Small</t>
        </is>
      </c>
    </row>
    <row r="40">
      <c r="A40" t="inlineStr">
        <is>
          <t>ORD-00039</t>
        </is>
      </c>
      <c r="B40" s="2" t="n">
        <v>45823</v>
      </c>
      <c r="C40" s="2" t="n">
        <v>45824</v>
      </c>
      <c r="D40" t="inlineStr">
        <is>
          <t>CUST-00039</t>
        </is>
      </c>
      <c r="E40" t="inlineStr">
        <is>
          <t>Customer 39</t>
        </is>
      </c>
      <c r="F40" t="inlineStr">
        <is>
          <t>Corporate</t>
        </is>
      </c>
      <c r="G40" t="inlineStr">
        <is>
          <t>P1011</t>
        </is>
      </c>
      <c r="H40" t="inlineStr">
        <is>
          <t>Cove Wall Clock</t>
        </is>
      </c>
      <c r="I40" t="inlineStr">
        <is>
          <t>Home Decor</t>
        </is>
      </c>
      <c r="J40" t="inlineStr">
        <is>
          <t>Lighting</t>
        </is>
      </c>
      <c r="K40" t="inlineStr">
        <is>
          <t>South</t>
        </is>
      </c>
      <c r="L40" t="inlineStr">
        <is>
          <t>Florida</t>
        </is>
      </c>
      <c r="M40" t="inlineStr">
        <is>
          <t>Atlanta</t>
        </is>
      </c>
      <c r="N40" t="inlineStr">
        <is>
          <t>Ethan Brooks</t>
        </is>
      </c>
      <c r="O40" t="n">
        <v>2</v>
      </c>
      <c r="P40" s="3" t="n">
        <v>87.62</v>
      </c>
      <c r="Q40" s="4" t="n">
        <v>0.023</v>
      </c>
      <c r="R40" s="3" t="n">
        <v>171.21</v>
      </c>
      <c r="S40" s="3" t="n">
        <v>87.90000000000001</v>
      </c>
      <c r="T40" s="3" t="n">
        <v>75.70999999999999</v>
      </c>
      <c r="U40" s="4" t="n">
        <v>0.4422</v>
      </c>
      <c r="V40" s="3" t="n">
        <v>7.6</v>
      </c>
      <c r="W40" t="inlineStr">
        <is>
          <t>Credit Card</t>
        </is>
      </c>
      <c r="X40" t="inlineStr">
        <is>
          <t>Medium</t>
        </is>
      </c>
      <c r="Y40" t="n">
        <v>2025</v>
      </c>
      <c r="Z40" t="n">
        <v>6</v>
      </c>
      <c r="AA40" t="inlineStr">
        <is>
          <t>Jun</t>
        </is>
      </c>
      <c r="AB40" t="inlineStr">
        <is>
          <t>Sunday</t>
        </is>
      </c>
      <c r="AC40" t="n">
        <v>1</v>
      </c>
      <c r="AD40" t="inlineStr">
        <is>
          <t>Profitable</t>
        </is>
      </c>
      <c r="AE40" t="inlineStr">
        <is>
          <t>Medium</t>
        </is>
      </c>
      <c r="AF40" t="inlineStr">
        <is>
          <t>Small</t>
        </is>
      </c>
    </row>
    <row r="41">
      <c r="A41" t="inlineStr">
        <is>
          <t>ORD-00040</t>
        </is>
      </c>
      <c r="B41" s="2" t="n">
        <v>45467</v>
      </c>
      <c r="C41" s="2" t="n">
        <v>45474</v>
      </c>
      <c r="D41" t="inlineStr">
        <is>
          <t>CUST-00040</t>
        </is>
      </c>
      <c r="E41" t="inlineStr">
        <is>
          <t>Customer 40</t>
        </is>
      </c>
      <c r="F41" t="inlineStr">
        <is>
          <t>Corporate</t>
        </is>
      </c>
      <c r="G41" t="inlineStr">
        <is>
          <t>P1012</t>
        </is>
      </c>
      <c r="H41" t="inlineStr">
        <is>
          <t>Aero Standing Desk</t>
        </is>
      </c>
      <c r="I41" t="inlineStr">
        <is>
          <t>Furniture</t>
        </is>
      </c>
      <c r="J41" t="inlineStr">
        <is>
          <t>Video</t>
        </is>
      </c>
      <c r="K41" t="inlineStr">
        <is>
          <t>West</t>
        </is>
      </c>
      <c r="L41" t="inlineStr">
        <is>
          <t>Oregon</t>
        </is>
      </c>
      <c r="M41" t="inlineStr">
        <is>
          <t>San Francisco</t>
        </is>
      </c>
      <c r="N41" t="inlineStr">
        <is>
          <t>Liam Chen</t>
        </is>
      </c>
      <c r="O41" t="n">
        <v>4</v>
      </c>
      <c r="P41" s="3" t="n">
        <v>146.75</v>
      </c>
      <c r="Q41" s="4" t="n">
        <v>0.04</v>
      </c>
      <c r="R41" s="3" t="n">
        <v>563.52</v>
      </c>
      <c r="S41" s="3" t="n">
        <v>283.72</v>
      </c>
      <c r="T41" s="3" t="n">
        <v>269.6</v>
      </c>
      <c r="U41" s="4" t="n">
        <v>0.4784</v>
      </c>
      <c r="V41" s="3" t="n">
        <v>10.2</v>
      </c>
      <c r="W41" t="inlineStr">
        <is>
          <t>Bank Transfer</t>
        </is>
      </c>
      <c r="X41" t="inlineStr">
        <is>
          <t>Medium</t>
        </is>
      </c>
      <c r="Y41" t="n">
        <v>2024</v>
      </c>
      <c r="Z41" t="n">
        <v>6</v>
      </c>
      <c r="AA41" t="inlineStr">
        <is>
          <t>Jun</t>
        </is>
      </c>
      <c r="AB41" t="inlineStr">
        <is>
          <t>Monday</t>
        </is>
      </c>
      <c r="AC41" t="n">
        <v>7</v>
      </c>
      <c r="AD41" t="inlineStr">
        <is>
          <t>Profitable</t>
        </is>
      </c>
      <c r="AE41" t="inlineStr">
        <is>
          <t>Medium</t>
        </is>
      </c>
      <c r="AF41" t="inlineStr">
        <is>
          <t>Medium</t>
        </is>
      </c>
    </row>
    <row r="42">
      <c r="A42" t="inlineStr">
        <is>
          <t>ORD-00041</t>
        </is>
      </c>
      <c r="B42" s="2" t="n">
        <v>45017</v>
      </c>
      <c r="C42" s="2" t="n">
        <v>45021</v>
      </c>
      <c r="D42" t="inlineStr">
        <is>
          <t>CUST-00041</t>
        </is>
      </c>
      <c r="E42" t="inlineStr">
        <is>
          <t>Customer 41</t>
        </is>
      </c>
      <c r="F42" t="inlineStr">
        <is>
          <t>Consumer</t>
        </is>
      </c>
      <c r="G42" t="inlineStr">
        <is>
          <t>P1008</t>
        </is>
      </c>
      <c r="H42" t="inlineStr">
        <is>
          <t>Echo Web Camera</t>
        </is>
      </c>
      <c r="I42" t="inlineStr">
        <is>
          <t>Technology</t>
        </is>
      </c>
      <c r="J42" t="inlineStr">
        <is>
          <t>Video</t>
        </is>
      </c>
      <c r="K42" t="inlineStr">
        <is>
          <t>South</t>
        </is>
      </c>
      <c r="L42" t="inlineStr">
        <is>
          <t>Florida</t>
        </is>
      </c>
      <c r="M42" t="inlineStr">
        <is>
          <t>Dallas</t>
        </is>
      </c>
      <c r="N42" t="inlineStr">
        <is>
          <t>Ava Patel</t>
        </is>
      </c>
      <c r="O42" t="n">
        <v>1</v>
      </c>
      <c r="P42" s="3" t="n">
        <v>33.13</v>
      </c>
      <c r="Q42" s="4" t="n">
        <v>0.014</v>
      </c>
      <c r="R42" s="3" t="n">
        <v>32.67</v>
      </c>
      <c r="S42" s="3" t="n">
        <v>20.74</v>
      </c>
      <c r="T42" s="3" t="n">
        <v>5.13</v>
      </c>
      <c r="U42" s="4" t="n">
        <v>0.157</v>
      </c>
      <c r="V42" s="3" t="n">
        <v>6.8</v>
      </c>
      <c r="W42" t="inlineStr">
        <is>
          <t>Debit Card</t>
        </is>
      </c>
      <c r="X42" t="inlineStr">
        <is>
          <t>Medium</t>
        </is>
      </c>
      <c r="Y42" t="n">
        <v>2023</v>
      </c>
      <c r="Z42" t="n">
        <v>4</v>
      </c>
      <c r="AA42" t="inlineStr">
        <is>
          <t>Apr</t>
        </is>
      </c>
      <c r="AB42" t="inlineStr">
        <is>
          <t>Saturday</t>
        </is>
      </c>
      <c r="AC42" t="n">
        <v>4</v>
      </c>
      <c r="AD42" t="inlineStr">
        <is>
          <t>Profitable</t>
        </is>
      </c>
      <c r="AE42" t="inlineStr">
        <is>
          <t>Low</t>
        </is>
      </c>
      <c r="AF42" t="inlineStr">
        <is>
          <t>Small</t>
        </is>
      </c>
    </row>
    <row r="43">
      <c r="A43" t="inlineStr">
        <is>
          <t>ORD-00042</t>
        </is>
      </c>
      <c r="B43" s="2" t="n">
        <v>45324</v>
      </c>
      <c r="C43" s="2" t="n">
        <v>45328</v>
      </c>
      <c r="D43" t="inlineStr">
        <is>
          <t>CUST-00042</t>
        </is>
      </c>
      <c r="E43" t="inlineStr">
        <is>
          <t>Customer 42</t>
        </is>
      </c>
      <c r="F43" t="inlineStr">
        <is>
          <t>Consumer</t>
        </is>
      </c>
      <c r="G43" t="inlineStr">
        <is>
          <t>P1005</t>
        </is>
      </c>
      <c r="H43" t="inlineStr">
        <is>
          <t>Atlas Throw Pillow</t>
        </is>
      </c>
      <c r="I43" t="inlineStr">
        <is>
          <t>Office Supplies</t>
        </is>
      </c>
      <c r="J43" t="inlineStr">
        <is>
          <t>Flooring</t>
        </is>
      </c>
      <c r="K43" t="inlineStr">
        <is>
          <t>West</t>
        </is>
      </c>
      <c r="L43" t="inlineStr">
        <is>
          <t>Colorado</t>
        </is>
      </c>
      <c r="M43" t="inlineStr">
        <is>
          <t>Seattle</t>
        </is>
      </c>
      <c r="N43" t="inlineStr">
        <is>
          <t>Liam Chen</t>
        </is>
      </c>
      <c r="O43" t="n">
        <v>3</v>
      </c>
      <c r="P43" s="3" t="n">
        <v>13.1</v>
      </c>
      <c r="Q43" s="4" t="n">
        <v>0.04799999999999999</v>
      </c>
      <c r="R43" s="3" t="n">
        <v>37.41</v>
      </c>
      <c r="S43" s="3" t="n">
        <v>18.59</v>
      </c>
      <c r="T43" s="3" t="n">
        <v>9.42</v>
      </c>
      <c r="U43" s="4" t="n">
        <v>0.2518</v>
      </c>
      <c r="V43" s="3" t="n">
        <v>9.4</v>
      </c>
      <c r="W43" t="inlineStr">
        <is>
          <t>Debit Card</t>
        </is>
      </c>
      <c r="X43" t="inlineStr">
        <is>
          <t>High</t>
        </is>
      </c>
      <c r="Y43" t="n">
        <v>2024</v>
      </c>
      <c r="Z43" t="n">
        <v>2</v>
      </c>
      <c r="AA43" t="inlineStr">
        <is>
          <t>Feb</t>
        </is>
      </c>
      <c r="AB43" t="inlineStr">
        <is>
          <t>Friday</t>
        </is>
      </c>
      <c r="AC43" t="n">
        <v>4</v>
      </c>
      <c r="AD43" t="inlineStr">
        <is>
          <t>Profitable</t>
        </is>
      </c>
      <c r="AE43" t="inlineStr">
        <is>
          <t>Medium</t>
        </is>
      </c>
      <c r="AF43" t="inlineStr">
        <is>
          <t>Small</t>
        </is>
      </c>
    </row>
    <row r="44">
      <c r="A44" t="inlineStr">
        <is>
          <t>ORD-00043</t>
        </is>
      </c>
      <c r="B44" s="2" t="n">
        <v>45156</v>
      </c>
      <c r="C44" s="2" t="n">
        <v>45163</v>
      </c>
      <c r="D44" t="inlineStr">
        <is>
          <t>CUST-00043</t>
        </is>
      </c>
      <c r="E44" t="inlineStr">
        <is>
          <t>Customer 43</t>
        </is>
      </c>
      <c r="F44" t="inlineStr">
        <is>
          <t>Corporate</t>
        </is>
      </c>
      <c r="G44" t="inlineStr">
        <is>
          <t>P1009</t>
        </is>
      </c>
      <c r="H44" t="inlineStr">
        <is>
          <t>Orbit Wireless Mouse</t>
        </is>
      </c>
      <c r="I44" t="inlineStr">
        <is>
          <t>Technology</t>
        </is>
      </c>
      <c r="J44" t="inlineStr">
        <is>
          <t>Desks</t>
        </is>
      </c>
      <c r="K44" t="inlineStr">
        <is>
          <t>North</t>
        </is>
      </c>
      <c r="L44" t="inlineStr">
        <is>
          <t>Ontario</t>
        </is>
      </c>
      <c r="M44" t="inlineStr">
        <is>
          <t>Calgary</t>
        </is>
      </c>
      <c r="N44" t="inlineStr">
        <is>
          <t>James Carter</t>
        </is>
      </c>
      <c r="O44" t="n">
        <v>3</v>
      </c>
      <c r="P44" s="3" t="n">
        <v>94.95999999999999</v>
      </c>
      <c r="Q44" s="4" t="n">
        <v>0.031</v>
      </c>
      <c r="R44" s="3" t="n">
        <v>276.05</v>
      </c>
      <c r="S44" s="3" t="n">
        <v>137.92</v>
      </c>
      <c r="T44" s="3" t="n">
        <v>129.73</v>
      </c>
      <c r="U44" s="4" t="n">
        <v>0.47</v>
      </c>
      <c r="V44" s="3" t="n">
        <v>8.4</v>
      </c>
      <c r="W44" t="inlineStr">
        <is>
          <t>Credit Card</t>
        </is>
      </c>
      <c r="X44" t="inlineStr">
        <is>
          <t>High</t>
        </is>
      </c>
      <c r="Y44" t="n">
        <v>2023</v>
      </c>
      <c r="Z44" t="n">
        <v>8</v>
      </c>
      <c r="AA44" t="inlineStr">
        <is>
          <t>Aug</t>
        </is>
      </c>
      <c r="AB44" t="inlineStr">
        <is>
          <t>Friday</t>
        </is>
      </c>
      <c r="AC44" t="n">
        <v>7</v>
      </c>
      <c r="AD44" t="inlineStr">
        <is>
          <t>Profitable</t>
        </is>
      </c>
      <c r="AE44" t="inlineStr">
        <is>
          <t>Medium</t>
        </is>
      </c>
      <c r="AF44" t="inlineStr">
        <is>
          <t>Small</t>
        </is>
      </c>
    </row>
    <row r="45">
      <c r="A45" t="inlineStr">
        <is>
          <t>ORD-00044</t>
        </is>
      </c>
      <c r="B45" s="2" t="n">
        <v>46009</v>
      </c>
      <c r="C45" s="2" t="n">
        <v>46016</v>
      </c>
      <c r="D45" t="inlineStr">
        <is>
          <t>CUST-00044</t>
        </is>
      </c>
      <c r="E45" t="inlineStr">
        <is>
          <t>Customer 44</t>
        </is>
      </c>
      <c r="F45" t="inlineStr">
        <is>
          <t>Corporate</t>
        </is>
      </c>
      <c r="G45" t="inlineStr">
        <is>
          <t>P1011</t>
        </is>
      </c>
      <c r="H45" t="inlineStr">
        <is>
          <t>Trail Tote</t>
        </is>
      </c>
      <c r="I45" t="inlineStr">
        <is>
          <t>Technology</t>
        </is>
      </c>
      <c r="J45" t="inlineStr">
        <is>
          <t>Peripherals</t>
        </is>
      </c>
      <c r="K45" t="inlineStr">
        <is>
          <t>East</t>
        </is>
      </c>
      <c r="L45" t="inlineStr">
        <is>
          <t>Virginia</t>
        </is>
      </c>
      <c r="M45" t="inlineStr">
        <is>
          <t>Boston</t>
        </is>
      </c>
      <c r="N45" t="inlineStr">
        <is>
          <t>James Carter</t>
        </is>
      </c>
      <c r="O45" t="n">
        <v>1</v>
      </c>
      <c r="P45" s="3" t="n">
        <v>93.7</v>
      </c>
      <c r="Q45" s="4" t="n">
        <v>0.024</v>
      </c>
      <c r="R45" s="3" t="n">
        <v>91.45</v>
      </c>
      <c r="S45" s="3" t="n">
        <v>52.58</v>
      </c>
      <c r="T45" s="3" t="n">
        <v>31.07</v>
      </c>
      <c r="U45" s="4" t="n">
        <v>0.3397</v>
      </c>
      <c r="V45" s="3" t="n">
        <v>7.8</v>
      </c>
      <c r="W45" t="inlineStr">
        <is>
          <t>PayPal</t>
        </is>
      </c>
      <c r="X45" t="inlineStr">
        <is>
          <t>Medium</t>
        </is>
      </c>
      <c r="Y45" t="n">
        <v>2025</v>
      </c>
      <c r="Z45" t="n">
        <v>12</v>
      </c>
      <c r="AA45" t="inlineStr">
        <is>
          <t>Dec</t>
        </is>
      </c>
      <c r="AB45" t="inlineStr">
        <is>
          <t>Thursday</t>
        </is>
      </c>
      <c r="AC45" t="n">
        <v>7</v>
      </c>
      <c r="AD45" t="inlineStr">
        <is>
          <t>Profitable</t>
        </is>
      </c>
      <c r="AE45" t="inlineStr">
        <is>
          <t>Medium</t>
        </is>
      </c>
      <c r="AF45" t="inlineStr">
        <is>
          <t>Small</t>
        </is>
      </c>
    </row>
    <row r="46">
      <c r="A46" t="inlineStr">
        <is>
          <t>ORD-00045</t>
        </is>
      </c>
      <c r="B46" s="2" t="n">
        <v>44991</v>
      </c>
      <c r="C46" s="2" t="n">
        <v>44994</v>
      </c>
      <c r="D46" t="inlineStr">
        <is>
          <t>CUST-00045</t>
        </is>
      </c>
      <c r="E46" t="inlineStr">
        <is>
          <t>Customer 45</t>
        </is>
      </c>
      <c r="F46" t="inlineStr">
        <is>
          <t>Consumer</t>
        </is>
      </c>
      <c r="G46" t="inlineStr">
        <is>
          <t>P1015</t>
        </is>
      </c>
      <c r="H46" t="inlineStr">
        <is>
          <t>Summit Patio Set</t>
        </is>
      </c>
      <c r="I46" t="inlineStr">
        <is>
          <t>Office Supplies</t>
        </is>
      </c>
      <c r="J46" t="inlineStr">
        <is>
          <t>Textiles</t>
        </is>
      </c>
      <c r="K46" t="inlineStr">
        <is>
          <t>Central</t>
        </is>
      </c>
      <c r="L46" t="inlineStr">
        <is>
          <t>Minnesota</t>
        </is>
      </c>
      <c r="M46" t="inlineStr">
        <is>
          <t>Minneapolis</t>
        </is>
      </c>
      <c r="N46" t="inlineStr">
        <is>
          <t>Sophia Singh</t>
        </is>
      </c>
      <c r="O46" t="n">
        <v>1</v>
      </c>
      <c r="P46" s="3" t="n">
        <v>65.09</v>
      </c>
      <c r="Q46" s="4" t="n">
        <v>0.004</v>
      </c>
      <c r="R46" s="3" t="n">
        <v>64.83</v>
      </c>
      <c r="S46" s="3" t="n">
        <v>36.88</v>
      </c>
      <c r="T46" s="3" t="n">
        <v>21.15</v>
      </c>
      <c r="U46" s="4" t="n">
        <v>0.3262</v>
      </c>
      <c r="V46" s="3" t="n">
        <v>6.8</v>
      </c>
      <c r="W46" t="inlineStr">
        <is>
          <t>Cash on Delivery</t>
        </is>
      </c>
      <c r="X46" t="inlineStr">
        <is>
          <t>Low</t>
        </is>
      </c>
      <c r="Y46" t="n">
        <v>2023</v>
      </c>
      <c r="Z46" t="n">
        <v>3</v>
      </c>
      <c r="AA46" t="inlineStr">
        <is>
          <t>Mar</t>
        </is>
      </c>
      <c r="AB46" t="inlineStr">
        <is>
          <t>Monday</t>
        </is>
      </c>
      <c r="AC46" t="n">
        <v>3</v>
      </c>
      <c r="AD46" t="inlineStr">
        <is>
          <t>Profitable</t>
        </is>
      </c>
      <c r="AE46" t="inlineStr">
        <is>
          <t>Low</t>
        </is>
      </c>
      <c r="AF46" t="inlineStr">
        <is>
          <t>Small</t>
        </is>
      </c>
    </row>
    <row r="47">
      <c r="A47" t="inlineStr">
        <is>
          <t>ORD-00046</t>
        </is>
      </c>
      <c r="B47" s="2" t="n">
        <v>45677</v>
      </c>
      <c r="C47" s="2" t="n">
        <v>45683</v>
      </c>
      <c r="D47" t="inlineStr">
        <is>
          <t>CUST-00046</t>
        </is>
      </c>
      <c r="E47" t="inlineStr">
        <is>
          <t>Customer 46</t>
        </is>
      </c>
      <c r="F47" t="inlineStr">
        <is>
          <t>Consumer</t>
        </is>
      </c>
      <c r="G47" t="inlineStr">
        <is>
          <t>P1017</t>
        </is>
      </c>
      <c r="H47" t="inlineStr">
        <is>
          <t>SmartInk Pen Set</t>
        </is>
      </c>
      <c r="I47" t="inlineStr">
        <is>
          <t>Outdoor</t>
        </is>
      </c>
      <c r="J47" t="inlineStr">
        <is>
          <t>Paper</t>
        </is>
      </c>
      <c r="K47" t="inlineStr">
        <is>
          <t>East</t>
        </is>
      </c>
      <c r="L47" t="inlineStr">
        <is>
          <t>New Jersey</t>
        </is>
      </c>
      <c r="M47" t="inlineStr">
        <is>
          <t>New York</t>
        </is>
      </c>
      <c r="N47" t="inlineStr">
        <is>
          <t>Ethan Brooks</t>
        </is>
      </c>
      <c r="O47" t="n">
        <v>5</v>
      </c>
      <c r="P47" s="3" t="n">
        <v>533.34</v>
      </c>
      <c r="Q47" s="4" t="n">
        <v>0.026</v>
      </c>
      <c r="R47" s="3" t="n">
        <v>2597.37</v>
      </c>
      <c r="S47" s="3" t="n">
        <v>1718.41</v>
      </c>
      <c r="T47" s="3" t="n">
        <v>867.96</v>
      </c>
      <c r="U47" s="4" t="n">
        <v>0.3342</v>
      </c>
      <c r="V47" s="3" t="n">
        <v>11</v>
      </c>
      <c r="W47" t="inlineStr">
        <is>
          <t>Credit Card</t>
        </is>
      </c>
      <c r="X47" t="inlineStr">
        <is>
          <t>Medium</t>
        </is>
      </c>
      <c r="Y47" t="n">
        <v>2025</v>
      </c>
      <c r="Z47" t="n">
        <v>1</v>
      </c>
      <c r="AA47" t="inlineStr">
        <is>
          <t>Jan</t>
        </is>
      </c>
      <c r="AB47" t="inlineStr">
        <is>
          <t>Monday</t>
        </is>
      </c>
      <c r="AC47" t="n">
        <v>6</v>
      </c>
      <c r="AD47" t="inlineStr">
        <is>
          <t>Profitable</t>
        </is>
      </c>
      <c r="AE47" t="inlineStr">
        <is>
          <t>Medium</t>
        </is>
      </c>
      <c r="AF47" t="inlineStr">
        <is>
          <t>Large</t>
        </is>
      </c>
    </row>
    <row r="48">
      <c r="A48" t="inlineStr">
        <is>
          <t>ORD-00047</t>
        </is>
      </c>
      <c r="B48" s="2" t="n">
        <v>45604</v>
      </c>
      <c r="C48" s="2" t="n">
        <v>45610</v>
      </c>
      <c r="D48" t="inlineStr">
        <is>
          <t>CUST-00047</t>
        </is>
      </c>
      <c r="E48" t="inlineStr">
        <is>
          <t>Customer 47</t>
        </is>
      </c>
      <c r="F48" t="inlineStr">
        <is>
          <t>Consumer</t>
        </is>
      </c>
      <c r="G48" t="inlineStr">
        <is>
          <t>P1011</t>
        </is>
      </c>
      <c r="H48" t="inlineStr">
        <is>
          <t>Aero Standing Desk</t>
        </is>
      </c>
      <c r="I48" t="inlineStr">
        <is>
          <t>Technology</t>
        </is>
      </c>
      <c r="J48" t="inlineStr">
        <is>
          <t>Video</t>
        </is>
      </c>
      <c r="K48" t="inlineStr">
        <is>
          <t>South</t>
        </is>
      </c>
      <c r="L48" t="inlineStr">
        <is>
          <t>Georgia</t>
        </is>
      </c>
      <c r="M48" t="inlineStr">
        <is>
          <t>Dallas</t>
        </is>
      </c>
      <c r="N48" t="inlineStr">
        <is>
          <t>James Carter</t>
        </is>
      </c>
      <c r="O48" t="n">
        <v>5</v>
      </c>
      <c r="P48" s="3" t="n">
        <v>89.53</v>
      </c>
      <c r="Q48" s="4" t="n">
        <v>0.023</v>
      </c>
      <c r="R48" s="3" t="n">
        <v>437.35</v>
      </c>
      <c r="S48" s="3" t="n">
        <v>206.29</v>
      </c>
      <c r="T48" s="3" t="n">
        <v>221.06</v>
      </c>
      <c r="U48" s="4" t="n">
        <v>0.5054999999999999</v>
      </c>
      <c r="V48" s="3" t="n">
        <v>10</v>
      </c>
      <c r="W48" t="inlineStr">
        <is>
          <t>Credit Card</t>
        </is>
      </c>
      <c r="X48" t="inlineStr">
        <is>
          <t>Medium</t>
        </is>
      </c>
      <c r="Y48" t="n">
        <v>2024</v>
      </c>
      <c r="Z48" t="n">
        <v>11</v>
      </c>
      <c r="AA48" t="inlineStr">
        <is>
          <t>Nov</t>
        </is>
      </c>
      <c r="AB48" t="inlineStr">
        <is>
          <t>Friday</t>
        </is>
      </c>
      <c r="AC48" t="n">
        <v>6</v>
      </c>
      <c r="AD48" t="inlineStr">
        <is>
          <t>Profitable</t>
        </is>
      </c>
      <c r="AE48" t="inlineStr">
        <is>
          <t>Medium</t>
        </is>
      </c>
      <c r="AF48" t="inlineStr">
        <is>
          <t>Small</t>
        </is>
      </c>
    </row>
    <row r="49">
      <c r="A49" t="inlineStr">
        <is>
          <t>ORD-00048</t>
        </is>
      </c>
      <c r="B49" s="2" t="n">
        <v>45383</v>
      </c>
      <c r="C49" s="2" t="n">
        <v>45390</v>
      </c>
      <c r="D49" t="inlineStr">
        <is>
          <t>CUST-00048</t>
        </is>
      </c>
      <c r="E49" t="inlineStr">
        <is>
          <t>Customer 48</t>
        </is>
      </c>
      <c r="F49" t="inlineStr">
        <is>
          <t>Consumer</t>
        </is>
      </c>
      <c r="G49" t="inlineStr">
        <is>
          <t>P1013</t>
        </is>
      </c>
      <c r="H49" t="inlineStr">
        <is>
          <t>Echo Web Camera</t>
        </is>
      </c>
      <c r="I49" t="inlineStr">
        <is>
          <t>Technology</t>
        </is>
      </c>
      <c r="J49" t="inlineStr">
        <is>
          <t>Textiles</t>
        </is>
      </c>
      <c r="K49" t="inlineStr">
        <is>
          <t>West</t>
        </is>
      </c>
      <c r="L49" t="inlineStr">
        <is>
          <t>Colorado</t>
        </is>
      </c>
      <c r="M49" t="inlineStr">
        <is>
          <t>San Francisco</t>
        </is>
      </c>
      <c r="N49" t="inlineStr">
        <is>
          <t>Ava Patel</t>
        </is>
      </c>
      <c r="O49" t="n">
        <v>4</v>
      </c>
      <c r="P49" s="3" t="n">
        <v>168.13</v>
      </c>
      <c r="Q49" s="4" t="n">
        <v>0.008</v>
      </c>
      <c r="R49" s="3" t="n">
        <v>667.14</v>
      </c>
      <c r="S49" s="3" t="n">
        <v>382.79</v>
      </c>
      <c r="T49" s="3" t="n">
        <v>274.15</v>
      </c>
      <c r="U49" s="4" t="n">
        <v>0.4109</v>
      </c>
      <c r="V49" s="3" t="n">
        <v>10.2</v>
      </c>
      <c r="W49" t="inlineStr">
        <is>
          <t>PayPal</t>
        </is>
      </c>
      <c r="X49" t="inlineStr">
        <is>
          <t>Low</t>
        </is>
      </c>
      <c r="Y49" t="n">
        <v>2024</v>
      </c>
      <c r="Z49" t="n">
        <v>4</v>
      </c>
      <c r="AA49" t="inlineStr">
        <is>
          <t>Apr</t>
        </is>
      </c>
      <c r="AB49" t="inlineStr">
        <is>
          <t>Monday</t>
        </is>
      </c>
      <c r="AC49" t="n">
        <v>7</v>
      </c>
      <c r="AD49" t="inlineStr">
        <is>
          <t>Profitable</t>
        </is>
      </c>
      <c r="AE49" t="inlineStr">
        <is>
          <t>Low</t>
        </is>
      </c>
      <c r="AF49" t="inlineStr">
        <is>
          <t>Medium</t>
        </is>
      </c>
    </row>
    <row r="50">
      <c r="A50" t="inlineStr">
        <is>
          <t>ORD-00049</t>
        </is>
      </c>
      <c r="B50" s="2" t="n">
        <v>45611</v>
      </c>
      <c r="C50" s="2" t="n">
        <v>45616</v>
      </c>
      <c r="D50" t="inlineStr">
        <is>
          <t>CUST-00049</t>
        </is>
      </c>
      <c r="E50" t="inlineStr">
        <is>
          <t>Customer 49</t>
        </is>
      </c>
      <c r="F50" t="inlineStr">
        <is>
          <t>Corporate</t>
        </is>
      </c>
      <c r="G50" t="inlineStr">
        <is>
          <t>P1017</t>
        </is>
      </c>
      <c r="H50" t="inlineStr">
        <is>
          <t>Orbit Wireless Mouse</t>
        </is>
      </c>
      <c r="I50" t="inlineStr">
        <is>
          <t>Home Decor</t>
        </is>
      </c>
      <c r="J50" t="inlineStr">
        <is>
          <t>Plants</t>
        </is>
      </c>
      <c r="K50" t="inlineStr">
        <is>
          <t>North</t>
        </is>
      </c>
      <c r="L50" t="inlineStr">
        <is>
          <t>Alberta</t>
        </is>
      </c>
      <c r="M50" t="inlineStr">
        <is>
          <t>Vancouver</t>
        </is>
      </c>
      <c r="N50" t="inlineStr">
        <is>
          <t>Ethan Brooks</t>
        </is>
      </c>
      <c r="O50" t="n">
        <v>3</v>
      </c>
      <c r="P50" s="3" t="n">
        <v>604.86</v>
      </c>
      <c r="Q50" s="4" t="n">
        <v>0.057</v>
      </c>
      <c r="R50" s="3" t="n">
        <v>1711.15</v>
      </c>
      <c r="S50" s="3" t="n">
        <v>1137.2</v>
      </c>
      <c r="T50" s="3" t="n">
        <v>565.55</v>
      </c>
      <c r="U50" s="4" t="n">
        <v>0.3305</v>
      </c>
      <c r="V50" s="3" t="n">
        <v>8.4</v>
      </c>
      <c r="W50" t="inlineStr">
        <is>
          <t>Credit Card</t>
        </is>
      </c>
      <c r="X50" t="inlineStr">
        <is>
          <t>High</t>
        </is>
      </c>
      <c r="Y50" t="n">
        <v>2024</v>
      </c>
      <c r="Z50" t="n">
        <v>11</v>
      </c>
      <c r="AA50" t="inlineStr">
        <is>
          <t>Nov</t>
        </is>
      </c>
      <c r="AB50" t="inlineStr">
        <is>
          <t>Friday</t>
        </is>
      </c>
      <c r="AC50" t="n">
        <v>5</v>
      </c>
      <c r="AD50" t="inlineStr">
        <is>
          <t>Profitable</t>
        </is>
      </c>
      <c r="AE50" t="inlineStr">
        <is>
          <t>High</t>
        </is>
      </c>
      <c r="AF50" t="inlineStr">
        <is>
          <t>Large</t>
        </is>
      </c>
    </row>
    <row r="51">
      <c r="A51" t="inlineStr">
        <is>
          <t>ORD-00050</t>
        </is>
      </c>
      <c r="B51" s="2" t="n">
        <v>45209</v>
      </c>
      <c r="C51" s="2" t="n">
        <v>45210</v>
      </c>
      <c r="D51" t="inlineStr">
        <is>
          <t>CUST-00050</t>
        </is>
      </c>
      <c r="E51" t="inlineStr">
        <is>
          <t>Customer 50</t>
        </is>
      </c>
      <c r="F51" t="inlineStr">
        <is>
          <t>Consumer</t>
        </is>
      </c>
      <c r="G51" t="inlineStr">
        <is>
          <t>P1007</t>
        </is>
      </c>
      <c r="H51" t="inlineStr">
        <is>
          <t>Lumen Desk Lamp</t>
        </is>
      </c>
      <c r="I51" t="inlineStr">
        <is>
          <t>Technology</t>
        </is>
      </c>
      <c r="J51" t="inlineStr">
        <is>
          <t>Lighting</t>
        </is>
      </c>
      <c r="K51" t="inlineStr">
        <is>
          <t>South</t>
        </is>
      </c>
      <c r="L51" t="inlineStr">
        <is>
          <t>Georgia</t>
        </is>
      </c>
      <c r="M51" t="inlineStr">
        <is>
          <t>Miami</t>
        </is>
      </c>
      <c r="N51" t="inlineStr">
        <is>
          <t>Noah Kim</t>
        </is>
      </c>
      <c r="O51" t="n">
        <v>3</v>
      </c>
      <c r="P51" s="3" t="n">
        <v>24.63</v>
      </c>
      <c r="Q51" s="4" t="n">
        <v>0.004</v>
      </c>
      <c r="R51" s="3" t="n">
        <v>73.59</v>
      </c>
      <c r="S51" s="3" t="n">
        <v>30.05</v>
      </c>
      <c r="T51" s="3" t="n">
        <v>35.14</v>
      </c>
      <c r="U51" s="4" t="n">
        <v>0.4775</v>
      </c>
      <c r="V51" s="3" t="n">
        <v>8.4</v>
      </c>
      <c r="W51" t="inlineStr">
        <is>
          <t>Debit Card</t>
        </is>
      </c>
      <c r="X51" t="inlineStr">
        <is>
          <t>Medium</t>
        </is>
      </c>
      <c r="Y51" t="n">
        <v>2023</v>
      </c>
      <c r="Z51" t="n">
        <v>10</v>
      </c>
      <c r="AA51" t="inlineStr">
        <is>
          <t>Oct</t>
        </is>
      </c>
      <c r="AB51" t="inlineStr">
        <is>
          <t>Tuesday</t>
        </is>
      </c>
      <c r="AC51" t="n">
        <v>1</v>
      </c>
      <c r="AD51" t="inlineStr">
        <is>
          <t>Profitable</t>
        </is>
      </c>
      <c r="AE51" t="inlineStr">
        <is>
          <t>Low</t>
        </is>
      </c>
      <c r="AF51" t="inlineStr">
        <is>
          <t>Small</t>
        </is>
      </c>
    </row>
    <row r="52">
      <c r="A52" t="inlineStr">
        <is>
          <t>ORD-00051</t>
        </is>
      </c>
      <c r="B52" s="2" t="n">
        <v>45995</v>
      </c>
      <c r="C52" s="2" t="n">
        <v>46001</v>
      </c>
      <c r="D52" t="inlineStr">
        <is>
          <t>CUST-00051</t>
        </is>
      </c>
      <c r="E52" t="inlineStr">
        <is>
          <t>Customer 51</t>
        </is>
      </c>
      <c r="F52" t="inlineStr">
        <is>
          <t>Consumer</t>
        </is>
      </c>
      <c r="G52" t="inlineStr">
        <is>
          <t>P1009</t>
        </is>
      </c>
      <c r="H52" t="inlineStr">
        <is>
          <t>Cove Wall Clock</t>
        </is>
      </c>
      <c r="I52" t="inlineStr">
        <is>
          <t>Home Decor</t>
        </is>
      </c>
      <c r="J52" t="inlineStr">
        <is>
          <t>Textiles</t>
        </is>
      </c>
      <c r="K52" t="inlineStr">
        <is>
          <t>Central</t>
        </is>
      </c>
      <c r="L52" t="inlineStr">
        <is>
          <t>Missouri</t>
        </is>
      </c>
      <c r="M52" t="inlineStr">
        <is>
          <t>St. Louis</t>
        </is>
      </c>
      <c r="N52" t="inlineStr">
        <is>
          <t>Liam Chen</t>
        </is>
      </c>
      <c r="O52" t="n">
        <v>4</v>
      </c>
      <c r="P52" s="3" t="n">
        <v>94.19</v>
      </c>
      <c r="Q52" s="4" t="n">
        <v>0.004</v>
      </c>
      <c r="R52" s="3" t="n">
        <v>375.25</v>
      </c>
      <c r="S52" s="3" t="n">
        <v>181.79</v>
      </c>
      <c r="T52" s="3" t="n">
        <v>184.26</v>
      </c>
      <c r="U52" s="4" t="n">
        <v>0.491</v>
      </c>
      <c r="V52" s="3" t="n">
        <v>9.199999999999999</v>
      </c>
      <c r="W52" t="inlineStr">
        <is>
          <t>Credit Card</t>
        </is>
      </c>
      <c r="X52" t="inlineStr">
        <is>
          <t>Medium</t>
        </is>
      </c>
      <c r="Y52" t="n">
        <v>2025</v>
      </c>
      <c r="Z52" t="n">
        <v>12</v>
      </c>
      <c r="AA52" t="inlineStr">
        <is>
          <t>Dec</t>
        </is>
      </c>
      <c r="AB52" t="inlineStr">
        <is>
          <t>Thursday</t>
        </is>
      </c>
      <c r="AC52" t="n">
        <v>6</v>
      </c>
      <c r="AD52" t="inlineStr">
        <is>
          <t>Profitable</t>
        </is>
      </c>
      <c r="AE52" t="inlineStr">
        <is>
          <t>Low</t>
        </is>
      </c>
      <c r="AF52" t="inlineStr">
        <is>
          <t>Small</t>
        </is>
      </c>
    </row>
    <row r="53">
      <c r="A53" t="inlineStr">
        <is>
          <t>ORD-00052</t>
        </is>
      </c>
      <c r="B53" s="2" t="n">
        <v>45818</v>
      </c>
      <c r="C53" s="2" t="n">
        <v>45820</v>
      </c>
      <c r="D53" t="inlineStr">
        <is>
          <t>CUST-00052</t>
        </is>
      </c>
      <c r="E53" t="inlineStr">
        <is>
          <t>Customer 52</t>
        </is>
      </c>
      <c r="F53" t="inlineStr">
        <is>
          <t>Home Office</t>
        </is>
      </c>
      <c r="G53" t="inlineStr">
        <is>
          <t>P1018</t>
        </is>
      </c>
      <c r="H53" t="inlineStr">
        <is>
          <t>CloudDrive File Box</t>
        </is>
      </c>
      <c r="I53" t="inlineStr">
        <is>
          <t>Furniture</t>
        </is>
      </c>
      <c r="J53" t="inlineStr">
        <is>
          <t>Peripherals</t>
        </is>
      </c>
      <c r="K53" t="inlineStr">
        <is>
          <t>South</t>
        </is>
      </c>
      <c r="L53" t="inlineStr">
        <is>
          <t>Florida</t>
        </is>
      </c>
      <c r="M53" t="inlineStr">
        <is>
          <t>Dallas</t>
        </is>
      </c>
      <c r="N53" t="inlineStr">
        <is>
          <t>Sophia Singh</t>
        </is>
      </c>
      <c r="O53" t="n">
        <v>3</v>
      </c>
      <c r="P53" s="3" t="n">
        <v>85.33</v>
      </c>
      <c r="Q53" s="4" t="n">
        <v>0.036</v>
      </c>
      <c r="R53" s="3" t="n">
        <v>246.77</v>
      </c>
      <c r="S53" s="3" t="n">
        <v>113.56</v>
      </c>
      <c r="T53" s="3" t="n">
        <v>124.81</v>
      </c>
      <c r="U53" s="4" t="n">
        <v>0.5058</v>
      </c>
      <c r="V53" s="3" t="n">
        <v>8.4</v>
      </c>
      <c r="W53" t="inlineStr">
        <is>
          <t>Cash on Delivery</t>
        </is>
      </c>
      <c r="X53" t="inlineStr">
        <is>
          <t>High</t>
        </is>
      </c>
      <c r="Y53" t="n">
        <v>2025</v>
      </c>
      <c r="Z53" t="n">
        <v>6</v>
      </c>
      <c r="AA53" t="inlineStr">
        <is>
          <t>Jun</t>
        </is>
      </c>
      <c r="AB53" t="inlineStr">
        <is>
          <t>Tuesday</t>
        </is>
      </c>
      <c r="AC53" t="n">
        <v>2</v>
      </c>
      <c r="AD53" t="inlineStr">
        <is>
          <t>Profitable</t>
        </is>
      </c>
      <c r="AE53" t="inlineStr">
        <is>
          <t>Medium</t>
        </is>
      </c>
      <c r="AF53" t="inlineStr">
        <is>
          <t>Small</t>
        </is>
      </c>
    </row>
    <row r="54">
      <c r="A54" t="inlineStr">
        <is>
          <t>ORD-00053</t>
        </is>
      </c>
      <c r="B54" s="2" t="n">
        <v>45911</v>
      </c>
      <c r="C54" s="2" t="n">
        <v>45918</v>
      </c>
      <c r="D54" t="inlineStr">
        <is>
          <t>CUST-00053</t>
        </is>
      </c>
      <c r="E54" t="inlineStr">
        <is>
          <t>Customer 53</t>
        </is>
      </c>
      <c r="F54" t="inlineStr">
        <is>
          <t>Consumer</t>
        </is>
      </c>
      <c r="G54" t="inlineStr">
        <is>
          <t>P1018</t>
        </is>
      </c>
      <c r="H54" t="inlineStr">
        <is>
          <t>Orbit Wireless Mouse</t>
        </is>
      </c>
      <c r="I54" t="inlineStr">
        <is>
          <t>Home Decor</t>
        </is>
      </c>
      <c r="J54" t="inlineStr">
        <is>
          <t>Accessories</t>
        </is>
      </c>
      <c r="K54" t="inlineStr">
        <is>
          <t>West</t>
        </is>
      </c>
      <c r="L54" t="inlineStr">
        <is>
          <t>California</t>
        </is>
      </c>
      <c r="M54" t="inlineStr">
        <is>
          <t>Denver</t>
        </is>
      </c>
      <c r="N54" t="inlineStr">
        <is>
          <t>Olivia Martin</t>
        </is>
      </c>
      <c r="O54" t="n">
        <v>4</v>
      </c>
      <c r="P54" s="3" t="n">
        <v>95.15000000000001</v>
      </c>
      <c r="Q54" s="4" t="n">
        <v>0.026</v>
      </c>
      <c r="R54" s="3" t="n">
        <v>370.7</v>
      </c>
      <c r="S54" s="3" t="n">
        <v>170.54</v>
      </c>
      <c r="T54" s="3" t="n">
        <v>189.96</v>
      </c>
      <c r="U54" s="4" t="n">
        <v>0.5124</v>
      </c>
      <c r="V54" s="3" t="n">
        <v>10.2</v>
      </c>
      <c r="W54" t="inlineStr">
        <is>
          <t>Debit Card</t>
        </is>
      </c>
      <c r="X54" t="inlineStr">
        <is>
          <t>High</t>
        </is>
      </c>
      <c r="Y54" t="n">
        <v>2025</v>
      </c>
      <c r="Z54" t="n">
        <v>9</v>
      </c>
      <c r="AA54" t="inlineStr">
        <is>
          <t>Sep</t>
        </is>
      </c>
      <c r="AB54" t="inlineStr">
        <is>
          <t>Thursday</t>
        </is>
      </c>
      <c r="AC54" t="n">
        <v>7</v>
      </c>
      <c r="AD54" t="inlineStr">
        <is>
          <t>Profitable</t>
        </is>
      </c>
      <c r="AE54" t="inlineStr">
        <is>
          <t>Medium</t>
        </is>
      </c>
      <c r="AF54" t="inlineStr">
        <is>
          <t>Small</t>
        </is>
      </c>
    </row>
    <row r="55">
      <c r="A55" t="inlineStr">
        <is>
          <t>ORD-00054</t>
        </is>
      </c>
      <c r="B55" s="2" t="n">
        <v>45843</v>
      </c>
      <c r="C55" s="2" t="n">
        <v>45850</v>
      </c>
      <c r="D55" t="inlineStr">
        <is>
          <t>CUST-00054</t>
        </is>
      </c>
      <c r="E55" t="inlineStr">
        <is>
          <t>Customer 54</t>
        </is>
      </c>
      <c r="F55" t="inlineStr">
        <is>
          <t>Consumer</t>
        </is>
      </c>
      <c r="G55" t="inlineStr">
        <is>
          <t>P1010</t>
        </is>
      </c>
      <c r="H55" t="inlineStr">
        <is>
          <t>ProClip Binder</t>
        </is>
      </c>
      <c r="I55" t="inlineStr">
        <is>
          <t>Furniture</t>
        </is>
      </c>
      <c r="J55" t="inlineStr">
        <is>
          <t>Lighting</t>
        </is>
      </c>
      <c r="K55" t="inlineStr">
        <is>
          <t>West</t>
        </is>
      </c>
      <c r="L55" t="inlineStr">
        <is>
          <t>Washington</t>
        </is>
      </c>
      <c r="M55" t="inlineStr">
        <is>
          <t>Denver</t>
        </is>
      </c>
      <c r="N55" t="inlineStr">
        <is>
          <t>James Carter</t>
        </is>
      </c>
      <c r="O55" t="n">
        <v>2</v>
      </c>
      <c r="P55" s="3" t="n">
        <v>59.93</v>
      </c>
      <c r="Q55" s="4" t="n">
        <v>0.034</v>
      </c>
      <c r="R55" s="3" t="n">
        <v>115.78</v>
      </c>
      <c r="S55" s="3" t="n">
        <v>58.39</v>
      </c>
      <c r="T55" s="3" t="n">
        <v>48.79</v>
      </c>
      <c r="U55" s="4" t="n">
        <v>0.4214</v>
      </c>
      <c r="V55" s="3" t="n">
        <v>8.6</v>
      </c>
      <c r="W55" t="inlineStr">
        <is>
          <t>Credit Card</t>
        </is>
      </c>
      <c r="X55" t="inlineStr">
        <is>
          <t>Medium</t>
        </is>
      </c>
      <c r="Y55" t="n">
        <v>2025</v>
      </c>
      <c r="Z55" t="n">
        <v>7</v>
      </c>
      <c r="AA55" t="inlineStr">
        <is>
          <t>Jul</t>
        </is>
      </c>
      <c r="AB55" t="inlineStr">
        <is>
          <t>Saturday</t>
        </is>
      </c>
      <c r="AC55" t="n">
        <v>7</v>
      </c>
      <c r="AD55" t="inlineStr">
        <is>
          <t>Profitable</t>
        </is>
      </c>
      <c r="AE55" t="inlineStr">
        <is>
          <t>Medium</t>
        </is>
      </c>
      <c r="AF55" t="inlineStr">
        <is>
          <t>Small</t>
        </is>
      </c>
    </row>
    <row r="56">
      <c r="A56" t="inlineStr">
        <is>
          <t>ORD-00055</t>
        </is>
      </c>
      <c r="B56" s="2" t="n">
        <v>45544</v>
      </c>
      <c r="C56" s="2" t="n">
        <v>45547</v>
      </c>
      <c r="D56" t="inlineStr">
        <is>
          <t>CUST-00055</t>
        </is>
      </c>
      <c r="E56" t="inlineStr">
        <is>
          <t>Customer 55</t>
        </is>
      </c>
      <c r="F56" t="inlineStr">
        <is>
          <t>Home Office</t>
        </is>
      </c>
      <c r="G56" t="inlineStr">
        <is>
          <t>P1012</t>
        </is>
      </c>
      <c r="H56" t="inlineStr">
        <is>
          <t>Lumen Desk Lamp</t>
        </is>
      </c>
      <c r="I56" t="inlineStr">
        <is>
          <t>Furniture</t>
        </is>
      </c>
      <c r="J56" t="inlineStr">
        <is>
          <t>Coolers</t>
        </is>
      </c>
      <c r="K56" t="inlineStr">
        <is>
          <t>East</t>
        </is>
      </c>
      <c r="L56" t="inlineStr">
        <is>
          <t>Massachusetts</t>
        </is>
      </c>
      <c r="M56" t="inlineStr">
        <is>
          <t>New York</t>
        </is>
      </c>
      <c r="N56" t="inlineStr">
        <is>
          <t>Ethan Brooks</t>
        </is>
      </c>
      <c r="O56" t="n">
        <v>3</v>
      </c>
      <c r="P56" s="3" t="n">
        <v>132.6</v>
      </c>
      <c r="Q56" s="4" t="n">
        <v>0.049</v>
      </c>
      <c r="R56" s="3" t="n">
        <v>378.31</v>
      </c>
      <c r="S56" s="3" t="n">
        <v>191.02</v>
      </c>
      <c r="T56" s="3" t="n">
        <v>177.89</v>
      </c>
      <c r="U56" s="4" t="n">
        <v>0.4702</v>
      </c>
      <c r="V56" s="3" t="n">
        <v>9.4</v>
      </c>
      <c r="W56" t="inlineStr">
        <is>
          <t>Credit Card</t>
        </is>
      </c>
      <c r="X56" t="inlineStr">
        <is>
          <t>High</t>
        </is>
      </c>
      <c r="Y56" t="n">
        <v>2024</v>
      </c>
      <c r="Z56" t="n">
        <v>9</v>
      </c>
      <c r="AA56" t="inlineStr">
        <is>
          <t>Sep</t>
        </is>
      </c>
      <c r="AB56" t="inlineStr">
        <is>
          <t>Monday</t>
        </is>
      </c>
      <c r="AC56" t="n">
        <v>3</v>
      </c>
      <c r="AD56" t="inlineStr">
        <is>
          <t>Profitable</t>
        </is>
      </c>
      <c r="AE56" t="inlineStr">
        <is>
          <t>Medium</t>
        </is>
      </c>
      <c r="AF56" t="inlineStr">
        <is>
          <t>Small</t>
        </is>
      </c>
    </row>
    <row r="57">
      <c r="A57" t="inlineStr">
        <is>
          <t>ORD-00056</t>
        </is>
      </c>
      <c r="B57" s="2" t="n">
        <v>45843</v>
      </c>
      <c r="C57" s="2" t="n">
        <v>45850</v>
      </c>
      <c r="D57" t="inlineStr">
        <is>
          <t>CUST-00056</t>
        </is>
      </c>
      <c r="E57" t="inlineStr">
        <is>
          <t>Customer 56</t>
        </is>
      </c>
      <c r="F57" t="inlineStr">
        <is>
          <t>Corporate</t>
        </is>
      </c>
      <c r="G57" t="inlineStr">
        <is>
          <t>P1018</t>
        </is>
      </c>
      <c r="H57" t="inlineStr">
        <is>
          <t>Cove Wall Clock</t>
        </is>
      </c>
      <c r="I57" t="inlineStr">
        <is>
          <t>Technology</t>
        </is>
      </c>
      <c r="J57" t="inlineStr">
        <is>
          <t>Flooring</t>
        </is>
      </c>
      <c r="K57" t="inlineStr">
        <is>
          <t>East</t>
        </is>
      </c>
      <c r="L57" t="inlineStr">
        <is>
          <t>New Jersey</t>
        </is>
      </c>
      <c r="M57" t="inlineStr">
        <is>
          <t>New York</t>
        </is>
      </c>
      <c r="N57" t="inlineStr">
        <is>
          <t>Ethan Brooks</t>
        </is>
      </c>
      <c r="O57" t="n">
        <v>3</v>
      </c>
      <c r="P57" s="3" t="n">
        <v>91.23</v>
      </c>
      <c r="Q57" s="4" t="n">
        <v>0.023</v>
      </c>
      <c r="R57" s="3" t="n">
        <v>267.4</v>
      </c>
      <c r="S57" s="3" t="n">
        <v>126.84</v>
      </c>
      <c r="T57" s="3" t="n">
        <v>131.16</v>
      </c>
      <c r="U57" s="4" t="n">
        <v>0.4905</v>
      </c>
      <c r="V57" s="3" t="n">
        <v>9.4</v>
      </c>
      <c r="W57" t="inlineStr">
        <is>
          <t>Credit Card</t>
        </is>
      </c>
      <c r="X57" t="inlineStr">
        <is>
          <t>High</t>
        </is>
      </c>
      <c r="Y57" t="n">
        <v>2025</v>
      </c>
      <c r="Z57" t="n">
        <v>7</v>
      </c>
      <c r="AA57" t="inlineStr">
        <is>
          <t>Jul</t>
        </is>
      </c>
      <c r="AB57" t="inlineStr">
        <is>
          <t>Saturday</t>
        </is>
      </c>
      <c r="AC57" t="n">
        <v>7</v>
      </c>
      <c r="AD57" t="inlineStr">
        <is>
          <t>Profitable</t>
        </is>
      </c>
      <c r="AE57" t="inlineStr">
        <is>
          <t>Medium</t>
        </is>
      </c>
      <c r="AF57" t="inlineStr">
        <is>
          <t>Small</t>
        </is>
      </c>
    </row>
    <row r="58">
      <c r="A58" t="inlineStr">
        <is>
          <t>ORD-00057</t>
        </is>
      </c>
      <c r="B58" s="2" t="n">
        <v>45027</v>
      </c>
      <c r="C58" s="2" t="n">
        <v>45030</v>
      </c>
      <c r="D58" t="inlineStr">
        <is>
          <t>CUST-00057</t>
        </is>
      </c>
      <c r="E58" t="inlineStr">
        <is>
          <t>Customer 57</t>
        </is>
      </c>
      <c r="F58" t="inlineStr">
        <is>
          <t>Corporate</t>
        </is>
      </c>
      <c r="G58" t="inlineStr">
        <is>
          <t>P1009</t>
        </is>
      </c>
      <c r="H58" t="inlineStr">
        <is>
          <t>Pulse Keyboard</t>
        </is>
      </c>
      <c r="I58" t="inlineStr">
        <is>
          <t>Technology</t>
        </is>
      </c>
      <c r="J58" t="inlineStr">
        <is>
          <t>Flooring</t>
        </is>
      </c>
      <c r="K58" t="inlineStr">
        <is>
          <t>East</t>
        </is>
      </c>
      <c r="L58" t="inlineStr">
        <is>
          <t>New York</t>
        </is>
      </c>
      <c r="M58" t="inlineStr">
        <is>
          <t>Boston</t>
        </is>
      </c>
      <c r="N58" t="inlineStr">
        <is>
          <t>Olivia Martin</t>
        </is>
      </c>
      <c r="O58" t="n">
        <v>6</v>
      </c>
      <c r="P58" s="3" t="n">
        <v>92.64</v>
      </c>
      <c r="Q58" s="4" t="n">
        <v>0.023</v>
      </c>
      <c r="R58" s="3" t="n">
        <v>543.0599999999999</v>
      </c>
      <c r="S58" s="3" t="n">
        <v>260.82</v>
      </c>
      <c r="T58" s="3" t="n">
        <v>270.44</v>
      </c>
      <c r="U58" s="4" t="n">
        <v>0.498</v>
      </c>
      <c r="V58" s="3" t="n">
        <v>11.8</v>
      </c>
      <c r="W58" t="inlineStr">
        <is>
          <t>Debit Card</t>
        </is>
      </c>
      <c r="X58" t="inlineStr">
        <is>
          <t>Medium</t>
        </is>
      </c>
      <c r="Y58" t="n">
        <v>2023</v>
      </c>
      <c r="Z58" t="n">
        <v>4</v>
      </c>
      <c r="AA58" t="inlineStr">
        <is>
          <t>Apr</t>
        </is>
      </c>
      <c r="AB58" t="inlineStr">
        <is>
          <t>Tuesday</t>
        </is>
      </c>
      <c r="AC58" t="n">
        <v>3</v>
      </c>
      <c r="AD58" t="inlineStr">
        <is>
          <t>Profitable</t>
        </is>
      </c>
      <c r="AE58" t="inlineStr">
        <is>
          <t>Medium</t>
        </is>
      </c>
      <c r="AF58" t="inlineStr">
        <is>
          <t>Medium</t>
        </is>
      </c>
    </row>
    <row r="59">
      <c r="A59" t="inlineStr">
        <is>
          <t>ORD-00058</t>
        </is>
      </c>
      <c r="B59" s="2" t="n">
        <v>45110</v>
      </c>
      <c r="C59" s="2" t="n">
        <v>45115</v>
      </c>
      <c r="D59" t="inlineStr">
        <is>
          <t>CUST-00058</t>
        </is>
      </c>
      <c r="E59" t="inlineStr">
        <is>
          <t>Customer 58</t>
        </is>
      </c>
      <c r="F59" t="inlineStr">
        <is>
          <t>Consumer</t>
        </is>
      </c>
      <c r="G59" t="inlineStr">
        <is>
          <t>P1009</t>
        </is>
      </c>
      <c r="H59" t="inlineStr">
        <is>
          <t>Lumen Desk Lamp</t>
        </is>
      </c>
      <c r="I59" t="inlineStr">
        <is>
          <t>Office Supplies</t>
        </is>
      </c>
      <c r="J59" t="inlineStr">
        <is>
          <t>Storage</t>
        </is>
      </c>
      <c r="K59" t="inlineStr">
        <is>
          <t>East</t>
        </is>
      </c>
      <c r="L59" t="inlineStr">
        <is>
          <t>Massachusetts</t>
        </is>
      </c>
      <c r="M59" t="inlineStr">
        <is>
          <t>Washington</t>
        </is>
      </c>
      <c r="N59" t="inlineStr">
        <is>
          <t>Liam Chen</t>
        </is>
      </c>
      <c r="O59" t="n">
        <v>4</v>
      </c>
      <c r="P59" s="3" t="n">
        <v>95.65000000000001</v>
      </c>
      <c r="Q59" s="4" t="n">
        <v>0.035</v>
      </c>
      <c r="R59" s="3" t="n">
        <v>369.21</v>
      </c>
      <c r="S59" s="3" t="n">
        <v>178.84</v>
      </c>
      <c r="T59" s="3" t="n">
        <v>180.17</v>
      </c>
      <c r="U59" s="4" t="n">
        <v>0.488</v>
      </c>
      <c r="V59" s="3" t="n">
        <v>10.2</v>
      </c>
      <c r="W59" t="inlineStr">
        <is>
          <t>Credit Card</t>
        </is>
      </c>
      <c r="X59" t="inlineStr">
        <is>
          <t>Critical</t>
        </is>
      </c>
      <c r="Y59" t="n">
        <v>2023</v>
      </c>
      <c r="Z59" t="n">
        <v>7</v>
      </c>
      <c r="AA59" t="inlineStr">
        <is>
          <t>Jul</t>
        </is>
      </c>
      <c r="AB59" t="inlineStr">
        <is>
          <t>Monday</t>
        </is>
      </c>
      <c r="AC59" t="n">
        <v>5</v>
      </c>
      <c r="AD59" t="inlineStr">
        <is>
          <t>Profitable</t>
        </is>
      </c>
      <c r="AE59" t="inlineStr">
        <is>
          <t>Medium</t>
        </is>
      </c>
      <c r="AF59" t="inlineStr">
        <is>
          <t>Small</t>
        </is>
      </c>
    </row>
    <row r="60">
      <c r="A60" t="inlineStr">
        <is>
          <t>ORD-00059</t>
        </is>
      </c>
      <c r="B60" s="2" t="n">
        <v>45165</v>
      </c>
      <c r="C60" s="2" t="n">
        <v>45170</v>
      </c>
      <c r="D60" t="inlineStr">
        <is>
          <t>CUST-00059</t>
        </is>
      </c>
      <c r="E60" t="inlineStr">
        <is>
          <t>Customer 59</t>
        </is>
      </c>
      <c r="F60" t="inlineStr">
        <is>
          <t>Consumer</t>
        </is>
      </c>
      <c r="G60" t="inlineStr">
        <is>
          <t>P1010</t>
        </is>
      </c>
      <c r="H60" t="inlineStr">
        <is>
          <t>Aero Standing Desk</t>
        </is>
      </c>
      <c r="I60" t="inlineStr">
        <is>
          <t>Furniture</t>
        </is>
      </c>
      <c r="J60" t="inlineStr">
        <is>
          <t>Peripherals</t>
        </is>
      </c>
      <c r="K60" t="inlineStr">
        <is>
          <t>South</t>
        </is>
      </c>
      <c r="L60" t="inlineStr">
        <is>
          <t>Florida</t>
        </is>
      </c>
      <c r="M60" t="inlineStr">
        <is>
          <t>Miami</t>
        </is>
      </c>
      <c r="N60" t="inlineStr">
        <is>
          <t>Ava Patel</t>
        </is>
      </c>
      <c r="O60" t="n">
        <v>2</v>
      </c>
      <c r="P60" s="3" t="n">
        <v>53.26</v>
      </c>
      <c r="Q60" s="4" t="n">
        <v>0.007</v>
      </c>
      <c r="R60" s="3" t="n">
        <v>105.77</v>
      </c>
      <c r="S60" s="3" t="n">
        <v>48.18</v>
      </c>
      <c r="T60" s="3" t="n">
        <v>49.99</v>
      </c>
      <c r="U60" s="4" t="n">
        <v>0.4726</v>
      </c>
      <c r="V60" s="3" t="n">
        <v>7.6</v>
      </c>
      <c r="W60" t="inlineStr">
        <is>
          <t>PayPal</t>
        </is>
      </c>
      <c r="X60" t="inlineStr">
        <is>
          <t>Medium</t>
        </is>
      </c>
      <c r="Y60" t="n">
        <v>2023</v>
      </c>
      <c r="Z60" t="n">
        <v>8</v>
      </c>
      <c r="AA60" t="inlineStr">
        <is>
          <t>Aug</t>
        </is>
      </c>
      <c r="AB60" t="inlineStr">
        <is>
          <t>Sunday</t>
        </is>
      </c>
      <c r="AC60" t="n">
        <v>5</v>
      </c>
      <c r="AD60" t="inlineStr">
        <is>
          <t>Profitable</t>
        </is>
      </c>
      <c r="AE60" t="inlineStr">
        <is>
          <t>Low</t>
        </is>
      </c>
      <c r="AF60" t="inlineStr">
        <is>
          <t>Small</t>
        </is>
      </c>
    </row>
    <row r="61">
      <c r="A61" t="inlineStr">
        <is>
          <t>ORD-00060</t>
        </is>
      </c>
      <c r="B61" s="2" t="n">
        <v>45600</v>
      </c>
      <c r="C61" s="2" t="n">
        <v>45607</v>
      </c>
      <c r="D61" t="inlineStr">
        <is>
          <t>CUST-00060</t>
        </is>
      </c>
      <c r="E61" t="inlineStr">
        <is>
          <t>Customer 60</t>
        </is>
      </c>
      <c r="F61" t="inlineStr">
        <is>
          <t>Corporate</t>
        </is>
      </c>
      <c r="G61" t="inlineStr">
        <is>
          <t>P1001</t>
        </is>
      </c>
      <c r="H61" t="inlineStr">
        <is>
          <t>ProClip Binder</t>
        </is>
      </c>
      <c r="I61" t="inlineStr">
        <is>
          <t>Technology</t>
        </is>
      </c>
      <c r="J61" t="inlineStr">
        <is>
          <t>Furniture</t>
        </is>
      </c>
      <c r="K61" t="inlineStr">
        <is>
          <t>North</t>
        </is>
      </c>
      <c r="L61" t="inlineStr">
        <is>
          <t>Alberta</t>
        </is>
      </c>
      <c r="M61" t="inlineStr">
        <is>
          <t>Vancouver</t>
        </is>
      </c>
      <c r="N61" t="inlineStr">
        <is>
          <t>Ava Patel</t>
        </is>
      </c>
      <c r="O61" t="n">
        <v>1</v>
      </c>
      <c r="P61" s="3" t="n">
        <v>319.38</v>
      </c>
      <c r="Q61" s="4" t="n">
        <v>0.023</v>
      </c>
      <c r="R61" s="3" t="n">
        <v>312.03</v>
      </c>
      <c r="S61" s="3" t="n">
        <v>186.39</v>
      </c>
      <c r="T61" s="3" t="n">
        <v>118.84</v>
      </c>
      <c r="U61" s="4" t="n">
        <v>0.3809</v>
      </c>
      <c r="V61" s="3" t="n">
        <v>6.8</v>
      </c>
      <c r="W61" t="inlineStr">
        <is>
          <t>Bank Transfer</t>
        </is>
      </c>
      <c r="X61" t="inlineStr">
        <is>
          <t>Medium</t>
        </is>
      </c>
      <c r="Y61" t="n">
        <v>2024</v>
      </c>
      <c r="Z61" t="n">
        <v>11</v>
      </c>
      <c r="AA61" t="inlineStr">
        <is>
          <t>Nov</t>
        </is>
      </c>
      <c r="AB61" t="inlineStr">
        <is>
          <t>Monday</t>
        </is>
      </c>
      <c r="AC61" t="n">
        <v>7</v>
      </c>
      <c r="AD61" t="inlineStr">
        <is>
          <t>Profitable</t>
        </is>
      </c>
      <c r="AE61" t="inlineStr">
        <is>
          <t>Medium</t>
        </is>
      </c>
      <c r="AF61" t="inlineStr">
        <is>
          <t>Small</t>
        </is>
      </c>
    </row>
    <row r="62">
      <c r="A62" t="inlineStr">
        <is>
          <t>ORD-00061</t>
        </is>
      </c>
      <c r="B62" s="2" t="n">
        <v>45575</v>
      </c>
      <c r="C62" s="2" t="n">
        <v>45576</v>
      </c>
      <c r="D62" t="inlineStr">
        <is>
          <t>CUST-00061</t>
        </is>
      </c>
      <c r="E62" t="inlineStr">
        <is>
          <t>Customer 61</t>
        </is>
      </c>
      <c r="F62" t="inlineStr">
        <is>
          <t>Corporate</t>
        </is>
      </c>
      <c r="G62" t="inlineStr">
        <is>
          <t>P1011</t>
        </is>
      </c>
      <c r="H62" t="inlineStr">
        <is>
          <t>Aero Standing Desk</t>
        </is>
      </c>
      <c r="I62" t="inlineStr">
        <is>
          <t>Furniture</t>
        </is>
      </c>
      <c r="J62" t="inlineStr">
        <is>
          <t>Chairs</t>
        </is>
      </c>
      <c r="K62" t="inlineStr">
        <is>
          <t>Central</t>
        </is>
      </c>
      <c r="L62" t="inlineStr">
        <is>
          <t>Missouri</t>
        </is>
      </c>
      <c r="M62" t="inlineStr">
        <is>
          <t>Kansas City</t>
        </is>
      </c>
      <c r="N62" t="inlineStr">
        <is>
          <t>Liam Chen</t>
        </is>
      </c>
      <c r="O62" t="n">
        <v>3</v>
      </c>
      <c r="P62" s="3" t="n">
        <v>95.33</v>
      </c>
      <c r="Q62" s="4" t="n">
        <v>0.017</v>
      </c>
      <c r="R62" s="3" t="n">
        <v>281.13</v>
      </c>
      <c r="S62" s="3" t="n">
        <v>135.87</v>
      </c>
      <c r="T62" s="3" t="n">
        <v>136.86</v>
      </c>
      <c r="U62" s="4" t="n">
        <v>0.4868</v>
      </c>
      <c r="V62" s="3" t="n">
        <v>8.4</v>
      </c>
      <c r="W62" t="inlineStr">
        <is>
          <t>Bank Transfer</t>
        </is>
      </c>
      <c r="X62" t="inlineStr">
        <is>
          <t>Medium</t>
        </is>
      </c>
      <c r="Y62" t="n">
        <v>2024</v>
      </c>
      <c r="Z62" t="n">
        <v>10</v>
      </c>
      <c r="AA62" t="inlineStr">
        <is>
          <t>Oct</t>
        </is>
      </c>
      <c r="AB62" t="inlineStr">
        <is>
          <t>Thursday</t>
        </is>
      </c>
      <c r="AC62" t="n">
        <v>1</v>
      </c>
      <c r="AD62" t="inlineStr">
        <is>
          <t>Profitable</t>
        </is>
      </c>
      <c r="AE62" t="inlineStr">
        <is>
          <t>Low</t>
        </is>
      </c>
      <c r="AF62" t="inlineStr">
        <is>
          <t>Small</t>
        </is>
      </c>
    </row>
    <row r="63">
      <c r="A63" t="inlineStr">
        <is>
          <t>ORD-00062</t>
        </is>
      </c>
      <c r="B63" s="2" t="n">
        <v>45176</v>
      </c>
      <c r="C63" s="2" t="n">
        <v>45179</v>
      </c>
      <c r="D63" t="inlineStr">
        <is>
          <t>CUST-00062</t>
        </is>
      </c>
      <c r="E63" t="inlineStr">
        <is>
          <t>Customer 62</t>
        </is>
      </c>
      <c r="F63" t="inlineStr">
        <is>
          <t>Consumer</t>
        </is>
      </c>
      <c r="G63" t="inlineStr">
        <is>
          <t>P1014</t>
        </is>
      </c>
      <c r="H63" t="inlineStr">
        <is>
          <t>FlexNote Notebook</t>
        </is>
      </c>
      <c r="I63" t="inlineStr">
        <is>
          <t>Furniture</t>
        </is>
      </c>
      <c r="J63" t="inlineStr">
        <is>
          <t>Textiles</t>
        </is>
      </c>
      <c r="K63" t="inlineStr">
        <is>
          <t>East</t>
        </is>
      </c>
      <c r="L63" t="inlineStr">
        <is>
          <t>New York</t>
        </is>
      </c>
      <c r="M63" t="inlineStr">
        <is>
          <t>Washington</t>
        </is>
      </c>
      <c r="N63" t="inlineStr">
        <is>
          <t>Ethan Brooks</t>
        </is>
      </c>
      <c r="O63" t="n">
        <v>3</v>
      </c>
      <c r="P63" s="3" t="n">
        <v>42.23</v>
      </c>
      <c r="Q63" s="4" t="n">
        <v>0.007</v>
      </c>
      <c r="R63" s="3" t="n">
        <v>125.8</v>
      </c>
      <c r="S63" s="3" t="n">
        <v>56.95</v>
      </c>
      <c r="T63" s="3" t="n">
        <v>59.45</v>
      </c>
      <c r="U63" s="4" t="n">
        <v>0.4726</v>
      </c>
      <c r="V63" s="3" t="n">
        <v>9.4</v>
      </c>
      <c r="W63" t="inlineStr">
        <is>
          <t>PayPal</t>
        </is>
      </c>
      <c r="X63" t="inlineStr">
        <is>
          <t>Medium</t>
        </is>
      </c>
      <c r="Y63" t="n">
        <v>2023</v>
      </c>
      <c r="Z63" t="n">
        <v>9</v>
      </c>
      <c r="AA63" t="inlineStr">
        <is>
          <t>Sep</t>
        </is>
      </c>
      <c r="AB63" t="inlineStr">
        <is>
          <t>Thursday</t>
        </is>
      </c>
      <c r="AC63" t="n">
        <v>3</v>
      </c>
      <c r="AD63" t="inlineStr">
        <is>
          <t>Profitable</t>
        </is>
      </c>
      <c r="AE63" t="inlineStr">
        <is>
          <t>Low</t>
        </is>
      </c>
      <c r="AF63" t="inlineStr">
        <is>
          <t>Small</t>
        </is>
      </c>
    </row>
    <row r="64">
      <c r="A64" t="inlineStr">
        <is>
          <t>ORD-00063</t>
        </is>
      </c>
      <c r="B64" s="2" t="n">
        <v>45689</v>
      </c>
      <c r="C64" s="2" t="n">
        <v>45692</v>
      </c>
      <c r="D64" t="inlineStr">
        <is>
          <t>CUST-00063</t>
        </is>
      </c>
      <c r="E64" t="inlineStr">
        <is>
          <t>Customer 63</t>
        </is>
      </c>
      <c r="F64" t="inlineStr">
        <is>
          <t>Consumer</t>
        </is>
      </c>
      <c r="G64" t="inlineStr">
        <is>
          <t>P1010</t>
        </is>
      </c>
      <c r="H64" t="inlineStr">
        <is>
          <t>ProClip Binder</t>
        </is>
      </c>
      <c r="I64" t="inlineStr">
        <is>
          <t>Furniture</t>
        </is>
      </c>
      <c r="J64" t="inlineStr">
        <is>
          <t>Peripherals</t>
        </is>
      </c>
      <c r="K64" t="inlineStr">
        <is>
          <t>South</t>
        </is>
      </c>
      <c r="L64" t="inlineStr">
        <is>
          <t>Georgia</t>
        </is>
      </c>
      <c r="M64" t="inlineStr">
        <is>
          <t>Miami</t>
        </is>
      </c>
      <c r="N64" t="inlineStr">
        <is>
          <t>James Carter</t>
        </is>
      </c>
      <c r="O64" t="n">
        <v>4</v>
      </c>
      <c r="P64" s="3" t="n">
        <v>51.77</v>
      </c>
      <c r="Q64" s="4" t="n">
        <v>0.012</v>
      </c>
      <c r="R64" s="3" t="n">
        <v>204.6</v>
      </c>
      <c r="S64" s="3" t="n">
        <v>90.87</v>
      </c>
      <c r="T64" s="3" t="n">
        <v>104.53</v>
      </c>
      <c r="U64" s="4" t="n">
        <v>0.5109</v>
      </c>
      <c r="V64" s="3" t="n">
        <v>9.199999999999999</v>
      </c>
      <c r="W64" t="inlineStr">
        <is>
          <t>Bank Transfer</t>
        </is>
      </c>
      <c r="X64" t="inlineStr">
        <is>
          <t>Medium</t>
        </is>
      </c>
      <c r="Y64" t="n">
        <v>2025</v>
      </c>
      <c r="Z64" t="n">
        <v>2</v>
      </c>
      <c r="AA64" t="inlineStr">
        <is>
          <t>Feb</t>
        </is>
      </c>
      <c r="AB64" t="inlineStr">
        <is>
          <t>Saturday</t>
        </is>
      </c>
      <c r="AC64" t="n">
        <v>3</v>
      </c>
      <c r="AD64" t="inlineStr">
        <is>
          <t>Profitable</t>
        </is>
      </c>
      <c r="AE64" t="inlineStr">
        <is>
          <t>Low</t>
        </is>
      </c>
      <c r="AF64" t="inlineStr">
        <is>
          <t>Small</t>
        </is>
      </c>
    </row>
    <row r="65">
      <c r="A65" t="inlineStr">
        <is>
          <t>ORD-00064</t>
        </is>
      </c>
      <c r="B65" s="2" t="n">
        <v>45592</v>
      </c>
      <c r="C65" s="2" t="n">
        <v>45594</v>
      </c>
      <c r="D65" t="inlineStr">
        <is>
          <t>CUST-00064</t>
        </is>
      </c>
      <c r="E65" t="inlineStr">
        <is>
          <t>Customer 64</t>
        </is>
      </c>
      <c r="F65" t="inlineStr">
        <is>
          <t>Home Office</t>
        </is>
      </c>
      <c r="G65" t="inlineStr">
        <is>
          <t>P1014</t>
        </is>
      </c>
      <c r="H65" t="inlineStr">
        <is>
          <t>Nova Laptop Stand</t>
        </is>
      </c>
      <c r="I65" t="inlineStr">
        <is>
          <t>Home Decor</t>
        </is>
      </c>
      <c r="J65" t="inlineStr">
        <is>
          <t>Chairs</t>
        </is>
      </c>
      <c r="K65" t="inlineStr">
        <is>
          <t>West</t>
        </is>
      </c>
      <c r="L65" t="inlineStr">
        <is>
          <t>Colorado</t>
        </is>
      </c>
      <c r="M65" t="inlineStr">
        <is>
          <t>Los Angeles</t>
        </is>
      </c>
      <c r="N65" t="inlineStr">
        <is>
          <t>Ava Patel</t>
        </is>
      </c>
      <c r="O65" t="n">
        <v>2</v>
      </c>
      <c r="P65" s="3" t="n">
        <v>49.88</v>
      </c>
      <c r="Q65" s="4" t="n">
        <v>0.021</v>
      </c>
      <c r="R65" s="3" t="n">
        <v>97.67</v>
      </c>
      <c r="S65" s="3" t="n">
        <v>46.91</v>
      </c>
      <c r="T65" s="3" t="n">
        <v>42.16</v>
      </c>
      <c r="U65" s="4" t="n">
        <v>0.4317</v>
      </c>
      <c r="V65" s="3" t="n">
        <v>8.6</v>
      </c>
      <c r="W65" t="inlineStr">
        <is>
          <t>PayPal</t>
        </is>
      </c>
      <c r="X65" t="inlineStr">
        <is>
          <t>Medium</t>
        </is>
      </c>
      <c r="Y65" t="n">
        <v>2024</v>
      </c>
      <c r="Z65" t="n">
        <v>10</v>
      </c>
      <c r="AA65" t="inlineStr">
        <is>
          <t>Oct</t>
        </is>
      </c>
      <c r="AB65" t="inlineStr">
        <is>
          <t>Sunday</t>
        </is>
      </c>
      <c r="AC65" t="n">
        <v>2</v>
      </c>
      <c r="AD65" t="inlineStr">
        <is>
          <t>Profitable</t>
        </is>
      </c>
      <c r="AE65" t="inlineStr">
        <is>
          <t>Medium</t>
        </is>
      </c>
      <c r="AF65" t="inlineStr">
        <is>
          <t>Small</t>
        </is>
      </c>
    </row>
    <row r="66">
      <c r="A66" t="inlineStr">
        <is>
          <t>ORD-00065</t>
        </is>
      </c>
      <c r="B66" s="2" t="n">
        <v>45113</v>
      </c>
      <c r="C66" s="2" t="n">
        <v>45114</v>
      </c>
      <c r="D66" t="inlineStr">
        <is>
          <t>CUST-00065</t>
        </is>
      </c>
      <c r="E66" t="inlineStr">
        <is>
          <t>Customer 65</t>
        </is>
      </c>
      <c r="F66" t="inlineStr">
        <is>
          <t>Consumer</t>
        </is>
      </c>
      <c r="G66" t="inlineStr">
        <is>
          <t>P1019</t>
        </is>
      </c>
      <c r="H66" t="inlineStr">
        <is>
          <t>Atlas Throw Pillow</t>
        </is>
      </c>
      <c r="I66" t="inlineStr">
        <is>
          <t>Technology</t>
        </is>
      </c>
      <c r="J66" t="inlineStr">
        <is>
          <t>Binders</t>
        </is>
      </c>
      <c r="K66" t="inlineStr">
        <is>
          <t>South</t>
        </is>
      </c>
      <c r="L66" t="inlineStr">
        <is>
          <t>Texas</t>
        </is>
      </c>
      <c r="M66" t="inlineStr">
        <is>
          <t>Dallas</t>
        </is>
      </c>
      <c r="N66" t="inlineStr">
        <is>
          <t>James Carter</t>
        </is>
      </c>
      <c r="O66" t="n">
        <v>5</v>
      </c>
      <c r="P66" s="3" t="n">
        <v>58.83</v>
      </c>
      <c r="Q66" s="4" t="n">
        <v>0.054</v>
      </c>
      <c r="R66" s="3" t="n">
        <v>278.27</v>
      </c>
      <c r="S66" s="3" t="n">
        <v>119.38</v>
      </c>
      <c r="T66" s="3" t="n">
        <v>148.89</v>
      </c>
      <c r="U66" s="4" t="n">
        <v>0.5351</v>
      </c>
      <c r="V66" s="3" t="n">
        <v>10</v>
      </c>
      <c r="W66" t="inlineStr">
        <is>
          <t>Credit Card</t>
        </is>
      </c>
      <c r="X66" t="inlineStr">
        <is>
          <t>High</t>
        </is>
      </c>
      <c r="Y66" t="n">
        <v>2023</v>
      </c>
      <c r="Z66" t="n">
        <v>7</v>
      </c>
      <c r="AA66" t="inlineStr">
        <is>
          <t>Jul</t>
        </is>
      </c>
      <c r="AB66" t="inlineStr">
        <is>
          <t>Thursday</t>
        </is>
      </c>
      <c r="AC66" t="n">
        <v>1</v>
      </c>
      <c r="AD66" t="inlineStr">
        <is>
          <t>Profitable</t>
        </is>
      </c>
      <c r="AE66" t="inlineStr">
        <is>
          <t>High</t>
        </is>
      </c>
      <c r="AF66" t="inlineStr">
        <is>
          <t>Small</t>
        </is>
      </c>
    </row>
    <row r="67">
      <c r="A67" t="inlineStr">
        <is>
          <t>ORD-00066</t>
        </is>
      </c>
      <c r="B67" s="2" t="n">
        <v>45634</v>
      </c>
      <c r="C67" s="2" t="n">
        <v>45635</v>
      </c>
      <c r="D67" t="inlineStr">
        <is>
          <t>CUST-00066</t>
        </is>
      </c>
      <c r="E67" t="inlineStr">
        <is>
          <t>Customer 66</t>
        </is>
      </c>
      <c r="F67" t="inlineStr">
        <is>
          <t>Consumer</t>
        </is>
      </c>
      <c r="G67" t="inlineStr">
        <is>
          <t>P1010</t>
        </is>
      </c>
      <c r="H67" t="inlineStr">
        <is>
          <t>Pulse Keyboard</t>
        </is>
      </c>
      <c r="I67" t="inlineStr">
        <is>
          <t>Office Supplies</t>
        </is>
      </c>
      <c r="J67" t="inlineStr">
        <is>
          <t>Video</t>
        </is>
      </c>
      <c r="K67" t="inlineStr">
        <is>
          <t>South</t>
        </is>
      </c>
      <c r="L67" t="inlineStr">
        <is>
          <t>Texas</t>
        </is>
      </c>
      <c r="M67" t="inlineStr">
        <is>
          <t>Miami</t>
        </is>
      </c>
      <c r="N67" t="inlineStr">
        <is>
          <t>Mia Rodriguez</t>
        </is>
      </c>
      <c r="O67" t="n">
        <v>3</v>
      </c>
      <c r="P67" s="3" t="n">
        <v>55.76</v>
      </c>
      <c r="Q67" s="4" t="n">
        <v>0.014</v>
      </c>
      <c r="R67" s="3" t="n">
        <v>164.94</v>
      </c>
      <c r="S67" s="3" t="n">
        <v>74.98999999999999</v>
      </c>
      <c r="T67" s="3" t="n">
        <v>81.55</v>
      </c>
      <c r="U67" s="4" t="n">
        <v>0.4944</v>
      </c>
      <c r="V67" s="3" t="n">
        <v>8.4</v>
      </c>
      <c r="W67" t="inlineStr">
        <is>
          <t>PayPal</t>
        </is>
      </c>
      <c r="X67" t="inlineStr">
        <is>
          <t>High</t>
        </is>
      </c>
      <c r="Y67" t="n">
        <v>2024</v>
      </c>
      <c r="Z67" t="n">
        <v>12</v>
      </c>
      <c r="AA67" t="inlineStr">
        <is>
          <t>Dec</t>
        </is>
      </c>
      <c r="AB67" t="inlineStr">
        <is>
          <t>Sunday</t>
        </is>
      </c>
      <c r="AC67" t="n">
        <v>1</v>
      </c>
      <c r="AD67" t="inlineStr">
        <is>
          <t>Profitable</t>
        </is>
      </c>
      <c r="AE67" t="inlineStr">
        <is>
          <t>Low</t>
        </is>
      </c>
      <c r="AF67" t="inlineStr">
        <is>
          <t>Small</t>
        </is>
      </c>
    </row>
    <row r="68">
      <c r="A68" t="inlineStr">
        <is>
          <t>ORD-00067</t>
        </is>
      </c>
      <c r="B68" s="2" t="n">
        <v>45277</v>
      </c>
      <c r="C68" s="2" t="n">
        <v>45283</v>
      </c>
      <c r="D68" t="inlineStr">
        <is>
          <t>CUST-00067</t>
        </is>
      </c>
      <c r="E68" t="inlineStr">
        <is>
          <t>Customer 67</t>
        </is>
      </c>
      <c r="F68" t="inlineStr">
        <is>
          <t>Consumer</t>
        </is>
      </c>
      <c r="G68" t="inlineStr">
        <is>
          <t>P1017</t>
        </is>
      </c>
      <c r="H68" t="inlineStr">
        <is>
          <t>Pulse Keyboard</t>
        </is>
      </c>
      <c r="I68" t="inlineStr">
        <is>
          <t>Home Decor</t>
        </is>
      </c>
      <c r="J68" t="inlineStr">
        <is>
          <t>Textiles</t>
        </is>
      </c>
      <c r="K68" t="inlineStr">
        <is>
          <t>East</t>
        </is>
      </c>
      <c r="L68" t="inlineStr">
        <is>
          <t>Massachusetts</t>
        </is>
      </c>
      <c r="M68" t="inlineStr">
        <is>
          <t>Philadelphia</t>
        </is>
      </c>
      <c r="N68" t="inlineStr">
        <is>
          <t>James Carter</t>
        </is>
      </c>
      <c r="O68" t="n">
        <v>4</v>
      </c>
      <c r="P68" s="3" t="n">
        <v>602.96</v>
      </c>
      <c r="Q68" s="4" t="n">
        <v>0.01</v>
      </c>
      <c r="R68" s="3" t="n">
        <v>2387.72</v>
      </c>
      <c r="S68" s="3" t="n">
        <v>1587.02</v>
      </c>
      <c r="T68" s="3" t="n">
        <v>790.5</v>
      </c>
      <c r="U68" s="4" t="n">
        <v>0.3311</v>
      </c>
      <c r="V68" s="3" t="n">
        <v>10.2</v>
      </c>
      <c r="W68" t="inlineStr">
        <is>
          <t>Bank Transfer</t>
        </is>
      </c>
      <c r="X68" t="inlineStr">
        <is>
          <t>Low</t>
        </is>
      </c>
      <c r="Y68" t="n">
        <v>2023</v>
      </c>
      <c r="Z68" t="n">
        <v>12</v>
      </c>
      <c r="AA68" t="inlineStr">
        <is>
          <t>Dec</t>
        </is>
      </c>
      <c r="AB68" t="inlineStr">
        <is>
          <t>Sunday</t>
        </is>
      </c>
      <c r="AC68" t="n">
        <v>6</v>
      </c>
      <c r="AD68" t="inlineStr">
        <is>
          <t>Profitable</t>
        </is>
      </c>
      <c r="AE68" t="inlineStr">
        <is>
          <t>Low</t>
        </is>
      </c>
      <c r="AF68" t="inlineStr">
        <is>
          <t>Large</t>
        </is>
      </c>
    </row>
    <row r="69">
      <c r="A69" t="inlineStr">
        <is>
          <t>ORD-00068</t>
        </is>
      </c>
      <c r="B69" s="2" t="n">
        <v>45712</v>
      </c>
      <c r="C69" s="2" t="n">
        <v>45717</v>
      </c>
      <c r="D69" t="inlineStr">
        <is>
          <t>CUST-00068</t>
        </is>
      </c>
      <c r="E69" t="inlineStr">
        <is>
          <t>Customer 68</t>
        </is>
      </c>
      <c r="F69" t="inlineStr">
        <is>
          <t>Home Office</t>
        </is>
      </c>
      <c r="G69" t="inlineStr">
        <is>
          <t>P1002</t>
        </is>
      </c>
      <c r="H69" t="inlineStr">
        <is>
          <t>Orbit Wireless Mouse</t>
        </is>
      </c>
      <c r="I69" t="inlineStr">
        <is>
          <t>Outdoor</t>
        </is>
      </c>
      <c r="J69" t="inlineStr">
        <is>
          <t>Peripherals</t>
        </is>
      </c>
      <c r="K69" t="inlineStr">
        <is>
          <t>North</t>
        </is>
      </c>
      <c r="L69" t="inlineStr">
        <is>
          <t>British Columbia</t>
        </is>
      </c>
      <c r="M69" t="inlineStr">
        <is>
          <t>Toronto</t>
        </is>
      </c>
      <c r="N69" t="inlineStr">
        <is>
          <t>Ethan Brooks</t>
        </is>
      </c>
      <c r="O69" t="n">
        <v>4</v>
      </c>
      <c r="P69" s="3" t="n">
        <v>80.47</v>
      </c>
      <c r="Q69" s="4" t="n">
        <v>0.003</v>
      </c>
      <c r="R69" s="3" t="n">
        <v>320.91</v>
      </c>
      <c r="S69" s="3" t="n">
        <v>150.23</v>
      </c>
      <c r="T69" s="3" t="n">
        <v>161.48</v>
      </c>
      <c r="U69" s="4" t="n">
        <v>0.5032</v>
      </c>
      <c r="V69" s="3" t="n">
        <v>9.199999999999999</v>
      </c>
      <c r="W69" t="inlineStr">
        <is>
          <t>Bank Transfer</t>
        </is>
      </c>
      <c r="X69" t="inlineStr">
        <is>
          <t>Low</t>
        </is>
      </c>
      <c r="Y69" t="n">
        <v>2025</v>
      </c>
      <c r="Z69" t="n">
        <v>2</v>
      </c>
      <c r="AA69" t="inlineStr">
        <is>
          <t>Feb</t>
        </is>
      </c>
      <c r="AB69" t="inlineStr">
        <is>
          <t>Monday</t>
        </is>
      </c>
      <c r="AC69" t="n">
        <v>5</v>
      </c>
      <c r="AD69" t="inlineStr">
        <is>
          <t>Profitable</t>
        </is>
      </c>
      <c r="AE69" t="inlineStr">
        <is>
          <t>Low</t>
        </is>
      </c>
      <c r="AF69" t="inlineStr">
        <is>
          <t>Small</t>
        </is>
      </c>
    </row>
    <row r="70">
      <c r="A70" t="inlineStr">
        <is>
          <t>ORD-00069</t>
        </is>
      </c>
      <c r="B70" s="2" t="n">
        <v>45237</v>
      </c>
      <c r="C70" s="2" t="n">
        <v>45243</v>
      </c>
      <c r="D70" t="inlineStr">
        <is>
          <t>CUST-00069</t>
        </is>
      </c>
      <c r="E70" t="inlineStr">
        <is>
          <t>Customer 69</t>
        </is>
      </c>
      <c r="F70" t="inlineStr">
        <is>
          <t>Home Office</t>
        </is>
      </c>
      <c r="G70" t="inlineStr">
        <is>
          <t>P1014</t>
        </is>
      </c>
      <c r="H70" t="inlineStr">
        <is>
          <t>ErgoMesh Chair</t>
        </is>
      </c>
      <c r="I70" t="inlineStr">
        <is>
          <t>Furniture</t>
        </is>
      </c>
      <c r="J70" t="inlineStr">
        <is>
          <t>Coolers</t>
        </is>
      </c>
      <c r="K70" t="inlineStr">
        <is>
          <t>South</t>
        </is>
      </c>
      <c r="L70" t="inlineStr">
        <is>
          <t>Georgia</t>
        </is>
      </c>
      <c r="M70" t="inlineStr">
        <is>
          <t>Atlanta</t>
        </is>
      </c>
      <c r="N70" t="inlineStr">
        <is>
          <t>James Carter</t>
        </is>
      </c>
      <c r="O70" t="n">
        <v>5</v>
      </c>
      <c r="P70" s="3" t="n">
        <v>42.87</v>
      </c>
      <c r="Q70" s="4" t="n">
        <v>0.018</v>
      </c>
      <c r="R70" s="3" t="n">
        <v>210.49</v>
      </c>
      <c r="S70" s="3" t="n">
        <v>91.09</v>
      </c>
      <c r="T70" s="3" t="n">
        <v>109.4</v>
      </c>
      <c r="U70" s="4" t="n">
        <v>0.5197000000000001</v>
      </c>
      <c r="V70" s="3" t="n">
        <v>10</v>
      </c>
      <c r="W70" t="inlineStr">
        <is>
          <t>Debit Card</t>
        </is>
      </c>
      <c r="X70" t="inlineStr">
        <is>
          <t>High</t>
        </is>
      </c>
      <c r="Y70" t="n">
        <v>2023</v>
      </c>
      <c r="Z70" t="n">
        <v>11</v>
      </c>
      <c r="AA70" t="inlineStr">
        <is>
          <t>Nov</t>
        </is>
      </c>
      <c r="AB70" t="inlineStr">
        <is>
          <t>Tuesday</t>
        </is>
      </c>
      <c r="AC70" t="n">
        <v>6</v>
      </c>
      <c r="AD70" t="inlineStr">
        <is>
          <t>Profitable</t>
        </is>
      </c>
      <c r="AE70" t="inlineStr">
        <is>
          <t>Low</t>
        </is>
      </c>
      <c r="AF70" t="inlineStr">
        <is>
          <t>Small</t>
        </is>
      </c>
    </row>
    <row r="71">
      <c r="A71" t="inlineStr">
        <is>
          <t>ORD-00070</t>
        </is>
      </c>
      <c r="B71" s="2" t="n">
        <v>45658</v>
      </c>
      <c r="C71" s="2" t="n">
        <v>45659</v>
      </c>
      <c r="D71" t="inlineStr">
        <is>
          <t>CUST-00070</t>
        </is>
      </c>
      <c r="E71" t="inlineStr">
        <is>
          <t>Customer 70</t>
        </is>
      </c>
      <c r="F71" t="inlineStr">
        <is>
          <t>Corporate</t>
        </is>
      </c>
      <c r="G71" t="inlineStr">
        <is>
          <t>P1018</t>
        </is>
      </c>
      <c r="H71" t="inlineStr">
        <is>
          <t>Summit Patio Set</t>
        </is>
      </c>
      <c r="I71" t="inlineStr">
        <is>
          <t>Office Supplies</t>
        </is>
      </c>
      <c r="J71" t="inlineStr">
        <is>
          <t>Lighting</t>
        </is>
      </c>
      <c r="K71" t="inlineStr">
        <is>
          <t>Central</t>
        </is>
      </c>
      <c r="L71" t="inlineStr">
        <is>
          <t>Kansas</t>
        </is>
      </c>
      <c r="M71" t="inlineStr">
        <is>
          <t>Chicago</t>
        </is>
      </c>
      <c r="N71" t="inlineStr">
        <is>
          <t>James Carter</t>
        </is>
      </c>
      <c r="O71" t="n">
        <v>3</v>
      </c>
      <c r="P71" s="3" t="n">
        <v>83.69</v>
      </c>
      <c r="Q71" s="4" t="n">
        <v>0.027</v>
      </c>
      <c r="R71" s="3" t="n">
        <v>244.29</v>
      </c>
      <c r="S71" s="3" t="n">
        <v>115.44</v>
      </c>
      <c r="T71" s="3" t="n">
        <v>120.45</v>
      </c>
      <c r="U71" s="4" t="n">
        <v>0.4931</v>
      </c>
      <c r="V71" s="3" t="n">
        <v>8.4</v>
      </c>
      <c r="W71" t="inlineStr">
        <is>
          <t>Credit Card</t>
        </is>
      </c>
      <c r="X71" t="inlineStr">
        <is>
          <t>Low</t>
        </is>
      </c>
      <c r="Y71" t="n">
        <v>2025</v>
      </c>
      <c r="Z71" t="n">
        <v>1</v>
      </c>
      <c r="AA71" t="inlineStr">
        <is>
          <t>Jan</t>
        </is>
      </c>
      <c r="AB71" t="inlineStr">
        <is>
          <t>Wednesday</t>
        </is>
      </c>
      <c r="AC71" t="n">
        <v>1</v>
      </c>
      <c r="AD71" t="inlineStr">
        <is>
          <t>Profitable</t>
        </is>
      </c>
      <c r="AE71" t="inlineStr">
        <is>
          <t>Medium</t>
        </is>
      </c>
      <c r="AF71" t="inlineStr">
        <is>
          <t>Small</t>
        </is>
      </c>
    </row>
    <row r="72">
      <c r="A72" t="inlineStr">
        <is>
          <t>ORD-00071</t>
        </is>
      </c>
      <c r="B72" s="2" t="n">
        <v>45817</v>
      </c>
      <c r="C72" s="2" t="n">
        <v>45824</v>
      </c>
      <c r="D72" t="inlineStr">
        <is>
          <t>CUST-00071</t>
        </is>
      </c>
      <c r="E72" t="inlineStr">
        <is>
          <t>Customer 71</t>
        </is>
      </c>
      <c r="F72" t="inlineStr">
        <is>
          <t>Consumer</t>
        </is>
      </c>
      <c r="G72" t="inlineStr">
        <is>
          <t>P1002</t>
        </is>
      </c>
      <c r="H72" t="inlineStr">
        <is>
          <t>CloudDrive File Box</t>
        </is>
      </c>
      <c r="I72" t="inlineStr">
        <is>
          <t>Office Supplies</t>
        </is>
      </c>
      <c r="J72" t="inlineStr">
        <is>
          <t>Furniture</t>
        </is>
      </c>
      <c r="K72" t="inlineStr">
        <is>
          <t>West</t>
        </is>
      </c>
      <c r="L72" t="inlineStr">
        <is>
          <t>California</t>
        </is>
      </c>
      <c r="M72" t="inlineStr">
        <is>
          <t>Los Angeles</t>
        </is>
      </c>
      <c r="N72" t="inlineStr">
        <is>
          <t>James Carter</t>
        </is>
      </c>
      <c r="O72" t="n">
        <v>4</v>
      </c>
      <c r="P72" s="3" t="n">
        <v>82.73</v>
      </c>
      <c r="Q72" s="4" t="n">
        <v>0.044</v>
      </c>
      <c r="R72" s="3" t="n">
        <v>316.36</v>
      </c>
      <c r="S72" s="3" t="n">
        <v>150.15</v>
      </c>
      <c r="T72" s="3" t="n">
        <v>156.01</v>
      </c>
      <c r="U72" s="4" t="n">
        <v>0.4931</v>
      </c>
      <c r="V72" s="3" t="n">
        <v>10.2</v>
      </c>
      <c r="W72" t="inlineStr">
        <is>
          <t>Debit Card</t>
        </is>
      </c>
      <c r="X72" t="inlineStr">
        <is>
          <t>High</t>
        </is>
      </c>
      <c r="Y72" t="n">
        <v>2025</v>
      </c>
      <c r="Z72" t="n">
        <v>6</v>
      </c>
      <c r="AA72" t="inlineStr">
        <is>
          <t>Jun</t>
        </is>
      </c>
      <c r="AB72" t="inlineStr">
        <is>
          <t>Monday</t>
        </is>
      </c>
      <c r="AC72" t="n">
        <v>7</v>
      </c>
      <c r="AD72" t="inlineStr">
        <is>
          <t>Profitable</t>
        </is>
      </c>
      <c r="AE72" t="inlineStr">
        <is>
          <t>Medium</t>
        </is>
      </c>
      <c r="AF72" t="inlineStr">
        <is>
          <t>Small</t>
        </is>
      </c>
    </row>
    <row r="73">
      <c r="A73" t="inlineStr">
        <is>
          <t>ORD-00072</t>
        </is>
      </c>
      <c r="B73" s="2" t="n">
        <v>45149</v>
      </c>
      <c r="C73" s="2" t="n">
        <v>45151</v>
      </c>
      <c r="D73" t="inlineStr">
        <is>
          <t>CUST-00072</t>
        </is>
      </c>
      <c r="E73" t="inlineStr">
        <is>
          <t>Customer 72</t>
        </is>
      </c>
      <c r="F73" t="inlineStr">
        <is>
          <t>Consumer</t>
        </is>
      </c>
      <c r="G73" t="inlineStr">
        <is>
          <t>P1020</t>
        </is>
      </c>
      <c r="H73" t="inlineStr">
        <is>
          <t>Atlas Throw Pillow</t>
        </is>
      </c>
      <c r="I73" t="inlineStr">
        <is>
          <t>Furniture</t>
        </is>
      </c>
      <c r="J73" t="inlineStr">
        <is>
          <t>Furniture</t>
        </is>
      </c>
      <c r="K73" t="inlineStr">
        <is>
          <t>East</t>
        </is>
      </c>
      <c r="L73" t="inlineStr">
        <is>
          <t>New Jersey</t>
        </is>
      </c>
      <c r="M73" t="inlineStr">
        <is>
          <t>Washington</t>
        </is>
      </c>
      <c r="N73" t="inlineStr">
        <is>
          <t>Ava Patel</t>
        </is>
      </c>
      <c r="O73" t="n">
        <v>4</v>
      </c>
      <c r="P73" s="3" t="n">
        <v>79.93000000000001</v>
      </c>
      <c r="Q73" s="4" t="n">
        <v>0.059</v>
      </c>
      <c r="R73" s="3" t="n">
        <v>300.86</v>
      </c>
      <c r="S73" s="3" t="n">
        <v>139.5</v>
      </c>
      <c r="T73" s="3" t="n">
        <v>151.16</v>
      </c>
      <c r="U73" s="4" t="n">
        <v>0.5024</v>
      </c>
      <c r="V73" s="3" t="n">
        <v>10.2</v>
      </c>
      <c r="W73" t="inlineStr">
        <is>
          <t>PayPal</t>
        </is>
      </c>
      <c r="X73" t="inlineStr">
        <is>
          <t>High</t>
        </is>
      </c>
      <c r="Y73" t="n">
        <v>2023</v>
      </c>
      <c r="Z73" t="n">
        <v>8</v>
      </c>
      <c r="AA73" t="inlineStr">
        <is>
          <t>Aug</t>
        </is>
      </c>
      <c r="AB73" t="inlineStr">
        <is>
          <t>Friday</t>
        </is>
      </c>
      <c r="AC73" t="n">
        <v>2</v>
      </c>
      <c r="AD73" t="inlineStr">
        <is>
          <t>Profitable</t>
        </is>
      </c>
      <c r="AE73" t="inlineStr">
        <is>
          <t>High</t>
        </is>
      </c>
      <c r="AF73" t="inlineStr">
        <is>
          <t>Small</t>
        </is>
      </c>
    </row>
    <row r="74">
      <c r="A74" t="inlineStr">
        <is>
          <t>ORD-00073</t>
        </is>
      </c>
      <c r="B74" s="2" t="n">
        <v>45004</v>
      </c>
      <c r="C74" s="2" t="n">
        <v>45011</v>
      </c>
      <c r="D74" t="inlineStr">
        <is>
          <t>CUST-00073</t>
        </is>
      </c>
      <c r="E74" t="inlineStr">
        <is>
          <t>Customer 73</t>
        </is>
      </c>
      <c r="F74" t="inlineStr">
        <is>
          <t>Consumer</t>
        </is>
      </c>
      <c r="G74" t="inlineStr">
        <is>
          <t>P1019</t>
        </is>
      </c>
      <c r="H74" t="inlineStr">
        <is>
          <t>ProClip Binder</t>
        </is>
      </c>
      <c r="I74" t="inlineStr">
        <is>
          <t>Office Supplies</t>
        </is>
      </c>
      <c r="J74" t="inlineStr">
        <is>
          <t>Bags</t>
        </is>
      </c>
      <c r="K74" t="inlineStr">
        <is>
          <t>South</t>
        </is>
      </c>
      <c r="L74" t="inlineStr">
        <is>
          <t>North Carolina</t>
        </is>
      </c>
      <c r="M74" t="inlineStr">
        <is>
          <t>Atlanta</t>
        </is>
      </c>
      <c r="N74" t="inlineStr">
        <is>
          <t>James Carter</t>
        </is>
      </c>
      <c r="O74" t="n">
        <v>3</v>
      </c>
      <c r="P74" s="3" t="n">
        <v>54.06</v>
      </c>
      <c r="Q74" s="4" t="n">
        <v>0.017</v>
      </c>
      <c r="R74" s="3" t="n">
        <v>159.42</v>
      </c>
      <c r="S74" s="3" t="n">
        <v>73.69</v>
      </c>
      <c r="T74" s="3" t="n">
        <v>77.33</v>
      </c>
      <c r="U74" s="4" t="n">
        <v>0.4851</v>
      </c>
      <c r="V74" s="3" t="n">
        <v>8.4</v>
      </c>
      <c r="W74" t="inlineStr">
        <is>
          <t>Debit Card</t>
        </is>
      </c>
      <c r="X74" t="inlineStr">
        <is>
          <t>High</t>
        </is>
      </c>
      <c r="Y74" t="n">
        <v>2023</v>
      </c>
      <c r="Z74" t="n">
        <v>3</v>
      </c>
      <c r="AA74" t="inlineStr">
        <is>
          <t>Mar</t>
        </is>
      </c>
      <c r="AB74" t="inlineStr">
        <is>
          <t>Sunday</t>
        </is>
      </c>
      <c r="AC74" t="n">
        <v>7</v>
      </c>
      <c r="AD74" t="inlineStr">
        <is>
          <t>Profitable</t>
        </is>
      </c>
      <c r="AE74" t="inlineStr">
        <is>
          <t>Low</t>
        </is>
      </c>
      <c r="AF74" t="inlineStr">
        <is>
          <t>Small</t>
        </is>
      </c>
    </row>
    <row r="75">
      <c r="A75" t="inlineStr">
        <is>
          <t>ORD-00074</t>
        </is>
      </c>
      <c r="B75" s="2" t="n">
        <v>45932</v>
      </c>
      <c r="C75" s="2" t="n">
        <v>45939</v>
      </c>
      <c r="D75" t="inlineStr">
        <is>
          <t>CUST-00074</t>
        </is>
      </c>
      <c r="E75" t="inlineStr">
        <is>
          <t>Customer 74</t>
        </is>
      </c>
      <c r="F75" t="inlineStr">
        <is>
          <t>Corporate</t>
        </is>
      </c>
      <c r="G75" t="inlineStr">
        <is>
          <t>P1008</t>
        </is>
      </c>
      <c r="H75" t="inlineStr">
        <is>
          <t>Cove Wall Clock</t>
        </is>
      </c>
      <c r="I75" t="inlineStr">
        <is>
          <t>Office Supplies</t>
        </is>
      </c>
      <c r="J75" t="inlineStr">
        <is>
          <t>Desks</t>
        </is>
      </c>
      <c r="K75" t="inlineStr">
        <is>
          <t>North</t>
        </is>
      </c>
      <c r="L75" t="inlineStr">
        <is>
          <t>Quebec</t>
        </is>
      </c>
      <c r="M75" t="inlineStr">
        <is>
          <t>Toronto</t>
        </is>
      </c>
      <c r="N75" t="inlineStr">
        <is>
          <t>Olivia Martin</t>
        </is>
      </c>
      <c r="O75" t="n">
        <v>3</v>
      </c>
      <c r="P75" s="3" t="n">
        <v>36.46</v>
      </c>
      <c r="Q75" s="4" t="n">
        <v>0.014</v>
      </c>
      <c r="R75" s="3" t="n">
        <v>107.85</v>
      </c>
      <c r="S75" s="3" t="n">
        <v>45.6</v>
      </c>
      <c r="T75" s="3" t="n">
        <v>53.85</v>
      </c>
      <c r="U75" s="4" t="n">
        <v>0.4993</v>
      </c>
      <c r="V75" s="3" t="n">
        <v>8.4</v>
      </c>
      <c r="W75" t="inlineStr">
        <is>
          <t>Credit Card</t>
        </is>
      </c>
      <c r="X75" t="inlineStr">
        <is>
          <t>Medium</t>
        </is>
      </c>
      <c r="Y75" t="n">
        <v>2025</v>
      </c>
      <c r="Z75" t="n">
        <v>10</v>
      </c>
      <c r="AA75" t="inlineStr">
        <is>
          <t>Oct</t>
        </is>
      </c>
      <c r="AB75" t="inlineStr">
        <is>
          <t>Thursday</t>
        </is>
      </c>
      <c r="AC75" t="n">
        <v>7</v>
      </c>
      <c r="AD75" t="inlineStr">
        <is>
          <t>Profitable</t>
        </is>
      </c>
      <c r="AE75" t="inlineStr">
        <is>
          <t>Low</t>
        </is>
      </c>
      <c r="AF75" t="inlineStr">
        <is>
          <t>Small</t>
        </is>
      </c>
    </row>
    <row r="76">
      <c r="A76" t="inlineStr">
        <is>
          <t>ORD-00075</t>
        </is>
      </c>
      <c r="B76" s="2" t="n">
        <v>45680</v>
      </c>
      <c r="C76" s="2" t="n">
        <v>45681</v>
      </c>
      <c r="D76" t="inlineStr">
        <is>
          <t>CUST-00075</t>
        </is>
      </c>
      <c r="E76" t="inlineStr">
        <is>
          <t>Customer 75</t>
        </is>
      </c>
      <c r="F76" t="inlineStr">
        <is>
          <t>Corporate</t>
        </is>
      </c>
      <c r="G76" t="inlineStr">
        <is>
          <t>P1006</t>
        </is>
      </c>
      <c r="H76" t="inlineStr">
        <is>
          <t>Lumen Desk Lamp</t>
        </is>
      </c>
      <c r="I76" t="inlineStr">
        <is>
          <t>Furniture</t>
        </is>
      </c>
      <c r="J76" t="inlineStr">
        <is>
          <t>Binders</t>
        </is>
      </c>
      <c r="K76" t="inlineStr">
        <is>
          <t>South</t>
        </is>
      </c>
      <c r="L76" t="inlineStr">
        <is>
          <t>Texas</t>
        </is>
      </c>
      <c r="M76" t="inlineStr">
        <is>
          <t>Miami</t>
        </is>
      </c>
      <c r="N76" t="inlineStr">
        <is>
          <t>James Carter</t>
        </is>
      </c>
      <c r="O76" t="n">
        <v>5</v>
      </c>
      <c r="P76" s="3" t="n">
        <v>17.26</v>
      </c>
      <c r="Q76" s="4" t="n">
        <v>0.021</v>
      </c>
      <c r="R76" s="3" t="n">
        <v>84.48999999999999</v>
      </c>
      <c r="S76" s="3" t="n">
        <v>33.98</v>
      </c>
      <c r="T76" s="3" t="n">
        <v>40.51</v>
      </c>
      <c r="U76" s="4" t="n">
        <v>0.4795</v>
      </c>
      <c r="V76" s="3" t="n">
        <v>10</v>
      </c>
      <c r="W76" t="inlineStr">
        <is>
          <t>Credit Card</t>
        </is>
      </c>
      <c r="X76" t="inlineStr">
        <is>
          <t>Low</t>
        </is>
      </c>
      <c r="Y76" t="n">
        <v>2025</v>
      </c>
      <c r="Z76" t="n">
        <v>1</v>
      </c>
      <c r="AA76" t="inlineStr">
        <is>
          <t>Jan</t>
        </is>
      </c>
      <c r="AB76" t="inlineStr">
        <is>
          <t>Thursday</t>
        </is>
      </c>
      <c r="AC76" t="n">
        <v>1</v>
      </c>
      <c r="AD76" t="inlineStr">
        <is>
          <t>Profitable</t>
        </is>
      </c>
      <c r="AE76" t="inlineStr">
        <is>
          <t>Medium</t>
        </is>
      </c>
      <c r="AF76" t="inlineStr">
        <is>
          <t>Small</t>
        </is>
      </c>
    </row>
    <row r="77">
      <c r="A77" t="inlineStr">
        <is>
          <t>ORD-00076</t>
        </is>
      </c>
      <c r="B77" s="2" t="n">
        <v>45727</v>
      </c>
      <c r="C77" s="2" t="n">
        <v>45733</v>
      </c>
      <c r="D77" t="inlineStr">
        <is>
          <t>CUST-00076</t>
        </is>
      </c>
      <c r="E77" t="inlineStr">
        <is>
          <t>Customer 76</t>
        </is>
      </c>
      <c r="F77" t="inlineStr">
        <is>
          <t>Home Office</t>
        </is>
      </c>
      <c r="G77" t="inlineStr">
        <is>
          <t>P1020</t>
        </is>
      </c>
      <c r="H77" t="inlineStr">
        <is>
          <t>Nova Laptop Stand</t>
        </is>
      </c>
      <c r="I77" t="inlineStr">
        <is>
          <t>Office Supplies</t>
        </is>
      </c>
      <c r="J77" t="inlineStr">
        <is>
          <t>Plants</t>
        </is>
      </c>
      <c r="K77" t="inlineStr">
        <is>
          <t>East</t>
        </is>
      </c>
      <c r="L77" t="inlineStr">
        <is>
          <t>Massachusetts</t>
        </is>
      </c>
      <c r="M77" t="inlineStr">
        <is>
          <t>New York</t>
        </is>
      </c>
      <c r="N77" t="inlineStr">
        <is>
          <t>James Carter</t>
        </is>
      </c>
      <c r="O77" t="n">
        <v>1</v>
      </c>
      <c r="P77" s="3" t="n">
        <v>72.33</v>
      </c>
      <c r="Q77" s="4" t="n">
        <v>0.022</v>
      </c>
      <c r="R77" s="3" t="n">
        <v>70.73999999999999</v>
      </c>
      <c r="S77" s="3" t="n">
        <v>38.66</v>
      </c>
      <c r="T77" s="3" t="n">
        <v>24.28</v>
      </c>
      <c r="U77" s="4" t="n">
        <v>0.3432</v>
      </c>
      <c r="V77" s="3" t="n">
        <v>7.8</v>
      </c>
      <c r="W77" t="inlineStr">
        <is>
          <t>Credit Card</t>
        </is>
      </c>
      <c r="X77" t="inlineStr">
        <is>
          <t>Medium</t>
        </is>
      </c>
      <c r="Y77" t="n">
        <v>2025</v>
      </c>
      <c r="Z77" t="n">
        <v>3</v>
      </c>
      <c r="AA77" t="inlineStr">
        <is>
          <t>Mar</t>
        </is>
      </c>
      <c r="AB77" t="inlineStr">
        <is>
          <t>Tuesday</t>
        </is>
      </c>
      <c r="AC77" t="n">
        <v>6</v>
      </c>
      <c r="AD77" t="inlineStr">
        <is>
          <t>Profitable</t>
        </is>
      </c>
      <c r="AE77" t="inlineStr">
        <is>
          <t>Medium</t>
        </is>
      </c>
      <c r="AF77" t="inlineStr">
        <is>
          <t>Small</t>
        </is>
      </c>
    </row>
    <row r="78">
      <c r="A78" t="inlineStr">
        <is>
          <t>ORD-00077</t>
        </is>
      </c>
      <c r="B78" s="2" t="n">
        <v>45872</v>
      </c>
      <c r="C78" s="2" t="n">
        <v>45876</v>
      </c>
      <c r="D78" t="inlineStr">
        <is>
          <t>CUST-00077</t>
        </is>
      </c>
      <c r="E78" t="inlineStr">
        <is>
          <t>Customer 77</t>
        </is>
      </c>
      <c r="F78" t="inlineStr">
        <is>
          <t>Consumer</t>
        </is>
      </c>
      <c r="G78" t="inlineStr">
        <is>
          <t>P1007</t>
        </is>
      </c>
      <c r="H78" t="inlineStr">
        <is>
          <t>Aero Standing Desk</t>
        </is>
      </c>
      <c r="I78" t="inlineStr">
        <is>
          <t>Furniture</t>
        </is>
      </c>
      <c r="J78" t="inlineStr">
        <is>
          <t>Peripherals</t>
        </is>
      </c>
      <c r="K78" t="inlineStr">
        <is>
          <t>South</t>
        </is>
      </c>
      <c r="L78" t="inlineStr">
        <is>
          <t>Georgia</t>
        </is>
      </c>
      <c r="M78" t="inlineStr">
        <is>
          <t>Dallas</t>
        </is>
      </c>
      <c r="N78" t="inlineStr">
        <is>
          <t>Noah Kim</t>
        </is>
      </c>
      <c r="O78" t="n">
        <v>5</v>
      </c>
      <c r="P78" s="3" t="n">
        <v>24.71</v>
      </c>
      <c r="Q78" s="4" t="n">
        <v>0.001</v>
      </c>
      <c r="R78" s="3" t="n">
        <v>123.43</v>
      </c>
      <c r="S78" s="3" t="n">
        <v>45</v>
      </c>
      <c r="T78" s="3" t="n">
        <v>68.43000000000001</v>
      </c>
      <c r="U78" s="4" t="n">
        <v>0.5544</v>
      </c>
      <c r="V78" s="3" t="n">
        <v>10</v>
      </c>
      <c r="W78" t="inlineStr">
        <is>
          <t>Credit Card</t>
        </is>
      </c>
      <c r="X78" t="inlineStr">
        <is>
          <t>Low</t>
        </is>
      </c>
      <c r="Y78" t="n">
        <v>2025</v>
      </c>
      <c r="Z78" t="n">
        <v>8</v>
      </c>
      <c r="AA78" t="inlineStr">
        <is>
          <t>Aug</t>
        </is>
      </c>
      <c r="AB78" t="inlineStr">
        <is>
          <t>Sunday</t>
        </is>
      </c>
      <c r="AC78" t="n">
        <v>4</v>
      </c>
      <c r="AD78" t="inlineStr">
        <is>
          <t>Profitable</t>
        </is>
      </c>
      <c r="AE78" t="inlineStr">
        <is>
          <t>Low</t>
        </is>
      </c>
      <c r="AF78" t="inlineStr">
        <is>
          <t>Small</t>
        </is>
      </c>
    </row>
    <row r="79">
      <c r="A79" t="inlineStr">
        <is>
          <t>ORD-00078</t>
        </is>
      </c>
      <c r="B79" s="2" t="n">
        <v>45216</v>
      </c>
      <c r="C79" s="2" t="n">
        <v>45223</v>
      </c>
      <c r="D79" t="inlineStr">
        <is>
          <t>CUST-00078</t>
        </is>
      </c>
      <c r="E79" t="inlineStr">
        <is>
          <t>Customer 78</t>
        </is>
      </c>
      <c r="F79" t="inlineStr">
        <is>
          <t>Corporate</t>
        </is>
      </c>
      <c r="G79" t="inlineStr">
        <is>
          <t>P1013</t>
        </is>
      </c>
      <c r="H79" t="inlineStr">
        <is>
          <t>Northstar Lantern</t>
        </is>
      </c>
      <c r="I79" t="inlineStr">
        <is>
          <t>Outdoor</t>
        </is>
      </c>
      <c r="J79" t="inlineStr">
        <is>
          <t>Coolers</t>
        </is>
      </c>
      <c r="K79" t="inlineStr">
        <is>
          <t>West</t>
        </is>
      </c>
      <c r="L79" t="inlineStr">
        <is>
          <t>Washington</t>
        </is>
      </c>
      <c r="M79" t="inlineStr">
        <is>
          <t>San Francisco</t>
        </is>
      </c>
      <c r="N79" t="inlineStr">
        <is>
          <t>Liam Chen</t>
        </is>
      </c>
      <c r="O79" t="n">
        <v>3</v>
      </c>
      <c r="P79" s="3" t="n">
        <v>187.17</v>
      </c>
      <c r="Q79" s="4" t="n">
        <v>0.042</v>
      </c>
      <c r="R79" s="3" t="n">
        <v>537.9299999999999</v>
      </c>
      <c r="S79" s="3" t="n">
        <v>308.98</v>
      </c>
      <c r="T79" s="3" t="n">
        <v>219.55</v>
      </c>
      <c r="U79" s="4" t="n">
        <v>0.4081</v>
      </c>
      <c r="V79" s="3" t="n">
        <v>9.4</v>
      </c>
      <c r="W79" t="inlineStr">
        <is>
          <t>Cash on Delivery</t>
        </is>
      </c>
      <c r="X79" t="inlineStr">
        <is>
          <t>High</t>
        </is>
      </c>
      <c r="Y79" t="n">
        <v>2023</v>
      </c>
      <c r="Z79" t="n">
        <v>10</v>
      </c>
      <c r="AA79" t="inlineStr">
        <is>
          <t>Oct</t>
        </is>
      </c>
      <c r="AB79" t="inlineStr">
        <is>
          <t>Tuesday</t>
        </is>
      </c>
      <c r="AC79" t="n">
        <v>7</v>
      </c>
      <c r="AD79" t="inlineStr">
        <is>
          <t>Profitable</t>
        </is>
      </c>
      <c r="AE79" t="inlineStr">
        <is>
          <t>Medium</t>
        </is>
      </c>
      <c r="AF79" t="inlineStr">
        <is>
          <t>Medium</t>
        </is>
      </c>
    </row>
    <row r="80">
      <c r="A80" t="inlineStr">
        <is>
          <t>ORD-00079</t>
        </is>
      </c>
      <c r="B80" s="2" t="n">
        <v>45636</v>
      </c>
      <c r="C80" s="2" t="n">
        <v>45643</v>
      </c>
      <c r="D80" t="inlineStr">
        <is>
          <t>CUST-00079</t>
        </is>
      </c>
      <c r="E80" t="inlineStr">
        <is>
          <t>Customer 79</t>
        </is>
      </c>
      <c r="F80" t="inlineStr">
        <is>
          <t>Corporate</t>
        </is>
      </c>
      <c r="G80" t="inlineStr">
        <is>
          <t>P1002</t>
        </is>
      </c>
      <c r="H80" t="inlineStr">
        <is>
          <t>Summit Patio Set</t>
        </is>
      </c>
      <c r="I80" t="inlineStr">
        <is>
          <t>Outdoor</t>
        </is>
      </c>
      <c r="J80" t="inlineStr">
        <is>
          <t>Furniture</t>
        </is>
      </c>
      <c r="K80" t="inlineStr">
        <is>
          <t>West</t>
        </is>
      </c>
      <c r="L80" t="inlineStr">
        <is>
          <t>Colorado</t>
        </is>
      </c>
      <c r="M80" t="inlineStr">
        <is>
          <t>Los Angeles</t>
        </is>
      </c>
      <c r="N80" t="inlineStr">
        <is>
          <t>Ethan Brooks</t>
        </is>
      </c>
      <c r="O80" t="n">
        <v>2</v>
      </c>
      <c r="P80" s="3" t="n">
        <v>89.54000000000001</v>
      </c>
      <c r="Q80" s="4" t="n">
        <v>0.058</v>
      </c>
      <c r="R80" s="3" t="n">
        <v>168.69</v>
      </c>
      <c r="S80" s="3" t="n">
        <v>78.58</v>
      </c>
      <c r="T80" s="3" t="n">
        <v>81.51000000000001</v>
      </c>
      <c r="U80" s="4" t="n">
        <v>0.4832</v>
      </c>
      <c r="V80" s="3" t="n">
        <v>8.6</v>
      </c>
      <c r="W80" t="inlineStr">
        <is>
          <t>Debit Card</t>
        </is>
      </c>
      <c r="X80" t="inlineStr">
        <is>
          <t>High</t>
        </is>
      </c>
      <c r="Y80" t="n">
        <v>2024</v>
      </c>
      <c r="Z80" t="n">
        <v>12</v>
      </c>
      <c r="AA80" t="inlineStr">
        <is>
          <t>Dec</t>
        </is>
      </c>
      <c r="AB80" t="inlineStr">
        <is>
          <t>Tuesday</t>
        </is>
      </c>
      <c r="AC80" t="n">
        <v>7</v>
      </c>
      <c r="AD80" t="inlineStr">
        <is>
          <t>Profitable</t>
        </is>
      </c>
      <c r="AE80" t="inlineStr">
        <is>
          <t>High</t>
        </is>
      </c>
      <c r="AF80" t="inlineStr">
        <is>
          <t>Small</t>
        </is>
      </c>
    </row>
    <row r="81">
      <c r="A81" t="inlineStr">
        <is>
          <t>ORD-00080</t>
        </is>
      </c>
      <c r="B81" s="2" t="n">
        <v>45202</v>
      </c>
      <c r="C81" s="2" t="n">
        <v>45206</v>
      </c>
      <c r="D81" t="inlineStr">
        <is>
          <t>CUST-00080</t>
        </is>
      </c>
      <c r="E81" t="inlineStr">
        <is>
          <t>Customer 80</t>
        </is>
      </c>
      <c r="F81" t="inlineStr">
        <is>
          <t>Consumer</t>
        </is>
      </c>
      <c r="G81" t="inlineStr">
        <is>
          <t>P1007</t>
        </is>
      </c>
      <c r="H81" t="inlineStr">
        <is>
          <t>ErgoMesh Chair</t>
        </is>
      </c>
      <c r="I81" t="inlineStr">
        <is>
          <t>Technology</t>
        </is>
      </c>
      <c r="J81" t="inlineStr">
        <is>
          <t>Lighting</t>
        </is>
      </c>
      <c r="K81" t="inlineStr">
        <is>
          <t>North</t>
        </is>
      </c>
      <c r="L81" t="inlineStr">
        <is>
          <t>Alberta</t>
        </is>
      </c>
      <c r="M81" t="inlineStr">
        <is>
          <t>Vancouver</t>
        </is>
      </c>
      <c r="N81" t="inlineStr">
        <is>
          <t>Mia Rodriguez</t>
        </is>
      </c>
      <c r="O81" t="n">
        <v>3</v>
      </c>
      <c r="P81" s="3" t="n">
        <v>26.33</v>
      </c>
      <c r="Q81" s="4" t="n">
        <v>0.06</v>
      </c>
      <c r="R81" s="3" t="n">
        <v>74.25</v>
      </c>
      <c r="S81" s="3" t="n">
        <v>33.15</v>
      </c>
      <c r="T81" s="3" t="n">
        <v>32.7</v>
      </c>
      <c r="U81" s="4" t="n">
        <v>0.4404</v>
      </c>
      <c r="V81" s="3" t="n">
        <v>8.4</v>
      </c>
      <c r="W81" t="inlineStr">
        <is>
          <t>Credit Card</t>
        </is>
      </c>
      <c r="X81" t="inlineStr">
        <is>
          <t>High</t>
        </is>
      </c>
      <c r="Y81" t="n">
        <v>2023</v>
      </c>
      <c r="Z81" t="n">
        <v>10</v>
      </c>
      <c r="AA81" t="inlineStr">
        <is>
          <t>Oct</t>
        </is>
      </c>
      <c r="AB81" t="inlineStr">
        <is>
          <t>Tuesday</t>
        </is>
      </c>
      <c r="AC81" t="n">
        <v>4</v>
      </c>
      <c r="AD81" t="inlineStr">
        <is>
          <t>Profitable</t>
        </is>
      </c>
      <c r="AE81" t="inlineStr">
        <is>
          <t>High</t>
        </is>
      </c>
      <c r="AF81" t="inlineStr">
        <is>
          <t>Small</t>
        </is>
      </c>
    </row>
    <row r="82">
      <c r="A82" t="inlineStr">
        <is>
          <t>ORD-00081</t>
        </is>
      </c>
      <c r="B82" s="2" t="n">
        <v>45922</v>
      </c>
      <c r="C82" s="2" t="n">
        <v>45924</v>
      </c>
      <c r="D82" t="inlineStr">
        <is>
          <t>CUST-00081</t>
        </is>
      </c>
      <c r="E82" t="inlineStr">
        <is>
          <t>Customer 81</t>
        </is>
      </c>
      <c r="F82" t="inlineStr">
        <is>
          <t>Consumer</t>
        </is>
      </c>
      <c r="G82" t="inlineStr">
        <is>
          <t>P1001</t>
        </is>
      </c>
      <c r="H82" t="inlineStr">
        <is>
          <t>Lumen Desk Lamp</t>
        </is>
      </c>
      <c r="I82" t="inlineStr">
        <is>
          <t>Furniture</t>
        </is>
      </c>
      <c r="J82" t="inlineStr">
        <is>
          <t>Flooring</t>
        </is>
      </c>
      <c r="K82" t="inlineStr">
        <is>
          <t>Central</t>
        </is>
      </c>
      <c r="L82" t="inlineStr">
        <is>
          <t>Minnesota</t>
        </is>
      </c>
      <c r="M82" t="inlineStr">
        <is>
          <t>Minneapolis</t>
        </is>
      </c>
      <c r="N82" t="inlineStr">
        <is>
          <t>Liam Chen</t>
        </is>
      </c>
      <c r="O82" t="n">
        <v>3</v>
      </c>
      <c r="P82" s="3" t="n">
        <v>280.59</v>
      </c>
      <c r="Q82" s="4" t="n">
        <v>0.019</v>
      </c>
      <c r="R82" s="3" t="n">
        <v>825.78</v>
      </c>
      <c r="S82" s="3" t="n">
        <v>484.57</v>
      </c>
      <c r="T82" s="3" t="n">
        <v>332.81</v>
      </c>
      <c r="U82" s="4" t="n">
        <v>0.403</v>
      </c>
      <c r="V82" s="3" t="n">
        <v>8.4</v>
      </c>
      <c r="W82" t="inlineStr">
        <is>
          <t>PayPal</t>
        </is>
      </c>
      <c r="X82" t="inlineStr">
        <is>
          <t>Low</t>
        </is>
      </c>
      <c r="Y82" t="n">
        <v>2025</v>
      </c>
      <c r="Z82" t="n">
        <v>9</v>
      </c>
      <c r="AA82" t="inlineStr">
        <is>
          <t>Sep</t>
        </is>
      </c>
      <c r="AB82" t="inlineStr">
        <is>
          <t>Monday</t>
        </is>
      </c>
      <c r="AC82" t="n">
        <v>2</v>
      </c>
      <c r="AD82" t="inlineStr">
        <is>
          <t>Profitable</t>
        </is>
      </c>
      <c r="AE82" t="inlineStr">
        <is>
          <t>Low</t>
        </is>
      </c>
      <c r="AF82" t="inlineStr">
        <is>
          <t>Medium</t>
        </is>
      </c>
    </row>
    <row r="83">
      <c r="A83" t="inlineStr">
        <is>
          <t>ORD-00082</t>
        </is>
      </c>
      <c r="B83" s="2" t="n">
        <v>45446</v>
      </c>
      <c r="C83" s="2" t="n">
        <v>45451</v>
      </c>
      <c r="D83" t="inlineStr">
        <is>
          <t>CUST-00082</t>
        </is>
      </c>
      <c r="E83" t="inlineStr">
        <is>
          <t>Customer 82</t>
        </is>
      </c>
      <c r="F83" t="inlineStr">
        <is>
          <t>Corporate</t>
        </is>
      </c>
      <c r="G83" t="inlineStr">
        <is>
          <t>P1006</t>
        </is>
      </c>
      <c r="H83" t="inlineStr">
        <is>
          <t>Summit Patio Set</t>
        </is>
      </c>
      <c r="I83" t="inlineStr">
        <is>
          <t>Home Decor</t>
        </is>
      </c>
      <c r="J83" t="inlineStr">
        <is>
          <t>Binders</t>
        </is>
      </c>
      <c r="K83" t="inlineStr">
        <is>
          <t>South</t>
        </is>
      </c>
      <c r="L83" t="inlineStr">
        <is>
          <t>Florida</t>
        </is>
      </c>
      <c r="M83" t="inlineStr">
        <is>
          <t>Atlanta</t>
        </is>
      </c>
      <c r="N83" t="inlineStr">
        <is>
          <t>Ethan Brooks</t>
        </is>
      </c>
      <c r="O83" t="n">
        <v>1</v>
      </c>
      <c r="P83" s="3" t="n">
        <v>18.21</v>
      </c>
      <c r="Q83" s="4" t="n">
        <v>0.074</v>
      </c>
      <c r="R83" s="3" t="n">
        <v>16.86</v>
      </c>
      <c r="S83" s="3" t="n">
        <v>9.619999999999999</v>
      </c>
      <c r="T83" s="3" t="n">
        <v>0.44</v>
      </c>
      <c r="U83" s="4" t="n">
        <v>0.0261</v>
      </c>
      <c r="V83" s="3" t="n">
        <v>6.8</v>
      </c>
      <c r="W83" t="inlineStr">
        <is>
          <t>PayPal</t>
        </is>
      </c>
      <c r="X83" t="inlineStr">
        <is>
          <t>Critical</t>
        </is>
      </c>
      <c r="Y83" t="n">
        <v>2024</v>
      </c>
      <c r="Z83" t="n">
        <v>6</v>
      </c>
      <c r="AA83" t="inlineStr">
        <is>
          <t>Jun</t>
        </is>
      </c>
      <c r="AB83" t="inlineStr">
        <is>
          <t>Monday</t>
        </is>
      </c>
      <c r="AC83" t="n">
        <v>5</v>
      </c>
      <c r="AD83" t="inlineStr">
        <is>
          <t>Profitable</t>
        </is>
      </c>
      <c r="AE83" t="inlineStr">
        <is>
          <t>High</t>
        </is>
      </c>
      <c r="AF83" t="inlineStr">
        <is>
          <t>Small</t>
        </is>
      </c>
    </row>
    <row r="84">
      <c r="A84" t="inlineStr">
        <is>
          <t>ORD-00083</t>
        </is>
      </c>
      <c r="B84" s="2" t="n">
        <v>45312</v>
      </c>
      <c r="C84" s="2" t="n">
        <v>45315</v>
      </c>
      <c r="D84" t="inlineStr">
        <is>
          <t>CUST-00083</t>
        </is>
      </c>
      <c r="E84" t="inlineStr">
        <is>
          <t>Customer 83</t>
        </is>
      </c>
      <c r="F84" t="inlineStr">
        <is>
          <t>Home Office</t>
        </is>
      </c>
      <c r="G84" t="inlineStr">
        <is>
          <t>P1016</t>
        </is>
      </c>
      <c r="H84" t="inlineStr">
        <is>
          <t>Lumen Desk Lamp</t>
        </is>
      </c>
      <c r="I84" t="inlineStr">
        <is>
          <t>Furniture</t>
        </is>
      </c>
      <c r="J84" t="inlineStr">
        <is>
          <t>Peripherals</t>
        </is>
      </c>
      <c r="K84" t="inlineStr">
        <is>
          <t>West</t>
        </is>
      </c>
      <c r="L84" t="inlineStr">
        <is>
          <t>Oregon</t>
        </is>
      </c>
      <c r="M84" t="inlineStr">
        <is>
          <t>San Francisco</t>
        </is>
      </c>
      <c r="N84" t="inlineStr">
        <is>
          <t>Ava Patel</t>
        </is>
      </c>
      <c r="O84" t="n">
        <v>3</v>
      </c>
      <c r="P84" s="3" t="n">
        <v>40.4</v>
      </c>
      <c r="Q84" s="4" t="n">
        <v>0.016</v>
      </c>
      <c r="R84" s="3" t="n">
        <v>119.26</v>
      </c>
      <c r="S84" s="3" t="n">
        <v>52.21</v>
      </c>
      <c r="T84" s="3" t="n">
        <v>57.65</v>
      </c>
      <c r="U84" s="4" t="n">
        <v>0.4834</v>
      </c>
      <c r="V84" s="3" t="n">
        <v>9.4</v>
      </c>
      <c r="W84" t="inlineStr">
        <is>
          <t>PayPal</t>
        </is>
      </c>
      <c r="X84" t="inlineStr">
        <is>
          <t>High</t>
        </is>
      </c>
      <c r="Y84" t="n">
        <v>2024</v>
      </c>
      <c r="Z84" t="n">
        <v>1</v>
      </c>
      <c r="AA84" t="inlineStr">
        <is>
          <t>Jan</t>
        </is>
      </c>
      <c r="AB84" t="inlineStr">
        <is>
          <t>Sunday</t>
        </is>
      </c>
      <c r="AC84" t="n">
        <v>3</v>
      </c>
      <c r="AD84" t="inlineStr">
        <is>
          <t>Profitable</t>
        </is>
      </c>
      <c r="AE84" t="inlineStr">
        <is>
          <t>Low</t>
        </is>
      </c>
      <c r="AF84" t="inlineStr">
        <is>
          <t>Small</t>
        </is>
      </c>
    </row>
    <row r="85">
      <c r="A85" t="inlineStr">
        <is>
          <t>ORD-00084</t>
        </is>
      </c>
      <c r="B85" s="2" t="n">
        <v>45010</v>
      </c>
      <c r="C85" s="2" t="n">
        <v>45011</v>
      </c>
      <c r="D85" t="inlineStr">
        <is>
          <t>CUST-00084</t>
        </is>
      </c>
      <c r="E85" t="inlineStr">
        <is>
          <t>Customer 84</t>
        </is>
      </c>
      <c r="F85" t="inlineStr">
        <is>
          <t>Consumer</t>
        </is>
      </c>
      <c r="G85" t="inlineStr">
        <is>
          <t>P1008</t>
        </is>
      </c>
      <c r="H85" t="inlineStr">
        <is>
          <t>Nimbus Monitor Arm</t>
        </is>
      </c>
      <c r="I85" t="inlineStr">
        <is>
          <t>Furniture</t>
        </is>
      </c>
      <c r="J85" t="inlineStr">
        <is>
          <t>Bags</t>
        </is>
      </c>
      <c r="K85" t="inlineStr">
        <is>
          <t>East</t>
        </is>
      </c>
      <c r="L85" t="inlineStr">
        <is>
          <t>Virginia</t>
        </is>
      </c>
      <c r="M85" t="inlineStr">
        <is>
          <t>New York</t>
        </is>
      </c>
      <c r="N85" t="inlineStr">
        <is>
          <t>Mia Rodriguez</t>
        </is>
      </c>
      <c r="O85" t="n">
        <v>5</v>
      </c>
      <c r="P85" s="3" t="n">
        <v>35.23</v>
      </c>
      <c r="Q85" s="4" t="n">
        <v>0.008</v>
      </c>
      <c r="R85" s="3" t="n">
        <v>174.74</v>
      </c>
      <c r="S85" s="3" t="n">
        <v>75.55</v>
      </c>
      <c r="T85" s="3" t="n">
        <v>88.19</v>
      </c>
      <c r="U85" s="4" t="n">
        <v>0.5047</v>
      </c>
      <c r="V85" s="3" t="n">
        <v>11</v>
      </c>
      <c r="W85" t="inlineStr">
        <is>
          <t>Cash on Delivery</t>
        </is>
      </c>
      <c r="X85" t="inlineStr">
        <is>
          <t>Low</t>
        </is>
      </c>
      <c r="Y85" t="n">
        <v>2023</v>
      </c>
      <c r="Z85" t="n">
        <v>3</v>
      </c>
      <c r="AA85" t="inlineStr">
        <is>
          <t>Mar</t>
        </is>
      </c>
      <c r="AB85" t="inlineStr">
        <is>
          <t>Saturday</t>
        </is>
      </c>
      <c r="AC85" t="n">
        <v>1</v>
      </c>
      <c r="AD85" t="inlineStr">
        <is>
          <t>Profitable</t>
        </is>
      </c>
      <c r="AE85" t="inlineStr">
        <is>
          <t>Low</t>
        </is>
      </c>
      <c r="AF85" t="inlineStr">
        <is>
          <t>Small</t>
        </is>
      </c>
    </row>
    <row r="86">
      <c r="A86" t="inlineStr">
        <is>
          <t>ORD-00085</t>
        </is>
      </c>
      <c r="B86" s="2" t="n">
        <v>45511</v>
      </c>
      <c r="C86" s="2" t="n">
        <v>45517</v>
      </c>
      <c r="D86" t="inlineStr">
        <is>
          <t>CUST-00085</t>
        </is>
      </c>
      <c r="E86" t="inlineStr">
        <is>
          <t>Customer 85</t>
        </is>
      </c>
      <c r="F86" t="inlineStr">
        <is>
          <t>Home Office</t>
        </is>
      </c>
      <c r="G86" t="inlineStr">
        <is>
          <t>P1013</t>
        </is>
      </c>
      <c r="H86" t="inlineStr">
        <is>
          <t>Aero Standing Desk</t>
        </is>
      </c>
      <c r="I86" t="inlineStr">
        <is>
          <t>Technology</t>
        </is>
      </c>
      <c r="J86" t="inlineStr">
        <is>
          <t>Writing</t>
        </is>
      </c>
      <c r="K86" t="inlineStr">
        <is>
          <t>West</t>
        </is>
      </c>
      <c r="L86" t="inlineStr">
        <is>
          <t>Oregon</t>
        </is>
      </c>
      <c r="M86" t="inlineStr">
        <is>
          <t>Seattle</t>
        </is>
      </c>
      <c r="N86" t="inlineStr">
        <is>
          <t>Liam Chen</t>
        </is>
      </c>
      <c r="O86" t="n">
        <v>6</v>
      </c>
      <c r="P86" s="3" t="n">
        <v>166.58</v>
      </c>
      <c r="Q86" s="4" t="n">
        <v>0.008</v>
      </c>
      <c r="R86" s="3" t="n">
        <v>991.48</v>
      </c>
      <c r="S86" s="3" t="n">
        <v>562.76</v>
      </c>
      <c r="T86" s="3" t="n">
        <v>416.92</v>
      </c>
      <c r="U86" s="4" t="n">
        <v>0.4205</v>
      </c>
      <c r="V86" s="3" t="n">
        <v>11.8</v>
      </c>
      <c r="W86" t="inlineStr">
        <is>
          <t>Credit Card</t>
        </is>
      </c>
      <c r="X86" t="inlineStr">
        <is>
          <t>Low</t>
        </is>
      </c>
      <c r="Y86" t="n">
        <v>2024</v>
      </c>
      <c r="Z86" t="n">
        <v>8</v>
      </c>
      <c r="AA86" t="inlineStr">
        <is>
          <t>Aug</t>
        </is>
      </c>
      <c r="AB86" t="inlineStr">
        <is>
          <t>Wednesday</t>
        </is>
      </c>
      <c r="AC86" t="n">
        <v>6</v>
      </c>
      <c r="AD86" t="inlineStr">
        <is>
          <t>Profitable</t>
        </is>
      </c>
      <c r="AE86" t="inlineStr">
        <is>
          <t>Low</t>
        </is>
      </c>
      <c r="AF86" t="inlineStr">
        <is>
          <t>Medium</t>
        </is>
      </c>
    </row>
    <row r="87">
      <c r="A87" t="inlineStr">
        <is>
          <t>ORD-00086</t>
        </is>
      </c>
      <c r="B87" s="2" t="n">
        <v>45537</v>
      </c>
      <c r="C87" s="2" t="n">
        <v>45542</v>
      </c>
      <c r="D87" t="inlineStr">
        <is>
          <t>CUST-00086</t>
        </is>
      </c>
      <c r="E87" t="inlineStr">
        <is>
          <t>Customer 86</t>
        </is>
      </c>
      <c r="F87" t="inlineStr">
        <is>
          <t>Corporate</t>
        </is>
      </c>
      <c r="G87" t="inlineStr">
        <is>
          <t>P1018</t>
        </is>
      </c>
      <c r="H87" t="inlineStr">
        <is>
          <t>Harbor Rug</t>
        </is>
      </c>
      <c r="I87" t="inlineStr">
        <is>
          <t>Outdoor</t>
        </is>
      </c>
      <c r="J87" t="inlineStr">
        <is>
          <t>Coolers</t>
        </is>
      </c>
      <c r="K87" t="inlineStr">
        <is>
          <t>South</t>
        </is>
      </c>
      <c r="L87" t="inlineStr">
        <is>
          <t>Florida</t>
        </is>
      </c>
      <c r="M87" t="inlineStr">
        <is>
          <t>Atlanta</t>
        </is>
      </c>
      <c r="N87" t="inlineStr">
        <is>
          <t>Ava Patel</t>
        </is>
      </c>
      <c r="O87" t="n">
        <v>3</v>
      </c>
      <c r="P87" s="3" t="n">
        <v>90</v>
      </c>
      <c r="Q87" s="4" t="n">
        <v>0.048</v>
      </c>
      <c r="R87" s="3" t="n">
        <v>257.04</v>
      </c>
      <c r="S87" s="3" t="n">
        <v>120.13</v>
      </c>
      <c r="T87" s="3" t="n">
        <v>128.51</v>
      </c>
      <c r="U87" s="4" t="n">
        <v>0.5</v>
      </c>
      <c r="V87" s="3" t="n">
        <v>8.4</v>
      </c>
      <c r="W87" t="inlineStr">
        <is>
          <t>Bank Transfer</t>
        </is>
      </c>
      <c r="X87" t="inlineStr">
        <is>
          <t>High</t>
        </is>
      </c>
      <c r="Y87" t="n">
        <v>2024</v>
      </c>
      <c r="Z87" t="n">
        <v>9</v>
      </c>
      <c r="AA87" t="inlineStr">
        <is>
          <t>Sep</t>
        </is>
      </c>
      <c r="AB87" t="inlineStr">
        <is>
          <t>Monday</t>
        </is>
      </c>
      <c r="AC87" t="n">
        <v>5</v>
      </c>
      <c r="AD87" t="inlineStr">
        <is>
          <t>Profitable</t>
        </is>
      </c>
      <c r="AE87" t="inlineStr">
        <is>
          <t>Medium</t>
        </is>
      </c>
      <c r="AF87" t="inlineStr">
        <is>
          <t>Small</t>
        </is>
      </c>
    </row>
    <row r="88">
      <c r="A88" t="inlineStr">
        <is>
          <t>ORD-00087</t>
        </is>
      </c>
      <c r="B88" s="2" t="n">
        <v>45809</v>
      </c>
      <c r="C88" s="2" t="n">
        <v>45815</v>
      </c>
      <c r="D88" t="inlineStr">
        <is>
          <t>CUST-00087</t>
        </is>
      </c>
      <c r="E88" t="inlineStr">
        <is>
          <t>Customer 87</t>
        </is>
      </c>
      <c r="F88" t="inlineStr">
        <is>
          <t>Consumer</t>
        </is>
      </c>
      <c r="G88" t="inlineStr">
        <is>
          <t>P1014</t>
        </is>
      </c>
      <c r="H88" t="inlineStr">
        <is>
          <t>Echo Web Camera</t>
        </is>
      </c>
      <c r="I88" t="inlineStr">
        <is>
          <t>Technology</t>
        </is>
      </c>
      <c r="J88" t="inlineStr">
        <is>
          <t>Furniture</t>
        </is>
      </c>
      <c r="K88" t="inlineStr">
        <is>
          <t>East</t>
        </is>
      </c>
      <c r="L88" t="inlineStr">
        <is>
          <t>Virginia</t>
        </is>
      </c>
      <c r="M88" t="inlineStr">
        <is>
          <t>Philadelphia</t>
        </is>
      </c>
      <c r="N88" t="inlineStr">
        <is>
          <t>Ethan Brooks</t>
        </is>
      </c>
      <c r="O88" t="n">
        <v>2</v>
      </c>
      <c r="P88" s="3" t="n">
        <v>46.74</v>
      </c>
      <c r="Q88" s="4" t="n">
        <v>0.004</v>
      </c>
      <c r="R88" s="3" t="n">
        <v>93.11</v>
      </c>
      <c r="S88" s="3" t="n">
        <v>44.82</v>
      </c>
      <c r="T88" s="3" t="n">
        <v>39.69</v>
      </c>
      <c r="U88" s="4" t="n">
        <v>0.4263</v>
      </c>
      <c r="V88" s="3" t="n">
        <v>8.6</v>
      </c>
      <c r="W88" t="inlineStr">
        <is>
          <t>Cash on Delivery</t>
        </is>
      </c>
      <c r="X88" t="inlineStr">
        <is>
          <t>Medium</t>
        </is>
      </c>
      <c r="Y88" t="n">
        <v>2025</v>
      </c>
      <c r="Z88" t="n">
        <v>6</v>
      </c>
      <c r="AA88" t="inlineStr">
        <is>
          <t>Jun</t>
        </is>
      </c>
      <c r="AB88" t="inlineStr">
        <is>
          <t>Sunday</t>
        </is>
      </c>
      <c r="AC88" t="n">
        <v>6</v>
      </c>
      <c r="AD88" t="inlineStr">
        <is>
          <t>Profitable</t>
        </is>
      </c>
      <c r="AE88" t="inlineStr">
        <is>
          <t>Low</t>
        </is>
      </c>
      <c r="AF88" t="inlineStr">
        <is>
          <t>Small</t>
        </is>
      </c>
    </row>
    <row r="89">
      <c r="A89" t="inlineStr">
        <is>
          <t>ORD-00088</t>
        </is>
      </c>
      <c r="B89" s="2" t="n">
        <v>45572</v>
      </c>
      <c r="C89" s="2" t="n">
        <v>45577</v>
      </c>
      <c r="D89" t="inlineStr">
        <is>
          <t>CUST-00088</t>
        </is>
      </c>
      <c r="E89" t="inlineStr">
        <is>
          <t>Customer 88</t>
        </is>
      </c>
      <c r="F89" t="inlineStr">
        <is>
          <t>Consumer</t>
        </is>
      </c>
      <c r="G89" t="inlineStr">
        <is>
          <t>P1018</t>
        </is>
      </c>
      <c r="H89" t="inlineStr">
        <is>
          <t>FlexNote Notebook</t>
        </is>
      </c>
      <c r="I89" t="inlineStr">
        <is>
          <t>Office Supplies</t>
        </is>
      </c>
      <c r="J89" t="inlineStr">
        <is>
          <t>Flooring</t>
        </is>
      </c>
      <c r="K89" t="inlineStr">
        <is>
          <t>West</t>
        </is>
      </c>
      <c r="L89" t="inlineStr">
        <is>
          <t>Colorado</t>
        </is>
      </c>
      <c r="M89" t="inlineStr">
        <is>
          <t>Denver</t>
        </is>
      </c>
      <c r="N89" t="inlineStr">
        <is>
          <t>Ava Patel</t>
        </is>
      </c>
      <c r="O89" t="n">
        <v>3</v>
      </c>
      <c r="P89" s="3" t="n">
        <v>99.45999999999999</v>
      </c>
      <c r="Q89" s="4" t="n">
        <v>0.079</v>
      </c>
      <c r="R89" s="3" t="n">
        <v>274.81</v>
      </c>
      <c r="S89" s="3" t="n">
        <v>126.87</v>
      </c>
      <c r="T89" s="3" t="n">
        <v>138.54</v>
      </c>
      <c r="U89" s="4" t="n">
        <v>0.5041</v>
      </c>
      <c r="V89" s="3" t="n">
        <v>9.4</v>
      </c>
      <c r="W89" t="inlineStr">
        <is>
          <t>Debit Card</t>
        </is>
      </c>
      <c r="X89" t="inlineStr">
        <is>
          <t>Critical</t>
        </is>
      </c>
      <c r="Y89" t="n">
        <v>2024</v>
      </c>
      <c r="Z89" t="n">
        <v>10</v>
      </c>
      <c r="AA89" t="inlineStr">
        <is>
          <t>Oct</t>
        </is>
      </c>
      <c r="AB89" t="inlineStr">
        <is>
          <t>Monday</t>
        </is>
      </c>
      <c r="AC89" t="n">
        <v>5</v>
      </c>
      <c r="AD89" t="inlineStr">
        <is>
          <t>Profitable</t>
        </is>
      </c>
      <c r="AE89" t="inlineStr">
        <is>
          <t>High</t>
        </is>
      </c>
      <c r="AF89" t="inlineStr">
        <is>
          <t>Small</t>
        </is>
      </c>
    </row>
    <row r="90">
      <c r="A90" t="inlineStr">
        <is>
          <t>ORD-00089</t>
        </is>
      </c>
      <c r="B90" s="2" t="n">
        <v>45858</v>
      </c>
      <c r="C90" s="2" t="n">
        <v>45859</v>
      </c>
      <c r="D90" t="inlineStr">
        <is>
          <t>CUST-00089</t>
        </is>
      </c>
      <c r="E90" t="inlineStr">
        <is>
          <t>Customer 89</t>
        </is>
      </c>
      <c r="F90" t="inlineStr">
        <is>
          <t>Consumer</t>
        </is>
      </c>
      <c r="G90" t="inlineStr">
        <is>
          <t>P1004</t>
        </is>
      </c>
      <c r="H90" t="inlineStr">
        <is>
          <t>Cove Wall Clock</t>
        </is>
      </c>
      <c r="I90" t="inlineStr">
        <is>
          <t>Office Supplies</t>
        </is>
      </c>
      <c r="J90" t="inlineStr">
        <is>
          <t>Decor</t>
        </is>
      </c>
      <c r="K90" t="inlineStr">
        <is>
          <t>West</t>
        </is>
      </c>
      <c r="L90" t="inlineStr">
        <is>
          <t>Colorado</t>
        </is>
      </c>
      <c r="M90" t="inlineStr">
        <is>
          <t>Denver</t>
        </is>
      </c>
      <c r="N90" t="inlineStr">
        <is>
          <t>Ethan Brooks</t>
        </is>
      </c>
      <c r="O90" t="n">
        <v>1</v>
      </c>
      <c r="P90" s="3" t="n">
        <v>668.0599999999999</v>
      </c>
      <c r="Q90" s="4" t="n">
        <v>0.044</v>
      </c>
      <c r="R90" s="3" t="n">
        <v>638.67</v>
      </c>
      <c r="S90" s="3" t="n">
        <v>407.29</v>
      </c>
      <c r="T90" s="3" t="n">
        <v>223.58</v>
      </c>
      <c r="U90" s="4" t="n">
        <v>0.3501</v>
      </c>
      <c r="V90" s="3" t="n">
        <v>7.8</v>
      </c>
      <c r="W90" t="inlineStr">
        <is>
          <t>Cash on Delivery</t>
        </is>
      </c>
      <c r="X90" t="inlineStr">
        <is>
          <t>High</t>
        </is>
      </c>
      <c r="Y90" t="n">
        <v>2025</v>
      </c>
      <c r="Z90" t="n">
        <v>7</v>
      </c>
      <c r="AA90" t="inlineStr">
        <is>
          <t>Jul</t>
        </is>
      </c>
      <c r="AB90" t="inlineStr">
        <is>
          <t>Sunday</t>
        </is>
      </c>
      <c r="AC90" t="n">
        <v>1</v>
      </c>
      <c r="AD90" t="inlineStr">
        <is>
          <t>Profitable</t>
        </is>
      </c>
      <c r="AE90" t="inlineStr">
        <is>
          <t>Medium</t>
        </is>
      </c>
      <c r="AF90" t="inlineStr">
        <is>
          <t>Medium</t>
        </is>
      </c>
    </row>
    <row r="91">
      <c r="A91" t="inlineStr">
        <is>
          <t>ORD-00090</t>
        </is>
      </c>
      <c r="B91" s="2" t="n">
        <v>45333</v>
      </c>
      <c r="C91" s="2" t="n">
        <v>45336</v>
      </c>
      <c r="D91" t="inlineStr">
        <is>
          <t>CUST-00090</t>
        </is>
      </c>
      <c r="E91" t="inlineStr">
        <is>
          <t>Customer 90</t>
        </is>
      </c>
      <c r="F91" t="inlineStr">
        <is>
          <t>Consumer</t>
        </is>
      </c>
      <c r="G91" t="inlineStr">
        <is>
          <t>P1015</t>
        </is>
      </c>
      <c r="H91" t="inlineStr">
        <is>
          <t>ProClip Binder</t>
        </is>
      </c>
      <c r="I91" t="inlineStr">
        <is>
          <t>Home Decor</t>
        </is>
      </c>
      <c r="J91" t="inlineStr">
        <is>
          <t>Accessories</t>
        </is>
      </c>
      <c r="K91" t="inlineStr">
        <is>
          <t>South</t>
        </is>
      </c>
      <c r="L91" t="inlineStr">
        <is>
          <t>Georgia</t>
        </is>
      </c>
      <c r="M91" t="inlineStr">
        <is>
          <t>Miami</t>
        </is>
      </c>
      <c r="N91" t="inlineStr">
        <is>
          <t>Liam Chen</t>
        </is>
      </c>
      <c r="O91" t="n">
        <v>5</v>
      </c>
      <c r="P91" s="3" t="n">
        <v>63.17</v>
      </c>
      <c r="Q91" s="4" t="n">
        <v>0.037</v>
      </c>
      <c r="R91" s="3" t="n">
        <v>304.16</v>
      </c>
      <c r="S91" s="3" t="n">
        <v>135.25</v>
      </c>
      <c r="T91" s="3" t="n">
        <v>158.91</v>
      </c>
      <c r="U91" s="4" t="n">
        <v>0.5225</v>
      </c>
      <c r="V91" s="3" t="n">
        <v>10</v>
      </c>
      <c r="W91" t="inlineStr">
        <is>
          <t>Credit Card</t>
        </is>
      </c>
      <c r="X91" t="inlineStr">
        <is>
          <t>High</t>
        </is>
      </c>
      <c r="Y91" t="n">
        <v>2024</v>
      </c>
      <c r="Z91" t="n">
        <v>2</v>
      </c>
      <c r="AA91" t="inlineStr">
        <is>
          <t>Feb</t>
        </is>
      </c>
      <c r="AB91" t="inlineStr">
        <is>
          <t>Sunday</t>
        </is>
      </c>
      <c r="AC91" t="n">
        <v>3</v>
      </c>
      <c r="AD91" t="inlineStr">
        <is>
          <t>Profitable</t>
        </is>
      </c>
      <c r="AE91" t="inlineStr">
        <is>
          <t>Medium</t>
        </is>
      </c>
      <c r="AF91" t="inlineStr">
        <is>
          <t>Small</t>
        </is>
      </c>
    </row>
    <row r="92">
      <c r="A92" t="inlineStr">
        <is>
          <t>ORD-00091</t>
        </is>
      </c>
      <c r="B92" s="2" t="n">
        <v>45039</v>
      </c>
      <c r="C92" s="2" t="n">
        <v>45040</v>
      </c>
      <c r="D92" t="inlineStr">
        <is>
          <t>CUST-00091</t>
        </is>
      </c>
      <c r="E92" t="inlineStr">
        <is>
          <t>Customer 91</t>
        </is>
      </c>
      <c r="F92" t="inlineStr">
        <is>
          <t>Consumer</t>
        </is>
      </c>
      <c r="G92" t="inlineStr">
        <is>
          <t>P1005</t>
        </is>
      </c>
      <c r="H92" t="inlineStr">
        <is>
          <t>ErgoMesh Chair</t>
        </is>
      </c>
      <c r="I92" t="inlineStr">
        <is>
          <t>Outdoor</t>
        </is>
      </c>
      <c r="J92" t="inlineStr">
        <is>
          <t>Flooring</t>
        </is>
      </c>
      <c r="K92" t="inlineStr">
        <is>
          <t>Central</t>
        </is>
      </c>
      <c r="L92" t="inlineStr">
        <is>
          <t>Illinois</t>
        </is>
      </c>
      <c r="M92" t="inlineStr">
        <is>
          <t>St. Louis</t>
        </is>
      </c>
      <c r="N92" t="inlineStr">
        <is>
          <t>Ethan Brooks</t>
        </is>
      </c>
      <c r="O92" t="n">
        <v>4</v>
      </c>
      <c r="P92" s="3" t="n">
        <v>12.23</v>
      </c>
      <c r="Q92" s="4" t="n">
        <v>0.025</v>
      </c>
      <c r="R92" s="3" t="n">
        <v>47.7</v>
      </c>
      <c r="S92" s="3" t="n">
        <v>23.62</v>
      </c>
      <c r="T92" s="3" t="n">
        <v>14.88</v>
      </c>
      <c r="U92" s="4" t="n">
        <v>0.3119</v>
      </c>
      <c r="V92" s="3" t="n">
        <v>9.199999999999999</v>
      </c>
      <c r="W92" t="inlineStr">
        <is>
          <t>Credit Card</t>
        </is>
      </c>
      <c r="X92" t="inlineStr">
        <is>
          <t>Medium</t>
        </is>
      </c>
      <c r="Y92" t="n">
        <v>2023</v>
      </c>
      <c r="Z92" t="n">
        <v>4</v>
      </c>
      <c r="AA92" t="inlineStr">
        <is>
          <t>Apr</t>
        </is>
      </c>
      <c r="AB92" t="inlineStr">
        <is>
          <t>Sunday</t>
        </is>
      </c>
      <c r="AC92" t="n">
        <v>1</v>
      </c>
      <c r="AD92" t="inlineStr">
        <is>
          <t>Profitable</t>
        </is>
      </c>
      <c r="AE92" t="inlineStr">
        <is>
          <t>Medium</t>
        </is>
      </c>
      <c r="AF92" t="inlineStr">
        <is>
          <t>Small</t>
        </is>
      </c>
    </row>
    <row r="93">
      <c r="A93" t="inlineStr">
        <is>
          <t>ORD-00092</t>
        </is>
      </c>
      <c r="B93" s="2" t="n">
        <v>45967</v>
      </c>
      <c r="C93" s="2" t="n">
        <v>45970</v>
      </c>
      <c r="D93" t="inlineStr">
        <is>
          <t>CUST-00092</t>
        </is>
      </c>
      <c r="E93" t="inlineStr">
        <is>
          <t>Customer 92</t>
        </is>
      </c>
      <c r="F93" t="inlineStr">
        <is>
          <t>Consumer</t>
        </is>
      </c>
      <c r="G93" t="inlineStr">
        <is>
          <t>P1014</t>
        </is>
      </c>
      <c r="H93" t="inlineStr">
        <is>
          <t>Atlas Throw Pillow</t>
        </is>
      </c>
      <c r="I93" t="inlineStr">
        <is>
          <t>Outdoor</t>
        </is>
      </c>
      <c r="J93" t="inlineStr">
        <is>
          <t>Binders</t>
        </is>
      </c>
      <c r="K93" t="inlineStr">
        <is>
          <t>East</t>
        </is>
      </c>
      <c r="L93" t="inlineStr">
        <is>
          <t>Massachusetts</t>
        </is>
      </c>
      <c r="M93" t="inlineStr">
        <is>
          <t>New York</t>
        </is>
      </c>
      <c r="N93" t="inlineStr">
        <is>
          <t>Liam Chen</t>
        </is>
      </c>
      <c r="O93" t="n">
        <v>2</v>
      </c>
      <c r="P93" s="3" t="n">
        <v>45.18</v>
      </c>
      <c r="Q93" s="4" t="n">
        <v>0.008999999999999999</v>
      </c>
      <c r="R93" s="3" t="n">
        <v>89.55</v>
      </c>
      <c r="S93" s="3" t="n">
        <v>45.56</v>
      </c>
      <c r="T93" s="3" t="n">
        <v>35.39</v>
      </c>
      <c r="U93" s="4" t="n">
        <v>0.3952</v>
      </c>
      <c r="V93" s="3" t="n">
        <v>8.6</v>
      </c>
      <c r="W93" t="inlineStr">
        <is>
          <t>Bank Transfer</t>
        </is>
      </c>
      <c r="X93" t="inlineStr">
        <is>
          <t>Medium</t>
        </is>
      </c>
      <c r="Y93" t="n">
        <v>2025</v>
      </c>
      <c r="Z93" t="n">
        <v>11</v>
      </c>
      <c r="AA93" t="inlineStr">
        <is>
          <t>Nov</t>
        </is>
      </c>
      <c r="AB93" t="inlineStr">
        <is>
          <t>Thursday</t>
        </is>
      </c>
      <c r="AC93" t="n">
        <v>3</v>
      </c>
      <c r="AD93" t="inlineStr">
        <is>
          <t>Profitable</t>
        </is>
      </c>
      <c r="AE93" t="inlineStr">
        <is>
          <t>Low</t>
        </is>
      </c>
      <c r="AF93" t="inlineStr">
        <is>
          <t>Small</t>
        </is>
      </c>
    </row>
    <row r="94">
      <c r="A94" t="inlineStr">
        <is>
          <t>ORD-00093</t>
        </is>
      </c>
      <c r="B94" s="2" t="n">
        <v>45953</v>
      </c>
      <c r="C94" s="2" t="n">
        <v>45959</v>
      </c>
      <c r="D94" t="inlineStr">
        <is>
          <t>CUST-00093</t>
        </is>
      </c>
      <c r="E94" t="inlineStr">
        <is>
          <t>Customer 93</t>
        </is>
      </c>
      <c r="F94" t="inlineStr">
        <is>
          <t>Home Office</t>
        </is>
      </c>
      <c r="G94" t="inlineStr">
        <is>
          <t>P1016</t>
        </is>
      </c>
      <c r="H94" t="inlineStr">
        <is>
          <t>ProClip Binder</t>
        </is>
      </c>
      <c r="I94" t="inlineStr">
        <is>
          <t>Outdoor</t>
        </is>
      </c>
      <c r="J94" t="inlineStr">
        <is>
          <t>Chairs</t>
        </is>
      </c>
      <c r="K94" t="inlineStr">
        <is>
          <t>West</t>
        </is>
      </c>
      <c r="L94" t="inlineStr">
        <is>
          <t>California</t>
        </is>
      </c>
      <c r="M94" t="inlineStr">
        <is>
          <t>Los Angeles</t>
        </is>
      </c>
      <c r="N94" t="inlineStr">
        <is>
          <t>James Carter</t>
        </is>
      </c>
      <c r="O94" t="n">
        <v>3</v>
      </c>
      <c r="P94" s="3" t="n">
        <v>41.99</v>
      </c>
      <c r="Q94" s="4" t="n">
        <v>0.059</v>
      </c>
      <c r="R94" s="3" t="n">
        <v>118.54</v>
      </c>
      <c r="S94" s="3" t="n">
        <v>53.84</v>
      </c>
      <c r="T94" s="3" t="n">
        <v>55.3</v>
      </c>
      <c r="U94" s="4" t="n">
        <v>0.4665</v>
      </c>
      <c r="V94" s="3" t="n">
        <v>9.4</v>
      </c>
      <c r="W94" t="inlineStr">
        <is>
          <t>Cash on Delivery</t>
        </is>
      </c>
      <c r="X94" t="inlineStr">
        <is>
          <t>High</t>
        </is>
      </c>
      <c r="Y94" t="n">
        <v>2025</v>
      </c>
      <c r="Z94" t="n">
        <v>10</v>
      </c>
      <c r="AA94" t="inlineStr">
        <is>
          <t>Oct</t>
        </is>
      </c>
      <c r="AB94" t="inlineStr">
        <is>
          <t>Thursday</t>
        </is>
      </c>
      <c r="AC94" t="n">
        <v>6</v>
      </c>
      <c r="AD94" t="inlineStr">
        <is>
          <t>Profitable</t>
        </is>
      </c>
      <c r="AE94" t="inlineStr">
        <is>
          <t>High</t>
        </is>
      </c>
      <c r="AF94" t="inlineStr">
        <is>
          <t>Small</t>
        </is>
      </c>
    </row>
    <row r="95">
      <c r="A95" t="inlineStr">
        <is>
          <t>ORD-00094</t>
        </is>
      </c>
      <c r="B95" s="2" t="n">
        <v>45630</v>
      </c>
      <c r="C95" s="2" t="n">
        <v>45632</v>
      </c>
      <c r="D95" t="inlineStr">
        <is>
          <t>CUST-00094</t>
        </is>
      </c>
      <c r="E95" t="inlineStr">
        <is>
          <t>Customer 94</t>
        </is>
      </c>
      <c r="F95" t="inlineStr">
        <is>
          <t>Corporate</t>
        </is>
      </c>
      <c r="G95" t="inlineStr">
        <is>
          <t>P1015</t>
        </is>
      </c>
      <c r="H95" t="inlineStr">
        <is>
          <t>Harbor Rug</t>
        </is>
      </c>
      <c r="I95" t="inlineStr">
        <is>
          <t>Home Decor</t>
        </is>
      </c>
      <c r="J95" t="inlineStr">
        <is>
          <t>Chairs</t>
        </is>
      </c>
      <c r="K95" t="inlineStr">
        <is>
          <t>West</t>
        </is>
      </c>
      <c r="L95" t="inlineStr">
        <is>
          <t>Colorado</t>
        </is>
      </c>
      <c r="M95" t="inlineStr">
        <is>
          <t>Los Angeles</t>
        </is>
      </c>
      <c r="N95" t="inlineStr">
        <is>
          <t>Liam Chen</t>
        </is>
      </c>
      <c r="O95" t="n">
        <v>1</v>
      </c>
      <c r="P95" s="3" t="n">
        <v>78.45</v>
      </c>
      <c r="Q95" s="4" t="n">
        <v>0.04</v>
      </c>
      <c r="R95" s="3" t="n">
        <v>75.31</v>
      </c>
      <c r="S95" s="3" t="n">
        <v>41.2</v>
      </c>
      <c r="T95" s="3" t="n">
        <v>26.31</v>
      </c>
      <c r="U95" s="4" t="n">
        <v>0.3494</v>
      </c>
      <c r="V95" s="3" t="n">
        <v>7.8</v>
      </c>
      <c r="W95" t="inlineStr">
        <is>
          <t>Credit Card</t>
        </is>
      </c>
      <c r="X95" t="inlineStr">
        <is>
          <t>Medium</t>
        </is>
      </c>
      <c r="Y95" t="n">
        <v>2024</v>
      </c>
      <c r="Z95" t="n">
        <v>12</v>
      </c>
      <c r="AA95" t="inlineStr">
        <is>
          <t>Dec</t>
        </is>
      </c>
      <c r="AB95" t="inlineStr">
        <is>
          <t>Wednesday</t>
        </is>
      </c>
      <c r="AC95" t="n">
        <v>2</v>
      </c>
      <c r="AD95" t="inlineStr">
        <is>
          <t>Profitable</t>
        </is>
      </c>
      <c r="AE95" t="inlineStr">
        <is>
          <t>Medium</t>
        </is>
      </c>
      <c r="AF95" t="inlineStr">
        <is>
          <t>Small</t>
        </is>
      </c>
    </row>
    <row r="96">
      <c r="A96" t="inlineStr">
        <is>
          <t>ORD-00095</t>
        </is>
      </c>
      <c r="B96" s="2" t="n">
        <v>45735</v>
      </c>
      <c r="C96" s="2" t="n">
        <v>45738</v>
      </c>
      <c r="D96" t="inlineStr">
        <is>
          <t>CUST-00095</t>
        </is>
      </c>
      <c r="E96" t="inlineStr">
        <is>
          <t>Customer 95</t>
        </is>
      </c>
      <c r="F96" t="inlineStr">
        <is>
          <t>Corporate</t>
        </is>
      </c>
      <c r="G96" t="inlineStr">
        <is>
          <t>P1011</t>
        </is>
      </c>
      <c r="H96" t="inlineStr">
        <is>
          <t>Harbor Rug</t>
        </is>
      </c>
      <c r="I96" t="inlineStr">
        <is>
          <t>Outdoor</t>
        </is>
      </c>
      <c r="J96" t="inlineStr">
        <is>
          <t>Desks</t>
        </is>
      </c>
      <c r="K96" t="inlineStr">
        <is>
          <t>South</t>
        </is>
      </c>
      <c r="L96" t="inlineStr">
        <is>
          <t>Florida</t>
        </is>
      </c>
      <c r="M96" t="inlineStr">
        <is>
          <t>Miami</t>
        </is>
      </c>
      <c r="N96" t="inlineStr">
        <is>
          <t>Mia Rodriguez</t>
        </is>
      </c>
      <c r="O96" t="n">
        <v>2</v>
      </c>
      <c r="P96" s="3" t="n">
        <v>89.06</v>
      </c>
      <c r="Q96" s="4" t="n">
        <v>0.02</v>
      </c>
      <c r="R96" s="3" t="n">
        <v>174.56</v>
      </c>
      <c r="S96" s="3" t="n">
        <v>90.63</v>
      </c>
      <c r="T96" s="3" t="n">
        <v>76.33</v>
      </c>
      <c r="U96" s="4" t="n">
        <v>0.4373</v>
      </c>
      <c r="V96" s="3" t="n">
        <v>7.6</v>
      </c>
      <c r="W96" t="inlineStr">
        <is>
          <t>PayPal</t>
        </is>
      </c>
      <c r="X96" t="inlineStr">
        <is>
          <t>Medium</t>
        </is>
      </c>
      <c r="Y96" t="n">
        <v>2025</v>
      </c>
      <c r="Z96" t="n">
        <v>3</v>
      </c>
      <c r="AA96" t="inlineStr">
        <is>
          <t>Mar</t>
        </is>
      </c>
      <c r="AB96" t="inlineStr">
        <is>
          <t>Wednesday</t>
        </is>
      </c>
      <c r="AC96" t="n">
        <v>3</v>
      </c>
      <c r="AD96" t="inlineStr">
        <is>
          <t>Profitable</t>
        </is>
      </c>
      <c r="AE96" t="inlineStr">
        <is>
          <t>Medium</t>
        </is>
      </c>
      <c r="AF96" t="inlineStr">
        <is>
          <t>Small</t>
        </is>
      </c>
    </row>
    <row r="97">
      <c r="A97" t="inlineStr">
        <is>
          <t>ORD-00096</t>
        </is>
      </c>
      <c r="B97" s="2" t="n">
        <v>45654</v>
      </c>
      <c r="C97" s="2" t="n">
        <v>45659</v>
      </c>
      <c r="D97" t="inlineStr">
        <is>
          <t>CUST-00096</t>
        </is>
      </c>
      <c r="E97" t="inlineStr">
        <is>
          <t>Customer 96</t>
        </is>
      </c>
      <c r="F97" t="inlineStr">
        <is>
          <t>Consumer</t>
        </is>
      </c>
      <c r="G97" t="inlineStr">
        <is>
          <t>P1002</t>
        </is>
      </c>
      <c r="H97" t="inlineStr">
        <is>
          <t>Pulse Keyboard</t>
        </is>
      </c>
      <c r="I97" t="inlineStr">
        <is>
          <t>Outdoor</t>
        </is>
      </c>
      <c r="J97" t="inlineStr">
        <is>
          <t>Decor</t>
        </is>
      </c>
      <c r="K97" t="inlineStr">
        <is>
          <t>West</t>
        </is>
      </c>
      <c r="L97" t="inlineStr">
        <is>
          <t>Washington</t>
        </is>
      </c>
      <c r="M97" t="inlineStr">
        <is>
          <t>Seattle</t>
        </is>
      </c>
      <c r="N97" t="inlineStr">
        <is>
          <t>James Carter</t>
        </is>
      </c>
      <c r="O97" t="n">
        <v>2</v>
      </c>
      <c r="P97" s="3" t="n">
        <v>90.94</v>
      </c>
      <c r="Q97" s="4" t="n">
        <v>0.03</v>
      </c>
      <c r="R97" s="3" t="n">
        <v>176.42</v>
      </c>
      <c r="S97" s="3" t="n">
        <v>87.41</v>
      </c>
      <c r="T97" s="3" t="n">
        <v>80.41</v>
      </c>
      <c r="U97" s="4" t="n">
        <v>0.4558</v>
      </c>
      <c r="V97" s="3" t="n">
        <v>8.6</v>
      </c>
      <c r="W97" t="inlineStr">
        <is>
          <t>Cash on Delivery</t>
        </is>
      </c>
      <c r="X97" t="inlineStr">
        <is>
          <t>Medium</t>
        </is>
      </c>
      <c r="Y97" t="n">
        <v>2024</v>
      </c>
      <c r="Z97" t="n">
        <v>12</v>
      </c>
      <c r="AA97" t="inlineStr">
        <is>
          <t>Dec</t>
        </is>
      </c>
      <c r="AB97" t="inlineStr">
        <is>
          <t>Saturday</t>
        </is>
      </c>
      <c r="AC97" t="n">
        <v>5</v>
      </c>
      <c r="AD97" t="inlineStr">
        <is>
          <t>Profitable</t>
        </is>
      </c>
      <c r="AE97" t="inlineStr">
        <is>
          <t>Medium</t>
        </is>
      </c>
      <c r="AF97" t="inlineStr">
        <is>
          <t>Small</t>
        </is>
      </c>
    </row>
    <row r="98">
      <c r="A98" t="inlineStr">
        <is>
          <t>ORD-00097</t>
        </is>
      </c>
      <c r="B98" s="2" t="n">
        <v>45403</v>
      </c>
      <c r="C98" s="2" t="n">
        <v>45405</v>
      </c>
      <c r="D98" t="inlineStr">
        <is>
          <t>CUST-00097</t>
        </is>
      </c>
      <c r="E98" t="inlineStr">
        <is>
          <t>Customer 97</t>
        </is>
      </c>
      <c r="F98" t="inlineStr">
        <is>
          <t>Consumer</t>
        </is>
      </c>
      <c r="G98" t="inlineStr">
        <is>
          <t>P1018</t>
        </is>
      </c>
      <c r="H98" t="inlineStr">
        <is>
          <t>Atlas Throw Pillow</t>
        </is>
      </c>
      <c r="I98" t="inlineStr">
        <is>
          <t>Outdoor</t>
        </is>
      </c>
      <c r="J98" t="inlineStr">
        <is>
          <t>Coolers</t>
        </is>
      </c>
      <c r="K98" t="inlineStr">
        <is>
          <t>East</t>
        </is>
      </c>
      <c r="L98" t="inlineStr">
        <is>
          <t>New York</t>
        </is>
      </c>
      <c r="M98" t="inlineStr">
        <is>
          <t>Washington</t>
        </is>
      </c>
      <c r="N98" t="inlineStr">
        <is>
          <t>Mia Rodriguez</t>
        </is>
      </c>
      <c r="O98" t="n">
        <v>2</v>
      </c>
      <c r="P98" s="3" t="n">
        <v>89.45</v>
      </c>
      <c r="Q98" s="4" t="n">
        <v>0.018</v>
      </c>
      <c r="R98" s="3" t="n">
        <v>175.68</v>
      </c>
      <c r="S98" s="3" t="n">
        <v>82.05</v>
      </c>
      <c r="T98" s="3" t="n">
        <v>85.03</v>
      </c>
      <c r="U98" s="4" t="n">
        <v>0.484</v>
      </c>
      <c r="V98" s="3" t="n">
        <v>8.6</v>
      </c>
      <c r="W98" t="inlineStr">
        <is>
          <t>Credit Card</t>
        </is>
      </c>
      <c r="X98" t="inlineStr">
        <is>
          <t>Low</t>
        </is>
      </c>
      <c r="Y98" t="n">
        <v>2024</v>
      </c>
      <c r="Z98" t="n">
        <v>4</v>
      </c>
      <c r="AA98" t="inlineStr">
        <is>
          <t>Apr</t>
        </is>
      </c>
      <c r="AB98" t="inlineStr">
        <is>
          <t>Sunday</t>
        </is>
      </c>
      <c r="AC98" t="n">
        <v>2</v>
      </c>
      <c r="AD98" t="inlineStr">
        <is>
          <t>Profitable</t>
        </is>
      </c>
      <c r="AE98" t="inlineStr">
        <is>
          <t>Low</t>
        </is>
      </c>
      <c r="AF98" t="inlineStr">
        <is>
          <t>Small</t>
        </is>
      </c>
    </row>
    <row r="99">
      <c r="A99" t="inlineStr">
        <is>
          <t>ORD-00098</t>
        </is>
      </c>
      <c r="B99" s="2" t="n">
        <v>45310</v>
      </c>
      <c r="C99" s="2" t="n">
        <v>45316</v>
      </c>
      <c r="D99" t="inlineStr">
        <is>
          <t>CUST-00098</t>
        </is>
      </c>
      <c r="E99" t="inlineStr">
        <is>
          <t>Customer 98</t>
        </is>
      </c>
      <c r="F99" t="inlineStr">
        <is>
          <t>Consumer</t>
        </is>
      </c>
      <c r="G99" t="inlineStr">
        <is>
          <t>P1004</t>
        </is>
      </c>
      <c r="H99" t="inlineStr">
        <is>
          <t>Cove Wall Clock</t>
        </is>
      </c>
      <c r="I99" t="inlineStr">
        <is>
          <t>Furniture</t>
        </is>
      </c>
      <c r="J99" t="inlineStr">
        <is>
          <t>Textiles</t>
        </is>
      </c>
      <c r="K99" t="inlineStr">
        <is>
          <t>Central</t>
        </is>
      </c>
      <c r="L99" t="inlineStr">
        <is>
          <t>Missouri</t>
        </is>
      </c>
      <c r="M99" t="inlineStr">
        <is>
          <t>Chicago</t>
        </is>
      </c>
      <c r="N99" t="inlineStr">
        <is>
          <t>Noah Kim</t>
        </is>
      </c>
      <c r="O99" t="n">
        <v>3</v>
      </c>
      <c r="P99" s="3" t="n">
        <v>571.27</v>
      </c>
      <c r="Q99" s="4" t="n">
        <v>0.04</v>
      </c>
      <c r="R99" s="3" t="n">
        <v>1645.26</v>
      </c>
      <c r="S99" s="3" t="n">
        <v>1045.5</v>
      </c>
      <c r="T99" s="3" t="n">
        <v>591.36</v>
      </c>
      <c r="U99" s="4" t="n">
        <v>0.3594</v>
      </c>
      <c r="V99" s="3" t="n">
        <v>8.4</v>
      </c>
      <c r="W99" t="inlineStr">
        <is>
          <t>Credit Card</t>
        </is>
      </c>
      <c r="X99" t="inlineStr">
        <is>
          <t>High</t>
        </is>
      </c>
      <c r="Y99" t="n">
        <v>2024</v>
      </c>
      <c r="Z99" t="n">
        <v>1</v>
      </c>
      <c r="AA99" t="inlineStr">
        <is>
          <t>Jan</t>
        </is>
      </c>
      <c r="AB99" t="inlineStr">
        <is>
          <t>Friday</t>
        </is>
      </c>
      <c r="AC99" t="n">
        <v>6</v>
      </c>
      <c r="AD99" t="inlineStr">
        <is>
          <t>Profitable</t>
        </is>
      </c>
      <c r="AE99" t="inlineStr">
        <is>
          <t>Medium</t>
        </is>
      </c>
      <c r="AF99" t="inlineStr">
        <is>
          <t>Large</t>
        </is>
      </c>
    </row>
    <row r="100">
      <c r="A100" t="inlineStr">
        <is>
          <t>ORD-00099</t>
        </is>
      </c>
      <c r="B100" s="2" t="n">
        <v>45274</v>
      </c>
      <c r="C100" s="2" t="n">
        <v>45278</v>
      </c>
      <c r="D100" t="inlineStr">
        <is>
          <t>CUST-00099</t>
        </is>
      </c>
      <c r="E100" t="inlineStr">
        <is>
          <t>Customer 99</t>
        </is>
      </c>
      <c r="F100" t="inlineStr">
        <is>
          <t>Home Office</t>
        </is>
      </c>
      <c r="G100" t="inlineStr">
        <is>
          <t>P1015</t>
        </is>
      </c>
      <c r="H100" t="inlineStr">
        <is>
          <t>Pulse Keyboard</t>
        </is>
      </c>
      <c r="I100" t="inlineStr">
        <is>
          <t>Outdoor</t>
        </is>
      </c>
      <c r="J100" t="inlineStr">
        <is>
          <t>Accessories</t>
        </is>
      </c>
      <c r="K100" t="inlineStr">
        <is>
          <t>South</t>
        </is>
      </c>
      <c r="L100" t="inlineStr">
        <is>
          <t>Georgia</t>
        </is>
      </c>
      <c r="M100" t="inlineStr">
        <is>
          <t>Atlanta</t>
        </is>
      </c>
      <c r="N100" t="inlineStr">
        <is>
          <t>James Carter</t>
        </is>
      </c>
      <c r="O100" t="n">
        <v>5</v>
      </c>
      <c r="P100" s="3" t="n">
        <v>72.72</v>
      </c>
      <c r="Q100" s="4" t="n">
        <v>0.006</v>
      </c>
      <c r="R100" s="3" t="n">
        <v>361.42</v>
      </c>
      <c r="S100" s="3" t="n">
        <v>159.1</v>
      </c>
      <c r="T100" s="3" t="n">
        <v>192.32</v>
      </c>
      <c r="U100" s="4" t="n">
        <v>0.5321</v>
      </c>
      <c r="V100" s="3" t="n">
        <v>10</v>
      </c>
      <c r="W100" t="inlineStr">
        <is>
          <t>PayPal</t>
        </is>
      </c>
      <c r="X100" t="inlineStr">
        <is>
          <t>Medium</t>
        </is>
      </c>
      <c r="Y100" t="n">
        <v>2023</v>
      </c>
      <c r="Z100" t="n">
        <v>12</v>
      </c>
      <c r="AA100" t="inlineStr">
        <is>
          <t>Dec</t>
        </is>
      </c>
      <c r="AB100" t="inlineStr">
        <is>
          <t>Thursday</t>
        </is>
      </c>
      <c r="AC100" t="n">
        <v>4</v>
      </c>
      <c r="AD100" t="inlineStr">
        <is>
          <t>Profitable</t>
        </is>
      </c>
      <c r="AE100" t="inlineStr">
        <is>
          <t>Low</t>
        </is>
      </c>
      <c r="AF100" t="inlineStr">
        <is>
          <t>Small</t>
        </is>
      </c>
    </row>
    <row r="101">
      <c r="A101" t="inlineStr">
        <is>
          <t>ORD-00100</t>
        </is>
      </c>
      <c r="B101" s="2" t="n">
        <v>45049</v>
      </c>
      <c r="C101" s="2" t="n">
        <v>45051</v>
      </c>
      <c r="D101" t="inlineStr">
        <is>
          <t>CUST-00100</t>
        </is>
      </c>
      <c r="E101" t="inlineStr">
        <is>
          <t>Customer 100</t>
        </is>
      </c>
      <c r="F101" t="inlineStr">
        <is>
          <t>Consumer</t>
        </is>
      </c>
      <c r="G101" t="inlineStr">
        <is>
          <t>P1012</t>
        </is>
      </c>
      <c r="H101" t="inlineStr">
        <is>
          <t>FlexNote Notebook</t>
        </is>
      </c>
      <c r="I101" t="inlineStr">
        <is>
          <t>Home Decor</t>
        </is>
      </c>
      <c r="J101" t="inlineStr">
        <is>
          <t>Binders</t>
        </is>
      </c>
      <c r="K101" t="inlineStr">
        <is>
          <t>Central</t>
        </is>
      </c>
      <c r="L101" t="inlineStr">
        <is>
          <t>Kansas</t>
        </is>
      </c>
      <c r="M101" t="inlineStr">
        <is>
          <t>Chicago</t>
        </is>
      </c>
      <c r="N101" t="inlineStr">
        <is>
          <t>Mia Rodriguez</t>
        </is>
      </c>
      <c r="O101" t="n">
        <v>1</v>
      </c>
      <c r="P101" s="3" t="n">
        <v>127.64</v>
      </c>
      <c r="Q101" s="4" t="n">
        <v>0.025</v>
      </c>
      <c r="R101" s="3" t="n">
        <v>124.45</v>
      </c>
      <c r="S101" s="3" t="n">
        <v>65.77</v>
      </c>
      <c r="T101" s="3" t="n">
        <v>51.88</v>
      </c>
      <c r="U101" s="4" t="n">
        <v>0.4169</v>
      </c>
      <c r="V101" s="3" t="n">
        <v>6.8</v>
      </c>
      <c r="W101" t="inlineStr">
        <is>
          <t>PayPal</t>
        </is>
      </c>
      <c r="X101" t="inlineStr">
        <is>
          <t>Medium</t>
        </is>
      </c>
      <c r="Y101" t="n">
        <v>2023</v>
      </c>
      <c r="Z101" t="n">
        <v>5</v>
      </c>
      <c r="AA101" t="inlineStr">
        <is>
          <t>May</t>
        </is>
      </c>
      <c r="AB101" t="inlineStr">
        <is>
          <t>Wednesday</t>
        </is>
      </c>
      <c r="AC101" t="n">
        <v>2</v>
      </c>
      <c r="AD101" t="inlineStr">
        <is>
          <t>Profitable</t>
        </is>
      </c>
      <c r="AE101" t="inlineStr">
        <is>
          <t>Medium</t>
        </is>
      </c>
      <c r="AF101" t="inlineStr">
        <is>
          <t>Small</t>
        </is>
      </c>
    </row>
    <row r="102">
      <c r="A102" t="inlineStr">
        <is>
          <t>ORD-00101</t>
        </is>
      </c>
      <c r="B102" s="2" t="n">
        <v>45173</v>
      </c>
      <c r="C102" s="2" t="n">
        <v>45176</v>
      </c>
      <c r="D102" t="inlineStr">
        <is>
          <t>CUST-00101</t>
        </is>
      </c>
      <c r="E102" t="inlineStr">
        <is>
          <t>Customer 101</t>
        </is>
      </c>
      <c r="F102" t="inlineStr">
        <is>
          <t>Consumer</t>
        </is>
      </c>
      <c r="G102" t="inlineStr">
        <is>
          <t>P1003</t>
        </is>
      </c>
      <c r="H102" t="inlineStr">
        <is>
          <t>Orbit Wireless Mouse</t>
        </is>
      </c>
      <c r="I102" t="inlineStr">
        <is>
          <t>Technology</t>
        </is>
      </c>
      <c r="J102" t="inlineStr">
        <is>
          <t>Chairs</t>
        </is>
      </c>
      <c r="K102" t="inlineStr">
        <is>
          <t>East</t>
        </is>
      </c>
      <c r="L102" t="inlineStr">
        <is>
          <t>New Jersey</t>
        </is>
      </c>
      <c r="M102" t="inlineStr">
        <is>
          <t>New York</t>
        </is>
      </c>
      <c r="N102" t="inlineStr">
        <is>
          <t>Ava Patel</t>
        </is>
      </c>
      <c r="O102" t="n">
        <v>4</v>
      </c>
      <c r="P102" s="3" t="n">
        <v>147.09</v>
      </c>
      <c r="Q102" s="4" t="n">
        <v>0.005</v>
      </c>
      <c r="R102" s="3" t="n">
        <v>585.42</v>
      </c>
      <c r="S102" s="3" t="n">
        <v>310.39</v>
      </c>
      <c r="T102" s="3" t="n">
        <v>264.83</v>
      </c>
      <c r="U102" s="4" t="n">
        <v>0.4524</v>
      </c>
      <c r="V102" s="3" t="n">
        <v>10.2</v>
      </c>
      <c r="W102" t="inlineStr">
        <is>
          <t>Credit Card</t>
        </is>
      </c>
      <c r="X102" t="inlineStr">
        <is>
          <t>Medium</t>
        </is>
      </c>
      <c r="Y102" t="n">
        <v>2023</v>
      </c>
      <c r="Z102" t="n">
        <v>9</v>
      </c>
      <c r="AA102" t="inlineStr">
        <is>
          <t>Sep</t>
        </is>
      </c>
      <c r="AB102" t="inlineStr">
        <is>
          <t>Monday</t>
        </is>
      </c>
      <c r="AC102" t="n">
        <v>3</v>
      </c>
      <c r="AD102" t="inlineStr">
        <is>
          <t>Profitable</t>
        </is>
      </c>
      <c r="AE102" t="inlineStr">
        <is>
          <t>Low</t>
        </is>
      </c>
      <c r="AF102" t="inlineStr">
        <is>
          <t>Medium</t>
        </is>
      </c>
    </row>
    <row r="103">
      <c r="A103" t="inlineStr">
        <is>
          <t>ORD-00102</t>
        </is>
      </c>
      <c r="B103" s="2" t="n">
        <v>45359</v>
      </c>
      <c r="C103" s="2" t="n">
        <v>45361</v>
      </c>
      <c r="D103" t="inlineStr">
        <is>
          <t>CUST-00102</t>
        </is>
      </c>
      <c r="E103" t="inlineStr">
        <is>
          <t>Customer 102</t>
        </is>
      </c>
      <c r="F103" t="inlineStr">
        <is>
          <t>Corporate</t>
        </is>
      </c>
      <c r="G103" t="inlineStr">
        <is>
          <t>P1004</t>
        </is>
      </c>
      <c r="H103" t="inlineStr">
        <is>
          <t>Halo Planter</t>
        </is>
      </c>
      <c r="I103" t="inlineStr">
        <is>
          <t>Home Decor</t>
        </is>
      </c>
      <c r="J103" t="inlineStr">
        <is>
          <t>Peripherals</t>
        </is>
      </c>
      <c r="K103" t="inlineStr">
        <is>
          <t>South</t>
        </is>
      </c>
      <c r="L103" t="inlineStr">
        <is>
          <t>Texas</t>
        </is>
      </c>
      <c r="M103" t="inlineStr">
        <is>
          <t>Houston</t>
        </is>
      </c>
      <c r="N103" t="inlineStr">
        <is>
          <t>Mia Rodriguez</t>
        </is>
      </c>
      <c r="O103" t="n">
        <v>1</v>
      </c>
      <c r="P103" s="3" t="n">
        <v>566.4400000000001</v>
      </c>
      <c r="Q103" s="4" t="n">
        <v>0.015</v>
      </c>
      <c r="R103" s="3" t="n">
        <v>557.9400000000001</v>
      </c>
      <c r="S103" s="3" t="n">
        <v>360.29</v>
      </c>
      <c r="T103" s="3" t="n">
        <v>190.85</v>
      </c>
      <c r="U103" s="4" t="n">
        <v>0.3421</v>
      </c>
      <c r="V103" s="3" t="n">
        <v>6.8</v>
      </c>
      <c r="W103" t="inlineStr">
        <is>
          <t>Cash on Delivery</t>
        </is>
      </c>
      <c r="X103" t="inlineStr">
        <is>
          <t>Medium</t>
        </is>
      </c>
      <c r="Y103" t="n">
        <v>2024</v>
      </c>
      <c r="Z103" t="n">
        <v>3</v>
      </c>
      <c r="AA103" t="inlineStr">
        <is>
          <t>Mar</t>
        </is>
      </c>
      <c r="AB103" t="inlineStr">
        <is>
          <t>Friday</t>
        </is>
      </c>
      <c r="AC103" t="n">
        <v>2</v>
      </c>
      <c r="AD103" t="inlineStr">
        <is>
          <t>Profitable</t>
        </is>
      </c>
      <c r="AE103" t="inlineStr">
        <is>
          <t>Low</t>
        </is>
      </c>
      <c r="AF103" t="inlineStr">
        <is>
          <t>Medium</t>
        </is>
      </c>
    </row>
    <row r="104">
      <c r="A104" t="inlineStr">
        <is>
          <t>ORD-00103</t>
        </is>
      </c>
      <c r="B104" s="2" t="n">
        <v>45522</v>
      </c>
      <c r="C104" s="2" t="n">
        <v>45528</v>
      </c>
      <c r="D104" t="inlineStr">
        <is>
          <t>CUST-00103</t>
        </is>
      </c>
      <c r="E104" t="inlineStr">
        <is>
          <t>Customer 103</t>
        </is>
      </c>
      <c r="F104" t="inlineStr">
        <is>
          <t>Corporate</t>
        </is>
      </c>
      <c r="G104" t="inlineStr">
        <is>
          <t>P1016</t>
        </is>
      </c>
      <c r="H104" t="inlineStr">
        <is>
          <t>SmartInk Pen Set</t>
        </is>
      </c>
      <c r="I104" t="inlineStr">
        <is>
          <t>Outdoor</t>
        </is>
      </c>
      <c r="J104" t="inlineStr">
        <is>
          <t>Peripherals</t>
        </is>
      </c>
      <c r="K104" t="inlineStr">
        <is>
          <t>South</t>
        </is>
      </c>
      <c r="L104" t="inlineStr">
        <is>
          <t>Georgia</t>
        </is>
      </c>
      <c r="M104" t="inlineStr">
        <is>
          <t>Dallas</t>
        </is>
      </c>
      <c r="N104" t="inlineStr">
        <is>
          <t>Liam Chen</t>
        </is>
      </c>
      <c r="O104" t="n">
        <v>1</v>
      </c>
      <c r="P104" s="3" t="n">
        <v>39.59</v>
      </c>
      <c r="Q104" s="4" t="n">
        <v>0.02</v>
      </c>
      <c r="R104" s="3" t="n">
        <v>38.8</v>
      </c>
      <c r="S104" s="3" t="n">
        <v>18.29</v>
      </c>
      <c r="T104" s="3" t="n">
        <v>13.71</v>
      </c>
      <c r="U104" s="4" t="n">
        <v>0.3534</v>
      </c>
      <c r="V104" s="3" t="n">
        <v>6.8</v>
      </c>
      <c r="W104" t="inlineStr">
        <is>
          <t>Debit Card</t>
        </is>
      </c>
      <c r="X104" t="inlineStr">
        <is>
          <t>Medium</t>
        </is>
      </c>
      <c r="Y104" t="n">
        <v>2024</v>
      </c>
      <c r="Z104" t="n">
        <v>8</v>
      </c>
      <c r="AA104" t="inlineStr">
        <is>
          <t>Aug</t>
        </is>
      </c>
      <c r="AB104" t="inlineStr">
        <is>
          <t>Sunday</t>
        </is>
      </c>
      <c r="AC104" t="n">
        <v>6</v>
      </c>
      <c r="AD104" t="inlineStr">
        <is>
          <t>Profitable</t>
        </is>
      </c>
      <c r="AE104" t="inlineStr">
        <is>
          <t>Medium</t>
        </is>
      </c>
      <c r="AF104" t="inlineStr">
        <is>
          <t>Small</t>
        </is>
      </c>
    </row>
    <row r="105">
      <c r="A105" t="inlineStr">
        <is>
          <t>ORD-00104</t>
        </is>
      </c>
      <c r="B105" s="2" t="n">
        <v>45630</v>
      </c>
      <c r="C105" s="2" t="n">
        <v>45632</v>
      </c>
      <c r="D105" t="inlineStr">
        <is>
          <t>CUST-00104</t>
        </is>
      </c>
      <c r="E105" t="inlineStr">
        <is>
          <t>Customer 104</t>
        </is>
      </c>
      <c r="F105" t="inlineStr">
        <is>
          <t>Home Office</t>
        </is>
      </c>
      <c r="G105" t="inlineStr">
        <is>
          <t>P1006</t>
        </is>
      </c>
      <c r="H105" t="inlineStr">
        <is>
          <t>Nimbus Monitor Arm</t>
        </is>
      </c>
      <c r="I105" t="inlineStr">
        <is>
          <t>Office Supplies</t>
        </is>
      </c>
      <c r="J105" t="inlineStr">
        <is>
          <t>Coolers</t>
        </is>
      </c>
      <c r="K105" t="inlineStr">
        <is>
          <t>East</t>
        </is>
      </c>
      <c r="L105" t="inlineStr">
        <is>
          <t>New York</t>
        </is>
      </c>
      <c r="M105" t="inlineStr">
        <is>
          <t>Philadelphia</t>
        </is>
      </c>
      <c r="N105" t="inlineStr">
        <is>
          <t>Liam Chen</t>
        </is>
      </c>
      <c r="O105" t="n">
        <v>3</v>
      </c>
      <c r="P105" s="3" t="n">
        <v>20.37</v>
      </c>
      <c r="Q105" s="4" t="n">
        <v>0.016</v>
      </c>
      <c r="R105" s="3" t="n">
        <v>60.13</v>
      </c>
      <c r="S105" s="3" t="n">
        <v>27.15</v>
      </c>
      <c r="T105" s="3" t="n">
        <v>23.58</v>
      </c>
      <c r="U105" s="4" t="n">
        <v>0.3922</v>
      </c>
      <c r="V105" s="3" t="n">
        <v>9.4</v>
      </c>
      <c r="W105" t="inlineStr">
        <is>
          <t>Credit Card</t>
        </is>
      </c>
      <c r="X105" t="inlineStr">
        <is>
          <t>Low</t>
        </is>
      </c>
      <c r="Y105" t="n">
        <v>2024</v>
      </c>
      <c r="Z105" t="n">
        <v>12</v>
      </c>
      <c r="AA105" t="inlineStr">
        <is>
          <t>Dec</t>
        </is>
      </c>
      <c r="AB105" t="inlineStr">
        <is>
          <t>Wednesday</t>
        </is>
      </c>
      <c r="AC105" t="n">
        <v>2</v>
      </c>
      <c r="AD105" t="inlineStr">
        <is>
          <t>Profitable</t>
        </is>
      </c>
      <c r="AE105" t="inlineStr">
        <is>
          <t>Low</t>
        </is>
      </c>
      <c r="AF105" t="inlineStr">
        <is>
          <t>Small</t>
        </is>
      </c>
    </row>
    <row r="106">
      <c r="A106" t="inlineStr">
        <is>
          <t>ORD-00105</t>
        </is>
      </c>
      <c r="B106" s="2" t="n">
        <v>45788</v>
      </c>
      <c r="C106" s="2" t="n">
        <v>45794</v>
      </c>
      <c r="D106" t="inlineStr">
        <is>
          <t>CUST-00105</t>
        </is>
      </c>
      <c r="E106" t="inlineStr">
        <is>
          <t>Customer 105</t>
        </is>
      </c>
      <c r="F106" t="inlineStr">
        <is>
          <t>Consumer</t>
        </is>
      </c>
      <c r="G106" t="inlineStr">
        <is>
          <t>P1002</t>
        </is>
      </c>
      <c r="H106" t="inlineStr">
        <is>
          <t>Pulse Keyboard</t>
        </is>
      </c>
      <c r="I106" t="inlineStr">
        <is>
          <t>Technology</t>
        </is>
      </c>
      <c r="J106" t="inlineStr">
        <is>
          <t>Desks</t>
        </is>
      </c>
      <c r="K106" t="inlineStr">
        <is>
          <t>North</t>
        </is>
      </c>
      <c r="L106" t="inlineStr">
        <is>
          <t>British Columbia</t>
        </is>
      </c>
      <c r="M106" t="inlineStr">
        <is>
          <t>Toronto</t>
        </is>
      </c>
      <c r="N106" t="inlineStr">
        <is>
          <t>Mia Rodriguez</t>
        </is>
      </c>
      <c r="O106" t="n">
        <v>3</v>
      </c>
      <c r="P106" s="3" t="n">
        <v>80.67</v>
      </c>
      <c r="Q106" s="4" t="n">
        <v>0.017</v>
      </c>
      <c r="R106" s="3" t="n">
        <v>237.9</v>
      </c>
      <c r="S106" s="3" t="n">
        <v>110.69</v>
      </c>
      <c r="T106" s="3" t="n">
        <v>118.81</v>
      </c>
      <c r="U106" s="4" t="n">
        <v>0.4994</v>
      </c>
      <c r="V106" s="3" t="n">
        <v>8.4</v>
      </c>
      <c r="W106" t="inlineStr">
        <is>
          <t>Bank Transfer</t>
        </is>
      </c>
      <c r="X106" t="inlineStr">
        <is>
          <t>High</t>
        </is>
      </c>
      <c r="Y106" t="n">
        <v>2025</v>
      </c>
      <c r="Z106" t="n">
        <v>5</v>
      </c>
      <c r="AA106" t="inlineStr">
        <is>
          <t>May</t>
        </is>
      </c>
      <c r="AB106" t="inlineStr">
        <is>
          <t>Sunday</t>
        </is>
      </c>
      <c r="AC106" t="n">
        <v>6</v>
      </c>
      <c r="AD106" t="inlineStr">
        <is>
          <t>Profitable</t>
        </is>
      </c>
      <c r="AE106" t="inlineStr">
        <is>
          <t>Low</t>
        </is>
      </c>
      <c r="AF106" t="inlineStr">
        <is>
          <t>Small</t>
        </is>
      </c>
    </row>
    <row r="107">
      <c r="A107" t="inlineStr">
        <is>
          <t>ORD-00106</t>
        </is>
      </c>
      <c r="B107" s="2" t="n">
        <v>45185</v>
      </c>
      <c r="C107" s="2" t="n">
        <v>45189</v>
      </c>
      <c r="D107" t="inlineStr">
        <is>
          <t>CUST-00106</t>
        </is>
      </c>
      <c r="E107" t="inlineStr">
        <is>
          <t>Customer 106</t>
        </is>
      </c>
      <c r="F107" t="inlineStr">
        <is>
          <t>Consumer</t>
        </is>
      </c>
      <c r="G107" t="inlineStr">
        <is>
          <t>P1009</t>
        </is>
      </c>
      <c r="H107" t="inlineStr">
        <is>
          <t>Nova Laptop Stand</t>
        </is>
      </c>
      <c r="I107" t="inlineStr">
        <is>
          <t>Outdoor</t>
        </is>
      </c>
      <c r="J107" t="inlineStr">
        <is>
          <t>Binders</t>
        </is>
      </c>
      <c r="K107" t="inlineStr">
        <is>
          <t>Central</t>
        </is>
      </c>
      <c r="L107" t="inlineStr">
        <is>
          <t>Minnesota</t>
        </is>
      </c>
      <c r="M107" t="inlineStr">
        <is>
          <t>Minneapolis</t>
        </is>
      </c>
      <c r="N107" t="inlineStr">
        <is>
          <t>Ava Patel</t>
        </is>
      </c>
      <c r="O107" t="n">
        <v>2</v>
      </c>
      <c r="P107" s="3" t="n">
        <v>85.22</v>
      </c>
      <c r="Q107" s="4" t="n">
        <v>0.028</v>
      </c>
      <c r="R107" s="3" t="n">
        <v>165.67</v>
      </c>
      <c r="S107" s="3" t="n">
        <v>85.31999999999999</v>
      </c>
      <c r="T107" s="3" t="n">
        <v>72.75</v>
      </c>
      <c r="U107" s="4" t="n">
        <v>0.4391</v>
      </c>
      <c r="V107" s="3" t="n">
        <v>7.6</v>
      </c>
      <c r="W107" t="inlineStr">
        <is>
          <t>PayPal</t>
        </is>
      </c>
      <c r="X107" t="inlineStr">
        <is>
          <t>Medium</t>
        </is>
      </c>
      <c r="Y107" t="n">
        <v>2023</v>
      </c>
      <c r="Z107" t="n">
        <v>9</v>
      </c>
      <c r="AA107" t="inlineStr">
        <is>
          <t>Sep</t>
        </is>
      </c>
      <c r="AB107" t="inlineStr">
        <is>
          <t>Saturday</t>
        </is>
      </c>
      <c r="AC107" t="n">
        <v>4</v>
      </c>
      <c r="AD107" t="inlineStr">
        <is>
          <t>Profitable</t>
        </is>
      </c>
      <c r="AE107" t="inlineStr">
        <is>
          <t>Medium</t>
        </is>
      </c>
      <c r="AF107" t="inlineStr">
        <is>
          <t>Small</t>
        </is>
      </c>
    </row>
    <row r="108">
      <c r="A108" t="inlineStr">
        <is>
          <t>ORD-00107</t>
        </is>
      </c>
      <c r="B108" s="2" t="n">
        <v>45385</v>
      </c>
      <c r="C108" s="2" t="n">
        <v>45388</v>
      </c>
      <c r="D108" t="inlineStr">
        <is>
          <t>CUST-00107</t>
        </is>
      </c>
      <c r="E108" t="inlineStr">
        <is>
          <t>Customer 107</t>
        </is>
      </c>
      <c r="F108" t="inlineStr">
        <is>
          <t>Corporate</t>
        </is>
      </c>
      <c r="G108" t="inlineStr">
        <is>
          <t>P1012</t>
        </is>
      </c>
      <c r="H108" t="inlineStr">
        <is>
          <t>Orbit Wireless Mouse</t>
        </is>
      </c>
      <c r="I108" t="inlineStr">
        <is>
          <t>Technology</t>
        </is>
      </c>
      <c r="J108" t="inlineStr">
        <is>
          <t>Lighting</t>
        </is>
      </c>
      <c r="K108" t="inlineStr">
        <is>
          <t>East</t>
        </is>
      </c>
      <c r="L108" t="inlineStr">
        <is>
          <t>New Jersey</t>
        </is>
      </c>
      <c r="M108" t="inlineStr">
        <is>
          <t>Boston</t>
        </is>
      </c>
      <c r="N108" t="inlineStr">
        <is>
          <t>Noah Kim</t>
        </is>
      </c>
      <c r="O108" t="n">
        <v>3</v>
      </c>
      <c r="P108" s="3" t="n">
        <v>127.92</v>
      </c>
      <c r="Q108" s="4" t="n">
        <v>0.025</v>
      </c>
      <c r="R108" s="3" t="n">
        <v>374.17</v>
      </c>
      <c r="S108" s="3" t="n">
        <v>193.78</v>
      </c>
      <c r="T108" s="3" t="n">
        <v>170.99</v>
      </c>
      <c r="U108" s="4" t="n">
        <v>0.457</v>
      </c>
      <c r="V108" s="3" t="n">
        <v>9.4</v>
      </c>
      <c r="W108" t="inlineStr">
        <is>
          <t>Debit Card</t>
        </is>
      </c>
      <c r="X108" t="inlineStr">
        <is>
          <t>Low</t>
        </is>
      </c>
      <c r="Y108" t="n">
        <v>2024</v>
      </c>
      <c r="Z108" t="n">
        <v>4</v>
      </c>
      <c r="AA108" t="inlineStr">
        <is>
          <t>Apr</t>
        </is>
      </c>
      <c r="AB108" t="inlineStr">
        <is>
          <t>Wednesday</t>
        </is>
      </c>
      <c r="AC108" t="n">
        <v>3</v>
      </c>
      <c r="AD108" t="inlineStr">
        <is>
          <t>Profitable</t>
        </is>
      </c>
      <c r="AE108" t="inlineStr">
        <is>
          <t>Medium</t>
        </is>
      </c>
      <c r="AF108" t="inlineStr">
        <is>
          <t>Small</t>
        </is>
      </c>
    </row>
    <row r="109">
      <c r="A109" t="inlineStr">
        <is>
          <t>ORD-00108</t>
        </is>
      </c>
      <c r="B109" s="2" t="n">
        <v>45907</v>
      </c>
      <c r="C109" s="2" t="n">
        <v>45914</v>
      </c>
      <c r="D109" t="inlineStr">
        <is>
          <t>CUST-00108</t>
        </is>
      </c>
      <c r="E109" t="inlineStr">
        <is>
          <t>Customer 108</t>
        </is>
      </c>
      <c r="F109" t="inlineStr">
        <is>
          <t>Corporate</t>
        </is>
      </c>
      <c r="G109" t="inlineStr">
        <is>
          <t>P1012</t>
        </is>
      </c>
      <c r="H109" t="inlineStr">
        <is>
          <t>Aero Standing Desk</t>
        </is>
      </c>
      <c r="I109" t="inlineStr">
        <is>
          <t>Home Decor</t>
        </is>
      </c>
      <c r="J109" t="inlineStr">
        <is>
          <t>Accessories</t>
        </is>
      </c>
      <c r="K109" t="inlineStr">
        <is>
          <t>South</t>
        </is>
      </c>
      <c r="L109" t="inlineStr">
        <is>
          <t>Georgia</t>
        </is>
      </c>
      <c r="M109" t="inlineStr">
        <is>
          <t>Miami</t>
        </is>
      </c>
      <c r="N109" t="inlineStr">
        <is>
          <t>James Carter</t>
        </is>
      </c>
      <c r="O109" t="n">
        <v>4</v>
      </c>
      <c r="P109" s="3" t="n">
        <v>120.53</v>
      </c>
      <c r="Q109" s="4" t="n">
        <v>0.066</v>
      </c>
      <c r="R109" s="3" t="n">
        <v>450.3</v>
      </c>
      <c r="S109" s="3" t="n">
        <v>229.2</v>
      </c>
      <c r="T109" s="3" t="n">
        <v>211.9</v>
      </c>
      <c r="U109" s="4" t="n">
        <v>0.4706</v>
      </c>
      <c r="V109" s="3" t="n">
        <v>9.199999999999999</v>
      </c>
      <c r="W109" t="inlineStr">
        <is>
          <t>Debit Card</t>
        </is>
      </c>
      <c r="X109" t="inlineStr">
        <is>
          <t>High</t>
        </is>
      </c>
      <c r="Y109" t="n">
        <v>2025</v>
      </c>
      <c r="Z109" t="n">
        <v>9</v>
      </c>
      <c r="AA109" t="inlineStr">
        <is>
          <t>Sep</t>
        </is>
      </c>
      <c r="AB109" t="inlineStr">
        <is>
          <t>Sunday</t>
        </is>
      </c>
      <c r="AC109" t="n">
        <v>7</v>
      </c>
      <c r="AD109" t="inlineStr">
        <is>
          <t>Profitable</t>
        </is>
      </c>
      <c r="AE109" t="inlineStr">
        <is>
          <t>High</t>
        </is>
      </c>
      <c r="AF109" t="inlineStr">
        <is>
          <t>Small</t>
        </is>
      </c>
    </row>
    <row r="110">
      <c r="A110" t="inlineStr">
        <is>
          <t>ORD-00109</t>
        </is>
      </c>
      <c r="B110" s="2" t="n">
        <v>45048</v>
      </c>
      <c r="C110" s="2" t="n">
        <v>45053</v>
      </c>
      <c r="D110" t="inlineStr">
        <is>
          <t>CUST-00109</t>
        </is>
      </c>
      <c r="E110" t="inlineStr">
        <is>
          <t>Customer 109</t>
        </is>
      </c>
      <c r="F110" t="inlineStr">
        <is>
          <t>Consumer</t>
        </is>
      </c>
      <c r="G110" t="inlineStr">
        <is>
          <t>P1014</t>
        </is>
      </c>
      <c r="H110" t="inlineStr">
        <is>
          <t>Trail Tote</t>
        </is>
      </c>
      <c r="I110" t="inlineStr">
        <is>
          <t>Office Supplies</t>
        </is>
      </c>
      <c r="J110" t="inlineStr">
        <is>
          <t>Peripherals</t>
        </is>
      </c>
      <c r="K110" t="inlineStr">
        <is>
          <t>East</t>
        </is>
      </c>
      <c r="L110" t="inlineStr">
        <is>
          <t>New Jersey</t>
        </is>
      </c>
      <c r="M110" t="inlineStr">
        <is>
          <t>Boston</t>
        </is>
      </c>
      <c r="N110" t="inlineStr">
        <is>
          <t>Liam Chen</t>
        </is>
      </c>
      <c r="O110" t="n">
        <v>4</v>
      </c>
      <c r="P110" s="3" t="n">
        <v>41.49</v>
      </c>
      <c r="Q110" s="4" t="n">
        <v>0.051</v>
      </c>
      <c r="R110" s="3" t="n">
        <v>157.5</v>
      </c>
      <c r="S110" s="3" t="n">
        <v>66.97</v>
      </c>
      <c r="T110" s="3" t="n">
        <v>80.33</v>
      </c>
      <c r="U110" s="4" t="n">
        <v>0.51</v>
      </c>
      <c r="V110" s="3" t="n">
        <v>10.2</v>
      </c>
      <c r="W110" t="inlineStr">
        <is>
          <t>Bank Transfer</t>
        </is>
      </c>
      <c r="X110" t="inlineStr">
        <is>
          <t>High</t>
        </is>
      </c>
      <c r="Y110" t="n">
        <v>2023</v>
      </c>
      <c r="Z110" t="n">
        <v>5</v>
      </c>
      <c r="AA110" t="inlineStr">
        <is>
          <t>May</t>
        </is>
      </c>
      <c r="AB110" t="inlineStr">
        <is>
          <t>Tuesday</t>
        </is>
      </c>
      <c r="AC110" t="n">
        <v>5</v>
      </c>
      <c r="AD110" t="inlineStr">
        <is>
          <t>Profitable</t>
        </is>
      </c>
      <c r="AE110" t="inlineStr">
        <is>
          <t>High</t>
        </is>
      </c>
      <c r="AF110" t="inlineStr">
        <is>
          <t>Small</t>
        </is>
      </c>
    </row>
    <row r="111">
      <c r="A111" t="inlineStr">
        <is>
          <t>ORD-00110</t>
        </is>
      </c>
      <c r="B111" s="2" t="n">
        <v>45017</v>
      </c>
      <c r="C111" s="2" t="n">
        <v>45019</v>
      </c>
      <c r="D111" t="inlineStr">
        <is>
          <t>CUST-00110</t>
        </is>
      </c>
      <c r="E111" t="inlineStr">
        <is>
          <t>Customer 110</t>
        </is>
      </c>
      <c r="F111" t="inlineStr">
        <is>
          <t>Consumer</t>
        </is>
      </c>
      <c r="G111" t="inlineStr">
        <is>
          <t>P1017</t>
        </is>
      </c>
      <c r="H111" t="inlineStr">
        <is>
          <t>Tide Cooler</t>
        </is>
      </c>
      <c r="I111" t="inlineStr">
        <is>
          <t>Furniture</t>
        </is>
      </c>
      <c r="J111" t="inlineStr">
        <is>
          <t>Bags</t>
        </is>
      </c>
      <c r="K111" t="inlineStr">
        <is>
          <t>Central</t>
        </is>
      </c>
      <c r="L111" t="inlineStr">
        <is>
          <t>Minnesota</t>
        </is>
      </c>
      <c r="M111" t="inlineStr">
        <is>
          <t>St. Louis</t>
        </is>
      </c>
      <c r="N111" t="inlineStr">
        <is>
          <t>Sophia Singh</t>
        </is>
      </c>
      <c r="O111" t="n">
        <v>1</v>
      </c>
      <c r="P111" s="3" t="n">
        <v>555.71</v>
      </c>
      <c r="Q111" s="4" t="n">
        <v>0.02</v>
      </c>
      <c r="R111" s="3" t="n">
        <v>544.6</v>
      </c>
      <c r="S111" s="3" t="n">
        <v>366.94</v>
      </c>
      <c r="T111" s="3" t="n">
        <v>170.86</v>
      </c>
      <c r="U111" s="4" t="n">
        <v>0.3137</v>
      </c>
      <c r="V111" s="3" t="n">
        <v>6.8</v>
      </c>
      <c r="W111" t="inlineStr">
        <is>
          <t>Credit Card</t>
        </is>
      </c>
      <c r="X111" t="inlineStr">
        <is>
          <t>Medium</t>
        </is>
      </c>
      <c r="Y111" t="n">
        <v>2023</v>
      </c>
      <c r="Z111" t="n">
        <v>4</v>
      </c>
      <c r="AA111" t="inlineStr">
        <is>
          <t>Apr</t>
        </is>
      </c>
      <c r="AB111" t="inlineStr">
        <is>
          <t>Saturday</t>
        </is>
      </c>
      <c r="AC111" t="n">
        <v>2</v>
      </c>
      <c r="AD111" t="inlineStr">
        <is>
          <t>Profitable</t>
        </is>
      </c>
      <c r="AE111" t="inlineStr">
        <is>
          <t>Medium</t>
        </is>
      </c>
      <c r="AF111" t="inlineStr">
        <is>
          <t>Medium</t>
        </is>
      </c>
    </row>
    <row r="112">
      <c r="A112" t="inlineStr">
        <is>
          <t>ORD-00111</t>
        </is>
      </c>
      <c r="B112" s="2" t="n">
        <v>45072</v>
      </c>
      <c r="C112" s="2" t="n">
        <v>45079</v>
      </c>
      <c r="D112" t="inlineStr">
        <is>
          <t>CUST-00111</t>
        </is>
      </c>
      <c r="E112" t="inlineStr">
        <is>
          <t>Customer 111</t>
        </is>
      </c>
      <c r="F112" t="inlineStr">
        <is>
          <t>Corporate</t>
        </is>
      </c>
      <c r="G112" t="inlineStr">
        <is>
          <t>P1009</t>
        </is>
      </c>
      <c r="H112" t="inlineStr">
        <is>
          <t>Cove Wall Clock</t>
        </is>
      </c>
      <c r="I112" t="inlineStr">
        <is>
          <t>Outdoor</t>
        </is>
      </c>
      <c r="J112" t="inlineStr">
        <is>
          <t>Paper</t>
        </is>
      </c>
      <c r="K112" t="inlineStr">
        <is>
          <t>East</t>
        </is>
      </c>
      <c r="L112" t="inlineStr">
        <is>
          <t>Virginia</t>
        </is>
      </c>
      <c r="M112" t="inlineStr">
        <is>
          <t>Philadelphia</t>
        </is>
      </c>
      <c r="N112" t="inlineStr">
        <is>
          <t>James Carter</t>
        </is>
      </c>
      <c r="O112" t="n">
        <v>1</v>
      </c>
      <c r="P112" s="3" t="n">
        <v>91.28</v>
      </c>
      <c r="Q112" s="4" t="n">
        <v>0.031</v>
      </c>
      <c r="R112" s="3" t="n">
        <v>88.45</v>
      </c>
      <c r="S112" s="3" t="n">
        <v>45.6</v>
      </c>
      <c r="T112" s="3" t="n">
        <v>35.05</v>
      </c>
      <c r="U112" s="4" t="n">
        <v>0.3963</v>
      </c>
      <c r="V112" s="3" t="n">
        <v>7.8</v>
      </c>
      <c r="W112" t="inlineStr">
        <is>
          <t>Credit Card</t>
        </is>
      </c>
      <c r="X112" t="inlineStr">
        <is>
          <t>Medium</t>
        </is>
      </c>
      <c r="Y112" t="n">
        <v>2023</v>
      </c>
      <c r="Z112" t="n">
        <v>5</v>
      </c>
      <c r="AA112" t="inlineStr">
        <is>
          <t>May</t>
        </is>
      </c>
      <c r="AB112" t="inlineStr">
        <is>
          <t>Friday</t>
        </is>
      </c>
      <c r="AC112" t="n">
        <v>7</v>
      </c>
      <c r="AD112" t="inlineStr">
        <is>
          <t>Profitable</t>
        </is>
      </c>
      <c r="AE112" t="inlineStr">
        <is>
          <t>Medium</t>
        </is>
      </c>
      <c r="AF112" t="inlineStr">
        <is>
          <t>Small</t>
        </is>
      </c>
    </row>
    <row r="113">
      <c r="A113" t="inlineStr">
        <is>
          <t>ORD-00112</t>
        </is>
      </c>
      <c r="B113" s="2" t="n">
        <v>44986</v>
      </c>
      <c r="C113" s="2" t="n">
        <v>44987</v>
      </c>
      <c r="D113" t="inlineStr">
        <is>
          <t>CUST-00112</t>
        </is>
      </c>
      <c r="E113" t="inlineStr">
        <is>
          <t>Customer 112</t>
        </is>
      </c>
      <c r="F113" t="inlineStr">
        <is>
          <t>Home Office</t>
        </is>
      </c>
      <c r="G113" t="inlineStr">
        <is>
          <t>P1012</t>
        </is>
      </c>
      <c r="H113" t="inlineStr">
        <is>
          <t>Nova Laptop Stand</t>
        </is>
      </c>
      <c r="I113" t="inlineStr">
        <is>
          <t>Outdoor</t>
        </is>
      </c>
      <c r="J113" t="inlineStr">
        <is>
          <t>Textiles</t>
        </is>
      </c>
      <c r="K113" t="inlineStr">
        <is>
          <t>North</t>
        </is>
      </c>
      <c r="L113" t="inlineStr">
        <is>
          <t>Ontario</t>
        </is>
      </c>
      <c r="M113" t="inlineStr">
        <is>
          <t>Vancouver</t>
        </is>
      </c>
      <c r="N113" t="inlineStr">
        <is>
          <t>Noah Kim</t>
        </is>
      </c>
      <c r="O113" t="n">
        <v>1</v>
      </c>
      <c r="P113" s="3" t="n">
        <v>135.59</v>
      </c>
      <c r="Q113" s="4" t="n">
        <v>0.044</v>
      </c>
      <c r="R113" s="3" t="n">
        <v>129.62</v>
      </c>
      <c r="S113" s="3" t="n">
        <v>73.84</v>
      </c>
      <c r="T113" s="3" t="n">
        <v>48.98</v>
      </c>
      <c r="U113" s="4" t="n">
        <v>0.3779</v>
      </c>
      <c r="V113" s="3" t="n">
        <v>6.8</v>
      </c>
      <c r="W113" t="inlineStr">
        <is>
          <t>Bank Transfer</t>
        </is>
      </c>
      <c r="X113" t="inlineStr">
        <is>
          <t>High</t>
        </is>
      </c>
      <c r="Y113" t="n">
        <v>2023</v>
      </c>
      <c r="Z113" t="n">
        <v>3</v>
      </c>
      <c r="AA113" t="inlineStr">
        <is>
          <t>Mar</t>
        </is>
      </c>
      <c r="AB113" t="inlineStr">
        <is>
          <t>Wednesday</t>
        </is>
      </c>
      <c r="AC113" t="n">
        <v>1</v>
      </c>
      <c r="AD113" t="inlineStr">
        <is>
          <t>Profitable</t>
        </is>
      </c>
      <c r="AE113" t="inlineStr">
        <is>
          <t>Medium</t>
        </is>
      </c>
      <c r="AF113" t="inlineStr">
        <is>
          <t>Small</t>
        </is>
      </c>
    </row>
    <row r="114">
      <c r="A114" t="inlineStr">
        <is>
          <t>ORD-00113</t>
        </is>
      </c>
      <c r="B114" s="2" t="n">
        <v>45997</v>
      </c>
      <c r="C114" s="2" t="n">
        <v>46002</v>
      </c>
      <c r="D114" t="inlineStr">
        <is>
          <t>CUST-00113</t>
        </is>
      </c>
      <c r="E114" t="inlineStr">
        <is>
          <t>Customer 113</t>
        </is>
      </c>
      <c r="F114" t="inlineStr">
        <is>
          <t>Corporate</t>
        </is>
      </c>
      <c r="G114" t="inlineStr">
        <is>
          <t>P1010</t>
        </is>
      </c>
      <c r="H114" t="inlineStr">
        <is>
          <t>Trail Tote</t>
        </is>
      </c>
      <c r="I114" t="inlineStr">
        <is>
          <t>Furniture</t>
        </is>
      </c>
      <c r="J114" t="inlineStr">
        <is>
          <t>Lighting</t>
        </is>
      </c>
      <c r="K114" t="inlineStr">
        <is>
          <t>Central</t>
        </is>
      </c>
      <c r="L114" t="inlineStr">
        <is>
          <t>Kansas</t>
        </is>
      </c>
      <c r="M114" t="inlineStr">
        <is>
          <t>Kansas City</t>
        </is>
      </c>
      <c r="N114" t="inlineStr">
        <is>
          <t>Ethan Brooks</t>
        </is>
      </c>
      <c r="O114" t="n">
        <v>1</v>
      </c>
      <c r="P114" s="3" t="n">
        <v>57.74</v>
      </c>
      <c r="Q114" s="4" t="n">
        <v>0.025</v>
      </c>
      <c r="R114" s="3" t="n">
        <v>56.3</v>
      </c>
      <c r="S114" s="3" t="n">
        <v>27.82</v>
      </c>
      <c r="T114" s="3" t="n">
        <v>21.68</v>
      </c>
      <c r="U114" s="4" t="n">
        <v>0.3851</v>
      </c>
      <c r="V114" s="3" t="n">
        <v>6.8</v>
      </c>
      <c r="W114" t="inlineStr">
        <is>
          <t>Bank Transfer</t>
        </is>
      </c>
      <c r="X114" t="inlineStr">
        <is>
          <t>Low</t>
        </is>
      </c>
      <c r="Y114" t="n">
        <v>2025</v>
      </c>
      <c r="Z114" t="n">
        <v>12</v>
      </c>
      <c r="AA114" t="inlineStr">
        <is>
          <t>Dec</t>
        </is>
      </c>
      <c r="AB114" t="inlineStr">
        <is>
          <t>Saturday</t>
        </is>
      </c>
      <c r="AC114" t="n">
        <v>5</v>
      </c>
      <c r="AD114" t="inlineStr">
        <is>
          <t>Profitable</t>
        </is>
      </c>
      <c r="AE114" t="inlineStr">
        <is>
          <t>Medium</t>
        </is>
      </c>
      <c r="AF114" t="inlineStr">
        <is>
          <t>Small</t>
        </is>
      </c>
    </row>
    <row r="115">
      <c r="A115" t="inlineStr">
        <is>
          <t>ORD-00114</t>
        </is>
      </c>
      <c r="B115" s="2" t="n">
        <v>45827</v>
      </c>
      <c r="C115" s="2" t="n">
        <v>45829</v>
      </c>
      <c r="D115" t="inlineStr">
        <is>
          <t>CUST-00114</t>
        </is>
      </c>
      <c r="E115" t="inlineStr">
        <is>
          <t>Customer 114</t>
        </is>
      </c>
      <c r="F115" t="inlineStr">
        <is>
          <t>Home Office</t>
        </is>
      </c>
      <c r="G115" t="inlineStr">
        <is>
          <t>P1011</t>
        </is>
      </c>
      <c r="H115" t="inlineStr">
        <is>
          <t>Atlas Throw Pillow</t>
        </is>
      </c>
      <c r="I115" t="inlineStr">
        <is>
          <t>Office Supplies</t>
        </is>
      </c>
      <c r="J115" t="inlineStr">
        <is>
          <t>Accessories</t>
        </is>
      </c>
      <c r="K115" t="inlineStr">
        <is>
          <t>West</t>
        </is>
      </c>
      <c r="L115" t="inlineStr">
        <is>
          <t>Washington</t>
        </is>
      </c>
      <c r="M115" t="inlineStr">
        <is>
          <t>Denver</t>
        </is>
      </c>
      <c r="N115" t="inlineStr">
        <is>
          <t>Sophia Singh</t>
        </is>
      </c>
      <c r="O115" t="n">
        <v>4</v>
      </c>
      <c r="P115" s="3" t="n">
        <v>95.09</v>
      </c>
      <c r="Q115" s="4" t="n">
        <v>0.032</v>
      </c>
      <c r="R115" s="3" t="n">
        <v>368.19</v>
      </c>
      <c r="S115" s="3" t="n">
        <v>176</v>
      </c>
      <c r="T115" s="3" t="n">
        <v>181.99</v>
      </c>
      <c r="U115" s="4" t="n">
        <v>0.4943</v>
      </c>
      <c r="V115" s="3" t="n">
        <v>10.2</v>
      </c>
      <c r="W115" t="inlineStr">
        <is>
          <t>Credit Card</t>
        </is>
      </c>
      <c r="X115" t="inlineStr">
        <is>
          <t>Medium</t>
        </is>
      </c>
      <c r="Y115" t="n">
        <v>2025</v>
      </c>
      <c r="Z115" t="n">
        <v>6</v>
      </c>
      <c r="AA115" t="inlineStr">
        <is>
          <t>Jun</t>
        </is>
      </c>
      <c r="AB115" t="inlineStr">
        <is>
          <t>Thursday</t>
        </is>
      </c>
      <c r="AC115" t="n">
        <v>2</v>
      </c>
      <c r="AD115" t="inlineStr">
        <is>
          <t>Profitable</t>
        </is>
      </c>
      <c r="AE115" t="inlineStr">
        <is>
          <t>Medium</t>
        </is>
      </c>
      <c r="AF115" t="inlineStr">
        <is>
          <t>Small</t>
        </is>
      </c>
    </row>
    <row r="116">
      <c r="A116" t="inlineStr">
        <is>
          <t>ORD-00115</t>
        </is>
      </c>
      <c r="B116" s="2" t="n">
        <v>45389</v>
      </c>
      <c r="C116" s="2" t="n">
        <v>45394</v>
      </c>
      <c r="D116" t="inlineStr">
        <is>
          <t>CUST-00115</t>
        </is>
      </c>
      <c r="E116" t="inlineStr">
        <is>
          <t>Customer 115</t>
        </is>
      </c>
      <c r="F116" t="inlineStr">
        <is>
          <t>Corporate</t>
        </is>
      </c>
      <c r="G116" t="inlineStr">
        <is>
          <t>P1002</t>
        </is>
      </c>
      <c r="H116" t="inlineStr">
        <is>
          <t>Lumen Desk Lamp</t>
        </is>
      </c>
      <c r="I116" t="inlineStr">
        <is>
          <t>Furniture</t>
        </is>
      </c>
      <c r="J116" t="inlineStr">
        <is>
          <t>Peripherals</t>
        </is>
      </c>
      <c r="K116" t="inlineStr">
        <is>
          <t>South</t>
        </is>
      </c>
      <c r="L116" t="inlineStr">
        <is>
          <t>North Carolina</t>
        </is>
      </c>
      <c r="M116" t="inlineStr">
        <is>
          <t>Atlanta</t>
        </is>
      </c>
      <c r="N116" t="inlineStr">
        <is>
          <t>James Carter</t>
        </is>
      </c>
      <c r="O116" t="n">
        <v>1</v>
      </c>
      <c r="P116" s="3" t="n">
        <v>73.62</v>
      </c>
      <c r="Q116" s="4" t="n">
        <v>0.015</v>
      </c>
      <c r="R116" s="3" t="n">
        <v>72.52</v>
      </c>
      <c r="S116" s="3" t="n">
        <v>38.23</v>
      </c>
      <c r="T116" s="3" t="n">
        <v>27.49</v>
      </c>
      <c r="U116" s="4" t="n">
        <v>0.3791</v>
      </c>
      <c r="V116" s="3" t="n">
        <v>6.8</v>
      </c>
      <c r="W116" t="inlineStr">
        <is>
          <t>Debit Card</t>
        </is>
      </c>
      <c r="X116" t="inlineStr">
        <is>
          <t>Medium</t>
        </is>
      </c>
      <c r="Y116" t="n">
        <v>2024</v>
      </c>
      <c r="Z116" t="n">
        <v>4</v>
      </c>
      <c r="AA116" t="inlineStr">
        <is>
          <t>Apr</t>
        </is>
      </c>
      <c r="AB116" t="inlineStr">
        <is>
          <t>Sunday</t>
        </is>
      </c>
      <c r="AC116" t="n">
        <v>5</v>
      </c>
      <c r="AD116" t="inlineStr">
        <is>
          <t>Profitable</t>
        </is>
      </c>
      <c r="AE116" t="inlineStr">
        <is>
          <t>Low</t>
        </is>
      </c>
      <c r="AF116" t="inlineStr">
        <is>
          <t>Small</t>
        </is>
      </c>
    </row>
    <row r="117">
      <c r="A117" t="inlineStr">
        <is>
          <t>ORD-00116</t>
        </is>
      </c>
      <c r="B117" s="2" t="n">
        <v>45862</v>
      </c>
      <c r="C117" s="2" t="n">
        <v>45869</v>
      </c>
      <c r="D117" t="inlineStr">
        <is>
          <t>CUST-00116</t>
        </is>
      </c>
      <c r="E117" t="inlineStr">
        <is>
          <t>Customer 116</t>
        </is>
      </c>
      <c r="F117" t="inlineStr">
        <is>
          <t>Consumer</t>
        </is>
      </c>
      <c r="G117" t="inlineStr">
        <is>
          <t>P1016</t>
        </is>
      </c>
      <c r="H117" t="inlineStr">
        <is>
          <t>SmartInk Pen Set</t>
        </is>
      </c>
      <c r="I117" t="inlineStr">
        <is>
          <t>Technology</t>
        </is>
      </c>
      <c r="J117" t="inlineStr">
        <is>
          <t>Lighting</t>
        </is>
      </c>
      <c r="K117" t="inlineStr">
        <is>
          <t>East</t>
        </is>
      </c>
      <c r="L117" t="inlineStr">
        <is>
          <t>Virginia</t>
        </is>
      </c>
      <c r="M117" t="inlineStr">
        <is>
          <t>Washington</t>
        </is>
      </c>
      <c r="N117" t="inlineStr">
        <is>
          <t>Sophia Singh</t>
        </is>
      </c>
      <c r="O117" t="n">
        <v>4</v>
      </c>
      <c r="P117" s="3" t="n">
        <v>40.63</v>
      </c>
      <c r="Q117" s="4" t="n">
        <v>0.023</v>
      </c>
      <c r="R117" s="3" t="n">
        <v>158.78</v>
      </c>
      <c r="S117" s="3" t="n">
        <v>65.81</v>
      </c>
      <c r="T117" s="3" t="n">
        <v>82.77</v>
      </c>
      <c r="U117" s="4" t="n">
        <v>0.5213</v>
      </c>
      <c r="V117" s="3" t="n">
        <v>10.2</v>
      </c>
      <c r="W117" t="inlineStr">
        <is>
          <t>Credit Card</t>
        </is>
      </c>
      <c r="X117" t="inlineStr">
        <is>
          <t>High</t>
        </is>
      </c>
      <c r="Y117" t="n">
        <v>2025</v>
      </c>
      <c r="Z117" t="n">
        <v>7</v>
      </c>
      <c r="AA117" t="inlineStr">
        <is>
          <t>Jul</t>
        </is>
      </c>
      <c r="AB117" t="inlineStr">
        <is>
          <t>Thursday</t>
        </is>
      </c>
      <c r="AC117" t="n">
        <v>7</v>
      </c>
      <c r="AD117" t="inlineStr">
        <is>
          <t>Profitable</t>
        </is>
      </c>
      <c r="AE117" t="inlineStr">
        <is>
          <t>Medium</t>
        </is>
      </c>
      <c r="AF117" t="inlineStr">
        <is>
          <t>Small</t>
        </is>
      </c>
    </row>
    <row r="118">
      <c r="A118" t="inlineStr">
        <is>
          <t>ORD-00117</t>
        </is>
      </c>
      <c r="B118" s="2" t="n">
        <v>45782</v>
      </c>
      <c r="C118" s="2" t="n">
        <v>45783</v>
      </c>
      <c r="D118" t="inlineStr">
        <is>
          <t>CUST-00117</t>
        </is>
      </c>
      <c r="E118" t="inlineStr">
        <is>
          <t>Customer 117</t>
        </is>
      </c>
      <c r="F118" t="inlineStr">
        <is>
          <t>Consumer</t>
        </is>
      </c>
      <c r="G118" t="inlineStr">
        <is>
          <t>P1001</t>
        </is>
      </c>
      <c r="H118" t="inlineStr">
        <is>
          <t>FlexNote Notebook</t>
        </is>
      </c>
      <c r="I118" t="inlineStr">
        <is>
          <t>Office Supplies</t>
        </is>
      </c>
      <c r="J118" t="inlineStr">
        <is>
          <t>Coolers</t>
        </is>
      </c>
      <c r="K118" t="inlineStr">
        <is>
          <t>West</t>
        </is>
      </c>
      <c r="L118" t="inlineStr">
        <is>
          <t>Colorado</t>
        </is>
      </c>
      <c r="M118" t="inlineStr">
        <is>
          <t>Los Angeles</t>
        </is>
      </c>
      <c r="N118" t="inlineStr">
        <is>
          <t>Sophia Singh</t>
        </is>
      </c>
      <c r="O118" t="n">
        <v>6</v>
      </c>
      <c r="P118" s="3" t="n">
        <v>302.52</v>
      </c>
      <c r="Q118" s="4" t="n">
        <v>0.026</v>
      </c>
      <c r="R118" s="3" t="n">
        <v>1767.93</v>
      </c>
      <c r="S118" s="3" t="n">
        <v>1032.16</v>
      </c>
      <c r="T118" s="3" t="n">
        <v>723.97</v>
      </c>
      <c r="U118" s="4" t="n">
        <v>0.4095</v>
      </c>
      <c r="V118" s="3" t="n">
        <v>11.8</v>
      </c>
      <c r="W118" t="inlineStr">
        <is>
          <t>Bank Transfer</t>
        </is>
      </c>
      <c r="X118" t="inlineStr">
        <is>
          <t>Medium</t>
        </is>
      </c>
      <c r="Y118" t="n">
        <v>2025</v>
      </c>
      <c r="Z118" t="n">
        <v>5</v>
      </c>
      <c r="AA118" t="inlineStr">
        <is>
          <t>May</t>
        </is>
      </c>
      <c r="AB118" t="inlineStr">
        <is>
          <t>Monday</t>
        </is>
      </c>
      <c r="AC118" t="n">
        <v>1</v>
      </c>
      <c r="AD118" t="inlineStr">
        <is>
          <t>Profitable</t>
        </is>
      </c>
      <c r="AE118" t="inlineStr">
        <is>
          <t>Medium</t>
        </is>
      </c>
      <c r="AF118" t="inlineStr">
        <is>
          <t>Large</t>
        </is>
      </c>
    </row>
    <row r="119">
      <c r="A119" t="inlineStr">
        <is>
          <t>ORD-00118</t>
        </is>
      </c>
      <c r="B119" s="2" t="n">
        <v>45220</v>
      </c>
      <c r="C119" s="2" t="n">
        <v>45225</v>
      </c>
      <c r="D119" t="inlineStr">
        <is>
          <t>CUST-00118</t>
        </is>
      </c>
      <c r="E119" t="inlineStr">
        <is>
          <t>Customer 118</t>
        </is>
      </c>
      <c r="F119" t="inlineStr">
        <is>
          <t>Corporate</t>
        </is>
      </c>
      <c r="G119" t="inlineStr">
        <is>
          <t>P1001</t>
        </is>
      </c>
      <c r="H119" t="inlineStr">
        <is>
          <t>Summit Patio Set</t>
        </is>
      </c>
      <c r="I119" t="inlineStr">
        <is>
          <t>Outdoor</t>
        </is>
      </c>
      <c r="J119" t="inlineStr">
        <is>
          <t>Lighting</t>
        </is>
      </c>
      <c r="K119" t="inlineStr">
        <is>
          <t>East</t>
        </is>
      </c>
      <c r="L119" t="inlineStr">
        <is>
          <t>New Jersey</t>
        </is>
      </c>
      <c r="M119" t="inlineStr">
        <is>
          <t>Washington</t>
        </is>
      </c>
      <c r="N119" t="inlineStr">
        <is>
          <t>Liam Chen</t>
        </is>
      </c>
      <c r="O119" t="n">
        <v>4</v>
      </c>
      <c r="P119" s="3" t="n">
        <v>330.05</v>
      </c>
      <c r="Q119" s="4" t="n">
        <v>0.021</v>
      </c>
      <c r="R119" s="3" t="n">
        <v>1292.48</v>
      </c>
      <c r="S119" s="3" t="n">
        <v>756.73</v>
      </c>
      <c r="T119" s="3" t="n">
        <v>525.55</v>
      </c>
      <c r="U119" s="4" t="n">
        <v>0.4066</v>
      </c>
      <c r="V119" s="3" t="n">
        <v>10.2</v>
      </c>
      <c r="W119" t="inlineStr">
        <is>
          <t>Credit Card</t>
        </is>
      </c>
      <c r="X119" t="inlineStr">
        <is>
          <t>Low</t>
        </is>
      </c>
      <c r="Y119" t="n">
        <v>2023</v>
      </c>
      <c r="Z119" t="n">
        <v>10</v>
      </c>
      <c r="AA119" t="inlineStr">
        <is>
          <t>Oct</t>
        </is>
      </c>
      <c r="AB119" t="inlineStr">
        <is>
          <t>Saturday</t>
        </is>
      </c>
      <c r="AC119" t="n">
        <v>5</v>
      </c>
      <c r="AD119" t="inlineStr">
        <is>
          <t>Profitable</t>
        </is>
      </c>
      <c r="AE119" t="inlineStr">
        <is>
          <t>Medium</t>
        </is>
      </c>
      <c r="AF119" t="inlineStr">
        <is>
          <t>Medium</t>
        </is>
      </c>
    </row>
    <row r="120">
      <c r="A120" t="inlineStr">
        <is>
          <t>ORD-00119</t>
        </is>
      </c>
      <c r="B120" s="2" t="n">
        <v>46019</v>
      </c>
      <c r="C120" s="2" t="n">
        <v>46026</v>
      </c>
      <c r="D120" t="inlineStr">
        <is>
          <t>CUST-00119</t>
        </is>
      </c>
      <c r="E120" t="inlineStr">
        <is>
          <t>Customer 119</t>
        </is>
      </c>
      <c r="F120" t="inlineStr">
        <is>
          <t>Consumer</t>
        </is>
      </c>
      <c r="G120" t="inlineStr">
        <is>
          <t>P1002</t>
        </is>
      </c>
      <c r="H120" t="inlineStr">
        <is>
          <t>Pulse Keyboard</t>
        </is>
      </c>
      <c r="I120" t="inlineStr">
        <is>
          <t>Outdoor</t>
        </is>
      </c>
      <c r="J120" t="inlineStr">
        <is>
          <t>Decor</t>
        </is>
      </c>
      <c r="K120" t="inlineStr">
        <is>
          <t>South</t>
        </is>
      </c>
      <c r="L120" t="inlineStr">
        <is>
          <t>Georgia</t>
        </is>
      </c>
      <c r="M120" t="inlineStr">
        <is>
          <t>Dallas</t>
        </is>
      </c>
      <c r="N120" t="inlineStr">
        <is>
          <t>James Carter</t>
        </is>
      </c>
      <c r="O120" t="n">
        <v>1</v>
      </c>
      <c r="P120" s="3" t="n">
        <v>87.43000000000001</v>
      </c>
      <c r="Q120" s="4" t="n">
        <v>0.001</v>
      </c>
      <c r="R120" s="3" t="n">
        <v>87.34</v>
      </c>
      <c r="S120" s="3" t="n">
        <v>46.56</v>
      </c>
      <c r="T120" s="3" t="n">
        <v>33.98</v>
      </c>
      <c r="U120" s="4" t="n">
        <v>0.3891</v>
      </c>
      <c r="V120" s="3" t="n">
        <v>6.8</v>
      </c>
      <c r="W120" t="inlineStr">
        <is>
          <t>Credit Card</t>
        </is>
      </c>
      <c r="X120" t="inlineStr">
        <is>
          <t>Low</t>
        </is>
      </c>
      <c r="Y120" t="n">
        <v>2025</v>
      </c>
      <c r="Z120" t="n">
        <v>12</v>
      </c>
      <c r="AA120" t="inlineStr">
        <is>
          <t>Dec</t>
        </is>
      </c>
      <c r="AB120" t="inlineStr">
        <is>
          <t>Sunday</t>
        </is>
      </c>
      <c r="AC120" t="n">
        <v>7</v>
      </c>
      <c r="AD120" t="inlineStr">
        <is>
          <t>Profitable</t>
        </is>
      </c>
      <c r="AE120" t="inlineStr">
        <is>
          <t>Low</t>
        </is>
      </c>
      <c r="AF120" t="inlineStr">
        <is>
          <t>Small</t>
        </is>
      </c>
    </row>
    <row r="121">
      <c r="A121" t="inlineStr">
        <is>
          <t>ORD-00120</t>
        </is>
      </c>
      <c r="B121" s="2" t="n">
        <v>45461</v>
      </c>
      <c r="C121" s="2" t="n">
        <v>45466</v>
      </c>
      <c r="D121" t="inlineStr">
        <is>
          <t>CUST-00120</t>
        </is>
      </c>
      <c r="E121" t="inlineStr">
        <is>
          <t>Customer 120</t>
        </is>
      </c>
      <c r="F121" t="inlineStr">
        <is>
          <t>Corporate</t>
        </is>
      </c>
      <c r="G121" t="inlineStr">
        <is>
          <t>P1012</t>
        </is>
      </c>
      <c r="H121" t="inlineStr">
        <is>
          <t>Aero Standing Desk</t>
        </is>
      </c>
      <c r="I121" t="inlineStr">
        <is>
          <t>Home Decor</t>
        </is>
      </c>
      <c r="J121" t="inlineStr">
        <is>
          <t>Desks</t>
        </is>
      </c>
      <c r="K121" t="inlineStr">
        <is>
          <t>West</t>
        </is>
      </c>
      <c r="L121" t="inlineStr">
        <is>
          <t>California</t>
        </is>
      </c>
      <c r="M121" t="inlineStr">
        <is>
          <t>San Francisco</t>
        </is>
      </c>
      <c r="N121" t="inlineStr">
        <is>
          <t>Liam Chen</t>
        </is>
      </c>
      <c r="O121" t="n">
        <v>4</v>
      </c>
      <c r="P121" s="3" t="n">
        <v>137.68</v>
      </c>
      <c r="Q121" s="4" t="n">
        <v>0.057</v>
      </c>
      <c r="R121" s="3" t="n">
        <v>519.33</v>
      </c>
      <c r="S121" s="3" t="n">
        <v>266.15</v>
      </c>
      <c r="T121" s="3" t="n">
        <v>242.98</v>
      </c>
      <c r="U121" s="4" t="n">
        <v>0.4679</v>
      </c>
      <c r="V121" s="3" t="n">
        <v>10.2</v>
      </c>
      <c r="W121" t="inlineStr">
        <is>
          <t>Bank Transfer</t>
        </is>
      </c>
      <c r="X121" t="inlineStr">
        <is>
          <t>High</t>
        </is>
      </c>
      <c r="Y121" t="n">
        <v>2024</v>
      </c>
      <c r="Z121" t="n">
        <v>6</v>
      </c>
      <c r="AA121" t="inlineStr">
        <is>
          <t>Jun</t>
        </is>
      </c>
      <c r="AB121" t="inlineStr">
        <is>
          <t>Tuesday</t>
        </is>
      </c>
      <c r="AC121" t="n">
        <v>5</v>
      </c>
      <c r="AD121" t="inlineStr">
        <is>
          <t>Profitable</t>
        </is>
      </c>
      <c r="AE121" t="inlineStr">
        <is>
          <t>High</t>
        </is>
      </c>
      <c r="AF121" t="inlineStr">
        <is>
          <t>Medium</t>
        </is>
      </c>
    </row>
    <row r="122">
      <c r="A122" t="inlineStr">
        <is>
          <t>ORD-00121</t>
        </is>
      </c>
      <c r="B122" s="2" t="n">
        <v>45985</v>
      </c>
      <c r="C122" s="2" t="n">
        <v>45986</v>
      </c>
      <c r="D122" t="inlineStr">
        <is>
          <t>CUST-00121</t>
        </is>
      </c>
      <c r="E122" t="inlineStr">
        <is>
          <t>Customer 121</t>
        </is>
      </c>
      <c r="F122" t="inlineStr">
        <is>
          <t>Corporate</t>
        </is>
      </c>
      <c r="G122" t="inlineStr">
        <is>
          <t>P1020</t>
        </is>
      </c>
      <c r="H122" t="inlineStr">
        <is>
          <t>Summit Patio Set</t>
        </is>
      </c>
      <c r="I122" t="inlineStr">
        <is>
          <t>Home Decor</t>
        </is>
      </c>
      <c r="J122" t="inlineStr">
        <is>
          <t>Storage</t>
        </is>
      </c>
      <c r="K122" t="inlineStr">
        <is>
          <t>West</t>
        </is>
      </c>
      <c r="L122" t="inlineStr">
        <is>
          <t>Oregon</t>
        </is>
      </c>
      <c r="M122" t="inlineStr">
        <is>
          <t>Seattle</t>
        </is>
      </c>
      <c r="N122" t="inlineStr">
        <is>
          <t>Olivia Martin</t>
        </is>
      </c>
      <c r="O122" t="n">
        <v>5</v>
      </c>
      <c r="P122" s="3" t="n">
        <v>79.67</v>
      </c>
      <c r="Q122" s="4" t="n">
        <v>0.016</v>
      </c>
      <c r="R122" s="3" t="n">
        <v>391.98</v>
      </c>
      <c r="S122" s="3" t="n">
        <v>185.19</v>
      </c>
      <c r="T122" s="3" t="n">
        <v>195.79</v>
      </c>
      <c r="U122" s="4" t="n">
        <v>0.4995</v>
      </c>
      <c r="V122" s="3" t="n">
        <v>11</v>
      </c>
      <c r="W122" t="inlineStr">
        <is>
          <t>Cash on Delivery</t>
        </is>
      </c>
      <c r="X122" t="inlineStr">
        <is>
          <t>Medium</t>
        </is>
      </c>
      <c r="Y122" t="n">
        <v>2025</v>
      </c>
      <c r="Z122" t="n">
        <v>11</v>
      </c>
      <c r="AA122" t="inlineStr">
        <is>
          <t>Nov</t>
        </is>
      </c>
      <c r="AB122" t="inlineStr">
        <is>
          <t>Monday</t>
        </is>
      </c>
      <c r="AC122" t="n">
        <v>1</v>
      </c>
      <c r="AD122" t="inlineStr">
        <is>
          <t>Profitable</t>
        </is>
      </c>
      <c r="AE122" t="inlineStr">
        <is>
          <t>Low</t>
        </is>
      </c>
      <c r="AF122" t="inlineStr">
        <is>
          <t>Small</t>
        </is>
      </c>
    </row>
    <row r="123">
      <c r="A123" t="inlineStr">
        <is>
          <t>ORD-00122</t>
        </is>
      </c>
      <c r="B123" s="2" t="n">
        <v>45895</v>
      </c>
      <c r="C123" s="2" t="n">
        <v>45896</v>
      </c>
      <c r="D123" t="inlineStr">
        <is>
          <t>CUST-00122</t>
        </is>
      </c>
      <c r="E123" t="inlineStr">
        <is>
          <t>Customer 122</t>
        </is>
      </c>
      <c r="F123" t="inlineStr">
        <is>
          <t>Home Office</t>
        </is>
      </c>
      <c r="G123" t="inlineStr">
        <is>
          <t>P1018</t>
        </is>
      </c>
      <c r="H123" t="inlineStr">
        <is>
          <t>FlexNote Notebook</t>
        </is>
      </c>
      <c r="I123" t="inlineStr">
        <is>
          <t>Technology</t>
        </is>
      </c>
      <c r="J123" t="inlineStr">
        <is>
          <t>Storage</t>
        </is>
      </c>
      <c r="K123" t="inlineStr">
        <is>
          <t>West</t>
        </is>
      </c>
      <c r="L123" t="inlineStr">
        <is>
          <t>Oregon</t>
        </is>
      </c>
      <c r="M123" t="inlineStr">
        <is>
          <t>Denver</t>
        </is>
      </c>
      <c r="N123" t="inlineStr">
        <is>
          <t>James Carter</t>
        </is>
      </c>
      <c r="O123" t="n">
        <v>4</v>
      </c>
      <c r="P123" s="3" t="n">
        <v>95.70999999999999</v>
      </c>
      <c r="Q123" s="4" t="n">
        <v>0.019</v>
      </c>
      <c r="R123" s="3" t="n">
        <v>375.57</v>
      </c>
      <c r="S123" s="3" t="n">
        <v>170.23</v>
      </c>
      <c r="T123" s="3" t="n">
        <v>195.14</v>
      </c>
      <c r="U123" s="4" t="n">
        <v>0.5196</v>
      </c>
      <c r="V123" s="3" t="n">
        <v>10.2</v>
      </c>
      <c r="W123" t="inlineStr">
        <is>
          <t>Debit Card</t>
        </is>
      </c>
      <c r="X123" t="inlineStr">
        <is>
          <t>Medium</t>
        </is>
      </c>
      <c r="Y123" t="n">
        <v>2025</v>
      </c>
      <c r="Z123" t="n">
        <v>8</v>
      </c>
      <c r="AA123" t="inlineStr">
        <is>
          <t>Aug</t>
        </is>
      </c>
      <c r="AB123" t="inlineStr">
        <is>
          <t>Tuesday</t>
        </is>
      </c>
      <c r="AC123" t="n">
        <v>1</v>
      </c>
      <c r="AD123" t="inlineStr">
        <is>
          <t>Profitable</t>
        </is>
      </c>
      <c r="AE123" t="inlineStr">
        <is>
          <t>Low</t>
        </is>
      </c>
      <c r="AF123" t="inlineStr">
        <is>
          <t>Small</t>
        </is>
      </c>
    </row>
    <row r="124">
      <c r="A124" t="inlineStr">
        <is>
          <t>ORD-00123</t>
        </is>
      </c>
      <c r="B124" s="2" t="n">
        <v>45364</v>
      </c>
      <c r="C124" s="2" t="n">
        <v>45365</v>
      </c>
      <c r="D124" t="inlineStr">
        <is>
          <t>CUST-00123</t>
        </is>
      </c>
      <c r="E124" t="inlineStr">
        <is>
          <t>Customer 123</t>
        </is>
      </c>
      <c r="F124" t="inlineStr">
        <is>
          <t>Corporate</t>
        </is>
      </c>
      <c r="G124" t="inlineStr">
        <is>
          <t>P1012</t>
        </is>
      </c>
      <c r="H124" t="inlineStr">
        <is>
          <t>Aero Standing Desk</t>
        </is>
      </c>
      <c r="I124" t="inlineStr">
        <is>
          <t>Furniture</t>
        </is>
      </c>
      <c r="J124" t="inlineStr">
        <is>
          <t>Chairs</t>
        </is>
      </c>
      <c r="K124" t="inlineStr">
        <is>
          <t>Central</t>
        </is>
      </c>
      <c r="L124" t="inlineStr">
        <is>
          <t>Illinois</t>
        </is>
      </c>
      <c r="M124" t="inlineStr">
        <is>
          <t>Kansas City</t>
        </is>
      </c>
      <c r="N124" t="inlineStr">
        <is>
          <t>Sophia Singh</t>
        </is>
      </c>
      <c r="O124" t="n">
        <v>3</v>
      </c>
      <c r="P124" s="3" t="n">
        <v>124.76</v>
      </c>
      <c r="Q124" s="4" t="n">
        <v>0.033</v>
      </c>
      <c r="R124" s="3" t="n">
        <v>361.93</v>
      </c>
      <c r="S124" s="3" t="n">
        <v>181.86</v>
      </c>
      <c r="T124" s="3" t="n">
        <v>171.67</v>
      </c>
      <c r="U124" s="4" t="n">
        <v>0.4743</v>
      </c>
      <c r="V124" s="3" t="n">
        <v>8.4</v>
      </c>
      <c r="W124" t="inlineStr">
        <is>
          <t>Bank Transfer</t>
        </is>
      </c>
      <c r="X124" t="inlineStr">
        <is>
          <t>High</t>
        </is>
      </c>
      <c r="Y124" t="n">
        <v>2024</v>
      </c>
      <c r="Z124" t="n">
        <v>3</v>
      </c>
      <c r="AA124" t="inlineStr">
        <is>
          <t>Mar</t>
        </is>
      </c>
      <c r="AB124" t="inlineStr">
        <is>
          <t>Wednesday</t>
        </is>
      </c>
      <c r="AC124" t="n">
        <v>1</v>
      </c>
      <c r="AD124" t="inlineStr">
        <is>
          <t>Profitable</t>
        </is>
      </c>
      <c r="AE124" t="inlineStr">
        <is>
          <t>Medium</t>
        </is>
      </c>
      <c r="AF124" t="inlineStr">
        <is>
          <t>Small</t>
        </is>
      </c>
    </row>
    <row r="125">
      <c r="A125" t="inlineStr">
        <is>
          <t>ORD-00124</t>
        </is>
      </c>
      <c r="B125" s="2" t="n">
        <v>45200</v>
      </c>
      <c r="C125" s="2" t="n">
        <v>45204</v>
      </c>
      <c r="D125" t="inlineStr">
        <is>
          <t>CUST-00124</t>
        </is>
      </c>
      <c r="E125" t="inlineStr">
        <is>
          <t>Customer 124</t>
        </is>
      </c>
      <c r="F125" t="inlineStr">
        <is>
          <t>Consumer</t>
        </is>
      </c>
      <c r="G125" t="inlineStr">
        <is>
          <t>P1001</t>
        </is>
      </c>
      <c r="H125" t="inlineStr">
        <is>
          <t>Orbit Wireless Mouse</t>
        </is>
      </c>
      <c r="I125" t="inlineStr">
        <is>
          <t>Furniture</t>
        </is>
      </c>
      <c r="J125" t="inlineStr">
        <is>
          <t>Chairs</t>
        </is>
      </c>
      <c r="K125" t="inlineStr">
        <is>
          <t>South</t>
        </is>
      </c>
      <c r="L125" t="inlineStr">
        <is>
          <t>Florida</t>
        </is>
      </c>
      <c r="M125" t="inlineStr">
        <is>
          <t>Dallas</t>
        </is>
      </c>
      <c r="N125" t="inlineStr">
        <is>
          <t>Sophia Singh</t>
        </is>
      </c>
      <c r="O125" t="n">
        <v>3</v>
      </c>
      <c r="P125" s="3" t="n">
        <v>317.12</v>
      </c>
      <c r="Q125" s="4" t="n">
        <v>0.016</v>
      </c>
      <c r="R125" s="3" t="n">
        <v>936.14</v>
      </c>
      <c r="S125" s="3" t="n">
        <v>547.51</v>
      </c>
      <c r="T125" s="3" t="n">
        <v>380.23</v>
      </c>
      <c r="U125" s="4" t="n">
        <v>0.4062</v>
      </c>
      <c r="V125" s="3" t="n">
        <v>8.4</v>
      </c>
      <c r="W125" t="inlineStr">
        <is>
          <t>Debit Card</t>
        </is>
      </c>
      <c r="X125" t="inlineStr">
        <is>
          <t>High</t>
        </is>
      </c>
      <c r="Y125" t="n">
        <v>2023</v>
      </c>
      <c r="Z125" t="n">
        <v>10</v>
      </c>
      <c r="AA125" t="inlineStr">
        <is>
          <t>Oct</t>
        </is>
      </c>
      <c r="AB125" t="inlineStr">
        <is>
          <t>Sunday</t>
        </is>
      </c>
      <c r="AC125" t="n">
        <v>4</v>
      </c>
      <c r="AD125" t="inlineStr">
        <is>
          <t>Profitable</t>
        </is>
      </c>
      <c r="AE125" t="inlineStr">
        <is>
          <t>Low</t>
        </is>
      </c>
      <c r="AF125" t="inlineStr">
        <is>
          <t>Medium</t>
        </is>
      </c>
    </row>
    <row r="126">
      <c r="A126" t="inlineStr">
        <is>
          <t>ORD-00125</t>
        </is>
      </c>
      <c r="B126" s="2" t="n">
        <v>45117</v>
      </c>
      <c r="C126" s="2" t="n">
        <v>45123</v>
      </c>
      <c r="D126" t="inlineStr">
        <is>
          <t>CUST-00125</t>
        </is>
      </c>
      <c r="E126" t="inlineStr">
        <is>
          <t>Customer 125</t>
        </is>
      </c>
      <c r="F126" t="inlineStr">
        <is>
          <t>Consumer</t>
        </is>
      </c>
      <c r="G126" t="inlineStr">
        <is>
          <t>P1011</t>
        </is>
      </c>
      <c r="H126" t="inlineStr">
        <is>
          <t>Nimbus Monitor Arm</t>
        </is>
      </c>
      <c r="I126" t="inlineStr">
        <is>
          <t>Technology</t>
        </is>
      </c>
      <c r="J126" t="inlineStr">
        <is>
          <t>Desks</t>
        </is>
      </c>
      <c r="K126" t="inlineStr">
        <is>
          <t>Central</t>
        </is>
      </c>
      <c r="L126" t="inlineStr">
        <is>
          <t>Kansas</t>
        </is>
      </c>
      <c r="M126" t="inlineStr">
        <is>
          <t>St. Louis</t>
        </is>
      </c>
      <c r="N126" t="inlineStr">
        <is>
          <t>Noah Kim</t>
        </is>
      </c>
      <c r="O126" t="n">
        <v>4</v>
      </c>
      <c r="P126" s="3" t="n">
        <v>94.58</v>
      </c>
      <c r="Q126" s="4" t="n">
        <v>0.02</v>
      </c>
      <c r="R126" s="3" t="n">
        <v>370.75</v>
      </c>
      <c r="S126" s="3" t="n">
        <v>180.6</v>
      </c>
      <c r="T126" s="3" t="n">
        <v>180.95</v>
      </c>
      <c r="U126" s="4" t="n">
        <v>0.4881</v>
      </c>
      <c r="V126" s="3" t="n">
        <v>9.199999999999999</v>
      </c>
      <c r="W126" t="inlineStr">
        <is>
          <t>PayPal</t>
        </is>
      </c>
      <c r="X126" t="inlineStr">
        <is>
          <t>High</t>
        </is>
      </c>
      <c r="Y126" t="n">
        <v>2023</v>
      </c>
      <c r="Z126" t="n">
        <v>7</v>
      </c>
      <c r="AA126" t="inlineStr">
        <is>
          <t>Jul</t>
        </is>
      </c>
      <c r="AB126" t="inlineStr">
        <is>
          <t>Monday</t>
        </is>
      </c>
      <c r="AC126" t="n">
        <v>6</v>
      </c>
      <c r="AD126" t="inlineStr">
        <is>
          <t>Profitable</t>
        </is>
      </c>
      <c r="AE126" t="inlineStr">
        <is>
          <t>Medium</t>
        </is>
      </c>
      <c r="AF126" t="inlineStr">
        <is>
          <t>Small</t>
        </is>
      </c>
    </row>
    <row r="127">
      <c r="A127" t="inlineStr">
        <is>
          <t>ORD-00126</t>
        </is>
      </c>
      <c r="B127" s="2" t="n">
        <v>45544</v>
      </c>
      <c r="C127" s="2" t="n">
        <v>45550</v>
      </c>
      <c r="D127" t="inlineStr">
        <is>
          <t>CUST-00126</t>
        </is>
      </c>
      <c r="E127" t="inlineStr">
        <is>
          <t>Customer 126</t>
        </is>
      </c>
      <c r="F127" t="inlineStr">
        <is>
          <t>Consumer</t>
        </is>
      </c>
      <c r="G127" t="inlineStr">
        <is>
          <t>P1002</t>
        </is>
      </c>
      <c r="H127" t="inlineStr">
        <is>
          <t>ProClip Binder</t>
        </is>
      </c>
      <c r="I127" t="inlineStr">
        <is>
          <t>Furniture</t>
        </is>
      </c>
      <c r="J127" t="inlineStr">
        <is>
          <t>Coolers</t>
        </is>
      </c>
      <c r="K127" t="inlineStr">
        <is>
          <t>Central</t>
        </is>
      </c>
      <c r="L127" t="inlineStr">
        <is>
          <t>Kansas</t>
        </is>
      </c>
      <c r="M127" t="inlineStr">
        <is>
          <t>St. Louis</t>
        </is>
      </c>
      <c r="N127" t="inlineStr">
        <is>
          <t>Liam Chen</t>
        </is>
      </c>
      <c r="O127" t="n">
        <v>3</v>
      </c>
      <c r="P127" s="3" t="n">
        <v>80.43000000000001</v>
      </c>
      <c r="Q127" s="4" t="n">
        <v>0.014</v>
      </c>
      <c r="R127" s="3" t="n">
        <v>237.91</v>
      </c>
      <c r="S127" s="3" t="n">
        <v>112.11</v>
      </c>
      <c r="T127" s="3" t="n">
        <v>117.4</v>
      </c>
      <c r="U127" s="4" t="n">
        <v>0.4935</v>
      </c>
      <c r="V127" s="3" t="n">
        <v>8.4</v>
      </c>
      <c r="W127" t="inlineStr">
        <is>
          <t>Debit Card</t>
        </is>
      </c>
      <c r="X127" t="inlineStr">
        <is>
          <t>Low</t>
        </is>
      </c>
      <c r="Y127" t="n">
        <v>2024</v>
      </c>
      <c r="Z127" t="n">
        <v>9</v>
      </c>
      <c r="AA127" t="inlineStr">
        <is>
          <t>Sep</t>
        </is>
      </c>
      <c r="AB127" t="inlineStr">
        <is>
          <t>Monday</t>
        </is>
      </c>
      <c r="AC127" t="n">
        <v>6</v>
      </c>
      <c r="AD127" t="inlineStr">
        <is>
          <t>Profitable</t>
        </is>
      </c>
      <c r="AE127" t="inlineStr">
        <is>
          <t>Low</t>
        </is>
      </c>
      <c r="AF127" t="inlineStr">
        <is>
          <t>Small</t>
        </is>
      </c>
    </row>
    <row r="128">
      <c r="A128" t="inlineStr">
        <is>
          <t>ORD-00127</t>
        </is>
      </c>
      <c r="B128" s="2" t="n">
        <v>46008</v>
      </c>
      <c r="C128" s="2" t="n">
        <v>46015</v>
      </c>
      <c r="D128" t="inlineStr">
        <is>
          <t>CUST-00127</t>
        </is>
      </c>
      <c r="E128" t="inlineStr">
        <is>
          <t>Customer 127</t>
        </is>
      </c>
      <c r="F128" t="inlineStr">
        <is>
          <t>Home Office</t>
        </is>
      </c>
      <c r="G128" t="inlineStr">
        <is>
          <t>P1012</t>
        </is>
      </c>
      <c r="H128" t="inlineStr">
        <is>
          <t>CloudDrive File Box</t>
        </is>
      </c>
      <c r="I128" t="inlineStr">
        <is>
          <t>Furniture</t>
        </is>
      </c>
      <c r="J128" t="inlineStr">
        <is>
          <t>Lighting</t>
        </is>
      </c>
      <c r="K128" t="inlineStr">
        <is>
          <t>East</t>
        </is>
      </c>
      <c r="L128" t="inlineStr">
        <is>
          <t>Massachusetts</t>
        </is>
      </c>
      <c r="M128" t="inlineStr">
        <is>
          <t>Boston</t>
        </is>
      </c>
      <c r="N128" t="inlineStr">
        <is>
          <t>Sophia Singh</t>
        </is>
      </c>
      <c r="O128" t="n">
        <v>2</v>
      </c>
      <c r="P128" s="3" t="n">
        <v>136.72</v>
      </c>
      <c r="Q128" s="4" t="n">
        <v>0.014</v>
      </c>
      <c r="R128" s="3" t="n">
        <v>269.61</v>
      </c>
      <c r="S128" s="3" t="n">
        <v>140.92</v>
      </c>
      <c r="T128" s="3" t="n">
        <v>120.09</v>
      </c>
      <c r="U128" s="4" t="n">
        <v>0.4454</v>
      </c>
      <c r="V128" s="3" t="n">
        <v>8.6</v>
      </c>
      <c r="W128" t="inlineStr">
        <is>
          <t>Bank Transfer</t>
        </is>
      </c>
      <c r="X128" t="inlineStr">
        <is>
          <t>Medium</t>
        </is>
      </c>
      <c r="Y128" t="n">
        <v>2025</v>
      </c>
      <c r="Z128" t="n">
        <v>12</v>
      </c>
      <c r="AA128" t="inlineStr">
        <is>
          <t>Dec</t>
        </is>
      </c>
      <c r="AB128" t="inlineStr">
        <is>
          <t>Wednesday</t>
        </is>
      </c>
      <c r="AC128" t="n">
        <v>7</v>
      </c>
      <c r="AD128" t="inlineStr">
        <is>
          <t>Profitable</t>
        </is>
      </c>
      <c r="AE128" t="inlineStr">
        <is>
          <t>Low</t>
        </is>
      </c>
      <c r="AF128" t="inlineStr">
        <is>
          <t>Small</t>
        </is>
      </c>
    </row>
    <row r="129">
      <c r="A129" t="inlineStr">
        <is>
          <t>ORD-00128</t>
        </is>
      </c>
      <c r="B129" s="2" t="n">
        <v>45809</v>
      </c>
      <c r="C129" s="2" t="n">
        <v>45810</v>
      </c>
      <c r="D129" t="inlineStr">
        <is>
          <t>CUST-00128</t>
        </is>
      </c>
      <c r="E129" t="inlineStr">
        <is>
          <t>Customer 128</t>
        </is>
      </c>
      <c r="F129" t="inlineStr">
        <is>
          <t>Consumer</t>
        </is>
      </c>
      <c r="G129" t="inlineStr">
        <is>
          <t>P1002</t>
        </is>
      </c>
      <c r="H129" t="inlineStr">
        <is>
          <t>FlexNote Notebook</t>
        </is>
      </c>
      <c r="I129" t="inlineStr">
        <is>
          <t>Technology</t>
        </is>
      </c>
      <c r="J129" t="inlineStr">
        <is>
          <t>Peripherals</t>
        </is>
      </c>
      <c r="K129" t="inlineStr">
        <is>
          <t>Central</t>
        </is>
      </c>
      <c r="L129" t="inlineStr">
        <is>
          <t>Minnesota</t>
        </is>
      </c>
      <c r="M129" t="inlineStr">
        <is>
          <t>Chicago</t>
        </is>
      </c>
      <c r="N129" t="inlineStr">
        <is>
          <t>James Carter</t>
        </is>
      </c>
      <c r="O129" t="n">
        <v>6</v>
      </c>
      <c r="P129" s="3" t="n">
        <v>79.22</v>
      </c>
      <c r="Q129" s="4" t="n">
        <v>0.037</v>
      </c>
      <c r="R129" s="3" t="n">
        <v>457.73</v>
      </c>
      <c r="S129" s="3" t="n">
        <v>209.04</v>
      </c>
      <c r="T129" s="3" t="n">
        <v>237.89</v>
      </c>
      <c r="U129" s="4" t="n">
        <v>0.5197000000000001</v>
      </c>
      <c r="V129" s="3" t="n">
        <v>10.8</v>
      </c>
      <c r="W129" t="inlineStr">
        <is>
          <t>Credit Card</t>
        </is>
      </c>
      <c r="X129" t="inlineStr">
        <is>
          <t>High</t>
        </is>
      </c>
      <c r="Y129" t="n">
        <v>2025</v>
      </c>
      <c r="Z129" t="n">
        <v>6</v>
      </c>
      <c r="AA129" t="inlineStr">
        <is>
          <t>Jun</t>
        </is>
      </c>
      <c r="AB129" t="inlineStr">
        <is>
          <t>Sunday</t>
        </is>
      </c>
      <c r="AC129" t="n">
        <v>1</v>
      </c>
      <c r="AD129" t="inlineStr">
        <is>
          <t>Profitable</t>
        </is>
      </c>
      <c r="AE129" t="inlineStr">
        <is>
          <t>Medium</t>
        </is>
      </c>
      <c r="AF129" t="inlineStr">
        <is>
          <t>Small</t>
        </is>
      </c>
    </row>
    <row r="130">
      <c r="A130" t="inlineStr">
        <is>
          <t>ORD-00129</t>
        </is>
      </c>
      <c r="B130" s="2" t="n">
        <v>45261</v>
      </c>
      <c r="C130" s="2" t="n">
        <v>45268</v>
      </c>
      <c r="D130" t="inlineStr">
        <is>
          <t>CUST-00129</t>
        </is>
      </c>
      <c r="E130" t="inlineStr">
        <is>
          <t>Customer 129</t>
        </is>
      </c>
      <c r="F130" t="inlineStr">
        <is>
          <t>Home Office</t>
        </is>
      </c>
      <c r="G130" t="inlineStr">
        <is>
          <t>P1017</t>
        </is>
      </c>
      <c r="H130" t="inlineStr">
        <is>
          <t>CloudDrive File Box</t>
        </is>
      </c>
      <c r="I130" t="inlineStr">
        <is>
          <t>Furniture</t>
        </is>
      </c>
      <c r="J130" t="inlineStr">
        <is>
          <t>Coolers</t>
        </is>
      </c>
      <c r="K130" t="inlineStr">
        <is>
          <t>South</t>
        </is>
      </c>
      <c r="L130" t="inlineStr">
        <is>
          <t>Georgia</t>
        </is>
      </c>
      <c r="M130" t="inlineStr">
        <is>
          <t>Atlanta</t>
        </is>
      </c>
      <c r="N130" t="inlineStr">
        <is>
          <t>Ava Patel</t>
        </is>
      </c>
      <c r="O130" t="n">
        <v>1</v>
      </c>
      <c r="P130" s="3" t="n">
        <v>572.89</v>
      </c>
      <c r="Q130" s="4" t="n">
        <v>0.02</v>
      </c>
      <c r="R130" s="3" t="n">
        <v>561.4299999999999</v>
      </c>
      <c r="S130" s="3" t="n">
        <v>375.9</v>
      </c>
      <c r="T130" s="3" t="n">
        <v>178.73</v>
      </c>
      <c r="U130" s="4" t="n">
        <v>0.3183</v>
      </c>
      <c r="V130" s="3" t="n">
        <v>6.8</v>
      </c>
      <c r="W130" t="inlineStr">
        <is>
          <t>Debit Card</t>
        </is>
      </c>
      <c r="X130" t="inlineStr">
        <is>
          <t>Low</t>
        </is>
      </c>
      <c r="Y130" t="n">
        <v>2023</v>
      </c>
      <c r="Z130" t="n">
        <v>12</v>
      </c>
      <c r="AA130" t="inlineStr">
        <is>
          <t>Dec</t>
        </is>
      </c>
      <c r="AB130" t="inlineStr">
        <is>
          <t>Friday</t>
        </is>
      </c>
      <c r="AC130" t="n">
        <v>7</v>
      </c>
      <c r="AD130" t="inlineStr">
        <is>
          <t>Profitable</t>
        </is>
      </c>
      <c r="AE130" t="inlineStr">
        <is>
          <t>Medium</t>
        </is>
      </c>
      <c r="AF130" t="inlineStr">
        <is>
          <t>Medium</t>
        </is>
      </c>
    </row>
    <row r="131">
      <c r="A131" t="inlineStr">
        <is>
          <t>ORD-00130</t>
        </is>
      </c>
      <c r="B131" s="2" t="n">
        <v>45572</v>
      </c>
      <c r="C131" s="2" t="n">
        <v>45578</v>
      </c>
      <c r="D131" t="inlineStr">
        <is>
          <t>CUST-00130</t>
        </is>
      </c>
      <c r="E131" t="inlineStr">
        <is>
          <t>Customer 130</t>
        </is>
      </c>
      <c r="F131" t="inlineStr">
        <is>
          <t>Home Office</t>
        </is>
      </c>
      <c r="G131" t="inlineStr">
        <is>
          <t>P1006</t>
        </is>
      </c>
      <c r="H131" t="inlineStr">
        <is>
          <t>Orbit Wireless Mouse</t>
        </is>
      </c>
      <c r="I131" t="inlineStr">
        <is>
          <t>Furniture</t>
        </is>
      </c>
      <c r="J131" t="inlineStr">
        <is>
          <t>Peripherals</t>
        </is>
      </c>
      <c r="K131" t="inlineStr">
        <is>
          <t>South</t>
        </is>
      </c>
      <c r="L131" t="inlineStr">
        <is>
          <t>Florida</t>
        </is>
      </c>
      <c r="M131" t="inlineStr">
        <is>
          <t>Houston</t>
        </is>
      </c>
      <c r="N131" t="inlineStr">
        <is>
          <t>Ethan Brooks</t>
        </is>
      </c>
      <c r="O131" t="n">
        <v>3</v>
      </c>
      <c r="P131" s="3" t="n">
        <v>18.82</v>
      </c>
      <c r="Q131" s="4" t="n">
        <v>0.042</v>
      </c>
      <c r="R131" s="3" t="n">
        <v>54.09</v>
      </c>
      <c r="S131" s="3" t="n">
        <v>27.59</v>
      </c>
      <c r="T131" s="3" t="n">
        <v>18.1</v>
      </c>
      <c r="U131" s="4" t="n">
        <v>0.3346</v>
      </c>
      <c r="V131" s="3" t="n">
        <v>8.4</v>
      </c>
      <c r="W131" t="inlineStr">
        <is>
          <t>Cash on Delivery</t>
        </is>
      </c>
      <c r="X131" t="inlineStr">
        <is>
          <t>High</t>
        </is>
      </c>
      <c r="Y131" t="n">
        <v>2024</v>
      </c>
      <c r="Z131" t="n">
        <v>10</v>
      </c>
      <c r="AA131" t="inlineStr">
        <is>
          <t>Oct</t>
        </is>
      </c>
      <c r="AB131" t="inlineStr">
        <is>
          <t>Monday</t>
        </is>
      </c>
      <c r="AC131" t="n">
        <v>6</v>
      </c>
      <c r="AD131" t="inlineStr">
        <is>
          <t>Profitable</t>
        </is>
      </c>
      <c r="AE131" t="inlineStr">
        <is>
          <t>Medium</t>
        </is>
      </c>
      <c r="AF131" t="inlineStr">
        <is>
          <t>Small</t>
        </is>
      </c>
    </row>
    <row r="132">
      <c r="A132" t="inlineStr">
        <is>
          <t>ORD-00131</t>
        </is>
      </c>
      <c r="B132" s="2" t="n">
        <v>45477</v>
      </c>
      <c r="C132" s="2" t="n">
        <v>45482</v>
      </c>
      <c r="D132" t="inlineStr">
        <is>
          <t>CUST-00131</t>
        </is>
      </c>
      <c r="E132" t="inlineStr">
        <is>
          <t>Customer 131</t>
        </is>
      </c>
      <c r="F132" t="inlineStr">
        <is>
          <t>Corporate</t>
        </is>
      </c>
      <c r="G132" t="inlineStr">
        <is>
          <t>P1016</t>
        </is>
      </c>
      <c r="H132" t="inlineStr">
        <is>
          <t>Northstar Lantern</t>
        </is>
      </c>
      <c r="I132" t="inlineStr">
        <is>
          <t>Office Supplies</t>
        </is>
      </c>
      <c r="J132" t="inlineStr">
        <is>
          <t>Accessories</t>
        </is>
      </c>
      <c r="K132" t="inlineStr">
        <is>
          <t>East</t>
        </is>
      </c>
      <c r="L132" t="inlineStr">
        <is>
          <t>Massachusetts</t>
        </is>
      </c>
      <c r="M132" t="inlineStr">
        <is>
          <t>Washington</t>
        </is>
      </c>
      <c r="N132" t="inlineStr">
        <is>
          <t>James Carter</t>
        </is>
      </c>
      <c r="O132" t="n">
        <v>3</v>
      </c>
      <c r="P132" s="3" t="n">
        <v>41.62</v>
      </c>
      <c r="Q132" s="4" t="n">
        <v>0.012</v>
      </c>
      <c r="R132" s="3" t="n">
        <v>123.36</v>
      </c>
      <c r="S132" s="3" t="n">
        <v>52.85</v>
      </c>
      <c r="T132" s="3" t="n">
        <v>61.11</v>
      </c>
      <c r="U132" s="4" t="n">
        <v>0.4954</v>
      </c>
      <c r="V132" s="3" t="n">
        <v>9.4</v>
      </c>
      <c r="W132" t="inlineStr">
        <is>
          <t>Bank Transfer</t>
        </is>
      </c>
      <c r="X132" t="inlineStr">
        <is>
          <t>Medium</t>
        </is>
      </c>
      <c r="Y132" t="n">
        <v>2024</v>
      </c>
      <c r="Z132" t="n">
        <v>7</v>
      </c>
      <c r="AA132" t="inlineStr">
        <is>
          <t>Jul</t>
        </is>
      </c>
      <c r="AB132" t="inlineStr">
        <is>
          <t>Thursday</t>
        </is>
      </c>
      <c r="AC132" t="n">
        <v>5</v>
      </c>
      <c r="AD132" t="inlineStr">
        <is>
          <t>Profitable</t>
        </is>
      </c>
      <c r="AE132" t="inlineStr">
        <is>
          <t>Low</t>
        </is>
      </c>
      <c r="AF132" t="inlineStr">
        <is>
          <t>Small</t>
        </is>
      </c>
    </row>
    <row r="133">
      <c r="A133" t="inlineStr">
        <is>
          <t>ORD-00132</t>
        </is>
      </c>
      <c r="B133" s="2" t="n">
        <v>45166</v>
      </c>
      <c r="C133" s="2" t="n">
        <v>45167</v>
      </c>
      <c r="D133" t="inlineStr">
        <is>
          <t>CUST-00132</t>
        </is>
      </c>
      <c r="E133" t="inlineStr">
        <is>
          <t>Customer 132</t>
        </is>
      </c>
      <c r="F133" t="inlineStr">
        <is>
          <t>Consumer</t>
        </is>
      </c>
      <c r="G133" t="inlineStr">
        <is>
          <t>P1019</t>
        </is>
      </c>
      <c r="H133" t="inlineStr">
        <is>
          <t>Aero Standing Desk</t>
        </is>
      </c>
      <c r="I133" t="inlineStr">
        <is>
          <t>Office Supplies</t>
        </is>
      </c>
      <c r="J133" t="inlineStr">
        <is>
          <t>Writing</t>
        </is>
      </c>
      <c r="K133" t="inlineStr">
        <is>
          <t>South</t>
        </is>
      </c>
      <c r="L133" t="inlineStr">
        <is>
          <t>North Carolina</t>
        </is>
      </c>
      <c r="M133" t="inlineStr">
        <is>
          <t>Dallas</t>
        </is>
      </c>
      <c r="N133" t="inlineStr">
        <is>
          <t>Liam Chen</t>
        </is>
      </c>
      <c r="O133" t="n">
        <v>3</v>
      </c>
      <c r="P133" s="3" t="n">
        <v>58.21</v>
      </c>
      <c r="Q133" s="4" t="n">
        <v>0.001</v>
      </c>
      <c r="R133" s="3" t="n">
        <v>174.46</v>
      </c>
      <c r="S133" s="3" t="n">
        <v>77.37</v>
      </c>
      <c r="T133" s="3" t="n">
        <v>88.69</v>
      </c>
      <c r="U133" s="4" t="n">
        <v>0.5084</v>
      </c>
      <c r="V133" s="3" t="n">
        <v>8.4</v>
      </c>
      <c r="W133" t="inlineStr">
        <is>
          <t>Credit Card</t>
        </is>
      </c>
      <c r="X133" t="inlineStr">
        <is>
          <t>Low</t>
        </is>
      </c>
      <c r="Y133" t="n">
        <v>2023</v>
      </c>
      <c r="Z133" t="n">
        <v>8</v>
      </c>
      <c r="AA133" t="inlineStr">
        <is>
          <t>Aug</t>
        </is>
      </c>
      <c r="AB133" t="inlineStr">
        <is>
          <t>Monday</t>
        </is>
      </c>
      <c r="AC133" t="n">
        <v>1</v>
      </c>
      <c r="AD133" t="inlineStr">
        <is>
          <t>Profitable</t>
        </is>
      </c>
      <c r="AE133" t="inlineStr">
        <is>
          <t>Low</t>
        </is>
      </c>
      <c r="AF133" t="inlineStr">
        <is>
          <t>Small</t>
        </is>
      </c>
    </row>
    <row r="134">
      <c r="A134" t="inlineStr">
        <is>
          <t>ORD-00133</t>
        </is>
      </c>
      <c r="B134" s="2" t="n">
        <v>45069</v>
      </c>
      <c r="C134" s="2" t="n">
        <v>45071</v>
      </c>
      <c r="D134" t="inlineStr">
        <is>
          <t>CUST-00133</t>
        </is>
      </c>
      <c r="E134" t="inlineStr">
        <is>
          <t>Customer 133</t>
        </is>
      </c>
      <c r="F134" t="inlineStr">
        <is>
          <t>Consumer</t>
        </is>
      </c>
      <c r="G134" t="inlineStr">
        <is>
          <t>P1006</t>
        </is>
      </c>
      <c r="H134" t="inlineStr">
        <is>
          <t>ProClip Binder</t>
        </is>
      </c>
      <c r="I134" t="inlineStr">
        <is>
          <t>Technology</t>
        </is>
      </c>
      <c r="J134" t="inlineStr">
        <is>
          <t>Binders</t>
        </is>
      </c>
      <c r="K134" t="inlineStr">
        <is>
          <t>East</t>
        </is>
      </c>
      <c r="L134" t="inlineStr">
        <is>
          <t>Massachusetts</t>
        </is>
      </c>
      <c r="M134" t="inlineStr">
        <is>
          <t>Boston</t>
        </is>
      </c>
      <c r="N134" t="inlineStr">
        <is>
          <t>Liam Chen</t>
        </is>
      </c>
      <c r="O134" t="n">
        <v>3</v>
      </c>
      <c r="P134" s="3" t="n">
        <v>18.99</v>
      </c>
      <c r="Q134" s="4" t="n">
        <v>0.029</v>
      </c>
      <c r="R134" s="3" t="n">
        <v>55.32</v>
      </c>
      <c r="S134" s="3" t="n">
        <v>22.61</v>
      </c>
      <c r="T134" s="3" t="n">
        <v>23.31</v>
      </c>
      <c r="U134" s="4" t="n">
        <v>0.4214</v>
      </c>
      <c r="V134" s="3" t="n">
        <v>9.4</v>
      </c>
      <c r="W134" t="inlineStr">
        <is>
          <t>Credit Card</t>
        </is>
      </c>
      <c r="X134" t="inlineStr">
        <is>
          <t>High</t>
        </is>
      </c>
      <c r="Y134" t="n">
        <v>2023</v>
      </c>
      <c r="Z134" t="n">
        <v>5</v>
      </c>
      <c r="AA134" t="inlineStr">
        <is>
          <t>May</t>
        </is>
      </c>
      <c r="AB134" t="inlineStr">
        <is>
          <t>Tuesday</t>
        </is>
      </c>
      <c r="AC134" t="n">
        <v>2</v>
      </c>
      <c r="AD134" t="inlineStr">
        <is>
          <t>Profitable</t>
        </is>
      </c>
      <c r="AE134" t="inlineStr">
        <is>
          <t>Medium</t>
        </is>
      </c>
      <c r="AF134" t="inlineStr">
        <is>
          <t>Small</t>
        </is>
      </c>
    </row>
    <row r="135">
      <c r="A135" t="inlineStr">
        <is>
          <t>ORD-00134</t>
        </is>
      </c>
      <c r="B135" s="2" t="n">
        <v>45647</v>
      </c>
      <c r="C135" s="2" t="n">
        <v>45648</v>
      </c>
      <c r="D135" t="inlineStr">
        <is>
          <t>CUST-00134</t>
        </is>
      </c>
      <c r="E135" t="inlineStr">
        <is>
          <t>Customer 134</t>
        </is>
      </c>
      <c r="F135" t="inlineStr">
        <is>
          <t>Consumer</t>
        </is>
      </c>
      <c r="G135" t="inlineStr">
        <is>
          <t>P1007</t>
        </is>
      </c>
      <c r="H135" t="inlineStr">
        <is>
          <t>Nimbus Monitor Arm</t>
        </is>
      </c>
      <c r="I135" t="inlineStr">
        <is>
          <t>Home Decor</t>
        </is>
      </c>
      <c r="J135" t="inlineStr">
        <is>
          <t>Chairs</t>
        </is>
      </c>
      <c r="K135" t="inlineStr">
        <is>
          <t>Central</t>
        </is>
      </c>
      <c r="L135" t="inlineStr">
        <is>
          <t>Kansas</t>
        </is>
      </c>
      <c r="M135" t="inlineStr">
        <is>
          <t>Kansas City</t>
        </is>
      </c>
      <c r="N135" t="inlineStr">
        <is>
          <t>James Carter</t>
        </is>
      </c>
      <c r="O135" t="n">
        <v>1</v>
      </c>
      <c r="P135" s="3" t="n">
        <v>25.76</v>
      </c>
      <c r="Q135" s="4" t="n">
        <v>0.008</v>
      </c>
      <c r="R135" s="3" t="n">
        <v>25.55</v>
      </c>
      <c r="S135" s="3" t="n">
        <v>12.28</v>
      </c>
      <c r="T135" s="3" t="n">
        <v>6.47</v>
      </c>
      <c r="U135" s="4" t="n">
        <v>0.2532</v>
      </c>
      <c r="V135" s="3" t="n">
        <v>6.8</v>
      </c>
      <c r="W135" t="inlineStr">
        <is>
          <t>PayPal</t>
        </is>
      </c>
      <c r="X135" t="inlineStr">
        <is>
          <t>Medium</t>
        </is>
      </c>
      <c r="Y135" t="n">
        <v>2024</v>
      </c>
      <c r="Z135" t="n">
        <v>12</v>
      </c>
      <c r="AA135" t="inlineStr">
        <is>
          <t>Dec</t>
        </is>
      </c>
      <c r="AB135" t="inlineStr">
        <is>
          <t>Saturday</t>
        </is>
      </c>
      <c r="AC135" t="n">
        <v>1</v>
      </c>
      <c r="AD135" t="inlineStr">
        <is>
          <t>Profitable</t>
        </is>
      </c>
      <c r="AE135" t="inlineStr">
        <is>
          <t>Low</t>
        </is>
      </c>
      <c r="AF135" t="inlineStr">
        <is>
          <t>Small</t>
        </is>
      </c>
    </row>
    <row r="136">
      <c r="A136" t="inlineStr">
        <is>
          <t>ORD-00135</t>
        </is>
      </c>
      <c r="B136" s="2" t="n">
        <v>45912</v>
      </c>
      <c r="C136" s="2" t="n">
        <v>45913</v>
      </c>
      <c r="D136" t="inlineStr">
        <is>
          <t>CUST-00135</t>
        </is>
      </c>
      <c r="E136" t="inlineStr">
        <is>
          <t>Customer 135</t>
        </is>
      </c>
      <c r="F136" t="inlineStr">
        <is>
          <t>Consumer</t>
        </is>
      </c>
      <c r="G136" t="inlineStr">
        <is>
          <t>P1019</t>
        </is>
      </c>
      <c r="H136" t="inlineStr">
        <is>
          <t>Aero Standing Desk</t>
        </is>
      </c>
      <c r="I136" t="inlineStr">
        <is>
          <t>Furniture</t>
        </is>
      </c>
      <c r="J136" t="inlineStr">
        <is>
          <t>Paper</t>
        </is>
      </c>
      <c r="K136" t="inlineStr">
        <is>
          <t>North</t>
        </is>
      </c>
      <c r="L136" t="inlineStr">
        <is>
          <t>Ontario</t>
        </is>
      </c>
      <c r="M136" t="inlineStr">
        <is>
          <t>Montreal</t>
        </is>
      </c>
      <c r="N136" t="inlineStr">
        <is>
          <t>Ethan Brooks</t>
        </is>
      </c>
      <c r="O136" t="n">
        <v>1</v>
      </c>
      <c r="P136" s="3" t="n">
        <v>58.06</v>
      </c>
      <c r="Q136" s="4" t="n">
        <v>0.059</v>
      </c>
      <c r="R136" s="3" t="n">
        <v>54.63</v>
      </c>
      <c r="S136" s="3" t="n">
        <v>31.15</v>
      </c>
      <c r="T136" s="3" t="n">
        <v>16.68</v>
      </c>
      <c r="U136" s="4" t="n">
        <v>0.3053</v>
      </c>
      <c r="V136" s="3" t="n">
        <v>6.8</v>
      </c>
      <c r="W136" t="inlineStr">
        <is>
          <t>Credit Card</t>
        </is>
      </c>
      <c r="X136" t="inlineStr">
        <is>
          <t>High</t>
        </is>
      </c>
      <c r="Y136" t="n">
        <v>2025</v>
      </c>
      <c r="Z136" t="n">
        <v>9</v>
      </c>
      <c r="AA136" t="inlineStr">
        <is>
          <t>Sep</t>
        </is>
      </c>
      <c r="AB136" t="inlineStr">
        <is>
          <t>Friday</t>
        </is>
      </c>
      <c r="AC136" t="n">
        <v>1</v>
      </c>
      <c r="AD136" t="inlineStr">
        <is>
          <t>Profitable</t>
        </is>
      </c>
      <c r="AE136" t="inlineStr">
        <is>
          <t>High</t>
        </is>
      </c>
      <c r="AF136" t="inlineStr">
        <is>
          <t>Small</t>
        </is>
      </c>
    </row>
    <row r="137">
      <c r="A137" t="inlineStr">
        <is>
          <t>ORD-00136</t>
        </is>
      </c>
      <c r="B137" s="2" t="n">
        <v>45307</v>
      </c>
      <c r="C137" s="2" t="n">
        <v>45313</v>
      </c>
      <c r="D137" t="inlineStr">
        <is>
          <t>CUST-00136</t>
        </is>
      </c>
      <c r="E137" t="inlineStr">
        <is>
          <t>Customer 136</t>
        </is>
      </c>
      <c r="F137" t="inlineStr">
        <is>
          <t>Consumer</t>
        </is>
      </c>
      <c r="G137" t="inlineStr">
        <is>
          <t>P1020</t>
        </is>
      </c>
      <c r="H137" t="inlineStr">
        <is>
          <t>Aero Standing Desk</t>
        </is>
      </c>
      <c r="I137" t="inlineStr">
        <is>
          <t>Office Supplies</t>
        </is>
      </c>
      <c r="J137" t="inlineStr">
        <is>
          <t>Lighting</t>
        </is>
      </c>
      <c r="K137" t="inlineStr">
        <is>
          <t>West</t>
        </is>
      </c>
      <c r="L137" t="inlineStr">
        <is>
          <t>Washington</t>
        </is>
      </c>
      <c r="M137" t="inlineStr">
        <is>
          <t>Denver</t>
        </is>
      </c>
      <c r="N137" t="inlineStr">
        <is>
          <t>Ethan Brooks</t>
        </is>
      </c>
      <c r="O137" t="n">
        <v>1</v>
      </c>
      <c r="P137" s="3" t="n">
        <v>75.22</v>
      </c>
      <c r="Q137" s="4" t="n">
        <v>0.015</v>
      </c>
      <c r="R137" s="3" t="n">
        <v>74.09</v>
      </c>
      <c r="S137" s="3" t="n">
        <v>45.29</v>
      </c>
      <c r="T137" s="3" t="n">
        <v>21</v>
      </c>
      <c r="U137" s="4" t="n">
        <v>0.2834</v>
      </c>
      <c r="V137" s="3" t="n">
        <v>7.8</v>
      </c>
      <c r="W137" t="inlineStr">
        <is>
          <t>Credit Card</t>
        </is>
      </c>
      <c r="X137" t="inlineStr">
        <is>
          <t>Medium</t>
        </is>
      </c>
      <c r="Y137" t="n">
        <v>2024</v>
      </c>
      <c r="Z137" t="n">
        <v>1</v>
      </c>
      <c r="AA137" t="inlineStr">
        <is>
          <t>Jan</t>
        </is>
      </c>
      <c r="AB137" t="inlineStr">
        <is>
          <t>Tuesday</t>
        </is>
      </c>
      <c r="AC137" t="n">
        <v>6</v>
      </c>
      <c r="AD137" t="inlineStr">
        <is>
          <t>Profitable</t>
        </is>
      </c>
      <c r="AE137" t="inlineStr">
        <is>
          <t>Low</t>
        </is>
      </c>
      <c r="AF137" t="inlineStr">
        <is>
          <t>Small</t>
        </is>
      </c>
    </row>
    <row r="138">
      <c r="A138" t="inlineStr">
        <is>
          <t>ORD-00137</t>
        </is>
      </c>
      <c r="B138" s="2" t="n">
        <v>45426</v>
      </c>
      <c r="C138" s="2" t="n">
        <v>45433</v>
      </c>
      <c r="D138" t="inlineStr">
        <is>
          <t>CUST-00137</t>
        </is>
      </c>
      <c r="E138" t="inlineStr">
        <is>
          <t>Customer 137</t>
        </is>
      </c>
      <c r="F138" t="inlineStr">
        <is>
          <t>Consumer</t>
        </is>
      </c>
      <c r="G138" t="inlineStr">
        <is>
          <t>P1017</t>
        </is>
      </c>
      <c r="H138" t="inlineStr">
        <is>
          <t>FlexNote Notebook</t>
        </is>
      </c>
      <c r="I138" t="inlineStr">
        <is>
          <t>Technology</t>
        </is>
      </c>
      <c r="J138" t="inlineStr">
        <is>
          <t>Plants</t>
        </is>
      </c>
      <c r="K138" t="inlineStr">
        <is>
          <t>West</t>
        </is>
      </c>
      <c r="L138" t="inlineStr">
        <is>
          <t>Washington</t>
        </is>
      </c>
      <c r="M138" t="inlineStr">
        <is>
          <t>Denver</t>
        </is>
      </c>
      <c r="N138" t="inlineStr">
        <is>
          <t>Ethan Brooks</t>
        </is>
      </c>
      <c r="O138" t="n">
        <v>5</v>
      </c>
      <c r="P138" s="3" t="n">
        <v>560.12</v>
      </c>
      <c r="Q138" s="4" t="n">
        <v>0.025</v>
      </c>
      <c r="R138" s="3" t="n">
        <v>2730.59</v>
      </c>
      <c r="S138" s="3" t="n">
        <v>1808.23</v>
      </c>
      <c r="T138" s="3" t="n">
        <v>911.36</v>
      </c>
      <c r="U138" s="4" t="n">
        <v>0.3338</v>
      </c>
      <c r="V138" s="3" t="n">
        <v>11</v>
      </c>
      <c r="W138" t="inlineStr">
        <is>
          <t>Bank Transfer</t>
        </is>
      </c>
      <c r="X138" t="inlineStr">
        <is>
          <t>Medium</t>
        </is>
      </c>
      <c r="Y138" t="n">
        <v>2024</v>
      </c>
      <c r="Z138" t="n">
        <v>5</v>
      </c>
      <c r="AA138" t="inlineStr">
        <is>
          <t>May</t>
        </is>
      </c>
      <c r="AB138" t="inlineStr">
        <is>
          <t>Tuesday</t>
        </is>
      </c>
      <c r="AC138" t="n">
        <v>7</v>
      </c>
      <c r="AD138" t="inlineStr">
        <is>
          <t>Profitable</t>
        </is>
      </c>
      <c r="AE138" t="inlineStr">
        <is>
          <t>Medium</t>
        </is>
      </c>
      <c r="AF138" t="inlineStr">
        <is>
          <t>Large</t>
        </is>
      </c>
    </row>
    <row r="139">
      <c r="A139" t="inlineStr">
        <is>
          <t>ORD-00138</t>
        </is>
      </c>
      <c r="B139" s="2" t="n">
        <v>45923</v>
      </c>
      <c r="C139" s="2" t="n">
        <v>45926</v>
      </c>
      <c r="D139" t="inlineStr">
        <is>
          <t>CUST-00138</t>
        </is>
      </c>
      <c r="E139" t="inlineStr">
        <is>
          <t>Customer 138</t>
        </is>
      </c>
      <c r="F139" t="inlineStr">
        <is>
          <t>Corporate</t>
        </is>
      </c>
      <c r="G139" t="inlineStr">
        <is>
          <t>P1006</t>
        </is>
      </c>
      <c r="H139" t="inlineStr">
        <is>
          <t>Halo Planter</t>
        </is>
      </c>
      <c r="I139" t="inlineStr">
        <is>
          <t>Office Supplies</t>
        </is>
      </c>
      <c r="J139" t="inlineStr">
        <is>
          <t>Decor</t>
        </is>
      </c>
      <c r="K139" t="inlineStr">
        <is>
          <t>West</t>
        </is>
      </c>
      <c r="L139" t="inlineStr">
        <is>
          <t>Oregon</t>
        </is>
      </c>
      <c r="M139" t="inlineStr">
        <is>
          <t>San Francisco</t>
        </is>
      </c>
      <c r="N139" t="inlineStr">
        <is>
          <t>Ava Patel</t>
        </is>
      </c>
      <c r="O139" t="n">
        <v>3</v>
      </c>
      <c r="P139" s="3" t="n">
        <v>19.72</v>
      </c>
      <c r="Q139" s="4" t="n">
        <v>0.051</v>
      </c>
      <c r="R139" s="3" t="n">
        <v>56.14</v>
      </c>
      <c r="S139" s="3" t="n">
        <v>24.37</v>
      </c>
      <c r="T139" s="3" t="n">
        <v>22.37</v>
      </c>
      <c r="U139" s="4" t="n">
        <v>0.3985</v>
      </c>
      <c r="V139" s="3" t="n">
        <v>9.4</v>
      </c>
      <c r="W139" t="inlineStr">
        <is>
          <t>PayPal</t>
        </is>
      </c>
      <c r="X139" t="inlineStr">
        <is>
          <t>Critical</t>
        </is>
      </c>
      <c r="Y139" t="n">
        <v>2025</v>
      </c>
      <c r="Z139" t="n">
        <v>9</v>
      </c>
      <c r="AA139" t="inlineStr">
        <is>
          <t>Sep</t>
        </is>
      </c>
      <c r="AB139" t="inlineStr">
        <is>
          <t>Tuesday</t>
        </is>
      </c>
      <c r="AC139" t="n">
        <v>3</v>
      </c>
      <c r="AD139" t="inlineStr">
        <is>
          <t>Profitable</t>
        </is>
      </c>
      <c r="AE139" t="inlineStr">
        <is>
          <t>High</t>
        </is>
      </c>
      <c r="AF139" t="inlineStr">
        <is>
          <t>Small</t>
        </is>
      </c>
    </row>
    <row r="140">
      <c r="A140" t="inlineStr">
        <is>
          <t>ORD-00139</t>
        </is>
      </c>
      <c r="B140" s="2" t="n">
        <v>45332</v>
      </c>
      <c r="C140" s="2" t="n">
        <v>45337</v>
      </c>
      <c r="D140" t="inlineStr">
        <is>
          <t>CUST-00139</t>
        </is>
      </c>
      <c r="E140" t="inlineStr">
        <is>
          <t>Customer 139</t>
        </is>
      </c>
      <c r="F140" t="inlineStr">
        <is>
          <t>Consumer</t>
        </is>
      </c>
      <c r="G140" t="inlineStr">
        <is>
          <t>P1015</t>
        </is>
      </c>
      <c r="H140" t="inlineStr">
        <is>
          <t>Atlas Throw Pillow</t>
        </is>
      </c>
      <c r="I140" t="inlineStr">
        <is>
          <t>Technology</t>
        </is>
      </c>
      <c r="J140" t="inlineStr">
        <is>
          <t>Writing</t>
        </is>
      </c>
      <c r="K140" t="inlineStr">
        <is>
          <t>East</t>
        </is>
      </c>
      <c r="L140" t="inlineStr">
        <is>
          <t>New York</t>
        </is>
      </c>
      <c r="M140" t="inlineStr">
        <is>
          <t>Washington</t>
        </is>
      </c>
      <c r="N140" t="inlineStr">
        <is>
          <t>Ethan Brooks</t>
        </is>
      </c>
      <c r="O140" t="n">
        <v>1</v>
      </c>
      <c r="P140" s="3" t="n">
        <v>65.41</v>
      </c>
      <c r="Q140" s="4" t="n">
        <v>0.002</v>
      </c>
      <c r="R140" s="3" t="n">
        <v>65.28</v>
      </c>
      <c r="S140" s="3" t="n">
        <v>37.38</v>
      </c>
      <c r="T140" s="3" t="n">
        <v>20.1</v>
      </c>
      <c r="U140" s="4" t="n">
        <v>0.3079</v>
      </c>
      <c r="V140" s="3" t="n">
        <v>7.8</v>
      </c>
      <c r="W140" t="inlineStr">
        <is>
          <t>PayPal</t>
        </is>
      </c>
      <c r="X140" t="inlineStr">
        <is>
          <t>Medium</t>
        </is>
      </c>
      <c r="Y140" t="n">
        <v>2024</v>
      </c>
      <c r="Z140" t="n">
        <v>2</v>
      </c>
      <c r="AA140" t="inlineStr">
        <is>
          <t>Feb</t>
        </is>
      </c>
      <c r="AB140" t="inlineStr">
        <is>
          <t>Saturday</t>
        </is>
      </c>
      <c r="AC140" t="n">
        <v>5</v>
      </c>
      <c r="AD140" t="inlineStr">
        <is>
          <t>Profitable</t>
        </is>
      </c>
      <c r="AE140" t="inlineStr">
        <is>
          <t>Low</t>
        </is>
      </c>
      <c r="AF140" t="inlineStr">
        <is>
          <t>Small</t>
        </is>
      </c>
    </row>
    <row r="141">
      <c r="A141" t="inlineStr">
        <is>
          <t>ORD-00140</t>
        </is>
      </c>
      <c r="B141" s="2" t="n">
        <v>45671</v>
      </c>
      <c r="C141" s="2" t="n">
        <v>45677</v>
      </c>
      <c r="D141" t="inlineStr">
        <is>
          <t>CUST-00140</t>
        </is>
      </c>
      <c r="E141" t="inlineStr">
        <is>
          <t>Customer 140</t>
        </is>
      </c>
      <c r="F141" t="inlineStr">
        <is>
          <t>Consumer</t>
        </is>
      </c>
      <c r="G141" t="inlineStr">
        <is>
          <t>P1009</t>
        </is>
      </c>
      <c r="H141" t="inlineStr">
        <is>
          <t>ProClip Binder</t>
        </is>
      </c>
      <c r="I141" t="inlineStr">
        <is>
          <t>Home Decor</t>
        </is>
      </c>
      <c r="J141" t="inlineStr">
        <is>
          <t>Accessories</t>
        </is>
      </c>
      <c r="K141" t="inlineStr">
        <is>
          <t>East</t>
        </is>
      </c>
      <c r="L141" t="inlineStr">
        <is>
          <t>Virginia</t>
        </is>
      </c>
      <c r="M141" t="inlineStr">
        <is>
          <t>New York</t>
        </is>
      </c>
      <c r="N141" t="inlineStr">
        <is>
          <t>Olivia Martin</t>
        </is>
      </c>
      <c r="O141" t="n">
        <v>3</v>
      </c>
      <c r="P141" s="3" t="n">
        <v>91.61</v>
      </c>
      <c r="Q141" s="4" t="n">
        <v>0.022</v>
      </c>
      <c r="R141" s="3" t="n">
        <v>268.78</v>
      </c>
      <c r="S141" s="3" t="n">
        <v>133.94</v>
      </c>
      <c r="T141" s="3" t="n">
        <v>125.44</v>
      </c>
      <c r="U141" s="4" t="n">
        <v>0.4667</v>
      </c>
      <c r="V141" s="3" t="n">
        <v>9.4</v>
      </c>
      <c r="W141" t="inlineStr">
        <is>
          <t>Credit Card</t>
        </is>
      </c>
      <c r="X141" t="inlineStr">
        <is>
          <t>Critical</t>
        </is>
      </c>
      <c r="Y141" t="n">
        <v>2025</v>
      </c>
      <c r="Z141" t="n">
        <v>1</v>
      </c>
      <c r="AA141" t="inlineStr">
        <is>
          <t>Jan</t>
        </is>
      </c>
      <c r="AB141" t="inlineStr">
        <is>
          <t>Tuesday</t>
        </is>
      </c>
      <c r="AC141" t="n">
        <v>6</v>
      </c>
      <c r="AD141" t="inlineStr">
        <is>
          <t>Profitable</t>
        </is>
      </c>
      <c r="AE141" t="inlineStr">
        <is>
          <t>Medium</t>
        </is>
      </c>
      <c r="AF141" t="inlineStr">
        <is>
          <t>Small</t>
        </is>
      </c>
    </row>
    <row r="142">
      <c r="A142" t="inlineStr">
        <is>
          <t>ORD-00141</t>
        </is>
      </c>
      <c r="B142" s="2" t="n">
        <v>45845</v>
      </c>
      <c r="C142" s="2" t="n">
        <v>45852</v>
      </c>
      <c r="D142" t="inlineStr">
        <is>
          <t>CUST-00141</t>
        </is>
      </c>
      <c r="E142" t="inlineStr">
        <is>
          <t>Customer 141</t>
        </is>
      </c>
      <c r="F142" t="inlineStr">
        <is>
          <t>Corporate</t>
        </is>
      </c>
      <c r="G142" t="inlineStr">
        <is>
          <t>P1002</t>
        </is>
      </c>
      <c r="H142" t="inlineStr">
        <is>
          <t>Tide Cooler</t>
        </is>
      </c>
      <c r="I142" t="inlineStr">
        <is>
          <t>Outdoor</t>
        </is>
      </c>
      <c r="J142" t="inlineStr">
        <is>
          <t>Video</t>
        </is>
      </c>
      <c r="K142" t="inlineStr">
        <is>
          <t>North</t>
        </is>
      </c>
      <c r="L142" t="inlineStr">
        <is>
          <t>British Columbia</t>
        </is>
      </c>
      <c r="M142" t="inlineStr">
        <is>
          <t>Toronto</t>
        </is>
      </c>
      <c r="N142" t="inlineStr">
        <is>
          <t>Sophia Singh</t>
        </is>
      </c>
      <c r="O142" t="n">
        <v>2</v>
      </c>
      <c r="P142" s="3" t="n">
        <v>84.08</v>
      </c>
      <c r="Q142" s="4" t="n">
        <v>0.042</v>
      </c>
      <c r="R142" s="3" t="n">
        <v>161.1</v>
      </c>
      <c r="S142" s="3" t="n">
        <v>75.31</v>
      </c>
      <c r="T142" s="3" t="n">
        <v>78.19</v>
      </c>
      <c r="U142" s="4" t="n">
        <v>0.4854</v>
      </c>
      <c r="V142" s="3" t="n">
        <v>7.6</v>
      </c>
      <c r="W142" t="inlineStr">
        <is>
          <t>Debit Card</t>
        </is>
      </c>
      <c r="X142" t="inlineStr">
        <is>
          <t>Critical</t>
        </is>
      </c>
      <c r="Y142" t="n">
        <v>2025</v>
      </c>
      <c r="Z142" t="n">
        <v>7</v>
      </c>
      <c r="AA142" t="inlineStr">
        <is>
          <t>Jul</t>
        </is>
      </c>
      <c r="AB142" t="inlineStr">
        <is>
          <t>Monday</t>
        </is>
      </c>
      <c r="AC142" t="n">
        <v>7</v>
      </c>
      <c r="AD142" t="inlineStr">
        <is>
          <t>Profitable</t>
        </is>
      </c>
      <c r="AE142" t="inlineStr">
        <is>
          <t>Medium</t>
        </is>
      </c>
      <c r="AF142" t="inlineStr">
        <is>
          <t>Small</t>
        </is>
      </c>
    </row>
    <row r="143">
      <c r="A143" t="inlineStr">
        <is>
          <t>ORD-00142</t>
        </is>
      </c>
      <c r="B143" s="2" t="n">
        <v>45050</v>
      </c>
      <c r="C143" s="2" t="n">
        <v>45057</v>
      </c>
      <c r="D143" t="inlineStr">
        <is>
          <t>CUST-00142</t>
        </is>
      </c>
      <c r="E143" t="inlineStr">
        <is>
          <t>Customer 142</t>
        </is>
      </c>
      <c r="F143" t="inlineStr">
        <is>
          <t>Home Office</t>
        </is>
      </c>
      <c r="G143" t="inlineStr">
        <is>
          <t>P1005</t>
        </is>
      </c>
      <c r="H143" t="inlineStr">
        <is>
          <t>Echo Web Camera</t>
        </is>
      </c>
      <c r="I143" t="inlineStr">
        <is>
          <t>Home Decor</t>
        </is>
      </c>
      <c r="J143" t="inlineStr">
        <is>
          <t>Furniture</t>
        </is>
      </c>
      <c r="K143" t="inlineStr">
        <is>
          <t>West</t>
        </is>
      </c>
      <c r="L143" t="inlineStr">
        <is>
          <t>Washington</t>
        </is>
      </c>
      <c r="M143" t="inlineStr">
        <is>
          <t>Los Angeles</t>
        </is>
      </c>
      <c r="N143" t="inlineStr">
        <is>
          <t>Mia Rodriguez</t>
        </is>
      </c>
      <c r="O143" t="n">
        <v>1</v>
      </c>
      <c r="P143" s="3" t="n">
        <v>12.77</v>
      </c>
      <c r="Q143" s="4" t="n">
        <v>0.035</v>
      </c>
      <c r="R143" s="3" t="n">
        <v>12.32</v>
      </c>
      <c r="S143" s="3" t="n">
        <v>9.109999999999999</v>
      </c>
      <c r="T143" s="3" t="n">
        <v>-4.59</v>
      </c>
      <c r="U143" s="4" t="n">
        <v>-0.3726</v>
      </c>
      <c r="V143" s="3" t="n">
        <v>7.8</v>
      </c>
      <c r="W143" t="inlineStr">
        <is>
          <t>Debit Card</t>
        </is>
      </c>
      <c r="X143" t="inlineStr">
        <is>
          <t>Medium</t>
        </is>
      </c>
      <c r="Y143" t="n">
        <v>2023</v>
      </c>
      <c r="Z143" t="n">
        <v>5</v>
      </c>
      <c r="AA143" t="inlineStr">
        <is>
          <t>May</t>
        </is>
      </c>
      <c r="AB143" t="inlineStr">
        <is>
          <t>Thursday</t>
        </is>
      </c>
      <c r="AC143" t="n">
        <v>7</v>
      </c>
      <c r="AD143" t="inlineStr">
        <is>
          <t>Unprofitable</t>
        </is>
      </c>
      <c r="AE143" t="inlineStr">
        <is>
          <t>Medium</t>
        </is>
      </c>
      <c r="AF143" t="inlineStr">
        <is>
          <t>Small</t>
        </is>
      </c>
    </row>
    <row r="144">
      <c r="A144" t="inlineStr">
        <is>
          <t>ORD-00143</t>
        </is>
      </c>
      <c r="B144" s="2" t="n">
        <v>45445</v>
      </c>
      <c r="C144" s="2" t="n">
        <v>45450</v>
      </c>
      <c r="D144" t="inlineStr">
        <is>
          <t>CUST-00143</t>
        </is>
      </c>
      <c r="E144" t="inlineStr">
        <is>
          <t>Customer 143</t>
        </is>
      </c>
      <c r="F144" t="inlineStr">
        <is>
          <t>Corporate</t>
        </is>
      </c>
      <c r="G144" t="inlineStr">
        <is>
          <t>P1005</t>
        </is>
      </c>
      <c r="H144" t="inlineStr">
        <is>
          <t>Trail Tote</t>
        </is>
      </c>
      <c r="I144" t="inlineStr">
        <is>
          <t>Technology</t>
        </is>
      </c>
      <c r="J144" t="inlineStr">
        <is>
          <t>Coolers</t>
        </is>
      </c>
      <c r="K144" t="inlineStr">
        <is>
          <t>South</t>
        </is>
      </c>
      <c r="L144" t="inlineStr">
        <is>
          <t>Florida</t>
        </is>
      </c>
      <c r="M144" t="inlineStr">
        <is>
          <t>Atlanta</t>
        </is>
      </c>
      <c r="N144" t="inlineStr">
        <is>
          <t>Liam Chen</t>
        </is>
      </c>
      <c r="O144" t="n">
        <v>4</v>
      </c>
      <c r="P144" s="3" t="n">
        <v>12.95</v>
      </c>
      <c r="Q144" s="4" t="n">
        <v>0.034</v>
      </c>
      <c r="R144" s="3" t="n">
        <v>50.04</v>
      </c>
      <c r="S144" s="3" t="n">
        <v>28.81</v>
      </c>
      <c r="T144" s="3" t="n">
        <v>12.03</v>
      </c>
      <c r="U144" s="4" t="n">
        <v>0.2404</v>
      </c>
      <c r="V144" s="3" t="n">
        <v>9.199999999999999</v>
      </c>
      <c r="W144" t="inlineStr">
        <is>
          <t>PayPal</t>
        </is>
      </c>
      <c r="X144" t="inlineStr">
        <is>
          <t>High</t>
        </is>
      </c>
      <c r="Y144" t="n">
        <v>2024</v>
      </c>
      <c r="Z144" t="n">
        <v>6</v>
      </c>
      <c r="AA144" t="inlineStr">
        <is>
          <t>Jun</t>
        </is>
      </c>
      <c r="AB144" t="inlineStr">
        <is>
          <t>Sunday</t>
        </is>
      </c>
      <c r="AC144" t="n">
        <v>5</v>
      </c>
      <c r="AD144" t="inlineStr">
        <is>
          <t>Profitable</t>
        </is>
      </c>
      <c r="AE144" t="inlineStr">
        <is>
          <t>Medium</t>
        </is>
      </c>
      <c r="AF144" t="inlineStr">
        <is>
          <t>Small</t>
        </is>
      </c>
    </row>
    <row r="145">
      <c r="A145" t="inlineStr">
        <is>
          <t>ORD-00144</t>
        </is>
      </c>
      <c r="B145" s="2" t="n">
        <v>45406</v>
      </c>
      <c r="C145" s="2" t="n">
        <v>45413</v>
      </c>
      <c r="D145" t="inlineStr">
        <is>
          <t>CUST-00144</t>
        </is>
      </c>
      <c r="E145" t="inlineStr">
        <is>
          <t>Customer 144</t>
        </is>
      </c>
      <c r="F145" t="inlineStr">
        <is>
          <t>Consumer</t>
        </is>
      </c>
      <c r="G145" t="inlineStr">
        <is>
          <t>P1012</t>
        </is>
      </c>
      <c r="H145" t="inlineStr">
        <is>
          <t>SmartInk Pen Set</t>
        </is>
      </c>
      <c r="I145" t="inlineStr">
        <is>
          <t>Outdoor</t>
        </is>
      </c>
      <c r="J145" t="inlineStr">
        <is>
          <t>Lighting</t>
        </is>
      </c>
      <c r="K145" t="inlineStr">
        <is>
          <t>South</t>
        </is>
      </c>
      <c r="L145" t="inlineStr">
        <is>
          <t>Florida</t>
        </is>
      </c>
      <c r="M145" t="inlineStr">
        <is>
          <t>Miami</t>
        </is>
      </c>
      <c r="N145" t="inlineStr">
        <is>
          <t>Ethan Brooks</t>
        </is>
      </c>
      <c r="O145" t="n">
        <v>4</v>
      </c>
      <c r="P145" s="3" t="n">
        <v>127.98</v>
      </c>
      <c r="Q145" s="4" t="n">
        <v>0.012</v>
      </c>
      <c r="R145" s="3" t="n">
        <v>505.78</v>
      </c>
      <c r="S145" s="3" t="n">
        <v>252.55</v>
      </c>
      <c r="T145" s="3" t="n">
        <v>244.03</v>
      </c>
      <c r="U145" s="4" t="n">
        <v>0.4825</v>
      </c>
      <c r="V145" s="3" t="n">
        <v>9.199999999999999</v>
      </c>
      <c r="W145" t="inlineStr">
        <is>
          <t>Bank Transfer</t>
        </is>
      </c>
      <c r="X145" t="inlineStr">
        <is>
          <t>Medium</t>
        </is>
      </c>
      <c r="Y145" t="n">
        <v>2024</v>
      </c>
      <c r="Z145" t="n">
        <v>4</v>
      </c>
      <c r="AA145" t="inlineStr">
        <is>
          <t>Apr</t>
        </is>
      </c>
      <c r="AB145" t="inlineStr">
        <is>
          <t>Wednesday</t>
        </is>
      </c>
      <c r="AC145" t="n">
        <v>7</v>
      </c>
      <c r="AD145" t="inlineStr">
        <is>
          <t>Profitable</t>
        </is>
      </c>
      <c r="AE145" t="inlineStr">
        <is>
          <t>Low</t>
        </is>
      </c>
      <c r="AF145" t="inlineStr">
        <is>
          <t>Medium</t>
        </is>
      </c>
    </row>
    <row r="146">
      <c r="A146" t="inlineStr">
        <is>
          <t>ORD-00145</t>
        </is>
      </c>
      <c r="B146" s="2" t="n">
        <v>45003</v>
      </c>
      <c r="C146" s="2" t="n">
        <v>45005</v>
      </c>
      <c r="D146" t="inlineStr">
        <is>
          <t>CUST-00145</t>
        </is>
      </c>
      <c r="E146" t="inlineStr">
        <is>
          <t>Customer 145</t>
        </is>
      </c>
      <c r="F146" t="inlineStr">
        <is>
          <t>Corporate</t>
        </is>
      </c>
      <c r="G146" t="inlineStr">
        <is>
          <t>P1010</t>
        </is>
      </c>
      <c r="H146" t="inlineStr">
        <is>
          <t>Echo Web Camera</t>
        </is>
      </c>
      <c r="I146" t="inlineStr">
        <is>
          <t>Home Decor</t>
        </is>
      </c>
      <c r="J146" t="inlineStr">
        <is>
          <t>Furniture</t>
        </is>
      </c>
      <c r="K146" t="inlineStr">
        <is>
          <t>Central</t>
        </is>
      </c>
      <c r="L146" t="inlineStr">
        <is>
          <t>Illinois</t>
        </is>
      </c>
      <c r="M146" t="inlineStr">
        <is>
          <t>St. Louis</t>
        </is>
      </c>
      <c r="N146" t="inlineStr">
        <is>
          <t>Sophia Singh</t>
        </is>
      </c>
      <c r="O146" t="n">
        <v>3</v>
      </c>
      <c r="P146" s="3" t="n">
        <v>55.57</v>
      </c>
      <c r="Q146" s="4" t="n">
        <v>0.061</v>
      </c>
      <c r="R146" s="3" t="n">
        <v>156.54</v>
      </c>
      <c r="S146" s="3" t="n">
        <v>72.09999999999999</v>
      </c>
      <c r="T146" s="3" t="n">
        <v>76.04000000000001</v>
      </c>
      <c r="U146" s="4" t="n">
        <v>0.4858</v>
      </c>
      <c r="V146" s="3" t="n">
        <v>8.4</v>
      </c>
      <c r="W146" t="inlineStr">
        <is>
          <t>Credit Card</t>
        </is>
      </c>
      <c r="X146" t="inlineStr">
        <is>
          <t>High</t>
        </is>
      </c>
      <c r="Y146" t="n">
        <v>2023</v>
      </c>
      <c r="Z146" t="n">
        <v>3</v>
      </c>
      <c r="AA146" t="inlineStr">
        <is>
          <t>Mar</t>
        </is>
      </c>
      <c r="AB146" t="inlineStr">
        <is>
          <t>Saturday</t>
        </is>
      </c>
      <c r="AC146" t="n">
        <v>2</v>
      </c>
      <c r="AD146" t="inlineStr">
        <is>
          <t>Profitable</t>
        </is>
      </c>
      <c r="AE146" t="inlineStr">
        <is>
          <t>High</t>
        </is>
      </c>
      <c r="AF146" t="inlineStr">
        <is>
          <t>Small</t>
        </is>
      </c>
    </row>
    <row r="147">
      <c r="A147" t="inlineStr">
        <is>
          <t>ORD-00146</t>
        </is>
      </c>
      <c r="B147" s="2" t="n">
        <v>45215</v>
      </c>
      <c r="C147" s="2" t="n">
        <v>45219</v>
      </c>
      <c r="D147" t="inlineStr">
        <is>
          <t>CUST-00146</t>
        </is>
      </c>
      <c r="E147" t="inlineStr">
        <is>
          <t>Customer 146</t>
        </is>
      </c>
      <c r="F147" t="inlineStr">
        <is>
          <t>Corporate</t>
        </is>
      </c>
      <c r="G147" t="inlineStr">
        <is>
          <t>P1004</t>
        </is>
      </c>
      <c r="H147" t="inlineStr">
        <is>
          <t>Cove Wall Clock</t>
        </is>
      </c>
      <c r="I147" t="inlineStr">
        <is>
          <t>Office Supplies</t>
        </is>
      </c>
      <c r="J147" t="inlineStr">
        <is>
          <t>Bags</t>
        </is>
      </c>
      <c r="K147" t="inlineStr">
        <is>
          <t>East</t>
        </is>
      </c>
      <c r="L147" t="inlineStr">
        <is>
          <t>Virginia</t>
        </is>
      </c>
      <c r="M147" t="inlineStr">
        <is>
          <t>Philadelphia</t>
        </is>
      </c>
      <c r="N147" t="inlineStr">
        <is>
          <t>Ethan Brooks</t>
        </is>
      </c>
      <c r="O147" t="n">
        <v>3</v>
      </c>
      <c r="P147" s="3" t="n">
        <v>679.64</v>
      </c>
      <c r="Q147" s="4" t="n">
        <v>0.042</v>
      </c>
      <c r="R147" s="3" t="n">
        <v>1953.29</v>
      </c>
      <c r="S147" s="3" t="n">
        <v>1235.37</v>
      </c>
      <c r="T147" s="3" t="n">
        <v>708.52</v>
      </c>
      <c r="U147" s="4" t="n">
        <v>0.3627</v>
      </c>
      <c r="V147" s="3" t="n">
        <v>9.4</v>
      </c>
      <c r="W147" t="inlineStr">
        <is>
          <t>Cash on Delivery</t>
        </is>
      </c>
      <c r="X147" t="inlineStr">
        <is>
          <t>High</t>
        </is>
      </c>
      <c r="Y147" t="n">
        <v>2023</v>
      </c>
      <c r="Z147" t="n">
        <v>10</v>
      </c>
      <c r="AA147" t="inlineStr">
        <is>
          <t>Oct</t>
        </is>
      </c>
      <c r="AB147" t="inlineStr">
        <is>
          <t>Monday</t>
        </is>
      </c>
      <c r="AC147" t="n">
        <v>4</v>
      </c>
      <c r="AD147" t="inlineStr">
        <is>
          <t>Profitable</t>
        </is>
      </c>
      <c r="AE147" t="inlineStr">
        <is>
          <t>Medium</t>
        </is>
      </c>
      <c r="AF147" t="inlineStr">
        <is>
          <t>Large</t>
        </is>
      </c>
    </row>
    <row r="148">
      <c r="A148" t="inlineStr">
        <is>
          <t>ORD-00147</t>
        </is>
      </c>
      <c r="B148" s="2" t="n">
        <v>45482</v>
      </c>
      <c r="C148" s="2" t="n">
        <v>45485</v>
      </c>
      <c r="D148" t="inlineStr">
        <is>
          <t>CUST-00147</t>
        </is>
      </c>
      <c r="E148" t="inlineStr">
        <is>
          <t>Customer 147</t>
        </is>
      </c>
      <c r="F148" t="inlineStr">
        <is>
          <t>Home Office</t>
        </is>
      </c>
      <c r="G148" t="inlineStr">
        <is>
          <t>P1012</t>
        </is>
      </c>
      <c r="H148" t="inlineStr">
        <is>
          <t>Harbor Rug</t>
        </is>
      </c>
      <c r="I148" t="inlineStr">
        <is>
          <t>Home Decor</t>
        </is>
      </c>
      <c r="J148" t="inlineStr">
        <is>
          <t>Writing</t>
        </is>
      </c>
      <c r="K148" t="inlineStr">
        <is>
          <t>Central</t>
        </is>
      </c>
      <c r="L148" t="inlineStr">
        <is>
          <t>Illinois</t>
        </is>
      </c>
      <c r="M148" t="inlineStr">
        <is>
          <t>St. Louis</t>
        </is>
      </c>
      <c r="N148" t="inlineStr">
        <is>
          <t>Ava Patel</t>
        </is>
      </c>
      <c r="O148" t="n">
        <v>3</v>
      </c>
      <c r="P148" s="3" t="n">
        <v>137.81</v>
      </c>
      <c r="Q148" s="4" t="n">
        <v>0.054</v>
      </c>
      <c r="R148" s="3" t="n">
        <v>391.1</v>
      </c>
      <c r="S148" s="3" t="n">
        <v>200.94</v>
      </c>
      <c r="T148" s="3" t="n">
        <v>181.76</v>
      </c>
      <c r="U148" s="4" t="n">
        <v>0.4647</v>
      </c>
      <c r="V148" s="3" t="n">
        <v>8.4</v>
      </c>
      <c r="W148" t="inlineStr">
        <is>
          <t>PayPal</t>
        </is>
      </c>
      <c r="X148" t="inlineStr">
        <is>
          <t>High</t>
        </is>
      </c>
      <c r="Y148" t="n">
        <v>2024</v>
      </c>
      <c r="Z148" t="n">
        <v>7</v>
      </c>
      <c r="AA148" t="inlineStr">
        <is>
          <t>Jul</t>
        </is>
      </c>
      <c r="AB148" t="inlineStr">
        <is>
          <t>Tuesday</t>
        </is>
      </c>
      <c r="AC148" t="n">
        <v>3</v>
      </c>
      <c r="AD148" t="inlineStr">
        <is>
          <t>Profitable</t>
        </is>
      </c>
      <c r="AE148" t="inlineStr">
        <is>
          <t>High</t>
        </is>
      </c>
      <c r="AF148" t="inlineStr">
        <is>
          <t>Small</t>
        </is>
      </c>
    </row>
    <row r="149">
      <c r="A149" t="inlineStr">
        <is>
          <t>ORD-00148</t>
        </is>
      </c>
      <c r="B149" s="2" t="n">
        <v>45387</v>
      </c>
      <c r="C149" s="2" t="n">
        <v>45389</v>
      </c>
      <c r="D149" t="inlineStr">
        <is>
          <t>CUST-00148</t>
        </is>
      </c>
      <c r="E149" t="inlineStr">
        <is>
          <t>Customer 148</t>
        </is>
      </c>
      <c r="F149" t="inlineStr">
        <is>
          <t>Consumer</t>
        </is>
      </c>
      <c r="G149" t="inlineStr">
        <is>
          <t>P1015</t>
        </is>
      </c>
      <c r="H149" t="inlineStr">
        <is>
          <t>Pulse Keyboard</t>
        </is>
      </c>
      <c r="I149" t="inlineStr">
        <is>
          <t>Home Decor</t>
        </is>
      </c>
      <c r="J149" t="inlineStr">
        <is>
          <t>Peripherals</t>
        </is>
      </c>
      <c r="K149" t="inlineStr">
        <is>
          <t>West</t>
        </is>
      </c>
      <c r="L149" t="inlineStr">
        <is>
          <t>Colorado</t>
        </is>
      </c>
      <c r="M149" t="inlineStr">
        <is>
          <t>Denver</t>
        </is>
      </c>
      <c r="N149" t="inlineStr">
        <is>
          <t>James Carter</t>
        </is>
      </c>
      <c r="O149" t="n">
        <v>3</v>
      </c>
      <c r="P149" s="3" t="n">
        <v>69.34</v>
      </c>
      <c r="Q149" s="4" t="n">
        <v>0.016</v>
      </c>
      <c r="R149" s="3" t="n">
        <v>204.69</v>
      </c>
      <c r="S149" s="3" t="n">
        <v>93.90000000000001</v>
      </c>
      <c r="T149" s="3" t="n">
        <v>101.39</v>
      </c>
      <c r="U149" s="4" t="n">
        <v>0.4953</v>
      </c>
      <c r="V149" s="3" t="n">
        <v>9.4</v>
      </c>
      <c r="W149" t="inlineStr">
        <is>
          <t>Debit Card</t>
        </is>
      </c>
      <c r="X149" t="inlineStr">
        <is>
          <t>Medium</t>
        </is>
      </c>
      <c r="Y149" t="n">
        <v>2024</v>
      </c>
      <c r="Z149" t="n">
        <v>4</v>
      </c>
      <c r="AA149" t="inlineStr">
        <is>
          <t>Apr</t>
        </is>
      </c>
      <c r="AB149" t="inlineStr">
        <is>
          <t>Friday</t>
        </is>
      </c>
      <c r="AC149" t="n">
        <v>2</v>
      </c>
      <c r="AD149" t="inlineStr">
        <is>
          <t>Profitable</t>
        </is>
      </c>
      <c r="AE149" t="inlineStr">
        <is>
          <t>Low</t>
        </is>
      </c>
      <c r="AF149" t="inlineStr">
        <is>
          <t>Small</t>
        </is>
      </c>
    </row>
    <row r="150">
      <c r="A150" t="inlineStr">
        <is>
          <t>ORD-00149</t>
        </is>
      </c>
      <c r="B150" s="2" t="n">
        <v>45055</v>
      </c>
      <c r="C150" s="2" t="n">
        <v>45057</v>
      </c>
      <c r="D150" t="inlineStr">
        <is>
          <t>CUST-00149</t>
        </is>
      </c>
      <c r="E150" t="inlineStr">
        <is>
          <t>Customer 149</t>
        </is>
      </c>
      <c r="F150" t="inlineStr">
        <is>
          <t>Home Office</t>
        </is>
      </c>
      <c r="G150" t="inlineStr">
        <is>
          <t>P1010</t>
        </is>
      </c>
      <c r="H150" t="inlineStr">
        <is>
          <t>Pulse Keyboard</t>
        </is>
      </c>
      <c r="I150" t="inlineStr">
        <is>
          <t>Outdoor</t>
        </is>
      </c>
      <c r="J150" t="inlineStr">
        <is>
          <t>Plants</t>
        </is>
      </c>
      <c r="K150" t="inlineStr">
        <is>
          <t>North</t>
        </is>
      </c>
      <c r="L150" t="inlineStr">
        <is>
          <t>Ontario</t>
        </is>
      </c>
      <c r="M150" t="inlineStr">
        <is>
          <t>Calgary</t>
        </is>
      </c>
      <c r="N150" t="inlineStr">
        <is>
          <t>Ava Patel</t>
        </is>
      </c>
      <c r="O150" t="n">
        <v>4</v>
      </c>
      <c r="P150" s="3" t="n">
        <v>52.7</v>
      </c>
      <c r="Q150" s="4" t="n">
        <v>0.001</v>
      </c>
      <c r="R150" s="3" t="n">
        <v>210.59</v>
      </c>
      <c r="S150" s="3" t="n">
        <v>90.95</v>
      </c>
      <c r="T150" s="3" t="n">
        <v>110.44</v>
      </c>
      <c r="U150" s="4" t="n">
        <v>0.5244</v>
      </c>
      <c r="V150" s="3" t="n">
        <v>9.199999999999999</v>
      </c>
      <c r="W150" t="inlineStr">
        <is>
          <t>PayPal</t>
        </is>
      </c>
      <c r="X150" t="inlineStr">
        <is>
          <t>Medium</t>
        </is>
      </c>
      <c r="Y150" t="n">
        <v>2023</v>
      </c>
      <c r="Z150" t="n">
        <v>5</v>
      </c>
      <c r="AA150" t="inlineStr">
        <is>
          <t>May</t>
        </is>
      </c>
      <c r="AB150" t="inlineStr">
        <is>
          <t>Tuesday</t>
        </is>
      </c>
      <c r="AC150" t="n">
        <v>2</v>
      </c>
      <c r="AD150" t="inlineStr">
        <is>
          <t>Profitable</t>
        </is>
      </c>
      <c r="AE150" t="inlineStr">
        <is>
          <t>Low</t>
        </is>
      </c>
      <c r="AF150" t="inlineStr">
        <is>
          <t>Small</t>
        </is>
      </c>
    </row>
    <row r="151">
      <c r="A151" t="inlineStr">
        <is>
          <t>ORD-00150</t>
        </is>
      </c>
      <c r="B151" s="2" t="n">
        <v>45163</v>
      </c>
      <c r="C151" s="2" t="n">
        <v>45168</v>
      </c>
      <c r="D151" t="inlineStr">
        <is>
          <t>CUST-00150</t>
        </is>
      </c>
      <c r="E151" t="inlineStr">
        <is>
          <t>Customer 150</t>
        </is>
      </c>
      <c r="F151" t="inlineStr">
        <is>
          <t>Consumer</t>
        </is>
      </c>
      <c r="G151" t="inlineStr">
        <is>
          <t>P1018</t>
        </is>
      </c>
      <c r="H151" t="inlineStr">
        <is>
          <t>Lumen Desk Lamp</t>
        </is>
      </c>
      <c r="I151" t="inlineStr">
        <is>
          <t>Outdoor</t>
        </is>
      </c>
      <c r="J151" t="inlineStr">
        <is>
          <t>Chairs</t>
        </is>
      </c>
      <c r="K151" t="inlineStr">
        <is>
          <t>West</t>
        </is>
      </c>
      <c r="L151" t="inlineStr">
        <is>
          <t>Colorado</t>
        </is>
      </c>
      <c r="M151" t="inlineStr">
        <is>
          <t>Seattle</t>
        </is>
      </c>
      <c r="N151" t="inlineStr">
        <is>
          <t>Liam Chen</t>
        </is>
      </c>
      <c r="O151" t="n">
        <v>4</v>
      </c>
      <c r="P151" s="3" t="n">
        <v>99.45</v>
      </c>
      <c r="Q151" s="4" t="n">
        <v>0.035</v>
      </c>
      <c r="R151" s="3" t="n">
        <v>383.88</v>
      </c>
      <c r="S151" s="3" t="n">
        <v>171.77</v>
      </c>
      <c r="T151" s="3" t="n">
        <v>201.91</v>
      </c>
      <c r="U151" s="4" t="n">
        <v>0.526</v>
      </c>
      <c r="V151" s="3" t="n">
        <v>10.2</v>
      </c>
      <c r="W151" t="inlineStr">
        <is>
          <t>PayPal</t>
        </is>
      </c>
      <c r="X151" t="inlineStr">
        <is>
          <t>High</t>
        </is>
      </c>
      <c r="Y151" t="n">
        <v>2023</v>
      </c>
      <c r="Z151" t="n">
        <v>8</v>
      </c>
      <c r="AA151" t="inlineStr">
        <is>
          <t>Aug</t>
        </is>
      </c>
      <c r="AB151" t="inlineStr">
        <is>
          <t>Friday</t>
        </is>
      </c>
      <c r="AC151" t="n">
        <v>5</v>
      </c>
      <c r="AD151" t="inlineStr">
        <is>
          <t>Profitable</t>
        </is>
      </c>
      <c r="AE151" t="inlineStr">
        <is>
          <t>Medium</t>
        </is>
      </c>
      <c r="AF151" t="inlineStr">
        <is>
          <t>Small</t>
        </is>
      </c>
    </row>
    <row r="152">
      <c r="A152" t="inlineStr">
        <is>
          <t>ORD-00151</t>
        </is>
      </c>
      <c r="B152" s="2" t="n">
        <v>45696</v>
      </c>
      <c r="C152" s="2" t="n">
        <v>45699</v>
      </c>
      <c r="D152" t="inlineStr">
        <is>
          <t>CUST-00151</t>
        </is>
      </c>
      <c r="E152" t="inlineStr">
        <is>
          <t>Customer 151</t>
        </is>
      </c>
      <c r="F152" t="inlineStr">
        <is>
          <t>Home Office</t>
        </is>
      </c>
      <c r="G152" t="inlineStr">
        <is>
          <t>P1005</t>
        </is>
      </c>
      <c r="H152" t="inlineStr">
        <is>
          <t>Cove Wall Clock</t>
        </is>
      </c>
      <c r="I152" t="inlineStr">
        <is>
          <t>Home Decor</t>
        </is>
      </c>
      <c r="J152" t="inlineStr">
        <is>
          <t>Peripherals</t>
        </is>
      </c>
      <c r="K152" t="inlineStr">
        <is>
          <t>East</t>
        </is>
      </c>
      <c r="L152" t="inlineStr">
        <is>
          <t>New York</t>
        </is>
      </c>
      <c r="M152" t="inlineStr">
        <is>
          <t>Philadelphia</t>
        </is>
      </c>
      <c r="N152" t="inlineStr">
        <is>
          <t>Ava Patel</t>
        </is>
      </c>
      <c r="O152" t="n">
        <v>3</v>
      </c>
      <c r="P152" s="3" t="n">
        <v>12.19</v>
      </c>
      <c r="Q152" s="4" t="n">
        <v>0.023</v>
      </c>
      <c r="R152" s="3" t="n">
        <v>35.73</v>
      </c>
      <c r="S152" s="3" t="n">
        <v>16.86</v>
      </c>
      <c r="T152" s="3" t="n">
        <v>9.470000000000001</v>
      </c>
      <c r="U152" s="4" t="n">
        <v>0.265</v>
      </c>
      <c r="V152" s="3" t="n">
        <v>9.4</v>
      </c>
      <c r="W152" t="inlineStr">
        <is>
          <t>Credit Card</t>
        </is>
      </c>
      <c r="X152" t="inlineStr">
        <is>
          <t>Medium</t>
        </is>
      </c>
      <c r="Y152" t="n">
        <v>2025</v>
      </c>
      <c r="Z152" t="n">
        <v>2</v>
      </c>
      <c r="AA152" t="inlineStr">
        <is>
          <t>Feb</t>
        </is>
      </c>
      <c r="AB152" t="inlineStr">
        <is>
          <t>Saturday</t>
        </is>
      </c>
      <c r="AC152" t="n">
        <v>3</v>
      </c>
      <c r="AD152" t="inlineStr">
        <is>
          <t>Profitable</t>
        </is>
      </c>
      <c r="AE152" t="inlineStr">
        <is>
          <t>Medium</t>
        </is>
      </c>
      <c r="AF152" t="inlineStr">
        <is>
          <t>Small</t>
        </is>
      </c>
    </row>
    <row r="153">
      <c r="A153" t="inlineStr">
        <is>
          <t>ORD-00152</t>
        </is>
      </c>
      <c r="B153" s="2" t="n">
        <v>45009</v>
      </c>
      <c r="C153" s="2" t="n">
        <v>45014</v>
      </c>
      <c r="D153" t="inlineStr">
        <is>
          <t>CUST-00152</t>
        </is>
      </c>
      <c r="E153" t="inlineStr">
        <is>
          <t>Customer 152</t>
        </is>
      </c>
      <c r="F153" t="inlineStr">
        <is>
          <t>Consumer</t>
        </is>
      </c>
      <c r="G153" t="inlineStr">
        <is>
          <t>P1013</t>
        </is>
      </c>
      <c r="H153" t="inlineStr">
        <is>
          <t>Halo Planter</t>
        </is>
      </c>
      <c r="I153" t="inlineStr">
        <is>
          <t>Technology</t>
        </is>
      </c>
      <c r="J153" t="inlineStr">
        <is>
          <t>Storage</t>
        </is>
      </c>
      <c r="K153" t="inlineStr">
        <is>
          <t>East</t>
        </is>
      </c>
      <c r="L153" t="inlineStr">
        <is>
          <t>New York</t>
        </is>
      </c>
      <c r="M153" t="inlineStr">
        <is>
          <t>Philadelphia</t>
        </is>
      </c>
      <c r="N153" t="inlineStr">
        <is>
          <t>Ava Patel</t>
        </is>
      </c>
      <c r="O153" t="n">
        <v>1</v>
      </c>
      <c r="P153" s="3" t="n">
        <v>166.74</v>
      </c>
      <c r="Q153" s="4" t="n">
        <v>0.06900000000000001</v>
      </c>
      <c r="R153" s="3" t="n">
        <v>155.23</v>
      </c>
      <c r="S153" s="3" t="n">
        <v>96.42</v>
      </c>
      <c r="T153" s="3" t="n">
        <v>51.01</v>
      </c>
      <c r="U153" s="4" t="n">
        <v>0.3286</v>
      </c>
      <c r="V153" s="3" t="n">
        <v>7.8</v>
      </c>
      <c r="W153" t="inlineStr">
        <is>
          <t>Credit Card</t>
        </is>
      </c>
      <c r="X153" t="inlineStr">
        <is>
          <t>Critical</t>
        </is>
      </c>
      <c r="Y153" t="n">
        <v>2023</v>
      </c>
      <c r="Z153" t="n">
        <v>3</v>
      </c>
      <c r="AA153" t="inlineStr">
        <is>
          <t>Mar</t>
        </is>
      </c>
      <c r="AB153" t="inlineStr">
        <is>
          <t>Friday</t>
        </is>
      </c>
      <c r="AC153" t="n">
        <v>5</v>
      </c>
      <c r="AD153" t="inlineStr">
        <is>
          <t>Profitable</t>
        </is>
      </c>
      <c r="AE153" t="inlineStr">
        <is>
          <t>High</t>
        </is>
      </c>
      <c r="AF153" t="inlineStr">
        <is>
          <t>Small</t>
        </is>
      </c>
    </row>
    <row r="154">
      <c r="A154" t="inlineStr">
        <is>
          <t>ORD-00153</t>
        </is>
      </c>
      <c r="B154" s="2" t="n">
        <v>44977</v>
      </c>
      <c r="C154" s="2" t="n">
        <v>44981</v>
      </c>
      <c r="D154" t="inlineStr">
        <is>
          <t>CUST-00153</t>
        </is>
      </c>
      <c r="E154" t="inlineStr">
        <is>
          <t>Customer 153</t>
        </is>
      </c>
      <c r="F154" t="inlineStr">
        <is>
          <t>Home Office</t>
        </is>
      </c>
      <c r="G154" t="inlineStr">
        <is>
          <t>P1004</t>
        </is>
      </c>
      <c r="H154" t="inlineStr">
        <is>
          <t>ErgoMesh Chair</t>
        </is>
      </c>
      <c r="I154" t="inlineStr">
        <is>
          <t>Home Decor</t>
        </is>
      </c>
      <c r="J154" t="inlineStr">
        <is>
          <t>Video</t>
        </is>
      </c>
      <c r="K154" t="inlineStr">
        <is>
          <t>North</t>
        </is>
      </c>
      <c r="L154" t="inlineStr">
        <is>
          <t>Alberta</t>
        </is>
      </c>
      <c r="M154" t="inlineStr">
        <is>
          <t>Calgary</t>
        </is>
      </c>
      <c r="N154" t="inlineStr">
        <is>
          <t>Sophia Singh</t>
        </is>
      </c>
      <c r="O154" t="n">
        <v>4</v>
      </c>
      <c r="P154" s="3" t="n">
        <v>601.5700000000001</v>
      </c>
      <c r="Q154" s="4" t="n">
        <v>0.005</v>
      </c>
      <c r="R154" s="3" t="n">
        <v>2394.25</v>
      </c>
      <c r="S154" s="3" t="n">
        <v>1515.08</v>
      </c>
      <c r="T154" s="3" t="n">
        <v>869.97</v>
      </c>
      <c r="U154" s="4" t="n">
        <v>0.3634</v>
      </c>
      <c r="V154" s="3" t="n">
        <v>9.199999999999999</v>
      </c>
      <c r="W154" t="inlineStr">
        <is>
          <t>Credit Card</t>
        </is>
      </c>
      <c r="X154" t="inlineStr">
        <is>
          <t>Medium</t>
        </is>
      </c>
      <c r="Y154" t="n">
        <v>2023</v>
      </c>
      <c r="Z154" t="n">
        <v>2</v>
      </c>
      <c r="AA154" t="inlineStr">
        <is>
          <t>Feb</t>
        </is>
      </c>
      <c r="AB154" t="inlineStr">
        <is>
          <t>Monday</t>
        </is>
      </c>
      <c r="AC154" t="n">
        <v>4</v>
      </c>
      <c r="AD154" t="inlineStr">
        <is>
          <t>Profitable</t>
        </is>
      </c>
      <c r="AE154" t="inlineStr">
        <is>
          <t>Low</t>
        </is>
      </c>
      <c r="AF154" t="inlineStr">
        <is>
          <t>Large</t>
        </is>
      </c>
    </row>
    <row r="155">
      <c r="A155" t="inlineStr">
        <is>
          <t>ORD-00154</t>
        </is>
      </c>
      <c r="B155" s="2" t="n">
        <v>45612</v>
      </c>
      <c r="C155" s="2" t="n">
        <v>45619</v>
      </c>
      <c r="D155" t="inlineStr">
        <is>
          <t>CUST-00154</t>
        </is>
      </c>
      <c r="E155" t="inlineStr">
        <is>
          <t>Customer 154</t>
        </is>
      </c>
      <c r="F155" t="inlineStr">
        <is>
          <t>Home Office</t>
        </is>
      </c>
      <c r="G155" t="inlineStr">
        <is>
          <t>P1009</t>
        </is>
      </c>
      <c r="H155" t="inlineStr">
        <is>
          <t>Echo Web Camera</t>
        </is>
      </c>
      <c r="I155" t="inlineStr">
        <is>
          <t>Home Decor</t>
        </is>
      </c>
      <c r="J155" t="inlineStr">
        <is>
          <t>Accessories</t>
        </is>
      </c>
      <c r="K155" t="inlineStr">
        <is>
          <t>East</t>
        </is>
      </c>
      <c r="L155" t="inlineStr">
        <is>
          <t>Virginia</t>
        </is>
      </c>
      <c r="M155" t="inlineStr">
        <is>
          <t>New York</t>
        </is>
      </c>
      <c r="N155" t="inlineStr">
        <is>
          <t>Ethan Brooks</t>
        </is>
      </c>
      <c r="O155" t="n">
        <v>2</v>
      </c>
      <c r="P155" s="3" t="n">
        <v>100.32</v>
      </c>
      <c r="Q155" s="4" t="n">
        <v>0.007</v>
      </c>
      <c r="R155" s="3" t="n">
        <v>199.24</v>
      </c>
      <c r="S155" s="3" t="n">
        <v>100.32</v>
      </c>
      <c r="T155" s="3" t="n">
        <v>90.31999999999999</v>
      </c>
      <c r="U155" s="4" t="n">
        <v>0.4533</v>
      </c>
      <c r="V155" s="3" t="n">
        <v>8.6</v>
      </c>
      <c r="W155" t="inlineStr">
        <is>
          <t>Cash on Delivery</t>
        </is>
      </c>
      <c r="X155" t="inlineStr">
        <is>
          <t>Medium</t>
        </is>
      </c>
      <c r="Y155" t="n">
        <v>2024</v>
      </c>
      <c r="Z155" t="n">
        <v>11</v>
      </c>
      <c r="AA155" t="inlineStr">
        <is>
          <t>Nov</t>
        </is>
      </c>
      <c r="AB155" t="inlineStr">
        <is>
          <t>Saturday</t>
        </is>
      </c>
      <c r="AC155" t="n">
        <v>7</v>
      </c>
      <c r="AD155" t="inlineStr">
        <is>
          <t>Profitable</t>
        </is>
      </c>
      <c r="AE155" t="inlineStr">
        <is>
          <t>Low</t>
        </is>
      </c>
      <c r="AF155" t="inlineStr">
        <is>
          <t>Small</t>
        </is>
      </c>
    </row>
    <row r="156">
      <c r="A156" t="inlineStr">
        <is>
          <t>ORD-00155</t>
        </is>
      </c>
      <c r="B156" s="2" t="n">
        <v>45950</v>
      </c>
      <c r="C156" s="2" t="n">
        <v>45955</v>
      </c>
      <c r="D156" t="inlineStr">
        <is>
          <t>CUST-00155</t>
        </is>
      </c>
      <c r="E156" t="inlineStr">
        <is>
          <t>Customer 155</t>
        </is>
      </c>
      <c r="F156" t="inlineStr">
        <is>
          <t>Consumer</t>
        </is>
      </c>
      <c r="G156" t="inlineStr">
        <is>
          <t>P1018</t>
        </is>
      </c>
      <c r="H156" t="inlineStr">
        <is>
          <t>Cove Wall Clock</t>
        </is>
      </c>
      <c r="I156" t="inlineStr">
        <is>
          <t>Technology</t>
        </is>
      </c>
      <c r="J156" t="inlineStr">
        <is>
          <t>Plants</t>
        </is>
      </c>
      <c r="K156" t="inlineStr">
        <is>
          <t>South</t>
        </is>
      </c>
      <c r="L156" t="inlineStr">
        <is>
          <t>Florida</t>
        </is>
      </c>
      <c r="M156" t="inlineStr">
        <is>
          <t>Dallas</t>
        </is>
      </c>
      <c r="N156" t="inlineStr">
        <is>
          <t>Ava Patel</t>
        </is>
      </c>
      <c r="O156" t="n">
        <v>3</v>
      </c>
      <c r="P156" s="3" t="n">
        <v>97.65000000000001</v>
      </c>
      <c r="Q156" s="4" t="n">
        <v>0.056</v>
      </c>
      <c r="R156" s="3" t="n">
        <v>276.54</v>
      </c>
      <c r="S156" s="3" t="n">
        <v>128.14</v>
      </c>
      <c r="T156" s="3" t="n">
        <v>140</v>
      </c>
      <c r="U156" s="4" t="n">
        <v>0.5063</v>
      </c>
      <c r="V156" s="3" t="n">
        <v>8.4</v>
      </c>
      <c r="W156" t="inlineStr">
        <is>
          <t>Bank Transfer</t>
        </is>
      </c>
      <c r="X156" t="inlineStr">
        <is>
          <t>High</t>
        </is>
      </c>
      <c r="Y156" t="n">
        <v>2025</v>
      </c>
      <c r="Z156" t="n">
        <v>10</v>
      </c>
      <c r="AA156" t="inlineStr">
        <is>
          <t>Oct</t>
        </is>
      </c>
      <c r="AB156" t="inlineStr">
        <is>
          <t>Monday</t>
        </is>
      </c>
      <c r="AC156" t="n">
        <v>5</v>
      </c>
      <c r="AD156" t="inlineStr">
        <is>
          <t>Profitable</t>
        </is>
      </c>
      <c r="AE156" t="inlineStr">
        <is>
          <t>High</t>
        </is>
      </c>
      <c r="AF156" t="inlineStr">
        <is>
          <t>Small</t>
        </is>
      </c>
    </row>
    <row r="157">
      <c r="A157" t="inlineStr">
        <is>
          <t>ORD-00156</t>
        </is>
      </c>
      <c r="B157" s="2" t="n">
        <v>45217</v>
      </c>
      <c r="C157" s="2" t="n">
        <v>45218</v>
      </c>
      <c r="D157" t="inlineStr">
        <is>
          <t>CUST-00156</t>
        </is>
      </c>
      <c r="E157" t="inlineStr">
        <is>
          <t>Customer 156</t>
        </is>
      </c>
      <c r="F157" t="inlineStr">
        <is>
          <t>Home Office</t>
        </is>
      </c>
      <c r="G157" t="inlineStr">
        <is>
          <t>P1003</t>
        </is>
      </c>
      <c r="H157" t="inlineStr">
        <is>
          <t>Tide Cooler</t>
        </is>
      </c>
      <c r="I157" t="inlineStr">
        <is>
          <t>Furniture</t>
        </is>
      </c>
      <c r="J157" t="inlineStr">
        <is>
          <t>Paper</t>
        </is>
      </c>
      <c r="K157" t="inlineStr">
        <is>
          <t>South</t>
        </is>
      </c>
      <c r="L157" t="inlineStr">
        <is>
          <t>Texas</t>
        </is>
      </c>
      <c r="M157" t="inlineStr">
        <is>
          <t>Atlanta</t>
        </is>
      </c>
      <c r="N157" t="inlineStr">
        <is>
          <t>Mia Rodriguez</t>
        </is>
      </c>
      <c r="O157" t="n">
        <v>2</v>
      </c>
      <c r="P157" s="3" t="n">
        <v>161.15</v>
      </c>
      <c r="Q157" s="4" t="n">
        <v>0.052</v>
      </c>
      <c r="R157" s="3" t="n">
        <v>305.54</v>
      </c>
      <c r="S157" s="3" t="n">
        <v>167.31</v>
      </c>
      <c r="T157" s="3" t="n">
        <v>130.63</v>
      </c>
      <c r="U157" s="4" t="n">
        <v>0.4275</v>
      </c>
      <c r="V157" s="3" t="n">
        <v>7.6</v>
      </c>
      <c r="W157" t="inlineStr">
        <is>
          <t>Credit Card</t>
        </is>
      </c>
      <c r="X157" t="inlineStr">
        <is>
          <t>High</t>
        </is>
      </c>
      <c r="Y157" t="n">
        <v>2023</v>
      </c>
      <c r="Z157" t="n">
        <v>10</v>
      </c>
      <c r="AA157" t="inlineStr">
        <is>
          <t>Oct</t>
        </is>
      </c>
      <c r="AB157" t="inlineStr">
        <is>
          <t>Wednesday</t>
        </is>
      </c>
      <c r="AC157" t="n">
        <v>1</v>
      </c>
      <c r="AD157" t="inlineStr">
        <is>
          <t>Profitable</t>
        </is>
      </c>
      <c r="AE157" t="inlineStr">
        <is>
          <t>High</t>
        </is>
      </c>
      <c r="AF157" t="inlineStr">
        <is>
          <t>Small</t>
        </is>
      </c>
    </row>
    <row r="158">
      <c r="A158" t="inlineStr">
        <is>
          <t>ORD-00157</t>
        </is>
      </c>
      <c r="B158" s="2" t="n">
        <v>45934</v>
      </c>
      <c r="C158" s="2" t="n">
        <v>45939</v>
      </c>
      <c r="D158" t="inlineStr">
        <is>
          <t>CUST-00157</t>
        </is>
      </c>
      <c r="E158" t="inlineStr">
        <is>
          <t>Customer 157</t>
        </is>
      </c>
      <c r="F158" t="inlineStr">
        <is>
          <t>Consumer</t>
        </is>
      </c>
      <c r="G158" t="inlineStr">
        <is>
          <t>P1011</t>
        </is>
      </c>
      <c r="H158" t="inlineStr">
        <is>
          <t>Nimbus Monitor Arm</t>
        </is>
      </c>
      <c r="I158" t="inlineStr">
        <is>
          <t>Office Supplies</t>
        </is>
      </c>
      <c r="J158" t="inlineStr">
        <is>
          <t>Paper</t>
        </is>
      </c>
      <c r="K158" t="inlineStr">
        <is>
          <t>West</t>
        </is>
      </c>
      <c r="L158" t="inlineStr">
        <is>
          <t>Oregon</t>
        </is>
      </c>
      <c r="M158" t="inlineStr">
        <is>
          <t>San Francisco</t>
        </is>
      </c>
      <c r="N158" t="inlineStr">
        <is>
          <t>James Carter</t>
        </is>
      </c>
      <c r="O158" t="n">
        <v>2</v>
      </c>
      <c r="P158" s="3" t="n">
        <v>99.39</v>
      </c>
      <c r="Q158" s="4" t="n">
        <v>0.034</v>
      </c>
      <c r="R158" s="3" t="n">
        <v>192.02</v>
      </c>
      <c r="S158" s="3" t="n">
        <v>95.59</v>
      </c>
      <c r="T158" s="3" t="n">
        <v>87.83</v>
      </c>
      <c r="U158" s="4" t="n">
        <v>0.4574</v>
      </c>
      <c r="V158" s="3" t="n">
        <v>8.6</v>
      </c>
      <c r="W158" t="inlineStr">
        <is>
          <t>PayPal</t>
        </is>
      </c>
      <c r="X158" t="inlineStr">
        <is>
          <t>Medium</t>
        </is>
      </c>
      <c r="Y158" t="n">
        <v>2025</v>
      </c>
      <c r="Z158" t="n">
        <v>10</v>
      </c>
      <c r="AA158" t="inlineStr">
        <is>
          <t>Oct</t>
        </is>
      </c>
      <c r="AB158" t="inlineStr">
        <is>
          <t>Saturday</t>
        </is>
      </c>
      <c r="AC158" t="n">
        <v>5</v>
      </c>
      <c r="AD158" t="inlineStr">
        <is>
          <t>Profitable</t>
        </is>
      </c>
      <c r="AE158" t="inlineStr">
        <is>
          <t>Medium</t>
        </is>
      </c>
      <c r="AF158" t="inlineStr">
        <is>
          <t>Small</t>
        </is>
      </c>
    </row>
    <row r="159">
      <c r="A159" t="inlineStr">
        <is>
          <t>ORD-00158</t>
        </is>
      </c>
      <c r="B159" s="2" t="n">
        <v>45916</v>
      </c>
      <c r="C159" s="2" t="n">
        <v>45923</v>
      </c>
      <c r="D159" t="inlineStr">
        <is>
          <t>CUST-00158</t>
        </is>
      </c>
      <c r="E159" t="inlineStr">
        <is>
          <t>Customer 158</t>
        </is>
      </c>
      <c r="F159" t="inlineStr">
        <is>
          <t>Consumer</t>
        </is>
      </c>
      <c r="G159" t="inlineStr">
        <is>
          <t>P1004</t>
        </is>
      </c>
      <c r="H159" t="inlineStr">
        <is>
          <t>Echo Web Camera</t>
        </is>
      </c>
      <c r="I159" t="inlineStr">
        <is>
          <t>Office Supplies</t>
        </is>
      </c>
      <c r="J159" t="inlineStr">
        <is>
          <t>Furniture</t>
        </is>
      </c>
      <c r="K159" t="inlineStr">
        <is>
          <t>West</t>
        </is>
      </c>
      <c r="L159" t="inlineStr">
        <is>
          <t>California</t>
        </is>
      </c>
      <c r="M159" t="inlineStr">
        <is>
          <t>Los Angeles</t>
        </is>
      </c>
      <c r="N159" t="inlineStr">
        <is>
          <t>James Carter</t>
        </is>
      </c>
      <c r="O159" t="n">
        <v>1</v>
      </c>
      <c r="P159" s="3" t="n">
        <v>612.0599999999999</v>
      </c>
      <c r="Q159" s="4" t="n">
        <v>0.019</v>
      </c>
      <c r="R159" s="3" t="n">
        <v>600.4299999999999</v>
      </c>
      <c r="S159" s="3" t="n">
        <v>384.3</v>
      </c>
      <c r="T159" s="3" t="n">
        <v>208.33</v>
      </c>
      <c r="U159" s="4" t="n">
        <v>0.347</v>
      </c>
      <c r="V159" s="3" t="n">
        <v>7.8</v>
      </c>
      <c r="W159" t="inlineStr">
        <is>
          <t>Cash on Delivery</t>
        </is>
      </c>
      <c r="X159" t="inlineStr">
        <is>
          <t>Medium</t>
        </is>
      </c>
      <c r="Y159" t="n">
        <v>2025</v>
      </c>
      <c r="Z159" t="n">
        <v>9</v>
      </c>
      <c r="AA159" t="inlineStr">
        <is>
          <t>Sep</t>
        </is>
      </c>
      <c r="AB159" t="inlineStr">
        <is>
          <t>Tuesday</t>
        </is>
      </c>
      <c r="AC159" t="n">
        <v>7</v>
      </c>
      <c r="AD159" t="inlineStr">
        <is>
          <t>Profitable</t>
        </is>
      </c>
      <c r="AE159" t="inlineStr">
        <is>
          <t>Low</t>
        </is>
      </c>
      <c r="AF159" t="inlineStr">
        <is>
          <t>Medium</t>
        </is>
      </c>
    </row>
    <row r="160">
      <c r="A160" t="inlineStr">
        <is>
          <t>ORD-00159</t>
        </is>
      </c>
      <c r="B160" s="2" t="n">
        <v>45111</v>
      </c>
      <c r="C160" s="2" t="n">
        <v>45112</v>
      </c>
      <c r="D160" t="inlineStr">
        <is>
          <t>CUST-00159</t>
        </is>
      </c>
      <c r="E160" t="inlineStr">
        <is>
          <t>Customer 159</t>
        </is>
      </c>
      <c r="F160" t="inlineStr">
        <is>
          <t>Consumer</t>
        </is>
      </c>
      <c r="G160" t="inlineStr">
        <is>
          <t>P1009</t>
        </is>
      </c>
      <c r="H160" t="inlineStr">
        <is>
          <t>FlexNote Notebook</t>
        </is>
      </c>
      <c r="I160" t="inlineStr">
        <is>
          <t>Outdoor</t>
        </is>
      </c>
      <c r="J160" t="inlineStr">
        <is>
          <t>Lighting</t>
        </is>
      </c>
      <c r="K160" t="inlineStr">
        <is>
          <t>West</t>
        </is>
      </c>
      <c r="L160" t="inlineStr">
        <is>
          <t>California</t>
        </is>
      </c>
      <c r="M160" t="inlineStr">
        <is>
          <t>Denver</t>
        </is>
      </c>
      <c r="N160" t="inlineStr">
        <is>
          <t>James Carter</t>
        </is>
      </c>
      <c r="O160" t="n">
        <v>2</v>
      </c>
      <c r="P160" s="3" t="n">
        <v>96.18000000000001</v>
      </c>
      <c r="Q160" s="4" t="n">
        <v>0.022</v>
      </c>
      <c r="R160" s="3" t="n">
        <v>188.13</v>
      </c>
      <c r="S160" s="3" t="n">
        <v>100.17</v>
      </c>
      <c r="T160" s="3" t="n">
        <v>79.36</v>
      </c>
      <c r="U160" s="4" t="n">
        <v>0.4218</v>
      </c>
      <c r="V160" s="3" t="n">
        <v>8.6</v>
      </c>
      <c r="W160" t="inlineStr">
        <is>
          <t>Cash on Delivery</t>
        </is>
      </c>
      <c r="X160" t="inlineStr">
        <is>
          <t>Medium</t>
        </is>
      </c>
      <c r="Y160" t="n">
        <v>2023</v>
      </c>
      <c r="Z160" t="n">
        <v>7</v>
      </c>
      <c r="AA160" t="inlineStr">
        <is>
          <t>Jul</t>
        </is>
      </c>
      <c r="AB160" t="inlineStr">
        <is>
          <t>Tuesday</t>
        </is>
      </c>
      <c r="AC160" t="n">
        <v>1</v>
      </c>
      <c r="AD160" t="inlineStr">
        <is>
          <t>Profitable</t>
        </is>
      </c>
      <c r="AE160" t="inlineStr">
        <is>
          <t>Medium</t>
        </is>
      </c>
      <c r="AF160" t="inlineStr">
        <is>
          <t>Small</t>
        </is>
      </c>
    </row>
    <row r="161">
      <c r="A161" t="inlineStr">
        <is>
          <t>ORD-00160</t>
        </is>
      </c>
      <c r="B161" s="2" t="n">
        <v>45906</v>
      </c>
      <c r="C161" s="2" t="n">
        <v>45908</v>
      </c>
      <c r="D161" t="inlineStr">
        <is>
          <t>CUST-00160</t>
        </is>
      </c>
      <c r="E161" t="inlineStr">
        <is>
          <t>Customer 160</t>
        </is>
      </c>
      <c r="F161" t="inlineStr">
        <is>
          <t>Home Office</t>
        </is>
      </c>
      <c r="G161" t="inlineStr">
        <is>
          <t>P1012</t>
        </is>
      </c>
      <c r="H161" t="inlineStr">
        <is>
          <t>Nimbus Monitor Arm</t>
        </is>
      </c>
      <c r="I161" t="inlineStr">
        <is>
          <t>Home Decor</t>
        </is>
      </c>
      <c r="J161" t="inlineStr">
        <is>
          <t>Chairs</t>
        </is>
      </c>
      <c r="K161" t="inlineStr">
        <is>
          <t>East</t>
        </is>
      </c>
      <c r="L161" t="inlineStr">
        <is>
          <t>New Jersey</t>
        </is>
      </c>
      <c r="M161" t="inlineStr">
        <is>
          <t>Boston</t>
        </is>
      </c>
      <c r="N161" t="inlineStr">
        <is>
          <t>Sophia Singh</t>
        </is>
      </c>
      <c r="O161" t="n">
        <v>3</v>
      </c>
      <c r="P161" s="3" t="n">
        <v>135.18</v>
      </c>
      <c r="Q161" s="4" t="n">
        <v>0.02</v>
      </c>
      <c r="R161" s="3" t="n">
        <v>397.43</v>
      </c>
      <c r="S161" s="3" t="n">
        <v>201.82</v>
      </c>
      <c r="T161" s="3" t="n">
        <v>186.21</v>
      </c>
      <c r="U161" s="4" t="n">
        <v>0.4685</v>
      </c>
      <c r="V161" s="3" t="n">
        <v>9.4</v>
      </c>
      <c r="W161" t="inlineStr">
        <is>
          <t>PayPal</t>
        </is>
      </c>
      <c r="X161" t="inlineStr">
        <is>
          <t>Medium</t>
        </is>
      </c>
      <c r="Y161" t="n">
        <v>2025</v>
      </c>
      <c r="Z161" t="n">
        <v>9</v>
      </c>
      <c r="AA161" t="inlineStr">
        <is>
          <t>Sep</t>
        </is>
      </c>
      <c r="AB161" t="inlineStr">
        <is>
          <t>Saturday</t>
        </is>
      </c>
      <c r="AC161" t="n">
        <v>2</v>
      </c>
      <c r="AD161" t="inlineStr">
        <is>
          <t>Profitable</t>
        </is>
      </c>
      <c r="AE161" t="inlineStr">
        <is>
          <t>Medium</t>
        </is>
      </c>
      <c r="AF161" t="inlineStr">
        <is>
          <t>Small</t>
        </is>
      </c>
    </row>
    <row r="162">
      <c r="A162" t="inlineStr">
        <is>
          <t>ORD-00161</t>
        </is>
      </c>
      <c r="B162" s="2" t="n">
        <v>45294</v>
      </c>
      <c r="C162" s="2" t="n">
        <v>45298</v>
      </c>
      <c r="D162" t="inlineStr">
        <is>
          <t>CUST-00161</t>
        </is>
      </c>
      <c r="E162" t="inlineStr">
        <is>
          <t>Customer 161</t>
        </is>
      </c>
      <c r="F162" t="inlineStr">
        <is>
          <t>Consumer</t>
        </is>
      </c>
      <c r="G162" t="inlineStr">
        <is>
          <t>P1010</t>
        </is>
      </c>
      <c r="H162" t="inlineStr">
        <is>
          <t>SmartInk Pen Set</t>
        </is>
      </c>
      <c r="I162" t="inlineStr">
        <is>
          <t>Home Decor</t>
        </is>
      </c>
      <c r="J162" t="inlineStr">
        <is>
          <t>Coolers</t>
        </is>
      </c>
      <c r="K162" t="inlineStr">
        <is>
          <t>Central</t>
        </is>
      </c>
      <c r="L162" t="inlineStr">
        <is>
          <t>Kansas</t>
        </is>
      </c>
      <c r="M162" t="inlineStr">
        <is>
          <t>Minneapolis</t>
        </is>
      </c>
      <c r="N162" t="inlineStr">
        <is>
          <t>Sophia Singh</t>
        </is>
      </c>
      <c r="O162" t="n">
        <v>2</v>
      </c>
      <c r="P162" s="3" t="n">
        <v>52.82</v>
      </c>
      <c r="Q162" s="4" t="n">
        <v>0.054</v>
      </c>
      <c r="R162" s="3" t="n">
        <v>99.94</v>
      </c>
      <c r="S162" s="3" t="n">
        <v>46.22</v>
      </c>
      <c r="T162" s="3" t="n">
        <v>46.12</v>
      </c>
      <c r="U162" s="4" t="n">
        <v>0.4615</v>
      </c>
      <c r="V162" s="3" t="n">
        <v>7.6</v>
      </c>
      <c r="W162" t="inlineStr">
        <is>
          <t>Bank Transfer</t>
        </is>
      </c>
      <c r="X162" t="inlineStr">
        <is>
          <t>High</t>
        </is>
      </c>
      <c r="Y162" t="n">
        <v>2024</v>
      </c>
      <c r="Z162" t="n">
        <v>1</v>
      </c>
      <c r="AA162" t="inlineStr">
        <is>
          <t>Jan</t>
        </is>
      </c>
      <c r="AB162" t="inlineStr">
        <is>
          <t>Wednesday</t>
        </is>
      </c>
      <c r="AC162" t="n">
        <v>4</v>
      </c>
      <c r="AD162" t="inlineStr">
        <is>
          <t>Profitable</t>
        </is>
      </c>
      <c r="AE162" t="inlineStr">
        <is>
          <t>High</t>
        </is>
      </c>
      <c r="AF162" t="inlineStr">
        <is>
          <t>Small</t>
        </is>
      </c>
    </row>
    <row r="163">
      <c r="A163" t="inlineStr">
        <is>
          <t>ORD-00162</t>
        </is>
      </c>
      <c r="B163" s="2" t="n">
        <v>45553</v>
      </c>
      <c r="C163" s="2" t="n">
        <v>45560</v>
      </c>
      <c r="D163" t="inlineStr">
        <is>
          <t>CUST-00162</t>
        </is>
      </c>
      <c r="E163" t="inlineStr">
        <is>
          <t>Customer 162</t>
        </is>
      </c>
      <c r="F163" t="inlineStr">
        <is>
          <t>Corporate</t>
        </is>
      </c>
      <c r="G163" t="inlineStr">
        <is>
          <t>P1010</t>
        </is>
      </c>
      <c r="H163" t="inlineStr">
        <is>
          <t>Atlas Throw Pillow</t>
        </is>
      </c>
      <c r="I163" t="inlineStr">
        <is>
          <t>Outdoor</t>
        </is>
      </c>
      <c r="J163" t="inlineStr">
        <is>
          <t>Accessories</t>
        </is>
      </c>
      <c r="K163" t="inlineStr">
        <is>
          <t>West</t>
        </is>
      </c>
      <c r="L163" t="inlineStr">
        <is>
          <t>Colorado</t>
        </is>
      </c>
      <c r="M163" t="inlineStr">
        <is>
          <t>Seattle</t>
        </is>
      </c>
      <c r="N163" t="inlineStr">
        <is>
          <t>James Carter</t>
        </is>
      </c>
      <c r="O163" t="n">
        <v>2</v>
      </c>
      <c r="P163" s="3" t="n">
        <v>58.7</v>
      </c>
      <c r="Q163" s="4" t="n">
        <v>0.031</v>
      </c>
      <c r="R163" s="3" t="n">
        <v>113.76</v>
      </c>
      <c r="S163" s="3" t="n">
        <v>56.1</v>
      </c>
      <c r="T163" s="3" t="n">
        <v>49.06</v>
      </c>
      <c r="U163" s="4" t="n">
        <v>0.4313</v>
      </c>
      <c r="V163" s="3" t="n">
        <v>8.6</v>
      </c>
      <c r="W163" t="inlineStr">
        <is>
          <t>Debit Card</t>
        </is>
      </c>
      <c r="X163" t="inlineStr">
        <is>
          <t>Medium</t>
        </is>
      </c>
      <c r="Y163" t="n">
        <v>2024</v>
      </c>
      <c r="Z163" t="n">
        <v>9</v>
      </c>
      <c r="AA163" t="inlineStr">
        <is>
          <t>Sep</t>
        </is>
      </c>
      <c r="AB163" t="inlineStr">
        <is>
          <t>Wednesday</t>
        </is>
      </c>
      <c r="AC163" t="n">
        <v>7</v>
      </c>
      <c r="AD163" t="inlineStr">
        <is>
          <t>Profitable</t>
        </is>
      </c>
      <c r="AE163" t="inlineStr">
        <is>
          <t>Medium</t>
        </is>
      </c>
      <c r="AF163" t="inlineStr">
        <is>
          <t>Small</t>
        </is>
      </c>
    </row>
    <row r="164">
      <c r="A164" t="inlineStr">
        <is>
          <t>ORD-00163</t>
        </is>
      </c>
      <c r="B164" s="2" t="n">
        <v>45611</v>
      </c>
      <c r="C164" s="2" t="n">
        <v>45617</v>
      </c>
      <c r="D164" t="inlineStr">
        <is>
          <t>CUST-00163</t>
        </is>
      </c>
      <c r="E164" t="inlineStr">
        <is>
          <t>Customer 163</t>
        </is>
      </c>
      <c r="F164" t="inlineStr">
        <is>
          <t>Corporate</t>
        </is>
      </c>
      <c r="G164" t="inlineStr">
        <is>
          <t>P1009</t>
        </is>
      </c>
      <c r="H164" t="inlineStr">
        <is>
          <t>Trail Tote</t>
        </is>
      </c>
      <c r="I164" t="inlineStr">
        <is>
          <t>Home Decor</t>
        </is>
      </c>
      <c r="J164" t="inlineStr">
        <is>
          <t>Paper</t>
        </is>
      </c>
      <c r="K164" t="inlineStr">
        <is>
          <t>East</t>
        </is>
      </c>
      <c r="L164" t="inlineStr">
        <is>
          <t>New York</t>
        </is>
      </c>
      <c r="M164" t="inlineStr">
        <is>
          <t>Washington</t>
        </is>
      </c>
      <c r="N164" t="inlineStr">
        <is>
          <t>James Carter</t>
        </is>
      </c>
      <c r="O164" t="n">
        <v>6</v>
      </c>
      <c r="P164" s="3" t="n">
        <v>96.47</v>
      </c>
      <c r="Q164" s="4" t="n">
        <v>0.033</v>
      </c>
      <c r="R164" s="3" t="n">
        <v>559.72</v>
      </c>
      <c r="S164" s="3" t="n">
        <v>272.12</v>
      </c>
      <c r="T164" s="3" t="n">
        <v>275.8</v>
      </c>
      <c r="U164" s="4" t="n">
        <v>0.4927</v>
      </c>
      <c r="V164" s="3" t="n">
        <v>11.8</v>
      </c>
      <c r="W164" t="inlineStr">
        <is>
          <t>Credit Card</t>
        </is>
      </c>
      <c r="X164" t="inlineStr">
        <is>
          <t>Medium</t>
        </is>
      </c>
      <c r="Y164" t="n">
        <v>2024</v>
      </c>
      <c r="Z164" t="n">
        <v>11</v>
      </c>
      <c r="AA164" t="inlineStr">
        <is>
          <t>Nov</t>
        </is>
      </c>
      <c r="AB164" t="inlineStr">
        <is>
          <t>Friday</t>
        </is>
      </c>
      <c r="AC164" t="n">
        <v>6</v>
      </c>
      <c r="AD164" t="inlineStr">
        <is>
          <t>Profitable</t>
        </is>
      </c>
      <c r="AE164" t="inlineStr">
        <is>
          <t>Medium</t>
        </is>
      </c>
      <c r="AF164" t="inlineStr">
        <is>
          <t>Medium</t>
        </is>
      </c>
    </row>
    <row r="165">
      <c r="A165" t="inlineStr">
        <is>
          <t>ORD-00164</t>
        </is>
      </c>
      <c r="B165" s="2" t="n">
        <v>45481</v>
      </c>
      <c r="C165" s="2" t="n">
        <v>45482</v>
      </c>
      <c r="D165" t="inlineStr">
        <is>
          <t>CUST-00164</t>
        </is>
      </c>
      <c r="E165" t="inlineStr">
        <is>
          <t>Customer 164</t>
        </is>
      </c>
      <c r="F165" t="inlineStr">
        <is>
          <t>Home Office</t>
        </is>
      </c>
      <c r="G165" t="inlineStr">
        <is>
          <t>P1010</t>
        </is>
      </c>
      <c r="H165" t="inlineStr">
        <is>
          <t>Summit Patio Set</t>
        </is>
      </c>
      <c r="I165" t="inlineStr">
        <is>
          <t>Home Decor</t>
        </is>
      </c>
      <c r="J165" t="inlineStr">
        <is>
          <t>Bags</t>
        </is>
      </c>
      <c r="K165" t="inlineStr">
        <is>
          <t>West</t>
        </is>
      </c>
      <c r="L165" t="inlineStr">
        <is>
          <t>California</t>
        </is>
      </c>
      <c r="M165" t="inlineStr">
        <is>
          <t>Los Angeles</t>
        </is>
      </c>
      <c r="N165" t="inlineStr">
        <is>
          <t>Liam Chen</t>
        </is>
      </c>
      <c r="O165" t="n">
        <v>6</v>
      </c>
      <c r="P165" s="3" t="n">
        <v>60.27</v>
      </c>
      <c r="Q165" s="4" t="n">
        <v>0.012</v>
      </c>
      <c r="R165" s="3" t="n">
        <v>357.28</v>
      </c>
      <c r="S165" s="3" t="n">
        <v>152.15</v>
      </c>
      <c r="T165" s="3" t="n">
        <v>193.33</v>
      </c>
      <c r="U165" s="4" t="n">
        <v>0.5411</v>
      </c>
      <c r="V165" s="3" t="n">
        <v>11.8</v>
      </c>
      <c r="W165" t="inlineStr">
        <is>
          <t>Debit Card</t>
        </is>
      </c>
      <c r="X165" t="inlineStr">
        <is>
          <t>Low</t>
        </is>
      </c>
      <c r="Y165" t="n">
        <v>2024</v>
      </c>
      <c r="Z165" t="n">
        <v>7</v>
      </c>
      <c r="AA165" t="inlineStr">
        <is>
          <t>Jul</t>
        </is>
      </c>
      <c r="AB165" t="inlineStr">
        <is>
          <t>Monday</t>
        </is>
      </c>
      <c r="AC165" t="n">
        <v>1</v>
      </c>
      <c r="AD165" t="inlineStr">
        <is>
          <t>Profitable</t>
        </is>
      </c>
      <c r="AE165" t="inlineStr">
        <is>
          <t>Low</t>
        </is>
      </c>
      <c r="AF165" t="inlineStr">
        <is>
          <t>Small</t>
        </is>
      </c>
    </row>
    <row r="166">
      <c r="A166" t="inlineStr">
        <is>
          <t>ORD-00165</t>
        </is>
      </c>
      <c r="B166" s="2" t="n">
        <v>45095</v>
      </c>
      <c r="C166" s="2" t="n">
        <v>45099</v>
      </c>
      <c r="D166" t="inlineStr">
        <is>
          <t>CUST-00165</t>
        </is>
      </c>
      <c r="E166" t="inlineStr">
        <is>
          <t>Customer 165</t>
        </is>
      </c>
      <c r="F166" t="inlineStr">
        <is>
          <t>Corporate</t>
        </is>
      </c>
      <c r="G166" t="inlineStr">
        <is>
          <t>P1009</t>
        </is>
      </c>
      <c r="H166" t="inlineStr">
        <is>
          <t>CloudDrive File Box</t>
        </is>
      </c>
      <c r="I166" t="inlineStr">
        <is>
          <t>Home Decor</t>
        </is>
      </c>
      <c r="J166" t="inlineStr">
        <is>
          <t>Flooring</t>
        </is>
      </c>
      <c r="K166" t="inlineStr">
        <is>
          <t>South</t>
        </is>
      </c>
      <c r="L166" t="inlineStr">
        <is>
          <t>North Carolina</t>
        </is>
      </c>
      <c r="M166" t="inlineStr">
        <is>
          <t>Atlanta</t>
        </is>
      </c>
      <c r="N166" t="inlineStr">
        <is>
          <t>Sophia Singh</t>
        </is>
      </c>
      <c r="O166" t="n">
        <v>3</v>
      </c>
      <c r="P166" s="3" t="n">
        <v>93.15000000000001</v>
      </c>
      <c r="Q166" s="4" t="n">
        <v>0.021</v>
      </c>
      <c r="R166" s="3" t="n">
        <v>273.58</v>
      </c>
      <c r="S166" s="3" t="n">
        <v>138.66</v>
      </c>
      <c r="T166" s="3" t="n">
        <v>126.52</v>
      </c>
      <c r="U166" s="4" t="n">
        <v>0.4625</v>
      </c>
      <c r="V166" s="3" t="n">
        <v>8.4</v>
      </c>
      <c r="W166" t="inlineStr">
        <is>
          <t>Credit Card</t>
        </is>
      </c>
      <c r="X166" t="inlineStr">
        <is>
          <t>High</t>
        </is>
      </c>
      <c r="Y166" t="n">
        <v>2023</v>
      </c>
      <c r="Z166" t="n">
        <v>6</v>
      </c>
      <c r="AA166" t="inlineStr">
        <is>
          <t>Jun</t>
        </is>
      </c>
      <c r="AB166" t="inlineStr">
        <is>
          <t>Sunday</t>
        </is>
      </c>
      <c r="AC166" t="n">
        <v>4</v>
      </c>
      <c r="AD166" t="inlineStr">
        <is>
          <t>Profitable</t>
        </is>
      </c>
      <c r="AE166" t="inlineStr">
        <is>
          <t>Medium</t>
        </is>
      </c>
      <c r="AF166" t="inlineStr">
        <is>
          <t>Small</t>
        </is>
      </c>
    </row>
    <row r="167">
      <c r="A167" t="inlineStr">
        <is>
          <t>ORD-00166</t>
        </is>
      </c>
      <c r="B167" s="2" t="n">
        <v>45801</v>
      </c>
      <c r="C167" s="2" t="n">
        <v>45806</v>
      </c>
      <c r="D167" t="inlineStr">
        <is>
          <t>CUST-00166</t>
        </is>
      </c>
      <c r="E167" t="inlineStr">
        <is>
          <t>Customer 166</t>
        </is>
      </c>
      <c r="F167" t="inlineStr">
        <is>
          <t>Consumer</t>
        </is>
      </c>
      <c r="G167" t="inlineStr">
        <is>
          <t>P1001</t>
        </is>
      </c>
      <c r="H167" t="inlineStr">
        <is>
          <t>Halo Planter</t>
        </is>
      </c>
      <c r="I167" t="inlineStr">
        <is>
          <t>Technology</t>
        </is>
      </c>
      <c r="J167" t="inlineStr">
        <is>
          <t>Lighting</t>
        </is>
      </c>
      <c r="K167" t="inlineStr">
        <is>
          <t>Central</t>
        </is>
      </c>
      <c r="L167" t="inlineStr">
        <is>
          <t>Kansas</t>
        </is>
      </c>
      <c r="M167" t="inlineStr">
        <is>
          <t>Kansas City</t>
        </is>
      </c>
      <c r="N167" t="inlineStr">
        <is>
          <t>Liam Chen</t>
        </is>
      </c>
      <c r="O167" t="n">
        <v>2</v>
      </c>
      <c r="P167" s="3" t="n">
        <v>284.85</v>
      </c>
      <c r="Q167" s="4" t="n">
        <v>0.01</v>
      </c>
      <c r="R167" s="3" t="n">
        <v>564</v>
      </c>
      <c r="S167" s="3" t="n">
        <v>334.51</v>
      </c>
      <c r="T167" s="3" t="n">
        <v>221.89</v>
      </c>
      <c r="U167" s="4" t="n">
        <v>0.3934</v>
      </c>
      <c r="V167" s="3" t="n">
        <v>7.6</v>
      </c>
      <c r="W167" t="inlineStr">
        <is>
          <t>Debit Card</t>
        </is>
      </c>
      <c r="X167" t="inlineStr">
        <is>
          <t>Medium</t>
        </is>
      </c>
      <c r="Y167" t="n">
        <v>2025</v>
      </c>
      <c r="Z167" t="n">
        <v>5</v>
      </c>
      <c r="AA167" t="inlineStr">
        <is>
          <t>May</t>
        </is>
      </c>
      <c r="AB167" t="inlineStr">
        <is>
          <t>Saturday</t>
        </is>
      </c>
      <c r="AC167" t="n">
        <v>5</v>
      </c>
      <c r="AD167" t="inlineStr">
        <is>
          <t>Profitable</t>
        </is>
      </c>
      <c r="AE167" t="inlineStr">
        <is>
          <t>Low</t>
        </is>
      </c>
      <c r="AF167" t="inlineStr">
        <is>
          <t>Medium</t>
        </is>
      </c>
    </row>
    <row r="168">
      <c r="A168" t="inlineStr">
        <is>
          <t>ORD-00167</t>
        </is>
      </c>
      <c r="B168" s="2" t="n">
        <v>45558</v>
      </c>
      <c r="C168" s="2" t="n">
        <v>45564</v>
      </c>
      <c r="D168" t="inlineStr">
        <is>
          <t>CUST-00167</t>
        </is>
      </c>
      <c r="E168" t="inlineStr">
        <is>
          <t>Customer 167</t>
        </is>
      </c>
      <c r="F168" t="inlineStr">
        <is>
          <t>Consumer</t>
        </is>
      </c>
      <c r="G168" t="inlineStr">
        <is>
          <t>P1016</t>
        </is>
      </c>
      <c r="H168" t="inlineStr">
        <is>
          <t>Trail Tote</t>
        </is>
      </c>
      <c r="I168" t="inlineStr">
        <is>
          <t>Furniture</t>
        </is>
      </c>
      <c r="J168" t="inlineStr">
        <is>
          <t>Flooring</t>
        </is>
      </c>
      <c r="K168" t="inlineStr">
        <is>
          <t>East</t>
        </is>
      </c>
      <c r="L168" t="inlineStr">
        <is>
          <t>New Jersey</t>
        </is>
      </c>
      <c r="M168" t="inlineStr">
        <is>
          <t>Boston</t>
        </is>
      </c>
      <c r="N168" t="inlineStr">
        <is>
          <t>Ava Patel</t>
        </is>
      </c>
      <c r="O168" t="n">
        <v>4</v>
      </c>
      <c r="P168" s="3" t="n">
        <v>38.3</v>
      </c>
      <c r="Q168" s="4" t="n">
        <v>0.015</v>
      </c>
      <c r="R168" s="3" t="n">
        <v>150.9</v>
      </c>
      <c r="S168" s="3" t="n">
        <v>66.09999999999999</v>
      </c>
      <c r="T168" s="3" t="n">
        <v>74.59999999999999</v>
      </c>
      <c r="U168" s="4" t="n">
        <v>0.4944</v>
      </c>
      <c r="V168" s="3" t="n">
        <v>10.2</v>
      </c>
      <c r="W168" t="inlineStr">
        <is>
          <t>Credit Card</t>
        </is>
      </c>
      <c r="X168" t="inlineStr">
        <is>
          <t>Medium</t>
        </is>
      </c>
      <c r="Y168" t="n">
        <v>2024</v>
      </c>
      <c r="Z168" t="n">
        <v>9</v>
      </c>
      <c r="AA168" t="inlineStr">
        <is>
          <t>Sep</t>
        </is>
      </c>
      <c r="AB168" t="inlineStr">
        <is>
          <t>Monday</t>
        </is>
      </c>
      <c r="AC168" t="n">
        <v>6</v>
      </c>
      <c r="AD168" t="inlineStr">
        <is>
          <t>Profitable</t>
        </is>
      </c>
      <c r="AE168" t="inlineStr">
        <is>
          <t>Low</t>
        </is>
      </c>
      <c r="AF168" t="inlineStr">
        <is>
          <t>Small</t>
        </is>
      </c>
    </row>
    <row r="169">
      <c r="A169" t="inlineStr">
        <is>
          <t>ORD-00168</t>
        </is>
      </c>
      <c r="B169" s="2" t="n">
        <v>45202</v>
      </c>
      <c r="C169" s="2" t="n">
        <v>45207</v>
      </c>
      <c r="D169" t="inlineStr">
        <is>
          <t>CUST-00168</t>
        </is>
      </c>
      <c r="E169" t="inlineStr">
        <is>
          <t>Customer 168</t>
        </is>
      </c>
      <c r="F169" t="inlineStr">
        <is>
          <t>Consumer</t>
        </is>
      </c>
      <c r="G169" t="inlineStr">
        <is>
          <t>P1014</t>
        </is>
      </c>
      <c r="H169" t="inlineStr">
        <is>
          <t>Halo Planter</t>
        </is>
      </c>
      <c r="I169" t="inlineStr">
        <is>
          <t>Office Supplies</t>
        </is>
      </c>
      <c r="J169" t="inlineStr">
        <is>
          <t>Storage</t>
        </is>
      </c>
      <c r="K169" t="inlineStr">
        <is>
          <t>South</t>
        </is>
      </c>
      <c r="L169" t="inlineStr">
        <is>
          <t>Georgia</t>
        </is>
      </c>
      <c r="M169" t="inlineStr">
        <is>
          <t>Dallas</t>
        </is>
      </c>
      <c r="N169" t="inlineStr">
        <is>
          <t>Noah Kim</t>
        </is>
      </c>
      <c r="O169" t="n">
        <v>4</v>
      </c>
      <c r="P169" s="3" t="n">
        <v>46.6</v>
      </c>
      <c r="Q169" s="4" t="n">
        <v>0.052</v>
      </c>
      <c r="R169" s="3" t="n">
        <v>176.71</v>
      </c>
      <c r="S169" s="3" t="n">
        <v>79.3</v>
      </c>
      <c r="T169" s="3" t="n">
        <v>88.20999999999999</v>
      </c>
      <c r="U169" s="4" t="n">
        <v>0.4992</v>
      </c>
      <c r="V169" s="3" t="n">
        <v>9.199999999999999</v>
      </c>
      <c r="W169" t="inlineStr">
        <is>
          <t>Bank Transfer</t>
        </is>
      </c>
      <c r="X169" t="inlineStr">
        <is>
          <t>High</t>
        </is>
      </c>
      <c r="Y169" t="n">
        <v>2023</v>
      </c>
      <c r="Z169" t="n">
        <v>10</v>
      </c>
      <c r="AA169" t="inlineStr">
        <is>
          <t>Oct</t>
        </is>
      </c>
      <c r="AB169" t="inlineStr">
        <is>
          <t>Tuesday</t>
        </is>
      </c>
      <c r="AC169" t="n">
        <v>5</v>
      </c>
      <c r="AD169" t="inlineStr">
        <is>
          <t>Profitable</t>
        </is>
      </c>
      <c r="AE169" t="inlineStr">
        <is>
          <t>High</t>
        </is>
      </c>
      <c r="AF169" t="inlineStr">
        <is>
          <t>Small</t>
        </is>
      </c>
    </row>
    <row r="170">
      <c r="A170" t="inlineStr">
        <is>
          <t>ORD-00169</t>
        </is>
      </c>
      <c r="B170" s="2" t="n">
        <v>45236</v>
      </c>
      <c r="C170" s="2" t="n">
        <v>45243</v>
      </c>
      <c r="D170" t="inlineStr">
        <is>
          <t>CUST-00169</t>
        </is>
      </c>
      <c r="E170" t="inlineStr">
        <is>
          <t>Customer 169</t>
        </is>
      </c>
      <c r="F170" t="inlineStr">
        <is>
          <t>Corporate</t>
        </is>
      </c>
      <c r="G170" t="inlineStr">
        <is>
          <t>P1013</t>
        </is>
      </c>
      <c r="H170" t="inlineStr">
        <is>
          <t>CloudDrive File Box</t>
        </is>
      </c>
      <c r="I170" t="inlineStr">
        <is>
          <t>Furniture</t>
        </is>
      </c>
      <c r="J170" t="inlineStr">
        <is>
          <t>Peripherals</t>
        </is>
      </c>
      <c r="K170" t="inlineStr">
        <is>
          <t>West</t>
        </is>
      </c>
      <c r="L170" t="inlineStr">
        <is>
          <t>Washington</t>
        </is>
      </c>
      <c r="M170" t="inlineStr">
        <is>
          <t>Denver</t>
        </is>
      </c>
      <c r="N170" t="inlineStr">
        <is>
          <t>Mia Rodriguez</t>
        </is>
      </c>
      <c r="O170" t="n">
        <v>3</v>
      </c>
      <c r="P170" s="3" t="n">
        <v>172.64</v>
      </c>
      <c r="Q170" s="4" t="n">
        <v>0.056</v>
      </c>
      <c r="R170" s="3" t="n">
        <v>488.92</v>
      </c>
      <c r="S170" s="3" t="n">
        <v>284.95</v>
      </c>
      <c r="T170" s="3" t="n">
        <v>194.57</v>
      </c>
      <c r="U170" s="4" t="n">
        <v>0.398</v>
      </c>
      <c r="V170" s="3" t="n">
        <v>9.4</v>
      </c>
      <c r="W170" t="inlineStr">
        <is>
          <t>Cash on Delivery</t>
        </is>
      </c>
      <c r="X170" t="inlineStr">
        <is>
          <t>High</t>
        </is>
      </c>
      <c r="Y170" t="n">
        <v>2023</v>
      </c>
      <c r="Z170" t="n">
        <v>11</v>
      </c>
      <c r="AA170" t="inlineStr">
        <is>
          <t>Nov</t>
        </is>
      </c>
      <c r="AB170" t="inlineStr">
        <is>
          <t>Monday</t>
        </is>
      </c>
      <c r="AC170" t="n">
        <v>7</v>
      </c>
      <c r="AD170" t="inlineStr">
        <is>
          <t>Profitable</t>
        </is>
      </c>
      <c r="AE170" t="inlineStr">
        <is>
          <t>High</t>
        </is>
      </c>
      <c r="AF170" t="inlineStr">
        <is>
          <t>Small</t>
        </is>
      </c>
    </row>
    <row r="171">
      <c r="A171" t="inlineStr">
        <is>
          <t>ORD-00170</t>
        </is>
      </c>
      <c r="B171" s="2" t="n">
        <v>45434</v>
      </c>
      <c r="C171" s="2" t="n">
        <v>45436</v>
      </c>
      <c r="D171" t="inlineStr">
        <is>
          <t>CUST-00170</t>
        </is>
      </c>
      <c r="E171" t="inlineStr">
        <is>
          <t>Customer 170</t>
        </is>
      </c>
      <c r="F171" t="inlineStr">
        <is>
          <t>Consumer</t>
        </is>
      </c>
      <c r="G171" t="inlineStr">
        <is>
          <t>P1006</t>
        </is>
      </c>
      <c r="H171" t="inlineStr">
        <is>
          <t>Pulse Keyboard</t>
        </is>
      </c>
      <c r="I171" t="inlineStr">
        <is>
          <t>Office Supplies</t>
        </is>
      </c>
      <c r="J171" t="inlineStr">
        <is>
          <t>Bags</t>
        </is>
      </c>
      <c r="K171" t="inlineStr">
        <is>
          <t>Central</t>
        </is>
      </c>
      <c r="L171" t="inlineStr">
        <is>
          <t>Missouri</t>
        </is>
      </c>
      <c r="M171" t="inlineStr">
        <is>
          <t>Chicago</t>
        </is>
      </c>
      <c r="N171" t="inlineStr">
        <is>
          <t>Ethan Brooks</t>
        </is>
      </c>
      <c r="O171" t="n">
        <v>5</v>
      </c>
      <c r="P171" s="3" t="n">
        <v>17.22</v>
      </c>
      <c r="Q171" s="4" t="n">
        <v>0</v>
      </c>
      <c r="R171" s="3" t="n">
        <v>86.09999999999999</v>
      </c>
      <c r="S171" s="3" t="n">
        <v>29.92</v>
      </c>
      <c r="T171" s="3" t="n">
        <v>46.18</v>
      </c>
      <c r="U171" s="4" t="n">
        <v>0.5364</v>
      </c>
      <c r="V171" s="3" t="n">
        <v>10</v>
      </c>
      <c r="W171" t="inlineStr">
        <is>
          <t>Bank Transfer</t>
        </is>
      </c>
      <c r="X171" t="inlineStr">
        <is>
          <t>Low</t>
        </is>
      </c>
      <c r="Y171" t="n">
        <v>2024</v>
      </c>
      <c r="Z171" t="n">
        <v>5</v>
      </c>
      <c r="AA171" t="inlineStr">
        <is>
          <t>May</t>
        </is>
      </c>
      <c r="AB171" t="inlineStr">
        <is>
          <t>Wednesday</t>
        </is>
      </c>
      <c r="AC171" t="n">
        <v>2</v>
      </c>
      <c r="AD171" t="inlineStr">
        <is>
          <t>Profitable</t>
        </is>
      </c>
      <c r="AE171" t="inlineStr">
        <is>
          <t>Low</t>
        </is>
      </c>
      <c r="AF171" t="inlineStr">
        <is>
          <t>Small</t>
        </is>
      </c>
    </row>
    <row r="172">
      <c r="A172" t="inlineStr">
        <is>
          <t>ORD-00171</t>
        </is>
      </c>
      <c r="B172" s="2" t="n">
        <v>45956</v>
      </c>
      <c r="C172" s="2" t="n">
        <v>45963</v>
      </c>
      <c r="D172" t="inlineStr">
        <is>
          <t>CUST-00171</t>
        </is>
      </c>
      <c r="E172" t="inlineStr">
        <is>
          <t>Customer 171</t>
        </is>
      </c>
      <c r="F172" t="inlineStr">
        <is>
          <t>Consumer</t>
        </is>
      </c>
      <c r="G172" t="inlineStr">
        <is>
          <t>P1014</t>
        </is>
      </c>
      <c r="H172" t="inlineStr">
        <is>
          <t>Orbit Wireless Mouse</t>
        </is>
      </c>
      <c r="I172" t="inlineStr">
        <is>
          <t>Technology</t>
        </is>
      </c>
      <c r="J172" t="inlineStr">
        <is>
          <t>Binders</t>
        </is>
      </c>
      <c r="K172" t="inlineStr">
        <is>
          <t>North</t>
        </is>
      </c>
      <c r="L172" t="inlineStr">
        <is>
          <t>Alberta</t>
        </is>
      </c>
      <c r="M172" t="inlineStr">
        <is>
          <t>Vancouver</t>
        </is>
      </c>
      <c r="N172" t="inlineStr">
        <is>
          <t>Mia Rodriguez</t>
        </is>
      </c>
      <c r="O172" t="n">
        <v>3</v>
      </c>
      <c r="P172" s="3" t="n">
        <v>48.06</v>
      </c>
      <c r="Q172" s="4" t="n">
        <v>0.021</v>
      </c>
      <c r="R172" s="3" t="n">
        <v>141.15</v>
      </c>
      <c r="S172" s="3" t="n">
        <v>60.31</v>
      </c>
      <c r="T172" s="3" t="n">
        <v>72.44</v>
      </c>
      <c r="U172" s="4" t="n">
        <v>0.5132</v>
      </c>
      <c r="V172" s="3" t="n">
        <v>8.4</v>
      </c>
      <c r="W172" t="inlineStr">
        <is>
          <t>Debit Card</t>
        </is>
      </c>
      <c r="X172" t="inlineStr">
        <is>
          <t>Medium</t>
        </is>
      </c>
      <c r="Y172" t="n">
        <v>2025</v>
      </c>
      <c r="Z172" t="n">
        <v>10</v>
      </c>
      <c r="AA172" t="inlineStr">
        <is>
          <t>Oct</t>
        </is>
      </c>
      <c r="AB172" t="inlineStr">
        <is>
          <t>Sunday</t>
        </is>
      </c>
      <c r="AC172" t="n">
        <v>7</v>
      </c>
      <c r="AD172" t="inlineStr">
        <is>
          <t>Profitable</t>
        </is>
      </c>
      <c r="AE172" t="inlineStr">
        <is>
          <t>Medium</t>
        </is>
      </c>
      <c r="AF172" t="inlineStr">
        <is>
          <t>Small</t>
        </is>
      </c>
    </row>
    <row r="173">
      <c r="A173" t="inlineStr">
        <is>
          <t>ORD-00172</t>
        </is>
      </c>
      <c r="B173" s="2" t="n">
        <v>45159</v>
      </c>
      <c r="C173" s="2" t="n">
        <v>45166</v>
      </c>
      <c r="D173" t="inlineStr">
        <is>
          <t>CUST-00172</t>
        </is>
      </c>
      <c r="E173" t="inlineStr">
        <is>
          <t>Customer 172</t>
        </is>
      </c>
      <c r="F173" t="inlineStr">
        <is>
          <t>Home Office</t>
        </is>
      </c>
      <c r="G173" t="inlineStr">
        <is>
          <t>P1008</t>
        </is>
      </c>
      <c r="H173" t="inlineStr">
        <is>
          <t>Tide Cooler</t>
        </is>
      </c>
      <c r="I173" t="inlineStr">
        <is>
          <t>Technology</t>
        </is>
      </c>
      <c r="J173" t="inlineStr">
        <is>
          <t>Peripherals</t>
        </is>
      </c>
      <c r="K173" t="inlineStr">
        <is>
          <t>South</t>
        </is>
      </c>
      <c r="L173" t="inlineStr">
        <is>
          <t>Texas</t>
        </is>
      </c>
      <c r="M173" t="inlineStr">
        <is>
          <t>Houston</t>
        </is>
      </c>
      <c r="N173" t="inlineStr">
        <is>
          <t>Ava Patel</t>
        </is>
      </c>
      <c r="O173" t="n">
        <v>2</v>
      </c>
      <c r="P173" s="3" t="n">
        <v>36.24</v>
      </c>
      <c r="Q173" s="4" t="n">
        <v>0.008999999999999999</v>
      </c>
      <c r="R173" s="3" t="n">
        <v>71.83</v>
      </c>
      <c r="S173" s="3" t="n">
        <v>35.31</v>
      </c>
      <c r="T173" s="3" t="n">
        <v>28.92</v>
      </c>
      <c r="U173" s="4" t="n">
        <v>0.4026</v>
      </c>
      <c r="V173" s="3" t="n">
        <v>7.6</v>
      </c>
      <c r="W173" t="inlineStr">
        <is>
          <t>Debit Card</t>
        </is>
      </c>
      <c r="X173" t="inlineStr">
        <is>
          <t>Medium</t>
        </is>
      </c>
      <c r="Y173" t="n">
        <v>2023</v>
      </c>
      <c r="Z173" t="n">
        <v>8</v>
      </c>
      <c r="AA173" t="inlineStr">
        <is>
          <t>Aug</t>
        </is>
      </c>
      <c r="AB173" t="inlineStr">
        <is>
          <t>Monday</t>
        </is>
      </c>
      <c r="AC173" t="n">
        <v>7</v>
      </c>
      <c r="AD173" t="inlineStr">
        <is>
          <t>Profitable</t>
        </is>
      </c>
      <c r="AE173" t="inlineStr">
        <is>
          <t>Low</t>
        </is>
      </c>
      <c r="AF173" t="inlineStr">
        <is>
          <t>Small</t>
        </is>
      </c>
    </row>
    <row r="174">
      <c r="A174" t="inlineStr">
        <is>
          <t>ORD-00173</t>
        </is>
      </c>
      <c r="B174" s="2" t="n">
        <v>45620</v>
      </c>
      <c r="C174" s="2" t="n">
        <v>45627</v>
      </c>
      <c r="D174" t="inlineStr">
        <is>
          <t>CUST-00173</t>
        </is>
      </c>
      <c r="E174" t="inlineStr">
        <is>
          <t>Customer 173</t>
        </is>
      </c>
      <c r="F174" t="inlineStr">
        <is>
          <t>Consumer</t>
        </is>
      </c>
      <c r="G174" t="inlineStr">
        <is>
          <t>P1018</t>
        </is>
      </c>
      <c r="H174" t="inlineStr">
        <is>
          <t>Nova Laptop Stand</t>
        </is>
      </c>
      <c r="I174" t="inlineStr">
        <is>
          <t>Technology</t>
        </is>
      </c>
      <c r="J174" t="inlineStr">
        <is>
          <t>Decor</t>
        </is>
      </c>
      <c r="K174" t="inlineStr">
        <is>
          <t>South</t>
        </is>
      </c>
      <c r="L174" t="inlineStr">
        <is>
          <t>Georgia</t>
        </is>
      </c>
      <c r="M174" t="inlineStr">
        <is>
          <t>Miami</t>
        </is>
      </c>
      <c r="N174" t="inlineStr">
        <is>
          <t>Olivia Martin</t>
        </is>
      </c>
      <c r="O174" t="n">
        <v>5</v>
      </c>
      <c r="P174" s="3" t="n">
        <v>96.59999999999999</v>
      </c>
      <c r="Q174" s="4" t="n">
        <v>0.029</v>
      </c>
      <c r="R174" s="3" t="n">
        <v>468.99</v>
      </c>
      <c r="S174" s="3" t="n">
        <v>206.66</v>
      </c>
      <c r="T174" s="3" t="n">
        <v>252.33</v>
      </c>
      <c r="U174" s="4" t="n">
        <v>0.538</v>
      </c>
      <c r="V174" s="3" t="n">
        <v>10</v>
      </c>
      <c r="W174" t="inlineStr">
        <is>
          <t>PayPal</t>
        </is>
      </c>
      <c r="X174" t="inlineStr">
        <is>
          <t>Medium</t>
        </is>
      </c>
      <c r="Y174" t="n">
        <v>2024</v>
      </c>
      <c r="Z174" t="n">
        <v>11</v>
      </c>
      <c r="AA174" t="inlineStr">
        <is>
          <t>Nov</t>
        </is>
      </c>
      <c r="AB174" t="inlineStr">
        <is>
          <t>Sunday</t>
        </is>
      </c>
      <c r="AC174" t="n">
        <v>7</v>
      </c>
      <c r="AD174" t="inlineStr">
        <is>
          <t>Profitable</t>
        </is>
      </c>
      <c r="AE174" t="inlineStr">
        <is>
          <t>Medium</t>
        </is>
      </c>
      <c r="AF174" t="inlineStr">
        <is>
          <t>Small</t>
        </is>
      </c>
    </row>
    <row r="175">
      <c r="A175" t="inlineStr">
        <is>
          <t>ORD-00174</t>
        </is>
      </c>
      <c r="B175" s="2" t="n">
        <v>45153</v>
      </c>
      <c r="C175" s="2" t="n">
        <v>45158</v>
      </c>
      <c r="D175" t="inlineStr">
        <is>
          <t>CUST-00174</t>
        </is>
      </c>
      <c r="E175" t="inlineStr">
        <is>
          <t>Customer 174</t>
        </is>
      </c>
      <c r="F175" t="inlineStr">
        <is>
          <t>Corporate</t>
        </is>
      </c>
      <c r="G175" t="inlineStr">
        <is>
          <t>P1020</t>
        </is>
      </c>
      <c r="H175" t="inlineStr">
        <is>
          <t>Atlas Throw Pillow</t>
        </is>
      </c>
      <c r="I175" t="inlineStr">
        <is>
          <t>Outdoor</t>
        </is>
      </c>
      <c r="J175" t="inlineStr">
        <is>
          <t>Peripherals</t>
        </is>
      </c>
      <c r="K175" t="inlineStr">
        <is>
          <t>Central</t>
        </is>
      </c>
      <c r="L175" t="inlineStr">
        <is>
          <t>Illinois</t>
        </is>
      </c>
      <c r="M175" t="inlineStr">
        <is>
          <t>Chicago</t>
        </is>
      </c>
      <c r="N175" t="inlineStr">
        <is>
          <t>Noah Kim</t>
        </is>
      </c>
      <c r="O175" t="n">
        <v>4</v>
      </c>
      <c r="P175" s="3" t="n">
        <v>71.75</v>
      </c>
      <c r="Q175" s="4" t="n">
        <v>0.018</v>
      </c>
      <c r="R175" s="3" t="n">
        <v>281.83</v>
      </c>
      <c r="S175" s="3" t="n">
        <v>138.59</v>
      </c>
      <c r="T175" s="3" t="n">
        <v>134.04</v>
      </c>
      <c r="U175" s="4" t="n">
        <v>0.4756</v>
      </c>
      <c r="V175" s="3" t="n">
        <v>9.199999999999999</v>
      </c>
      <c r="W175" t="inlineStr">
        <is>
          <t>PayPal</t>
        </is>
      </c>
      <c r="X175" t="inlineStr">
        <is>
          <t>Low</t>
        </is>
      </c>
      <c r="Y175" t="n">
        <v>2023</v>
      </c>
      <c r="Z175" t="n">
        <v>8</v>
      </c>
      <c r="AA175" t="inlineStr">
        <is>
          <t>Aug</t>
        </is>
      </c>
      <c r="AB175" t="inlineStr">
        <is>
          <t>Tuesday</t>
        </is>
      </c>
      <c r="AC175" t="n">
        <v>5</v>
      </c>
      <c r="AD175" t="inlineStr">
        <is>
          <t>Profitable</t>
        </is>
      </c>
      <c r="AE175" t="inlineStr">
        <is>
          <t>Low</t>
        </is>
      </c>
      <c r="AF175" t="inlineStr">
        <is>
          <t>Small</t>
        </is>
      </c>
    </row>
    <row r="176">
      <c r="A176" t="inlineStr">
        <is>
          <t>ORD-00175</t>
        </is>
      </c>
      <c r="B176" s="2" t="n">
        <v>45500</v>
      </c>
      <c r="C176" s="2" t="n">
        <v>45501</v>
      </c>
      <c r="D176" t="inlineStr">
        <is>
          <t>CUST-00175</t>
        </is>
      </c>
      <c r="E176" t="inlineStr">
        <is>
          <t>Customer 175</t>
        </is>
      </c>
      <c r="F176" t="inlineStr">
        <is>
          <t>Consumer</t>
        </is>
      </c>
      <c r="G176" t="inlineStr">
        <is>
          <t>P1001</t>
        </is>
      </c>
      <c r="H176" t="inlineStr">
        <is>
          <t>ErgoMesh Chair</t>
        </is>
      </c>
      <c r="I176" t="inlineStr">
        <is>
          <t>Furniture</t>
        </is>
      </c>
      <c r="J176" t="inlineStr">
        <is>
          <t>Peripherals</t>
        </is>
      </c>
      <c r="K176" t="inlineStr">
        <is>
          <t>West</t>
        </is>
      </c>
      <c r="L176" t="inlineStr">
        <is>
          <t>Colorado</t>
        </is>
      </c>
      <c r="M176" t="inlineStr">
        <is>
          <t>Denver</t>
        </is>
      </c>
      <c r="N176" t="inlineStr">
        <is>
          <t>Sophia Singh</t>
        </is>
      </c>
      <c r="O176" t="n">
        <v>5</v>
      </c>
      <c r="P176" s="3" t="n">
        <v>318.62</v>
      </c>
      <c r="Q176" s="4" t="n">
        <v>0.019</v>
      </c>
      <c r="R176" s="3" t="n">
        <v>1562.83</v>
      </c>
      <c r="S176" s="3" t="n">
        <v>912.86</v>
      </c>
      <c r="T176" s="3" t="n">
        <v>638.97</v>
      </c>
      <c r="U176" s="4" t="n">
        <v>0.4089</v>
      </c>
      <c r="V176" s="3" t="n">
        <v>11</v>
      </c>
      <c r="W176" t="inlineStr">
        <is>
          <t>Credit Card</t>
        </is>
      </c>
      <c r="X176" t="inlineStr">
        <is>
          <t>Medium</t>
        </is>
      </c>
      <c r="Y176" t="n">
        <v>2024</v>
      </c>
      <c r="Z176" t="n">
        <v>7</v>
      </c>
      <c r="AA176" t="inlineStr">
        <is>
          <t>Jul</t>
        </is>
      </c>
      <c r="AB176" t="inlineStr">
        <is>
          <t>Saturday</t>
        </is>
      </c>
      <c r="AC176" t="n">
        <v>1</v>
      </c>
      <c r="AD176" t="inlineStr">
        <is>
          <t>Profitable</t>
        </is>
      </c>
      <c r="AE176" t="inlineStr">
        <is>
          <t>Low</t>
        </is>
      </c>
      <c r="AF176" t="inlineStr">
        <is>
          <t>Large</t>
        </is>
      </c>
    </row>
    <row r="177">
      <c r="A177" t="inlineStr">
        <is>
          <t>ORD-00176</t>
        </is>
      </c>
      <c r="B177" s="2" t="n">
        <v>45150</v>
      </c>
      <c r="C177" s="2" t="n">
        <v>45152</v>
      </c>
      <c r="D177" t="inlineStr">
        <is>
          <t>CUST-00176</t>
        </is>
      </c>
      <c r="E177" t="inlineStr">
        <is>
          <t>Customer 176</t>
        </is>
      </c>
      <c r="F177" t="inlineStr">
        <is>
          <t>Consumer</t>
        </is>
      </c>
      <c r="G177" t="inlineStr">
        <is>
          <t>P1012</t>
        </is>
      </c>
      <c r="H177" t="inlineStr">
        <is>
          <t>ProClip Binder</t>
        </is>
      </c>
      <c r="I177" t="inlineStr">
        <is>
          <t>Office Supplies</t>
        </is>
      </c>
      <c r="J177" t="inlineStr">
        <is>
          <t>Peripherals</t>
        </is>
      </c>
      <c r="K177" t="inlineStr">
        <is>
          <t>East</t>
        </is>
      </c>
      <c r="L177" t="inlineStr">
        <is>
          <t>Virginia</t>
        </is>
      </c>
      <c r="M177" t="inlineStr">
        <is>
          <t>Washington</t>
        </is>
      </c>
      <c r="N177" t="inlineStr">
        <is>
          <t>Noah Kim</t>
        </is>
      </c>
      <c r="O177" t="n">
        <v>5</v>
      </c>
      <c r="P177" s="3" t="n">
        <v>133.6</v>
      </c>
      <c r="Q177" s="4" t="n">
        <v>0.017</v>
      </c>
      <c r="R177" s="3" t="n">
        <v>656.64</v>
      </c>
      <c r="S177" s="3" t="n">
        <v>325.77</v>
      </c>
      <c r="T177" s="3" t="n">
        <v>319.87</v>
      </c>
      <c r="U177" s="4" t="n">
        <v>0.4871</v>
      </c>
      <c r="V177" s="3" t="n">
        <v>11</v>
      </c>
      <c r="W177" t="inlineStr">
        <is>
          <t>Bank Transfer</t>
        </is>
      </c>
      <c r="X177" t="inlineStr">
        <is>
          <t>High</t>
        </is>
      </c>
      <c r="Y177" t="n">
        <v>2023</v>
      </c>
      <c r="Z177" t="n">
        <v>8</v>
      </c>
      <c r="AA177" t="inlineStr">
        <is>
          <t>Aug</t>
        </is>
      </c>
      <c r="AB177" t="inlineStr">
        <is>
          <t>Saturday</t>
        </is>
      </c>
      <c r="AC177" t="n">
        <v>2</v>
      </c>
      <c r="AD177" t="inlineStr">
        <is>
          <t>Profitable</t>
        </is>
      </c>
      <c r="AE177" t="inlineStr">
        <is>
          <t>Low</t>
        </is>
      </c>
      <c r="AF177" t="inlineStr">
        <is>
          <t>Medium</t>
        </is>
      </c>
    </row>
    <row r="178">
      <c r="A178" t="inlineStr">
        <is>
          <t>ORD-00177</t>
        </is>
      </c>
      <c r="B178" s="2" t="n">
        <v>45935</v>
      </c>
      <c r="C178" s="2" t="n">
        <v>45939</v>
      </c>
      <c r="D178" t="inlineStr">
        <is>
          <t>CUST-00177</t>
        </is>
      </c>
      <c r="E178" t="inlineStr">
        <is>
          <t>Customer 177</t>
        </is>
      </c>
      <c r="F178" t="inlineStr">
        <is>
          <t>Consumer</t>
        </is>
      </c>
      <c r="G178" t="inlineStr">
        <is>
          <t>P1011</t>
        </is>
      </c>
      <c r="H178" t="inlineStr">
        <is>
          <t>Lumen Desk Lamp</t>
        </is>
      </c>
      <c r="I178" t="inlineStr">
        <is>
          <t>Office Supplies</t>
        </is>
      </c>
      <c r="J178" t="inlineStr">
        <is>
          <t>Desks</t>
        </is>
      </c>
      <c r="K178" t="inlineStr">
        <is>
          <t>Central</t>
        </is>
      </c>
      <c r="L178" t="inlineStr">
        <is>
          <t>Minnesota</t>
        </is>
      </c>
      <c r="M178" t="inlineStr">
        <is>
          <t>St. Louis</t>
        </is>
      </c>
      <c r="N178" t="inlineStr">
        <is>
          <t>Sophia Singh</t>
        </is>
      </c>
      <c r="O178" t="n">
        <v>2</v>
      </c>
      <c r="P178" s="3" t="n">
        <v>90.05</v>
      </c>
      <c r="Q178" s="4" t="n">
        <v>0.021</v>
      </c>
      <c r="R178" s="3" t="n">
        <v>176.32</v>
      </c>
      <c r="S178" s="3" t="n">
        <v>92.5</v>
      </c>
      <c r="T178" s="3" t="n">
        <v>76.22</v>
      </c>
      <c r="U178" s="4" t="n">
        <v>0.4323</v>
      </c>
      <c r="V178" s="3" t="n">
        <v>7.6</v>
      </c>
      <c r="W178" t="inlineStr">
        <is>
          <t>Credit Card</t>
        </is>
      </c>
      <c r="X178" t="inlineStr">
        <is>
          <t>Medium</t>
        </is>
      </c>
      <c r="Y178" t="n">
        <v>2025</v>
      </c>
      <c r="Z178" t="n">
        <v>10</v>
      </c>
      <c r="AA178" t="inlineStr">
        <is>
          <t>Oct</t>
        </is>
      </c>
      <c r="AB178" t="inlineStr">
        <is>
          <t>Sunday</t>
        </is>
      </c>
      <c r="AC178" t="n">
        <v>4</v>
      </c>
      <c r="AD178" t="inlineStr">
        <is>
          <t>Profitable</t>
        </is>
      </c>
      <c r="AE178" t="inlineStr">
        <is>
          <t>Medium</t>
        </is>
      </c>
      <c r="AF178" t="inlineStr">
        <is>
          <t>Small</t>
        </is>
      </c>
    </row>
    <row r="179">
      <c r="A179" t="inlineStr">
        <is>
          <t>ORD-00178</t>
        </is>
      </c>
      <c r="B179" s="2" t="n">
        <v>45633</v>
      </c>
      <c r="C179" s="2" t="n">
        <v>45635</v>
      </c>
      <c r="D179" t="inlineStr">
        <is>
          <t>CUST-00178</t>
        </is>
      </c>
      <c r="E179" t="inlineStr">
        <is>
          <t>Customer 178</t>
        </is>
      </c>
      <c r="F179" t="inlineStr">
        <is>
          <t>Consumer</t>
        </is>
      </c>
      <c r="G179" t="inlineStr">
        <is>
          <t>P1013</t>
        </is>
      </c>
      <c r="H179" t="inlineStr">
        <is>
          <t>Harbor Rug</t>
        </is>
      </c>
      <c r="I179" t="inlineStr">
        <is>
          <t>Office Supplies</t>
        </is>
      </c>
      <c r="J179" t="inlineStr">
        <is>
          <t>Accessories</t>
        </is>
      </c>
      <c r="K179" t="inlineStr">
        <is>
          <t>South</t>
        </is>
      </c>
      <c r="L179" t="inlineStr">
        <is>
          <t>North Carolina</t>
        </is>
      </c>
      <c r="M179" t="inlineStr">
        <is>
          <t>Houston</t>
        </is>
      </c>
      <c r="N179" t="inlineStr">
        <is>
          <t>Sophia Singh</t>
        </is>
      </c>
      <c r="O179" t="n">
        <v>4</v>
      </c>
      <c r="P179" s="3" t="n">
        <v>163.92</v>
      </c>
      <c r="Q179" s="4" t="n">
        <v>0.022</v>
      </c>
      <c r="R179" s="3" t="n">
        <v>641.26</v>
      </c>
      <c r="S179" s="3" t="n">
        <v>363.79</v>
      </c>
      <c r="T179" s="3" t="n">
        <v>268.27</v>
      </c>
      <c r="U179" s="4" t="n">
        <v>0.4183</v>
      </c>
      <c r="V179" s="3" t="n">
        <v>9.199999999999999</v>
      </c>
      <c r="W179" t="inlineStr">
        <is>
          <t>Bank Transfer</t>
        </is>
      </c>
      <c r="X179" t="inlineStr">
        <is>
          <t>High</t>
        </is>
      </c>
      <c r="Y179" t="n">
        <v>2024</v>
      </c>
      <c r="Z179" t="n">
        <v>12</v>
      </c>
      <c r="AA179" t="inlineStr">
        <is>
          <t>Dec</t>
        </is>
      </c>
      <c r="AB179" t="inlineStr">
        <is>
          <t>Saturday</t>
        </is>
      </c>
      <c r="AC179" t="n">
        <v>2</v>
      </c>
      <c r="AD179" t="inlineStr">
        <is>
          <t>Profitable</t>
        </is>
      </c>
      <c r="AE179" t="inlineStr">
        <is>
          <t>Medium</t>
        </is>
      </c>
      <c r="AF179" t="inlineStr">
        <is>
          <t>Medium</t>
        </is>
      </c>
    </row>
    <row r="180">
      <c r="A180" t="inlineStr">
        <is>
          <t>ORD-00179</t>
        </is>
      </c>
      <c r="B180" s="2" t="n">
        <v>45710</v>
      </c>
      <c r="C180" s="2" t="n">
        <v>45714</v>
      </c>
      <c r="D180" t="inlineStr">
        <is>
          <t>CUST-00179</t>
        </is>
      </c>
      <c r="E180" t="inlineStr">
        <is>
          <t>Customer 179</t>
        </is>
      </c>
      <c r="F180" t="inlineStr">
        <is>
          <t>Home Office</t>
        </is>
      </c>
      <c r="G180" t="inlineStr">
        <is>
          <t>P1004</t>
        </is>
      </c>
      <c r="H180" t="inlineStr">
        <is>
          <t>ProClip Binder</t>
        </is>
      </c>
      <c r="I180" t="inlineStr">
        <is>
          <t>Office Supplies</t>
        </is>
      </c>
      <c r="J180" t="inlineStr">
        <is>
          <t>Accessories</t>
        </is>
      </c>
      <c r="K180" t="inlineStr">
        <is>
          <t>East</t>
        </is>
      </c>
      <c r="L180" t="inlineStr">
        <is>
          <t>Massachusetts</t>
        </is>
      </c>
      <c r="M180" t="inlineStr">
        <is>
          <t>Washington</t>
        </is>
      </c>
      <c r="N180" t="inlineStr">
        <is>
          <t>Sophia Singh</t>
        </is>
      </c>
      <c r="O180" t="n">
        <v>4</v>
      </c>
      <c r="P180" s="3" t="n">
        <v>632.3099999999999</v>
      </c>
      <c r="Q180" s="4" t="n">
        <v>0.029</v>
      </c>
      <c r="R180" s="3" t="n">
        <v>2455.89</v>
      </c>
      <c r="S180" s="3" t="n">
        <v>1557.37</v>
      </c>
      <c r="T180" s="3" t="n">
        <v>888.3200000000001</v>
      </c>
      <c r="U180" s="4" t="n">
        <v>0.3617</v>
      </c>
      <c r="V180" s="3" t="n">
        <v>10.2</v>
      </c>
      <c r="W180" t="inlineStr">
        <is>
          <t>Debit Card</t>
        </is>
      </c>
      <c r="X180" t="inlineStr">
        <is>
          <t>High</t>
        </is>
      </c>
      <c r="Y180" t="n">
        <v>2025</v>
      </c>
      <c r="Z180" t="n">
        <v>2</v>
      </c>
      <c r="AA180" t="inlineStr">
        <is>
          <t>Feb</t>
        </is>
      </c>
      <c r="AB180" t="inlineStr">
        <is>
          <t>Saturday</t>
        </is>
      </c>
      <c r="AC180" t="n">
        <v>4</v>
      </c>
      <c r="AD180" t="inlineStr">
        <is>
          <t>Profitable</t>
        </is>
      </c>
      <c r="AE180" t="inlineStr">
        <is>
          <t>Medium</t>
        </is>
      </c>
      <c r="AF180" t="inlineStr">
        <is>
          <t>Large</t>
        </is>
      </c>
    </row>
    <row r="181">
      <c r="A181" t="inlineStr">
        <is>
          <t>ORD-00180</t>
        </is>
      </c>
      <c r="B181" s="2" t="n">
        <v>44953</v>
      </c>
      <c r="C181" s="2" t="n">
        <v>44956</v>
      </c>
      <c r="D181" t="inlineStr">
        <is>
          <t>CUST-00180</t>
        </is>
      </c>
      <c r="E181" t="inlineStr">
        <is>
          <t>Customer 180</t>
        </is>
      </c>
      <c r="F181" t="inlineStr">
        <is>
          <t>Consumer</t>
        </is>
      </c>
      <c r="G181" t="inlineStr">
        <is>
          <t>P1006</t>
        </is>
      </c>
      <c r="H181" t="inlineStr">
        <is>
          <t>Nova Laptop Stand</t>
        </is>
      </c>
      <c r="I181" t="inlineStr">
        <is>
          <t>Outdoor</t>
        </is>
      </c>
      <c r="J181" t="inlineStr">
        <is>
          <t>Paper</t>
        </is>
      </c>
      <c r="K181" t="inlineStr">
        <is>
          <t>East</t>
        </is>
      </c>
      <c r="L181" t="inlineStr">
        <is>
          <t>Massachusetts</t>
        </is>
      </c>
      <c r="M181" t="inlineStr">
        <is>
          <t>Philadelphia</t>
        </is>
      </c>
      <c r="N181" t="inlineStr">
        <is>
          <t>Noah Kim</t>
        </is>
      </c>
      <c r="O181" t="n">
        <v>3</v>
      </c>
      <c r="P181" s="3" t="n">
        <v>18.69</v>
      </c>
      <c r="Q181" s="4" t="n">
        <v>0.061</v>
      </c>
      <c r="R181" s="3" t="n">
        <v>52.65</v>
      </c>
      <c r="S181" s="3" t="n">
        <v>25.47</v>
      </c>
      <c r="T181" s="3" t="n">
        <v>17.78</v>
      </c>
      <c r="U181" s="4" t="n">
        <v>0.3377</v>
      </c>
      <c r="V181" s="3" t="n">
        <v>9.4</v>
      </c>
      <c r="W181" t="inlineStr">
        <is>
          <t>Debit Card</t>
        </is>
      </c>
      <c r="X181" t="inlineStr">
        <is>
          <t>Critical</t>
        </is>
      </c>
      <c r="Y181" t="n">
        <v>2023</v>
      </c>
      <c r="Z181" t="n">
        <v>1</v>
      </c>
      <c r="AA181" t="inlineStr">
        <is>
          <t>Jan</t>
        </is>
      </c>
      <c r="AB181" t="inlineStr">
        <is>
          <t>Friday</t>
        </is>
      </c>
      <c r="AC181" t="n">
        <v>3</v>
      </c>
      <c r="AD181" t="inlineStr">
        <is>
          <t>Profitable</t>
        </is>
      </c>
      <c r="AE181" t="inlineStr">
        <is>
          <t>High</t>
        </is>
      </c>
      <c r="AF181" t="inlineStr">
        <is>
          <t>Small</t>
        </is>
      </c>
    </row>
    <row r="182">
      <c r="A182" t="inlineStr">
        <is>
          <t>ORD-00181</t>
        </is>
      </c>
      <c r="B182" s="2" t="n">
        <v>45641</v>
      </c>
      <c r="C182" s="2" t="n">
        <v>45642</v>
      </c>
      <c r="D182" t="inlineStr">
        <is>
          <t>CUST-00181</t>
        </is>
      </c>
      <c r="E182" t="inlineStr">
        <is>
          <t>Customer 181</t>
        </is>
      </c>
      <c r="F182" t="inlineStr">
        <is>
          <t>Consumer</t>
        </is>
      </c>
      <c r="G182" t="inlineStr">
        <is>
          <t>P1013</t>
        </is>
      </c>
      <c r="H182" t="inlineStr">
        <is>
          <t>Cove Wall Clock</t>
        </is>
      </c>
      <c r="I182" t="inlineStr">
        <is>
          <t>Home Decor</t>
        </is>
      </c>
      <c r="J182" t="inlineStr">
        <is>
          <t>Chairs</t>
        </is>
      </c>
      <c r="K182" t="inlineStr">
        <is>
          <t>East</t>
        </is>
      </c>
      <c r="L182" t="inlineStr">
        <is>
          <t>Virginia</t>
        </is>
      </c>
      <c r="M182" t="inlineStr">
        <is>
          <t>Philadelphia</t>
        </is>
      </c>
      <c r="N182" t="inlineStr">
        <is>
          <t>Ava Patel</t>
        </is>
      </c>
      <c r="O182" t="n">
        <v>3</v>
      </c>
      <c r="P182" s="3" t="n">
        <v>180.22</v>
      </c>
      <c r="Q182" s="4" t="n">
        <v>0.045</v>
      </c>
      <c r="R182" s="3" t="n">
        <v>516.33</v>
      </c>
      <c r="S182" s="3" t="n">
        <v>298.12</v>
      </c>
      <c r="T182" s="3" t="n">
        <v>208.81</v>
      </c>
      <c r="U182" s="4" t="n">
        <v>0.4044</v>
      </c>
      <c r="V182" s="3" t="n">
        <v>9.4</v>
      </c>
      <c r="W182" t="inlineStr">
        <is>
          <t>Credit Card</t>
        </is>
      </c>
      <c r="X182" t="inlineStr">
        <is>
          <t>High</t>
        </is>
      </c>
      <c r="Y182" t="n">
        <v>2024</v>
      </c>
      <c r="Z182" t="n">
        <v>12</v>
      </c>
      <c r="AA182" t="inlineStr">
        <is>
          <t>Dec</t>
        </is>
      </c>
      <c r="AB182" t="inlineStr">
        <is>
          <t>Sunday</t>
        </is>
      </c>
      <c r="AC182" t="n">
        <v>1</v>
      </c>
      <c r="AD182" t="inlineStr">
        <is>
          <t>Profitable</t>
        </is>
      </c>
      <c r="AE182" t="inlineStr">
        <is>
          <t>Medium</t>
        </is>
      </c>
      <c r="AF182" t="inlineStr">
        <is>
          <t>Medium</t>
        </is>
      </c>
    </row>
    <row r="183">
      <c r="A183" t="inlineStr">
        <is>
          <t>ORD-00182</t>
        </is>
      </c>
      <c r="B183" s="2" t="n">
        <v>45145</v>
      </c>
      <c r="C183" s="2" t="n">
        <v>45146</v>
      </c>
      <c r="D183" t="inlineStr">
        <is>
          <t>CUST-00182</t>
        </is>
      </c>
      <c r="E183" t="inlineStr">
        <is>
          <t>Customer 182</t>
        </is>
      </c>
      <c r="F183" t="inlineStr">
        <is>
          <t>Corporate</t>
        </is>
      </c>
      <c r="G183" t="inlineStr">
        <is>
          <t>P1013</t>
        </is>
      </c>
      <c r="H183" t="inlineStr">
        <is>
          <t>SmartInk Pen Set</t>
        </is>
      </c>
      <c r="I183" t="inlineStr">
        <is>
          <t>Technology</t>
        </is>
      </c>
      <c r="J183" t="inlineStr">
        <is>
          <t>Peripherals</t>
        </is>
      </c>
      <c r="K183" t="inlineStr">
        <is>
          <t>Central</t>
        </is>
      </c>
      <c r="L183" t="inlineStr">
        <is>
          <t>Minnesota</t>
        </is>
      </c>
      <c r="M183" t="inlineStr">
        <is>
          <t>Minneapolis</t>
        </is>
      </c>
      <c r="N183" t="inlineStr">
        <is>
          <t>Sophia Singh</t>
        </is>
      </c>
      <c r="O183" t="n">
        <v>3</v>
      </c>
      <c r="P183" s="3" t="n">
        <v>161.77</v>
      </c>
      <c r="Q183" s="4" t="n">
        <v>0.035</v>
      </c>
      <c r="R183" s="3" t="n">
        <v>468.32</v>
      </c>
      <c r="S183" s="3" t="n">
        <v>268.32</v>
      </c>
      <c r="T183" s="3" t="n">
        <v>191.6</v>
      </c>
      <c r="U183" s="4" t="n">
        <v>0.4091</v>
      </c>
      <c r="V183" s="3" t="n">
        <v>8.4</v>
      </c>
      <c r="W183" t="inlineStr">
        <is>
          <t>PayPal</t>
        </is>
      </c>
      <c r="X183" t="inlineStr">
        <is>
          <t>Critical</t>
        </is>
      </c>
      <c r="Y183" t="n">
        <v>2023</v>
      </c>
      <c r="Z183" t="n">
        <v>8</v>
      </c>
      <c r="AA183" t="inlineStr">
        <is>
          <t>Aug</t>
        </is>
      </c>
      <c r="AB183" t="inlineStr">
        <is>
          <t>Monday</t>
        </is>
      </c>
      <c r="AC183" t="n">
        <v>1</v>
      </c>
      <c r="AD183" t="inlineStr">
        <is>
          <t>Profitable</t>
        </is>
      </c>
      <c r="AE183" t="inlineStr">
        <is>
          <t>Medium</t>
        </is>
      </c>
      <c r="AF183" t="inlineStr">
        <is>
          <t>Small</t>
        </is>
      </c>
    </row>
    <row r="184">
      <c r="A184" t="inlineStr">
        <is>
          <t>ORD-00183</t>
        </is>
      </c>
      <c r="B184" s="2" t="n">
        <v>45913</v>
      </c>
      <c r="C184" s="2" t="n">
        <v>45917</v>
      </c>
      <c r="D184" t="inlineStr">
        <is>
          <t>CUST-00183</t>
        </is>
      </c>
      <c r="E184" t="inlineStr">
        <is>
          <t>Customer 183</t>
        </is>
      </c>
      <c r="F184" t="inlineStr">
        <is>
          <t>Corporate</t>
        </is>
      </c>
      <c r="G184" t="inlineStr">
        <is>
          <t>P1006</t>
        </is>
      </c>
      <c r="H184" t="inlineStr">
        <is>
          <t>FlexNote Notebook</t>
        </is>
      </c>
      <c r="I184" t="inlineStr">
        <is>
          <t>Office Supplies</t>
        </is>
      </c>
      <c r="J184" t="inlineStr">
        <is>
          <t>Storage</t>
        </is>
      </c>
      <c r="K184" t="inlineStr">
        <is>
          <t>South</t>
        </is>
      </c>
      <c r="L184" t="inlineStr">
        <is>
          <t>Georgia</t>
        </is>
      </c>
      <c r="M184" t="inlineStr">
        <is>
          <t>Houston</t>
        </is>
      </c>
      <c r="N184" t="inlineStr">
        <is>
          <t>Ethan Brooks</t>
        </is>
      </c>
      <c r="O184" t="n">
        <v>1</v>
      </c>
      <c r="P184" s="3" t="n">
        <v>18.44</v>
      </c>
      <c r="Q184" s="4" t="n">
        <v>0.013</v>
      </c>
      <c r="R184" s="3" t="n">
        <v>18.2</v>
      </c>
      <c r="S184" s="3" t="n">
        <v>12.82</v>
      </c>
      <c r="T184" s="3" t="n">
        <v>-1.42</v>
      </c>
      <c r="U184" s="4" t="n">
        <v>-0.078</v>
      </c>
      <c r="V184" s="3" t="n">
        <v>6.8</v>
      </c>
      <c r="W184" t="inlineStr">
        <is>
          <t>Credit Card</t>
        </is>
      </c>
      <c r="X184" t="inlineStr">
        <is>
          <t>Low</t>
        </is>
      </c>
      <c r="Y184" t="n">
        <v>2025</v>
      </c>
      <c r="Z184" t="n">
        <v>9</v>
      </c>
      <c r="AA184" t="inlineStr">
        <is>
          <t>Sep</t>
        </is>
      </c>
      <c r="AB184" t="inlineStr">
        <is>
          <t>Saturday</t>
        </is>
      </c>
      <c r="AC184" t="n">
        <v>4</v>
      </c>
      <c r="AD184" t="inlineStr">
        <is>
          <t>Unprofitable</t>
        </is>
      </c>
      <c r="AE184" t="inlineStr">
        <is>
          <t>Low</t>
        </is>
      </c>
      <c r="AF184" t="inlineStr">
        <is>
          <t>Small</t>
        </is>
      </c>
    </row>
    <row r="185">
      <c r="A185" t="inlineStr">
        <is>
          <t>ORD-00184</t>
        </is>
      </c>
      <c r="B185" s="2" t="n">
        <v>45863</v>
      </c>
      <c r="C185" s="2" t="n">
        <v>45868</v>
      </c>
      <c r="D185" t="inlineStr">
        <is>
          <t>CUST-00184</t>
        </is>
      </c>
      <c r="E185" t="inlineStr">
        <is>
          <t>Customer 184</t>
        </is>
      </c>
      <c r="F185" t="inlineStr">
        <is>
          <t>Corporate</t>
        </is>
      </c>
      <c r="G185" t="inlineStr">
        <is>
          <t>P1004</t>
        </is>
      </c>
      <c r="H185" t="inlineStr">
        <is>
          <t>SmartInk Pen Set</t>
        </is>
      </c>
      <c r="I185" t="inlineStr">
        <is>
          <t>Furniture</t>
        </is>
      </c>
      <c r="J185" t="inlineStr">
        <is>
          <t>Paper</t>
        </is>
      </c>
      <c r="K185" t="inlineStr">
        <is>
          <t>East</t>
        </is>
      </c>
      <c r="L185" t="inlineStr">
        <is>
          <t>New Jersey</t>
        </is>
      </c>
      <c r="M185" t="inlineStr">
        <is>
          <t>Boston</t>
        </is>
      </c>
      <c r="N185" t="inlineStr">
        <is>
          <t>James Carter</t>
        </is>
      </c>
      <c r="O185" t="n">
        <v>3</v>
      </c>
      <c r="P185" s="3" t="n">
        <v>654.08</v>
      </c>
      <c r="Q185" s="4" t="n">
        <v>0.016</v>
      </c>
      <c r="R185" s="3" t="n">
        <v>1930.84</v>
      </c>
      <c r="S185" s="3" t="n">
        <v>1221.86</v>
      </c>
      <c r="T185" s="3" t="n">
        <v>699.58</v>
      </c>
      <c r="U185" s="4" t="n">
        <v>0.3623</v>
      </c>
      <c r="V185" s="3" t="n">
        <v>9.4</v>
      </c>
      <c r="W185" t="inlineStr">
        <is>
          <t>Bank Transfer</t>
        </is>
      </c>
      <c r="X185" t="inlineStr">
        <is>
          <t>Medium</t>
        </is>
      </c>
      <c r="Y185" t="n">
        <v>2025</v>
      </c>
      <c r="Z185" t="n">
        <v>7</v>
      </c>
      <c r="AA185" t="inlineStr">
        <is>
          <t>Jul</t>
        </is>
      </c>
      <c r="AB185" t="inlineStr">
        <is>
          <t>Friday</t>
        </is>
      </c>
      <c r="AC185" t="n">
        <v>5</v>
      </c>
      <c r="AD185" t="inlineStr">
        <is>
          <t>Profitable</t>
        </is>
      </c>
      <c r="AE185" t="inlineStr">
        <is>
          <t>Low</t>
        </is>
      </c>
      <c r="AF185" t="inlineStr">
        <is>
          <t>Large</t>
        </is>
      </c>
    </row>
    <row r="186">
      <c r="A186" t="inlineStr">
        <is>
          <t>ORD-00185</t>
        </is>
      </c>
      <c r="B186" s="2" t="n">
        <v>44960</v>
      </c>
      <c r="C186" s="2" t="n">
        <v>44966</v>
      </c>
      <c r="D186" t="inlineStr">
        <is>
          <t>CUST-00185</t>
        </is>
      </c>
      <c r="E186" t="inlineStr">
        <is>
          <t>Customer 185</t>
        </is>
      </c>
      <c r="F186" t="inlineStr">
        <is>
          <t>Home Office</t>
        </is>
      </c>
      <c r="G186" t="inlineStr">
        <is>
          <t>P1003</t>
        </is>
      </c>
      <c r="H186" t="inlineStr">
        <is>
          <t>Nimbus Monitor Arm</t>
        </is>
      </c>
      <c r="I186" t="inlineStr">
        <is>
          <t>Home Decor</t>
        </is>
      </c>
      <c r="J186" t="inlineStr">
        <is>
          <t>Lighting</t>
        </is>
      </c>
      <c r="K186" t="inlineStr">
        <is>
          <t>Central</t>
        </is>
      </c>
      <c r="L186" t="inlineStr">
        <is>
          <t>Illinois</t>
        </is>
      </c>
      <c r="M186" t="inlineStr">
        <is>
          <t>Chicago</t>
        </is>
      </c>
      <c r="N186" t="inlineStr">
        <is>
          <t>Ava Patel</t>
        </is>
      </c>
      <c r="O186" t="n">
        <v>1</v>
      </c>
      <c r="P186" s="3" t="n">
        <v>155.17</v>
      </c>
      <c r="Q186" s="4" t="n">
        <v>0.05</v>
      </c>
      <c r="R186" s="3" t="n">
        <v>147.41</v>
      </c>
      <c r="S186" s="3" t="n">
        <v>82.25</v>
      </c>
      <c r="T186" s="3" t="n">
        <v>58.36</v>
      </c>
      <c r="U186" s="4" t="n">
        <v>0.3959</v>
      </c>
      <c r="V186" s="3" t="n">
        <v>6.8</v>
      </c>
      <c r="W186" t="inlineStr">
        <is>
          <t>Credit Card</t>
        </is>
      </c>
      <c r="X186" t="inlineStr">
        <is>
          <t>High</t>
        </is>
      </c>
      <c r="Y186" t="n">
        <v>2023</v>
      </c>
      <c r="Z186" t="n">
        <v>2</v>
      </c>
      <c r="AA186" t="inlineStr">
        <is>
          <t>Feb</t>
        </is>
      </c>
      <c r="AB186" t="inlineStr">
        <is>
          <t>Friday</t>
        </is>
      </c>
      <c r="AC186" t="n">
        <v>6</v>
      </c>
      <c r="AD186" t="inlineStr">
        <is>
          <t>Profitable</t>
        </is>
      </c>
      <c r="AE186" t="inlineStr">
        <is>
          <t>High</t>
        </is>
      </c>
      <c r="AF186" t="inlineStr">
        <is>
          <t>Small</t>
        </is>
      </c>
    </row>
    <row r="187">
      <c r="A187" t="inlineStr">
        <is>
          <t>ORD-00186</t>
        </is>
      </c>
      <c r="B187" s="2" t="n">
        <v>45956</v>
      </c>
      <c r="C187" s="2" t="n">
        <v>45961</v>
      </c>
      <c r="D187" t="inlineStr">
        <is>
          <t>CUST-00186</t>
        </is>
      </c>
      <c r="E187" t="inlineStr">
        <is>
          <t>Customer 186</t>
        </is>
      </c>
      <c r="F187" t="inlineStr">
        <is>
          <t>Corporate</t>
        </is>
      </c>
      <c r="G187" t="inlineStr">
        <is>
          <t>P1015</t>
        </is>
      </c>
      <c r="H187" t="inlineStr">
        <is>
          <t>Harbor Rug</t>
        </is>
      </c>
      <c r="I187" t="inlineStr">
        <is>
          <t>Home Decor</t>
        </is>
      </c>
      <c r="J187" t="inlineStr">
        <is>
          <t>Accessories</t>
        </is>
      </c>
      <c r="K187" t="inlineStr">
        <is>
          <t>South</t>
        </is>
      </c>
      <c r="L187" t="inlineStr">
        <is>
          <t>Florida</t>
        </is>
      </c>
      <c r="M187" t="inlineStr">
        <is>
          <t>Dallas</t>
        </is>
      </c>
      <c r="N187" t="inlineStr">
        <is>
          <t>Sophia Singh</t>
        </is>
      </c>
      <c r="O187" t="n">
        <v>3</v>
      </c>
      <c r="P187" s="3" t="n">
        <v>69.17</v>
      </c>
      <c r="Q187" s="4" t="n">
        <v>0.024</v>
      </c>
      <c r="R187" s="3" t="n">
        <v>202.53</v>
      </c>
      <c r="S187" s="3" t="n">
        <v>93.34999999999999</v>
      </c>
      <c r="T187" s="3" t="n">
        <v>100.78</v>
      </c>
      <c r="U187" s="4" t="n">
        <v>0.4976</v>
      </c>
      <c r="V187" s="3" t="n">
        <v>8.4</v>
      </c>
      <c r="W187" t="inlineStr">
        <is>
          <t>Credit Card</t>
        </is>
      </c>
      <c r="X187" t="inlineStr">
        <is>
          <t>Medium</t>
        </is>
      </c>
      <c r="Y187" t="n">
        <v>2025</v>
      </c>
      <c r="Z187" t="n">
        <v>10</v>
      </c>
      <c r="AA187" t="inlineStr">
        <is>
          <t>Oct</t>
        </is>
      </c>
      <c r="AB187" t="inlineStr">
        <is>
          <t>Sunday</t>
        </is>
      </c>
      <c r="AC187" t="n">
        <v>5</v>
      </c>
      <c r="AD187" t="inlineStr">
        <is>
          <t>Profitable</t>
        </is>
      </c>
      <c r="AE187" t="inlineStr">
        <is>
          <t>Medium</t>
        </is>
      </c>
      <c r="AF187" t="inlineStr">
        <is>
          <t>Small</t>
        </is>
      </c>
    </row>
    <row r="188">
      <c r="A188" t="inlineStr">
        <is>
          <t>ORD-00187</t>
        </is>
      </c>
      <c r="B188" s="2" t="n">
        <v>45953</v>
      </c>
      <c r="C188" s="2" t="n">
        <v>45956</v>
      </c>
      <c r="D188" t="inlineStr">
        <is>
          <t>CUST-00187</t>
        </is>
      </c>
      <c r="E188" t="inlineStr">
        <is>
          <t>Customer 187</t>
        </is>
      </c>
      <c r="F188" t="inlineStr">
        <is>
          <t>Consumer</t>
        </is>
      </c>
      <c r="G188" t="inlineStr">
        <is>
          <t>P1011</t>
        </is>
      </c>
      <c r="H188" t="inlineStr">
        <is>
          <t>Echo Web Camera</t>
        </is>
      </c>
      <c r="I188" t="inlineStr">
        <is>
          <t>Furniture</t>
        </is>
      </c>
      <c r="J188" t="inlineStr">
        <is>
          <t>Binders</t>
        </is>
      </c>
      <c r="K188" t="inlineStr">
        <is>
          <t>Central</t>
        </is>
      </c>
      <c r="L188" t="inlineStr">
        <is>
          <t>Minnesota</t>
        </is>
      </c>
      <c r="M188" t="inlineStr">
        <is>
          <t>Kansas City</t>
        </is>
      </c>
      <c r="N188" t="inlineStr">
        <is>
          <t>Ava Patel</t>
        </is>
      </c>
      <c r="O188" t="n">
        <v>1</v>
      </c>
      <c r="P188" s="3" t="n">
        <v>93.02</v>
      </c>
      <c r="Q188" s="4" t="n">
        <v>0.001</v>
      </c>
      <c r="R188" s="3" t="n">
        <v>92.93000000000001</v>
      </c>
      <c r="S188" s="3" t="n">
        <v>54.17</v>
      </c>
      <c r="T188" s="3" t="n">
        <v>31.96</v>
      </c>
      <c r="U188" s="4" t="n">
        <v>0.3439</v>
      </c>
      <c r="V188" s="3" t="n">
        <v>6.8</v>
      </c>
      <c r="W188" t="inlineStr">
        <is>
          <t>Credit Card</t>
        </is>
      </c>
      <c r="X188" t="inlineStr">
        <is>
          <t>Low</t>
        </is>
      </c>
      <c r="Y188" t="n">
        <v>2025</v>
      </c>
      <c r="Z188" t="n">
        <v>10</v>
      </c>
      <c r="AA188" t="inlineStr">
        <is>
          <t>Oct</t>
        </is>
      </c>
      <c r="AB188" t="inlineStr">
        <is>
          <t>Thursday</t>
        </is>
      </c>
      <c r="AC188" t="n">
        <v>3</v>
      </c>
      <c r="AD188" t="inlineStr">
        <is>
          <t>Profitable</t>
        </is>
      </c>
      <c r="AE188" t="inlineStr">
        <is>
          <t>Low</t>
        </is>
      </c>
      <c r="AF188" t="inlineStr">
        <is>
          <t>Small</t>
        </is>
      </c>
    </row>
    <row r="189">
      <c r="A189" t="inlineStr">
        <is>
          <t>ORD-00188</t>
        </is>
      </c>
      <c r="B189" s="2" t="n">
        <v>45425</v>
      </c>
      <c r="C189" s="2" t="n">
        <v>45429</v>
      </c>
      <c r="D189" t="inlineStr">
        <is>
          <t>CUST-00188</t>
        </is>
      </c>
      <c r="E189" t="inlineStr">
        <is>
          <t>Customer 188</t>
        </is>
      </c>
      <c r="F189" t="inlineStr">
        <is>
          <t>Home Office</t>
        </is>
      </c>
      <c r="G189" t="inlineStr">
        <is>
          <t>P1002</t>
        </is>
      </c>
      <c r="H189" t="inlineStr">
        <is>
          <t>ProClip Binder</t>
        </is>
      </c>
      <c r="I189" t="inlineStr">
        <is>
          <t>Outdoor</t>
        </is>
      </c>
      <c r="J189" t="inlineStr">
        <is>
          <t>Peripherals</t>
        </is>
      </c>
      <c r="K189" t="inlineStr">
        <is>
          <t>North</t>
        </is>
      </c>
      <c r="L189" t="inlineStr">
        <is>
          <t>British Columbia</t>
        </is>
      </c>
      <c r="M189" t="inlineStr">
        <is>
          <t>Vancouver</t>
        </is>
      </c>
      <c r="N189" t="inlineStr">
        <is>
          <t>Olivia Martin</t>
        </is>
      </c>
      <c r="O189" t="n">
        <v>3</v>
      </c>
      <c r="P189" s="3" t="n">
        <v>81.28</v>
      </c>
      <c r="Q189" s="4" t="n">
        <v>0.036</v>
      </c>
      <c r="R189" s="3" t="n">
        <v>235.06</v>
      </c>
      <c r="S189" s="3" t="n">
        <v>112.18</v>
      </c>
      <c r="T189" s="3" t="n">
        <v>114.48</v>
      </c>
      <c r="U189" s="4" t="n">
        <v>0.487</v>
      </c>
      <c r="V189" s="3" t="n">
        <v>8.4</v>
      </c>
      <c r="W189" t="inlineStr">
        <is>
          <t>Debit Card</t>
        </is>
      </c>
      <c r="X189" t="inlineStr">
        <is>
          <t>Critical</t>
        </is>
      </c>
      <c r="Y189" t="n">
        <v>2024</v>
      </c>
      <c r="Z189" t="n">
        <v>5</v>
      </c>
      <c r="AA189" t="inlineStr">
        <is>
          <t>May</t>
        </is>
      </c>
      <c r="AB189" t="inlineStr">
        <is>
          <t>Monday</t>
        </is>
      </c>
      <c r="AC189" t="n">
        <v>4</v>
      </c>
      <c r="AD189" t="inlineStr">
        <is>
          <t>Profitable</t>
        </is>
      </c>
      <c r="AE189" t="inlineStr">
        <is>
          <t>Medium</t>
        </is>
      </c>
      <c r="AF189" t="inlineStr">
        <is>
          <t>Small</t>
        </is>
      </c>
    </row>
    <row r="190">
      <c r="A190" t="inlineStr">
        <is>
          <t>ORD-00189</t>
        </is>
      </c>
      <c r="B190" s="2" t="n">
        <v>45438</v>
      </c>
      <c r="C190" s="2" t="n">
        <v>45441</v>
      </c>
      <c r="D190" t="inlineStr">
        <is>
          <t>CUST-00189</t>
        </is>
      </c>
      <c r="E190" t="inlineStr">
        <is>
          <t>Customer 189</t>
        </is>
      </c>
      <c r="F190" t="inlineStr">
        <is>
          <t>Corporate</t>
        </is>
      </c>
      <c r="G190" t="inlineStr">
        <is>
          <t>P1017</t>
        </is>
      </c>
      <c r="H190" t="inlineStr">
        <is>
          <t>Lumen Desk Lamp</t>
        </is>
      </c>
      <c r="I190" t="inlineStr">
        <is>
          <t>Home Decor</t>
        </is>
      </c>
      <c r="J190" t="inlineStr">
        <is>
          <t>Peripherals</t>
        </is>
      </c>
      <c r="K190" t="inlineStr">
        <is>
          <t>West</t>
        </is>
      </c>
      <c r="L190" t="inlineStr">
        <is>
          <t>Oregon</t>
        </is>
      </c>
      <c r="M190" t="inlineStr">
        <is>
          <t>Seattle</t>
        </is>
      </c>
      <c r="N190" t="inlineStr">
        <is>
          <t>Olivia Martin</t>
        </is>
      </c>
      <c r="O190" t="n">
        <v>2</v>
      </c>
      <c r="P190" s="3" t="n">
        <v>587.91</v>
      </c>
      <c r="Q190" s="4" t="n">
        <v>0.026</v>
      </c>
      <c r="R190" s="3" t="n">
        <v>1145.25</v>
      </c>
      <c r="S190" s="3" t="n">
        <v>764.3200000000001</v>
      </c>
      <c r="T190" s="3" t="n">
        <v>372.33</v>
      </c>
      <c r="U190" s="4" t="n">
        <v>0.3251</v>
      </c>
      <c r="V190" s="3" t="n">
        <v>8.6</v>
      </c>
      <c r="W190" t="inlineStr">
        <is>
          <t>PayPal</t>
        </is>
      </c>
      <c r="X190" t="inlineStr">
        <is>
          <t>Medium</t>
        </is>
      </c>
      <c r="Y190" t="n">
        <v>2024</v>
      </c>
      <c r="Z190" t="n">
        <v>5</v>
      </c>
      <c r="AA190" t="inlineStr">
        <is>
          <t>May</t>
        </is>
      </c>
      <c r="AB190" t="inlineStr">
        <is>
          <t>Sunday</t>
        </is>
      </c>
      <c r="AC190" t="n">
        <v>3</v>
      </c>
      <c r="AD190" t="inlineStr">
        <is>
          <t>Profitable</t>
        </is>
      </c>
      <c r="AE190" t="inlineStr">
        <is>
          <t>Medium</t>
        </is>
      </c>
      <c r="AF190" t="inlineStr">
        <is>
          <t>Medium</t>
        </is>
      </c>
    </row>
    <row r="191">
      <c r="A191" t="inlineStr">
        <is>
          <t>ORD-00190</t>
        </is>
      </c>
      <c r="B191" s="2" t="n">
        <v>45233</v>
      </c>
      <c r="C191" s="2" t="n">
        <v>45237</v>
      </c>
      <c r="D191" t="inlineStr">
        <is>
          <t>CUST-00190</t>
        </is>
      </c>
      <c r="E191" t="inlineStr">
        <is>
          <t>Customer 190</t>
        </is>
      </c>
      <c r="F191" t="inlineStr">
        <is>
          <t>Consumer</t>
        </is>
      </c>
      <c r="G191" t="inlineStr">
        <is>
          <t>P1002</t>
        </is>
      </c>
      <c r="H191" t="inlineStr">
        <is>
          <t>Halo Planter</t>
        </is>
      </c>
      <c r="I191" t="inlineStr">
        <is>
          <t>Technology</t>
        </is>
      </c>
      <c r="J191" t="inlineStr">
        <is>
          <t>Video</t>
        </is>
      </c>
      <c r="K191" t="inlineStr">
        <is>
          <t>South</t>
        </is>
      </c>
      <c r="L191" t="inlineStr">
        <is>
          <t>North Carolina</t>
        </is>
      </c>
      <c r="M191" t="inlineStr">
        <is>
          <t>Miami</t>
        </is>
      </c>
      <c r="N191" t="inlineStr">
        <is>
          <t>Ethan Brooks</t>
        </is>
      </c>
      <c r="O191" t="n">
        <v>4</v>
      </c>
      <c r="P191" s="3" t="n">
        <v>87.76000000000001</v>
      </c>
      <c r="Q191" s="4" t="n">
        <v>0.013</v>
      </c>
      <c r="R191" s="3" t="n">
        <v>346.48</v>
      </c>
      <c r="S191" s="3" t="n">
        <v>163.97</v>
      </c>
      <c r="T191" s="3" t="n">
        <v>173.31</v>
      </c>
      <c r="U191" s="4" t="n">
        <v>0.5002</v>
      </c>
      <c r="V191" s="3" t="n">
        <v>9.199999999999999</v>
      </c>
      <c r="W191" t="inlineStr">
        <is>
          <t>Credit Card</t>
        </is>
      </c>
      <c r="X191" t="inlineStr">
        <is>
          <t>Low</t>
        </is>
      </c>
      <c r="Y191" t="n">
        <v>2023</v>
      </c>
      <c r="Z191" t="n">
        <v>11</v>
      </c>
      <c r="AA191" t="inlineStr">
        <is>
          <t>Nov</t>
        </is>
      </c>
      <c r="AB191" t="inlineStr">
        <is>
          <t>Friday</t>
        </is>
      </c>
      <c r="AC191" t="n">
        <v>4</v>
      </c>
      <c r="AD191" t="inlineStr">
        <is>
          <t>Profitable</t>
        </is>
      </c>
      <c r="AE191" t="inlineStr">
        <is>
          <t>Low</t>
        </is>
      </c>
      <c r="AF191" t="inlineStr">
        <is>
          <t>Small</t>
        </is>
      </c>
    </row>
    <row r="192">
      <c r="A192" t="inlineStr">
        <is>
          <t>ORD-00191</t>
        </is>
      </c>
      <c r="B192" s="2" t="n">
        <v>44959</v>
      </c>
      <c r="C192" s="2" t="n">
        <v>44962</v>
      </c>
      <c r="D192" t="inlineStr">
        <is>
          <t>CUST-00191</t>
        </is>
      </c>
      <c r="E192" t="inlineStr">
        <is>
          <t>Customer 191</t>
        </is>
      </c>
      <c r="F192" t="inlineStr">
        <is>
          <t>Consumer</t>
        </is>
      </c>
      <c r="G192" t="inlineStr">
        <is>
          <t>P1001</t>
        </is>
      </c>
      <c r="H192" t="inlineStr">
        <is>
          <t>Halo Planter</t>
        </is>
      </c>
      <c r="I192" t="inlineStr">
        <is>
          <t>Outdoor</t>
        </is>
      </c>
      <c r="J192" t="inlineStr">
        <is>
          <t>Accessories</t>
        </is>
      </c>
      <c r="K192" t="inlineStr">
        <is>
          <t>Central</t>
        </is>
      </c>
      <c r="L192" t="inlineStr">
        <is>
          <t>Minnesota</t>
        </is>
      </c>
      <c r="M192" t="inlineStr">
        <is>
          <t>Chicago</t>
        </is>
      </c>
      <c r="N192" t="inlineStr">
        <is>
          <t>Olivia Martin</t>
        </is>
      </c>
      <c r="O192" t="n">
        <v>3</v>
      </c>
      <c r="P192" s="3" t="n">
        <v>290.79</v>
      </c>
      <c r="Q192" s="4" t="n">
        <v>0.022</v>
      </c>
      <c r="R192" s="3" t="n">
        <v>853.1799999999999</v>
      </c>
      <c r="S192" s="3" t="n">
        <v>502.6</v>
      </c>
      <c r="T192" s="3" t="n">
        <v>342.18</v>
      </c>
      <c r="U192" s="4" t="n">
        <v>0.4011</v>
      </c>
      <c r="V192" s="3" t="n">
        <v>8.4</v>
      </c>
      <c r="W192" t="inlineStr">
        <is>
          <t>Bank Transfer</t>
        </is>
      </c>
      <c r="X192" t="inlineStr">
        <is>
          <t>Medium</t>
        </is>
      </c>
      <c r="Y192" t="n">
        <v>2023</v>
      </c>
      <c r="Z192" t="n">
        <v>2</v>
      </c>
      <c r="AA192" t="inlineStr">
        <is>
          <t>Feb</t>
        </is>
      </c>
      <c r="AB192" t="inlineStr">
        <is>
          <t>Thursday</t>
        </is>
      </c>
      <c r="AC192" t="n">
        <v>3</v>
      </c>
      <c r="AD192" t="inlineStr">
        <is>
          <t>Profitable</t>
        </is>
      </c>
      <c r="AE192" t="inlineStr">
        <is>
          <t>Medium</t>
        </is>
      </c>
      <c r="AF192" t="inlineStr">
        <is>
          <t>Medium</t>
        </is>
      </c>
    </row>
    <row r="193">
      <c r="A193" t="inlineStr">
        <is>
          <t>ORD-00192</t>
        </is>
      </c>
      <c r="B193" s="2" t="n">
        <v>45989</v>
      </c>
      <c r="C193" s="2" t="n">
        <v>45993</v>
      </c>
      <c r="D193" t="inlineStr">
        <is>
          <t>CUST-00192</t>
        </is>
      </c>
      <c r="E193" t="inlineStr">
        <is>
          <t>Customer 192</t>
        </is>
      </c>
      <c r="F193" t="inlineStr">
        <is>
          <t>Consumer</t>
        </is>
      </c>
      <c r="G193" t="inlineStr">
        <is>
          <t>P1005</t>
        </is>
      </c>
      <c r="H193" t="inlineStr">
        <is>
          <t>Tide Cooler</t>
        </is>
      </c>
      <c r="I193" t="inlineStr">
        <is>
          <t>Outdoor</t>
        </is>
      </c>
      <c r="J193" t="inlineStr">
        <is>
          <t>Writing</t>
        </is>
      </c>
      <c r="K193" t="inlineStr">
        <is>
          <t>South</t>
        </is>
      </c>
      <c r="L193" t="inlineStr">
        <is>
          <t>North Carolina</t>
        </is>
      </c>
      <c r="M193" t="inlineStr">
        <is>
          <t>Houston</t>
        </is>
      </c>
      <c r="N193" t="inlineStr">
        <is>
          <t>Ethan Brooks</t>
        </is>
      </c>
      <c r="O193" t="n">
        <v>3</v>
      </c>
      <c r="P193" s="3" t="n">
        <v>13.59</v>
      </c>
      <c r="Q193" s="4" t="n">
        <v>0.016</v>
      </c>
      <c r="R193" s="3" t="n">
        <v>40.12</v>
      </c>
      <c r="S193" s="3" t="n">
        <v>25.25</v>
      </c>
      <c r="T193" s="3" t="n">
        <v>6.47</v>
      </c>
      <c r="U193" s="4" t="n">
        <v>0.1613</v>
      </c>
      <c r="V193" s="3" t="n">
        <v>8.4</v>
      </c>
      <c r="W193" t="inlineStr">
        <is>
          <t>Debit Card</t>
        </is>
      </c>
      <c r="X193" t="inlineStr">
        <is>
          <t>High</t>
        </is>
      </c>
      <c r="Y193" t="n">
        <v>2025</v>
      </c>
      <c r="Z193" t="n">
        <v>11</v>
      </c>
      <c r="AA193" t="inlineStr">
        <is>
          <t>Nov</t>
        </is>
      </c>
      <c r="AB193" t="inlineStr">
        <is>
          <t>Friday</t>
        </is>
      </c>
      <c r="AC193" t="n">
        <v>4</v>
      </c>
      <c r="AD193" t="inlineStr">
        <is>
          <t>Profitable</t>
        </is>
      </c>
      <c r="AE193" t="inlineStr">
        <is>
          <t>Low</t>
        </is>
      </c>
      <c r="AF193" t="inlineStr">
        <is>
          <t>Small</t>
        </is>
      </c>
    </row>
    <row r="194">
      <c r="A194" t="inlineStr">
        <is>
          <t>ORD-00193</t>
        </is>
      </c>
      <c r="B194" s="2" t="n">
        <v>45770</v>
      </c>
      <c r="C194" s="2" t="n">
        <v>45771</v>
      </c>
      <c r="D194" t="inlineStr">
        <is>
          <t>CUST-00193</t>
        </is>
      </c>
      <c r="E194" t="inlineStr">
        <is>
          <t>Customer 193</t>
        </is>
      </c>
      <c r="F194" t="inlineStr">
        <is>
          <t>Consumer</t>
        </is>
      </c>
      <c r="G194" t="inlineStr">
        <is>
          <t>P1020</t>
        </is>
      </c>
      <c r="H194" t="inlineStr">
        <is>
          <t>Summit Patio Set</t>
        </is>
      </c>
      <c r="I194" t="inlineStr">
        <is>
          <t>Technology</t>
        </is>
      </c>
      <c r="J194" t="inlineStr">
        <is>
          <t>Coolers</t>
        </is>
      </c>
      <c r="K194" t="inlineStr">
        <is>
          <t>West</t>
        </is>
      </c>
      <c r="L194" t="inlineStr">
        <is>
          <t>California</t>
        </is>
      </c>
      <c r="M194" t="inlineStr">
        <is>
          <t>Denver</t>
        </is>
      </c>
      <c r="N194" t="inlineStr">
        <is>
          <t>Ava Patel</t>
        </is>
      </c>
      <c r="O194" t="n">
        <v>5</v>
      </c>
      <c r="P194" s="3" t="n">
        <v>75.23</v>
      </c>
      <c r="Q194" s="4" t="n">
        <v>0.055</v>
      </c>
      <c r="R194" s="3" t="n">
        <v>355.46</v>
      </c>
      <c r="S194" s="3" t="n">
        <v>165.79</v>
      </c>
      <c r="T194" s="3" t="n">
        <v>178.67</v>
      </c>
      <c r="U194" s="4" t="n">
        <v>0.5026</v>
      </c>
      <c r="V194" s="3" t="n">
        <v>11</v>
      </c>
      <c r="W194" t="inlineStr">
        <is>
          <t>Debit Card</t>
        </is>
      </c>
      <c r="X194" t="inlineStr">
        <is>
          <t>High</t>
        </is>
      </c>
      <c r="Y194" t="n">
        <v>2025</v>
      </c>
      <c r="Z194" t="n">
        <v>4</v>
      </c>
      <c r="AA194" t="inlineStr">
        <is>
          <t>Apr</t>
        </is>
      </c>
      <c r="AB194" t="inlineStr">
        <is>
          <t>Wednesday</t>
        </is>
      </c>
      <c r="AC194" t="n">
        <v>1</v>
      </c>
      <c r="AD194" t="inlineStr">
        <is>
          <t>Profitable</t>
        </is>
      </c>
      <c r="AE194" t="inlineStr">
        <is>
          <t>High</t>
        </is>
      </c>
      <c r="AF194" t="inlineStr">
        <is>
          <t>Small</t>
        </is>
      </c>
    </row>
    <row r="195">
      <c r="A195" t="inlineStr">
        <is>
          <t>ORD-00194</t>
        </is>
      </c>
      <c r="B195" s="2" t="n">
        <v>45508</v>
      </c>
      <c r="C195" s="2" t="n">
        <v>45511</v>
      </c>
      <c r="D195" t="inlineStr">
        <is>
          <t>CUST-00194</t>
        </is>
      </c>
      <c r="E195" t="inlineStr">
        <is>
          <t>Customer 194</t>
        </is>
      </c>
      <c r="F195" t="inlineStr">
        <is>
          <t>Consumer</t>
        </is>
      </c>
      <c r="G195" t="inlineStr">
        <is>
          <t>P1017</t>
        </is>
      </c>
      <c r="H195" t="inlineStr">
        <is>
          <t>Nimbus Monitor Arm</t>
        </is>
      </c>
      <c r="I195" t="inlineStr">
        <is>
          <t>Office Supplies</t>
        </is>
      </c>
      <c r="J195" t="inlineStr">
        <is>
          <t>Video</t>
        </is>
      </c>
      <c r="K195" t="inlineStr">
        <is>
          <t>North</t>
        </is>
      </c>
      <c r="L195" t="inlineStr">
        <is>
          <t>Quebec</t>
        </is>
      </c>
      <c r="M195" t="inlineStr">
        <is>
          <t>Toronto</t>
        </is>
      </c>
      <c r="N195" t="inlineStr">
        <is>
          <t>James Carter</t>
        </is>
      </c>
      <c r="O195" t="n">
        <v>3</v>
      </c>
      <c r="P195" s="3" t="n">
        <v>557.4299999999999</v>
      </c>
      <c r="Q195" s="4" t="n">
        <v>0.038</v>
      </c>
      <c r="R195" s="3" t="n">
        <v>1608.74</v>
      </c>
      <c r="S195" s="3" t="n">
        <v>1072.88</v>
      </c>
      <c r="T195" s="3" t="n">
        <v>527.46</v>
      </c>
      <c r="U195" s="4" t="n">
        <v>0.3279</v>
      </c>
      <c r="V195" s="3" t="n">
        <v>8.4</v>
      </c>
      <c r="W195" t="inlineStr">
        <is>
          <t>Credit Card</t>
        </is>
      </c>
      <c r="X195" t="inlineStr">
        <is>
          <t>Critical</t>
        </is>
      </c>
      <c r="Y195" t="n">
        <v>2024</v>
      </c>
      <c r="Z195" t="n">
        <v>8</v>
      </c>
      <c r="AA195" t="inlineStr">
        <is>
          <t>Aug</t>
        </is>
      </c>
      <c r="AB195" t="inlineStr">
        <is>
          <t>Sunday</t>
        </is>
      </c>
      <c r="AC195" t="n">
        <v>3</v>
      </c>
      <c r="AD195" t="inlineStr">
        <is>
          <t>Profitable</t>
        </is>
      </c>
      <c r="AE195" t="inlineStr">
        <is>
          <t>Medium</t>
        </is>
      </c>
      <c r="AF195" t="inlineStr">
        <is>
          <t>Large</t>
        </is>
      </c>
    </row>
    <row r="196">
      <c r="A196" t="inlineStr">
        <is>
          <t>ORD-00195</t>
        </is>
      </c>
      <c r="B196" s="2" t="n">
        <v>45643</v>
      </c>
      <c r="C196" s="2" t="n">
        <v>45646</v>
      </c>
      <c r="D196" t="inlineStr">
        <is>
          <t>CUST-00195</t>
        </is>
      </c>
      <c r="E196" t="inlineStr">
        <is>
          <t>Customer 195</t>
        </is>
      </c>
      <c r="F196" t="inlineStr">
        <is>
          <t>Consumer</t>
        </is>
      </c>
      <c r="G196" t="inlineStr">
        <is>
          <t>P1001</t>
        </is>
      </c>
      <c r="H196" t="inlineStr">
        <is>
          <t>Nimbus Monitor Arm</t>
        </is>
      </c>
      <c r="I196" t="inlineStr">
        <is>
          <t>Furniture</t>
        </is>
      </c>
      <c r="J196" t="inlineStr">
        <is>
          <t>Peripherals</t>
        </is>
      </c>
      <c r="K196" t="inlineStr">
        <is>
          <t>East</t>
        </is>
      </c>
      <c r="L196" t="inlineStr">
        <is>
          <t>New York</t>
        </is>
      </c>
      <c r="M196" t="inlineStr">
        <is>
          <t>Boston</t>
        </is>
      </c>
      <c r="N196" t="inlineStr">
        <is>
          <t>Ava Patel</t>
        </is>
      </c>
      <c r="O196" t="n">
        <v>2</v>
      </c>
      <c r="P196" s="3" t="n">
        <v>329.65</v>
      </c>
      <c r="Q196" s="4" t="n">
        <v>0.006</v>
      </c>
      <c r="R196" s="3" t="n">
        <v>655.34</v>
      </c>
      <c r="S196" s="3" t="n">
        <v>390.53</v>
      </c>
      <c r="T196" s="3" t="n">
        <v>256.21</v>
      </c>
      <c r="U196" s="4" t="n">
        <v>0.391</v>
      </c>
      <c r="V196" s="3" t="n">
        <v>8.6</v>
      </c>
      <c r="W196" t="inlineStr">
        <is>
          <t>Credit Card</t>
        </is>
      </c>
      <c r="X196" t="inlineStr">
        <is>
          <t>Medium</t>
        </is>
      </c>
      <c r="Y196" t="n">
        <v>2024</v>
      </c>
      <c r="Z196" t="n">
        <v>12</v>
      </c>
      <c r="AA196" t="inlineStr">
        <is>
          <t>Dec</t>
        </is>
      </c>
      <c r="AB196" t="inlineStr">
        <is>
          <t>Tuesday</t>
        </is>
      </c>
      <c r="AC196" t="n">
        <v>3</v>
      </c>
      <c r="AD196" t="inlineStr">
        <is>
          <t>Profitable</t>
        </is>
      </c>
      <c r="AE196" t="inlineStr">
        <is>
          <t>Low</t>
        </is>
      </c>
      <c r="AF196" t="inlineStr">
        <is>
          <t>Medium</t>
        </is>
      </c>
    </row>
    <row r="197">
      <c r="A197" t="inlineStr">
        <is>
          <t>ORD-00196</t>
        </is>
      </c>
      <c r="B197" s="2" t="n">
        <v>45541</v>
      </c>
      <c r="C197" s="2" t="n">
        <v>45545</v>
      </c>
      <c r="D197" t="inlineStr">
        <is>
          <t>CUST-00196</t>
        </is>
      </c>
      <c r="E197" t="inlineStr">
        <is>
          <t>Customer 196</t>
        </is>
      </c>
      <c r="F197" t="inlineStr">
        <is>
          <t>Home Office</t>
        </is>
      </c>
      <c r="G197" t="inlineStr">
        <is>
          <t>P1007</t>
        </is>
      </c>
      <c r="H197" t="inlineStr">
        <is>
          <t>Nova Laptop Stand</t>
        </is>
      </c>
      <c r="I197" t="inlineStr">
        <is>
          <t>Office Supplies</t>
        </is>
      </c>
      <c r="J197" t="inlineStr">
        <is>
          <t>Lighting</t>
        </is>
      </c>
      <c r="K197" t="inlineStr">
        <is>
          <t>South</t>
        </is>
      </c>
      <c r="L197" t="inlineStr">
        <is>
          <t>North Carolina</t>
        </is>
      </c>
      <c r="M197" t="inlineStr">
        <is>
          <t>Miami</t>
        </is>
      </c>
      <c r="N197" t="inlineStr">
        <is>
          <t>James Carter</t>
        </is>
      </c>
      <c r="O197" t="n">
        <v>1</v>
      </c>
      <c r="P197" s="3" t="n">
        <v>24.09</v>
      </c>
      <c r="Q197" s="4" t="n">
        <v>0.005</v>
      </c>
      <c r="R197" s="3" t="n">
        <v>23.97</v>
      </c>
      <c r="S197" s="3" t="n">
        <v>14.17</v>
      </c>
      <c r="T197" s="3" t="n">
        <v>3</v>
      </c>
      <c r="U197" s="4" t="n">
        <v>0.1252</v>
      </c>
      <c r="V197" s="3" t="n">
        <v>6.8</v>
      </c>
      <c r="W197" t="inlineStr">
        <is>
          <t>Credit Card</t>
        </is>
      </c>
      <c r="X197" t="inlineStr">
        <is>
          <t>Medium</t>
        </is>
      </c>
      <c r="Y197" t="n">
        <v>2024</v>
      </c>
      <c r="Z197" t="n">
        <v>9</v>
      </c>
      <c r="AA197" t="inlineStr">
        <is>
          <t>Sep</t>
        </is>
      </c>
      <c r="AB197" t="inlineStr">
        <is>
          <t>Friday</t>
        </is>
      </c>
      <c r="AC197" t="n">
        <v>4</v>
      </c>
      <c r="AD197" t="inlineStr">
        <is>
          <t>Profitable</t>
        </is>
      </c>
      <c r="AE197" t="inlineStr">
        <is>
          <t>Low</t>
        </is>
      </c>
      <c r="AF197" t="inlineStr">
        <is>
          <t>Small</t>
        </is>
      </c>
    </row>
    <row r="198">
      <c r="A198" t="inlineStr">
        <is>
          <t>ORD-00197</t>
        </is>
      </c>
      <c r="B198" s="2" t="n">
        <v>45819</v>
      </c>
      <c r="C198" s="2" t="n">
        <v>45821</v>
      </c>
      <c r="D198" t="inlineStr">
        <is>
          <t>CUST-00197</t>
        </is>
      </c>
      <c r="E198" t="inlineStr">
        <is>
          <t>Customer 197</t>
        </is>
      </c>
      <c r="F198" t="inlineStr">
        <is>
          <t>Home Office</t>
        </is>
      </c>
      <c r="G198" t="inlineStr">
        <is>
          <t>P1003</t>
        </is>
      </c>
      <c r="H198" t="inlineStr">
        <is>
          <t>Orbit Wireless Mouse</t>
        </is>
      </c>
      <c r="I198" t="inlineStr">
        <is>
          <t>Office Supplies</t>
        </is>
      </c>
      <c r="J198" t="inlineStr">
        <is>
          <t>Peripherals</t>
        </is>
      </c>
      <c r="K198" t="inlineStr">
        <is>
          <t>North</t>
        </is>
      </c>
      <c r="L198" t="inlineStr">
        <is>
          <t>Quebec</t>
        </is>
      </c>
      <c r="M198" t="inlineStr">
        <is>
          <t>Toronto</t>
        </is>
      </c>
      <c r="N198" t="inlineStr">
        <is>
          <t>Liam Chen</t>
        </is>
      </c>
      <c r="O198" t="n">
        <v>2</v>
      </c>
      <c r="P198" s="3" t="n">
        <v>163.06</v>
      </c>
      <c r="Q198" s="4" t="n">
        <v>0.015</v>
      </c>
      <c r="R198" s="3" t="n">
        <v>321.23</v>
      </c>
      <c r="S198" s="3" t="n">
        <v>170.08</v>
      </c>
      <c r="T198" s="3" t="n">
        <v>143.55</v>
      </c>
      <c r="U198" s="4" t="n">
        <v>0.4469</v>
      </c>
      <c r="V198" s="3" t="n">
        <v>7.6</v>
      </c>
      <c r="W198" t="inlineStr">
        <is>
          <t>Credit Card</t>
        </is>
      </c>
      <c r="X198" t="inlineStr">
        <is>
          <t>Low</t>
        </is>
      </c>
      <c r="Y198" t="n">
        <v>2025</v>
      </c>
      <c r="Z198" t="n">
        <v>6</v>
      </c>
      <c r="AA198" t="inlineStr">
        <is>
          <t>Jun</t>
        </is>
      </c>
      <c r="AB198" t="inlineStr">
        <is>
          <t>Wednesday</t>
        </is>
      </c>
      <c r="AC198" t="n">
        <v>2</v>
      </c>
      <c r="AD198" t="inlineStr">
        <is>
          <t>Profitable</t>
        </is>
      </c>
      <c r="AE198" t="inlineStr">
        <is>
          <t>Low</t>
        </is>
      </c>
      <c r="AF198" t="inlineStr">
        <is>
          <t>Small</t>
        </is>
      </c>
    </row>
    <row r="199">
      <c r="A199" t="inlineStr">
        <is>
          <t>ORD-00198</t>
        </is>
      </c>
      <c r="B199" s="2" t="n">
        <v>45936</v>
      </c>
      <c r="C199" s="2" t="n">
        <v>45938</v>
      </c>
      <c r="D199" t="inlineStr">
        <is>
          <t>CUST-00198</t>
        </is>
      </c>
      <c r="E199" t="inlineStr">
        <is>
          <t>Customer 198</t>
        </is>
      </c>
      <c r="F199" t="inlineStr">
        <is>
          <t>Corporate</t>
        </is>
      </c>
      <c r="G199" t="inlineStr">
        <is>
          <t>P1016</t>
        </is>
      </c>
      <c r="H199" t="inlineStr">
        <is>
          <t>Echo Web Camera</t>
        </is>
      </c>
      <c r="I199" t="inlineStr">
        <is>
          <t>Furniture</t>
        </is>
      </c>
      <c r="J199" t="inlineStr">
        <is>
          <t>Flooring</t>
        </is>
      </c>
      <c r="K199" t="inlineStr">
        <is>
          <t>East</t>
        </is>
      </c>
      <c r="L199" t="inlineStr">
        <is>
          <t>Virginia</t>
        </is>
      </c>
      <c r="M199" t="inlineStr">
        <is>
          <t>Washington</t>
        </is>
      </c>
      <c r="N199" t="inlineStr">
        <is>
          <t>James Carter</t>
        </is>
      </c>
      <c r="O199" t="n">
        <v>2</v>
      </c>
      <c r="P199" s="3" t="n">
        <v>41.23</v>
      </c>
      <c r="Q199" s="4" t="n">
        <v>0.038</v>
      </c>
      <c r="R199" s="3" t="n">
        <v>79.33</v>
      </c>
      <c r="S199" s="3" t="n">
        <v>33.96</v>
      </c>
      <c r="T199" s="3" t="n">
        <v>36.77</v>
      </c>
      <c r="U199" s="4" t="n">
        <v>0.4635</v>
      </c>
      <c r="V199" s="3" t="n">
        <v>8.6</v>
      </c>
      <c r="W199" t="inlineStr">
        <is>
          <t>Cash on Delivery</t>
        </is>
      </c>
      <c r="X199" t="inlineStr">
        <is>
          <t>Medium</t>
        </is>
      </c>
      <c r="Y199" t="n">
        <v>2025</v>
      </c>
      <c r="Z199" t="n">
        <v>10</v>
      </c>
      <c r="AA199" t="inlineStr">
        <is>
          <t>Oct</t>
        </is>
      </c>
      <c r="AB199" t="inlineStr">
        <is>
          <t>Monday</t>
        </is>
      </c>
      <c r="AC199" t="n">
        <v>2</v>
      </c>
      <c r="AD199" t="inlineStr">
        <is>
          <t>Profitable</t>
        </is>
      </c>
      <c r="AE199" t="inlineStr">
        <is>
          <t>Medium</t>
        </is>
      </c>
      <c r="AF199" t="inlineStr">
        <is>
          <t>Small</t>
        </is>
      </c>
    </row>
    <row r="200">
      <c r="A200" t="inlineStr">
        <is>
          <t>ORD-00199</t>
        </is>
      </c>
      <c r="B200" s="2" t="n">
        <v>45799</v>
      </c>
      <c r="C200" s="2" t="n">
        <v>45800</v>
      </c>
      <c r="D200" t="inlineStr">
        <is>
          <t>CUST-00199</t>
        </is>
      </c>
      <c r="E200" t="inlineStr">
        <is>
          <t>Customer 199</t>
        </is>
      </c>
      <c r="F200" t="inlineStr">
        <is>
          <t>Home Office</t>
        </is>
      </c>
      <c r="G200" t="inlineStr">
        <is>
          <t>P1016</t>
        </is>
      </c>
      <c r="H200" t="inlineStr">
        <is>
          <t>ErgoMesh Chair</t>
        </is>
      </c>
      <c r="I200" t="inlineStr">
        <is>
          <t>Office Supplies</t>
        </is>
      </c>
      <c r="J200" t="inlineStr">
        <is>
          <t>Flooring</t>
        </is>
      </c>
      <c r="K200" t="inlineStr">
        <is>
          <t>West</t>
        </is>
      </c>
      <c r="L200" t="inlineStr">
        <is>
          <t>Oregon</t>
        </is>
      </c>
      <c r="M200" t="inlineStr">
        <is>
          <t>Seattle</t>
        </is>
      </c>
      <c r="N200" t="inlineStr">
        <is>
          <t>Ethan Brooks</t>
        </is>
      </c>
      <c r="O200" t="n">
        <v>4</v>
      </c>
      <c r="P200" s="3" t="n">
        <v>41.21</v>
      </c>
      <c r="Q200" s="4" t="n">
        <v>0.008</v>
      </c>
      <c r="R200" s="3" t="n">
        <v>163.52</v>
      </c>
      <c r="S200" s="3" t="n">
        <v>65.05</v>
      </c>
      <c r="T200" s="3" t="n">
        <v>88.27</v>
      </c>
      <c r="U200" s="4" t="n">
        <v>0.5397999999999999</v>
      </c>
      <c r="V200" s="3" t="n">
        <v>10.2</v>
      </c>
      <c r="W200" t="inlineStr">
        <is>
          <t>PayPal</t>
        </is>
      </c>
      <c r="X200" t="inlineStr">
        <is>
          <t>Low</t>
        </is>
      </c>
      <c r="Y200" t="n">
        <v>2025</v>
      </c>
      <c r="Z200" t="n">
        <v>5</v>
      </c>
      <c r="AA200" t="inlineStr">
        <is>
          <t>May</t>
        </is>
      </c>
      <c r="AB200" t="inlineStr">
        <is>
          <t>Thursday</t>
        </is>
      </c>
      <c r="AC200" t="n">
        <v>1</v>
      </c>
      <c r="AD200" t="inlineStr">
        <is>
          <t>Profitable</t>
        </is>
      </c>
      <c r="AE200" t="inlineStr">
        <is>
          <t>Low</t>
        </is>
      </c>
      <c r="AF200" t="inlineStr">
        <is>
          <t>Small</t>
        </is>
      </c>
    </row>
    <row r="201">
      <c r="A201" t="inlineStr">
        <is>
          <t>ORD-00200</t>
        </is>
      </c>
      <c r="B201" s="2" t="n">
        <v>45779</v>
      </c>
      <c r="C201" s="2" t="n">
        <v>45784</v>
      </c>
      <c r="D201" t="inlineStr">
        <is>
          <t>CUST-00200</t>
        </is>
      </c>
      <c r="E201" t="inlineStr">
        <is>
          <t>Customer 200</t>
        </is>
      </c>
      <c r="F201" t="inlineStr">
        <is>
          <t>Consumer</t>
        </is>
      </c>
      <c r="G201" t="inlineStr">
        <is>
          <t>P1012</t>
        </is>
      </c>
      <c r="H201" t="inlineStr">
        <is>
          <t>Aero Standing Desk</t>
        </is>
      </c>
      <c r="I201" t="inlineStr">
        <is>
          <t>Home Decor</t>
        </is>
      </c>
      <c r="J201" t="inlineStr">
        <is>
          <t>Plants</t>
        </is>
      </c>
      <c r="K201" t="inlineStr">
        <is>
          <t>North</t>
        </is>
      </c>
      <c r="L201" t="inlineStr">
        <is>
          <t>Ontario</t>
        </is>
      </c>
      <c r="M201" t="inlineStr">
        <is>
          <t>Toronto</t>
        </is>
      </c>
      <c r="N201" t="inlineStr">
        <is>
          <t>Ethan Brooks</t>
        </is>
      </c>
      <c r="O201" t="n">
        <v>4</v>
      </c>
      <c r="P201" s="3" t="n">
        <v>132.99</v>
      </c>
      <c r="Q201" s="4" t="n">
        <v>0.022</v>
      </c>
      <c r="R201" s="3" t="n">
        <v>520.26</v>
      </c>
      <c r="S201" s="3" t="n">
        <v>264</v>
      </c>
      <c r="T201" s="3" t="n">
        <v>247.06</v>
      </c>
      <c r="U201" s="4" t="n">
        <v>0.4749</v>
      </c>
      <c r="V201" s="3" t="n">
        <v>9.199999999999999</v>
      </c>
      <c r="W201" t="inlineStr">
        <is>
          <t>PayPal</t>
        </is>
      </c>
      <c r="X201" t="inlineStr">
        <is>
          <t>High</t>
        </is>
      </c>
      <c r="Y201" t="n">
        <v>2025</v>
      </c>
      <c r="Z201" t="n">
        <v>5</v>
      </c>
      <c r="AA201" t="inlineStr">
        <is>
          <t>May</t>
        </is>
      </c>
      <c r="AB201" t="inlineStr">
        <is>
          <t>Friday</t>
        </is>
      </c>
      <c r="AC201" t="n">
        <v>5</v>
      </c>
      <c r="AD201" t="inlineStr">
        <is>
          <t>Profitable</t>
        </is>
      </c>
      <c r="AE201" t="inlineStr">
        <is>
          <t>Medium</t>
        </is>
      </c>
      <c r="AF201" t="inlineStr">
        <is>
          <t>Medium</t>
        </is>
      </c>
    </row>
    <row r="202">
      <c r="A202" t="inlineStr">
        <is>
          <t>ORD-00201</t>
        </is>
      </c>
      <c r="B202" s="2" t="n">
        <v>45643</v>
      </c>
      <c r="C202" s="2" t="n">
        <v>45648</v>
      </c>
      <c r="D202" t="inlineStr">
        <is>
          <t>CUST-00201</t>
        </is>
      </c>
      <c r="E202" t="inlineStr">
        <is>
          <t>Customer 201</t>
        </is>
      </c>
      <c r="F202" t="inlineStr">
        <is>
          <t>Home Office</t>
        </is>
      </c>
      <c r="G202" t="inlineStr">
        <is>
          <t>P1009</t>
        </is>
      </c>
      <c r="H202" t="inlineStr">
        <is>
          <t>FlexNote Notebook</t>
        </is>
      </c>
      <c r="I202" t="inlineStr">
        <is>
          <t>Office Supplies</t>
        </is>
      </c>
      <c r="J202" t="inlineStr">
        <is>
          <t>Flooring</t>
        </is>
      </c>
      <c r="K202" t="inlineStr">
        <is>
          <t>East</t>
        </is>
      </c>
      <c r="L202" t="inlineStr">
        <is>
          <t>Virginia</t>
        </is>
      </c>
      <c r="M202" t="inlineStr">
        <is>
          <t>New York</t>
        </is>
      </c>
      <c r="N202" t="inlineStr">
        <is>
          <t>Noah Kim</t>
        </is>
      </c>
      <c r="O202" t="n">
        <v>1</v>
      </c>
      <c r="P202" s="3" t="n">
        <v>93.84999999999999</v>
      </c>
      <c r="Q202" s="4" t="n">
        <v>0.029</v>
      </c>
      <c r="R202" s="3" t="n">
        <v>91.13</v>
      </c>
      <c r="S202" s="3" t="n">
        <v>54.08</v>
      </c>
      <c r="T202" s="3" t="n">
        <v>29.25</v>
      </c>
      <c r="U202" s="4" t="n">
        <v>0.321</v>
      </c>
      <c r="V202" s="3" t="n">
        <v>7.8</v>
      </c>
      <c r="W202" t="inlineStr">
        <is>
          <t>Credit Card</t>
        </is>
      </c>
      <c r="X202" t="inlineStr">
        <is>
          <t>High</t>
        </is>
      </c>
      <c r="Y202" t="n">
        <v>2024</v>
      </c>
      <c r="Z202" t="n">
        <v>12</v>
      </c>
      <c r="AA202" t="inlineStr">
        <is>
          <t>Dec</t>
        </is>
      </c>
      <c r="AB202" t="inlineStr">
        <is>
          <t>Tuesday</t>
        </is>
      </c>
      <c r="AC202" t="n">
        <v>5</v>
      </c>
      <c r="AD202" t="inlineStr">
        <is>
          <t>Profitable</t>
        </is>
      </c>
      <c r="AE202" t="inlineStr">
        <is>
          <t>Medium</t>
        </is>
      </c>
      <c r="AF202" t="inlineStr">
        <is>
          <t>Small</t>
        </is>
      </c>
    </row>
    <row r="203">
      <c r="A203" t="inlineStr">
        <is>
          <t>ORD-00202</t>
        </is>
      </c>
      <c r="B203" s="2" t="n">
        <v>45202</v>
      </c>
      <c r="C203" s="2" t="n">
        <v>45203</v>
      </c>
      <c r="D203" t="inlineStr">
        <is>
          <t>CUST-00202</t>
        </is>
      </c>
      <c r="E203" t="inlineStr">
        <is>
          <t>Customer 202</t>
        </is>
      </c>
      <c r="F203" t="inlineStr">
        <is>
          <t>Corporate</t>
        </is>
      </c>
      <c r="G203" t="inlineStr">
        <is>
          <t>P1014</t>
        </is>
      </c>
      <c r="H203" t="inlineStr">
        <is>
          <t>Summit Patio Set</t>
        </is>
      </c>
      <c r="I203" t="inlineStr">
        <is>
          <t>Technology</t>
        </is>
      </c>
      <c r="J203" t="inlineStr">
        <is>
          <t>Accessories</t>
        </is>
      </c>
      <c r="K203" t="inlineStr">
        <is>
          <t>South</t>
        </is>
      </c>
      <c r="L203" t="inlineStr">
        <is>
          <t>Georgia</t>
        </is>
      </c>
      <c r="M203" t="inlineStr">
        <is>
          <t>Houston</t>
        </is>
      </c>
      <c r="N203" t="inlineStr">
        <is>
          <t>Sophia Singh</t>
        </is>
      </c>
      <c r="O203" t="n">
        <v>2</v>
      </c>
      <c r="P203" s="3" t="n">
        <v>45.17</v>
      </c>
      <c r="Q203" s="4" t="n">
        <v>0.053</v>
      </c>
      <c r="R203" s="3" t="n">
        <v>85.55</v>
      </c>
      <c r="S203" s="3" t="n">
        <v>44.21</v>
      </c>
      <c r="T203" s="3" t="n">
        <v>33.74</v>
      </c>
      <c r="U203" s="4" t="n">
        <v>0.3944</v>
      </c>
      <c r="V203" s="3" t="n">
        <v>7.6</v>
      </c>
      <c r="W203" t="inlineStr">
        <is>
          <t>Debit Card</t>
        </is>
      </c>
      <c r="X203" t="inlineStr">
        <is>
          <t>High</t>
        </is>
      </c>
      <c r="Y203" t="n">
        <v>2023</v>
      </c>
      <c r="Z203" t="n">
        <v>10</v>
      </c>
      <c r="AA203" t="inlineStr">
        <is>
          <t>Oct</t>
        </is>
      </c>
      <c r="AB203" t="inlineStr">
        <is>
          <t>Tuesday</t>
        </is>
      </c>
      <c r="AC203" t="n">
        <v>1</v>
      </c>
      <c r="AD203" t="inlineStr">
        <is>
          <t>Profitable</t>
        </is>
      </c>
      <c r="AE203" t="inlineStr">
        <is>
          <t>High</t>
        </is>
      </c>
      <c r="AF203" t="inlineStr">
        <is>
          <t>Small</t>
        </is>
      </c>
    </row>
    <row r="204">
      <c r="A204" t="inlineStr">
        <is>
          <t>ORD-00203</t>
        </is>
      </c>
      <c r="B204" s="2" t="n">
        <v>45181</v>
      </c>
      <c r="C204" s="2" t="n">
        <v>45186</v>
      </c>
      <c r="D204" t="inlineStr">
        <is>
          <t>CUST-00203</t>
        </is>
      </c>
      <c r="E204" t="inlineStr">
        <is>
          <t>Customer 203</t>
        </is>
      </c>
      <c r="F204" t="inlineStr">
        <is>
          <t>Consumer</t>
        </is>
      </c>
      <c r="G204" t="inlineStr">
        <is>
          <t>P1012</t>
        </is>
      </c>
      <c r="H204" t="inlineStr">
        <is>
          <t>FlexNote Notebook</t>
        </is>
      </c>
      <c r="I204" t="inlineStr">
        <is>
          <t>Outdoor</t>
        </is>
      </c>
      <c r="J204" t="inlineStr">
        <is>
          <t>Binders</t>
        </is>
      </c>
      <c r="K204" t="inlineStr">
        <is>
          <t>West</t>
        </is>
      </c>
      <c r="L204" t="inlineStr">
        <is>
          <t>California</t>
        </is>
      </c>
      <c r="M204" t="inlineStr">
        <is>
          <t>San Francisco</t>
        </is>
      </c>
      <c r="N204" t="inlineStr">
        <is>
          <t>Olivia Martin</t>
        </is>
      </c>
      <c r="O204" t="n">
        <v>3</v>
      </c>
      <c r="P204" s="3" t="n">
        <v>129.35</v>
      </c>
      <c r="Q204" s="4" t="n">
        <v>0.057</v>
      </c>
      <c r="R204" s="3" t="n">
        <v>365.93</v>
      </c>
      <c r="S204" s="3" t="n">
        <v>185.8</v>
      </c>
      <c r="T204" s="3" t="n">
        <v>170.73</v>
      </c>
      <c r="U204" s="4" t="n">
        <v>0.4666</v>
      </c>
      <c r="V204" s="3" t="n">
        <v>9.4</v>
      </c>
      <c r="W204" t="inlineStr">
        <is>
          <t>Debit Card</t>
        </is>
      </c>
      <c r="X204" t="inlineStr">
        <is>
          <t>High</t>
        </is>
      </c>
      <c r="Y204" t="n">
        <v>2023</v>
      </c>
      <c r="Z204" t="n">
        <v>9</v>
      </c>
      <c r="AA204" t="inlineStr">
        <is>
          <t>Sep</t>
        </is>
      </c>
      <c r="AB204" t="inlineStr">
        <is>
          <t>Tuesday</t>
        </is>
      </c>
      <c r="AC204" t="n">
        <v>5</v>
      </c>
      <c r="AD204" t="inlineStr">
        <is>
          <t>Profitable</t>
        </is>
      </c>
      <c r="AE204" t="inlineStr">
        <is>
          <t>High</t>
        </is>
      </c>
      <c r="AF204" t="inlineStr">
        <is>
          <t>Small</t>
        </is>
      </c>
    </row>
    <row r="205">
      <c r="A205" t="inlineStr">
        <is>
          <t>ORD-00204</t>
        </is>
      </c>
      <c r="B205" s="2" t="n">
        <v>45822</v>
      </c>
      <c r="C205" s="2" t="n">
        <v>45828</v>
      </c>
      <c r="D205" t="inlineStr">
        <is>
          <t>CUST-00204</t>
        </is>
      </c>
      <c r="E205" t="inlineStr">
        <is>
          <t>Customer 204</t>
        </is>
      </c>
      <c r="F205" t="inlineStr">
        <is>
          <t>Consumer</t>
        </is>
      </c>
      <c r="G205" t="inlineStr">
        <is>
          <t>P1016</t>
        </is>
      </c>
      <c r="H205" t="inlineStr">
        <is>
          <t>Aero Standing Desk</t>
        </is>
      </c>
      <c r="I205" t="inlineStr">
        <is>
          <t>Outdoor</t>
        </is>
      </c>
      <c r="J205" t="inlineStr">
        <is>
          <t>Accessories</t>
        </is>
      </c>
      <c r="K205" t="inlineStr">
        <is>
          <t>Central</t>
        </is>
      </c>
      <c r="L205" t="inlineStr">
        <is>
          <t>Missouri</t>
        </is>
      </c>
      <c r="M205" t="inlineStr">
        <is>
          <t>Minneapolis</t>
        </is>
      </c>
      <c r="N205" t="inlineStr">
        <is>
          <t>Sophia Singh</t>
        </is>
      </c>
      <c r="O205" t="n">
        <v>1</v>
      </c>
      <c r="P205" s="3" t="n">
        <v>39.47</v>
      </c>
      <c r="Q205" s="4" t="n">
        <v>0.004</v>
      </c>
      <c r="R205" s="3" t="n">
        <v>39.31</v>
      </c>
      <c r="S205" s="3" t="n">
        <v>21.5</v>
      </c>
      <c r="T205" s="3" t="n">
        <v>11.01</v>
      </c>
      <c r="U205" s="4" t="n">
        <v>0.2801</v>
      </c>
      <c r="V205" s="3" t="n">
        <v>6.8</v>
      </c>
      <c r="W205" t="inlineStr">
        <is>
          <t>Credit Card</t>
        </is>
      </c>
      <c r="X205" t="inlineStr">
        <is>
          <t>Medium</t>
        </is>
      </c>
      <c r="Y205" t="n">
        <v>2025</v>
      </c>
      <c r="Z205" t="n">
        <v>6</v>
      </c>
      <c r="AA205" t="inlineStr">
        <is>
          <t>Jun</t>
        </is>
      </c>
      <c r="AB205" t="inlineStr">
        <is>
          <t>Saturday</t>
        </is>
      </c>
      <c r="AC205" t="n">
        <v>6</v>
      </c>
      <c r="AD205" t="inlineStr">
        <is>
          <t>Profitable</t>
        </is>
      </c>
      <c r="AE205" t="inlineStr">
        <is>
          <t>Low</t>
        </is>
      </c>
      <c r="AF205" t="inlineStr">
        <is>
          <t>Small</t>
        </is>
      </c>
    </row>
    <row r="206">
      <c r="A206" t="inlineStr">
        <is>
          <t>ORD-00205</t>
        </is>
      </c>
      <c r="B206" s="2" t="n">
        <v>45293</v>
      </c>
      <c r="C206" s="2" t="n">
        <v>45299</v>
      </c>
      <c r="D206" t="inlineStr">
        <is>
          <t>CUST-00205</t>
        </is>
      </c>
      <c r="E206" t="inlineStr">
        <is>
          <t>Customer 205</t>
        </is>
      </c>
      <c r="F206" t="inlineStr">
        <is>
          <t>Consumer</t>
        </is>
      </c>
      <c r="G206" t="inlineStr">
        <is>
          <t>P1017</t>
        </is>
      </c>
      <c r="H206" t="inlineStr">
        <is>
          <t>Halo Planter</t>
        </is>
      </c>
      <c r="I206" t="inlineStr">
        <is>
          <t>Technology</t>
        </is>
      </c>
      <c r="J206" t="inlineStr">
        <is>
          <t>Bags</t>
        </is>
      </c>
      <c r="K206" t="inlineStr">
        <is>
          <t>West</t>
        </is>
      </c>
      <c r="L206" t="inlineStr">
        <is>
          <t>Oregon</t>
        </is>
      </c>
      <c r="M206" t="inlineStr">
        <is>
          <t>San Francisco</t>
        </is>
      </c>
      <c r="N206" t="inlineStr">
        <is>
          <t>Liam Chen</t>
        </is>
      </c>
      <c r="O206" t="n">
        <v>2</v>
      </c>
      <c r="P206" s="3" t="n">
        <v>548.1</v>
      </c>
      <c r="Q206" s="4" t="n">
        <v>0.021</v>
      </c>
      <c r="R206" s="3" t="n">
        <v>1073.18</v>
      </c>
      <c r="S206" s="3" t="n">
        <v>716.8099999999999</v>
      </c>
      <c r="T206" s="3" t="n">
        <v>347.77</v>
      </c>
      <c r="U206" s="4" t="n">
        <v>0.3241</v>
      </c>
      <c r="V206" s="3" t="n">
        <v>8.6</v>
      </c>
      <c r="W206" t="inlineStr">
        <is>
          <t>Credit Card</t>
        </is>
      </c>
      <c r="X206" t="inlineStr">
        <is>
          <t>Medium</t>
        </is>
      </c>
      <c r="Y206" t="n">
        <v>2024</v>
      </c>
      <c r="Z206" t="n">
        <v>1</v>
      </c>
      <c r="AA206" t="inlineStr">
        <is>
          <t>Jan</t>
        </is>
      </c>
      <c r="AB206" t="inlineStr">
        <is>
          <t>Tuesday</t>
        </is>
      </c>
      <c r="AC206" t="n">
        <v>6</v>
      </c>
      <c r="AD206" t="inlineStr">
        <is>
          <t>Profitable</t>
        </is>
      </c>
      <c r="AE206" t="inlineStr">
        <is>
          <t>Medium</t>
        </is>
      </c>
      <c r="AF206" t="inlineStr">
        <is>
          <t>Medium</t>
        </is>
      </c>
    </row>
    <row r="207">
      <c r="A207" t="inlineStr">
        <is>
          <t>ORD-00206</t>
        </is>
      </c>
      <c r="B207" s="2" t="n">
        <v>44948</v>
      </c>
      <c r="C207" s="2" t="n">
        <v>44954</v>
      </c>
      <c r="D207" t="inlineStr">
        <is>
          <t>CUST-00206</t>
        </is>
      </c>
      <c r="E207" t="inlineStr">
        <is>
          <t>Customer 206</t>
        </is>
      </c>
      <c r="F207" t="inlineStr">
        <is>
          <t>Consumer</t>
        </is>
      </c>
      <c r="G207" t="inlineStr">
        <is>
          <t>P1012</t>
        </is>
      </c>
      <c r="H207" t="inlineStr">
        <is>
          <t>Orbit Wireless Mouse</t>
        </is>
      </c>
      <c r="I207" t="inlineStr">
        <is>
          <t>Outdoor</t>
        </is>
      </c>
      <c r="J207" t="inlineStr">
        <is>
          <t>Bags</t>
        </is>
      </c>
      <c r="K207" t="inlineStr">
        <is>
          <t>West</t>
        </is>
      </c>
      <c r="L207" t="inlineStr">
        <is>
          <t>Colorado</t>
        </is>
      </c>
      <c r="M207" t="inlineStr">
        <is>
          <t>Los Angeles</t>
        </is>
      </c>
      <c r="N207" t="inlineStr">
        <is>
          <t>Ava Patel</t>
        </is>
      </c>
      <c r="O207" t="n">
        <v>5</v>
      </c>
      <c r="P207" s="3" t="n">
        <v>132.66</v>
      </c>
      <c r="Q207" s="4" t="n">
        <v>0.014</v>
      </c>
      <c r="R207" s="3" t="n">
        <v>654.01</v>
      </c>
      <c r="S207" s="3" t="n">
        <v>329.41</v>
      </c>
      <c r="T207" s="3" t="n">
        <v>313.6</v>
      </c>
      <c r="U207" s="4" t="n">
        <v>0.4795</v>
      </c>
      <c r="V207" s="3" t="n">
        <v>11</v>
      </c>
      <c r="W207" t="inlineStr">
        <is>
          <t>Bank Transfer</t>
        </is>
      </c>
      <c r="X207" t="inlineStr">
        <is>
          <t>Low</t>
        </is>
      </c>
      <c r="Y207" t="n">
        <v>2023</v>
      </c>
      <c r="Z207" t="n">
        <v>1</v>
      </c>
      <c r="AA207" t="inlineStr">
        <is>
          <t>Jan</t>
        </is>
      </c>
      <c r="AB207" t="inlineStr">
        <is>
          <t>Sunday</t>
        </is>
      </c>
      <c r="AC207" t="n">
        <v>6</v>
      </c>
      <c r="AD207" t="inlineStr">
        <is>
          <t>Profitable</t>
        </is>
      </c>
      <c r="AE207" t="inlineStr">
        <is>
          <t>Low</t>
        </is>
      </c>
      <c r="AF207" t="inlineStr">
        <is>
          <t>Medium</t>
        </is>
      </c>
    </row>
    <row r="208">
      <c r="A208" t="inlineStr">
        <is>
          <t>ORD-00207</t>
        </is>
      </c>
      <c r="B208" s="2" t="n">
        <v>45166</v>
      </c>
      <c r="C208" s="2" t="n">
        <v>45173</v>
      </c>
      <c r="D208" t="inlineStr">
        <is>
          <t>CUST-00207</t>
        </is>
      </c>
      <c r="E208" t="inlineStr">
        <is>
          <t>Customer 207</t>
        </is>
      </c>
      <c r="F208" t="inlineStr">
        <is>
          <t>Consumer</t>
        </is>
      </c>
      <c r="G208" t="inlineStr">
        <is>
          <t>P1004</t>
        </is>
      </c>
      <c r="H208" t="inlineStr">
        <is>
          <t>FlexNote Notebook</t>
        </is>
      </c>
      <c r="I208" t="inlineStr">
        <is>
          <t>Office Supplies</t>
        </is>
      </c>
      <c r="J208" t="inlineStr">
        <is>
          <t>Accessories</t>
        </is>
      </c>
      <c r="K208" t="inlineStr">
        <is>
          <t>South</t>
        </is>
      </c>
      <c r="L208" t="inlineStr">
        <is>
          <t>Georgia</t>
        </is>
      </c>
      <c r="M208" t="inlineStr">
        <is>
          <t>Houston</t>
        </is>
      </c>
      <c r="N208" t="inlineStr">
        <is>
          <t>Ava Patel</t>
        </is>
      </c>
      <c r="O208" t="n">
        <v>3</v>
      </c>
      <c r="P208" s="3" t="n">
        <v>609.14</v>
      </c>
      <c r="Q208" s="4" t="n">
        <v>0.028</v>
      </c>
      <c r="R208" s="3" t="n">
        <v>1776.25</v>
      </c>
      <c r="S208" s="3" t="n">
        <v>1130.84</v>
      </c>
      <c r="T208" s="3" t="n">
        <v>637.01</v>
      </c>
      <c r="U208" s="4" t="n">
        <v>0.3586</v>
      </c>
      <c r="V208" s="3" t="n">
        <v>8.4</v>
      </c>
      <c r="W208" t="inlineStr">
        <is>
          <t>Credit Card</t>
        </is>
      </c>
      <c r="X208" t="inlineStr">
        <is>
          <t>Medium</t>
        </is>
      </c>
      <c r="Y208" t="n">
        <v>2023</v>
      </c>
      <c r="Z208" t="n">
        <v>8</v>
      </c>
      <c r="AA208" t="inlineStr">
        <is>
          <t>Aug</t>
        </is>
      </c>
      <c r="AB208" t="inlineStr">
        <is>
          <t>Monday</t>
        </is>
      </c>
      <c r="AC208" t="n">
        <v>7</v>
      </c>
      <c r="AD208" t="inlineStr">
        <is>
          <t>Profitable</t>
        </is>
      </c>
      <c r="AE208" t="inlineStr">
        <is>
          <t>Medium</t>
        </is>
      </c>
      <c r="AF208" t="inlineStr">
        <is>
          <t>Large</t>
        </is>
      </c>
    </row>
    <row r="209">
      <c r="A209" t="inlineStr">
        <is>
          <t>ORD-00208</t>
        </is>
      </c>
      <c r="B209" s="2" t="n">
        <v>45952</v>
      </c>
      <c r="C209" s="2" t="n">
        <v>45959</v>
      </c>
      <c r="D209" t="inlineStr">
        <is>
          <t>CUST-00208</t>
        </is>
      </c>
      <c r="E209" t="inlineStr">
        <is>
          <t>Customer 208</t>
        </is>
      </c>
      <c r="F209" t="inlineStr">
        <is>
          <t>Consumer</t>
        </is>
      </c>
      <c r="G209" t="inlineStr">
        <is>
          <t>P1017</t>
        </is>
      </c>
      <c r="H209" t="inlineStr">
        <is>
          <t>Cove Wall Clock</t>
        </is>
      </c>
      <c r="I209" t="inlineStr">
        <is>
          <t>Technology</t>
        </is>
      </c>
      <c r="J209" t="inlineStr">
        <is>
          <t>Desks</t>
        </is>
      </c>
      <c r="K209" t="inlineStr">
        <is>
          <t>West</t>
        </is>
      </c>
      <c r="L209" t="inlineStr">
        <is>
          <t>Washington</t>
        </is>
      </c>
      <c r="M209" t="inlineStr">
        <is>
          <t>Seattle</t>
        </is>
      </c>
      <c r="N209" t="inlineStr">
        <is>
          <t>Sophia Singh</t>
        </is>
      </c>
      <c r="O209" t="n">
        <v>4</v>
      </c>
      <c r="P209" s="3" t="n">
        <v>626.34</v>
      </c>
      <c r="Q209" s="4" t="n">
        <v>0.007</v>
      </c>
      <c r="R209" s="3" t="n">
        <v>2487.82</v>
      </c>
      <c r="S209" s="3" t="n">
        <v>1647.75</v>
      </c>
      <c r="T209" s="3" t="n">
        <v>829.87</v>
      </c>
      <c r="U209" s="4" t="n">
        <v>0.3336</v>
      </c>
      <c r="V209" s="3" t="n">
        <v>10.2</v>
      </c>
      <c r="W209" t="inlineStr">
        <is>
          <t>PayPal</t>
        </is>
      </c>
      <c r="X209" t="inlineStr">
        <is>
          <t>Medium</t>
        </is>
      </c>
      <c r="Y209" t="n">
        <v>2025</v>
      </c>
      <c r="Z209" t="n">
        <v>10</v>
      </c>
      <c r="AA209" t="inlineStr">
        <is>
          <t>Oct</t>
        </is>
      </c>
      <c r="AB209" t="inlineStr">
        <is>
          <t>Wednesday</t>
        </is>
      </c>
      <c r="AC209" t="n">
        <v>7</v>
      </c>
      <c r="AD209" t="inlineStr">
        <is>
          <t>Profitable</t>
        </is>
      </c>
      <c r="AE209" t="inlineStr">
        <is>
          <t>Low</t>
        </is>
      </c>
      <c r="AF209" t="inlineStr">
        <is>
          <t>Large</t>
        </is>
      </c>
    </row>
    <row r="210">
      <c r="A210" t="inlineStr">
        <is>
          <t>ORD-00209</t>
        </is>
      </c>
      <c r="B210" s="2" t="n">
        <v>45143</v>
      </c>
      <c r="C210" s="2" t="n">
        <v>45149</v>
      </c>
      <c r="D210" t="inlineStr">
        <is>
          <t>CUST-00209</t>
        </is>
      </c>
      <c r="E210" t="inlineStr">
        <is>
          <t>Customer 209</t>
        </is>
      </c>
      <c r="F210" t="inlineStr">
        <is>
          <t>Consumer</t>
        </is>
      </c>
      <c r="G210" t="inlineStr">
        <is>
          <t>P1001</t>
        </is>
      </c>
      <c r="H210" t="inlineStr">
        <is>
          <t>Harbor Rug</t>
        </is>
      </c>
      <c r="I210" t="inlineStr">
        <is>
          <t>Office Supplies</t>
        </is>
      </c>
      <c r="J210" t="inlineStr">
        <is>
          <t>Bags</t>
        </is>
      </c>
      <c r="K210" t="inlineStr">
        <is>
          <t>West</t>
        </is>
      </c>
      <c r="L210" t="inlineStr">
        <is>
          <t>Oregon</t>
        </is>
      </c>
      <c r="M210" t="inlineStr">
        <is>
          <t>Seattle</t>
        </is>
      </c>
      <c r="N210" t="inlineStr">
        <is>
          <t>Olivia Martin</t>
        </is>
      </c>
      <c r="O210" t="n">
        <v>2</v>
      </c>
      <c r="P210" s="3" t="n">
        <v>323.35</v>
      </c>
      <c r="Q210" s="4" t="n">
        <v>0.025</v>
      </c>
      <c r="R210" s="3" t="n">
        <v>630.53</v>
      </c>
      <c r="S210" s="3" t="n">
        <v>374.24</v>
      </c>
      <c r="T210" s="3" t="n">
        <v>247.69</v>
      </c>
      <c r="U210" s="4" t="n">
        <v>0.3928</v>
      </c>
      <c r="V210" s="3" t="n">
        <v>8.6</v>
      </c>
      <c r="W210" t="inlineStr">
        <is>
          <t>Cash on Delivery</t>
        </is>
      </c>
      <c r="X210" t="inlineStr">
        <is>
          <t>Medium</t>
        </is>
      </c>
      <c r="Y210" t="n">
        <v>2023</v>
      </c>
      <c r="Z210" t="n">
        <v>8</v>
      </c>
      <c r="AA210" t="inlineStr">
        <is>
          <t>Aug</t>
        </is>
      </c>
      <c r="AB210" t="inlineStr">
        <is>
          <t>Saturday</t>
        </is>
      </c>
      <c r="AC210" t="n">
        <v>6</v>
      </c>
      <c r="AD210" t="inlineStr">
        <is>
          <t>Profitable</t>
        </is>
      </c>
      <c r="AE210" t="inlineStr">
        <is>
          <t>Medium</t>
        </is>
      </c>
      <c r="AF210" t="inlineStr">
        <is>
          <t>Medium</t>
        </is>
      </c>
    </row>
    <row r="211">
      <c r="A211" t="inlineStr">
        <is>
          <t>ORD-00210</t>
        </is>
      </c>
      <c r="B211" s="2" t="n">
        <v>45240</v>
      </c>
      <c r="C211" s="2" t="n">
        <v>45244</v>
      </c>
      <c r="D211" t="inlineStr">
        <is>
          <t>CUST-00210</t>
        </is>
      </c>
      <c r="E211" t="inlineStr">
        <is>
          <t>Customer 210</t>
        </is>
      </c>
      <c r="F211" t="inlineStr">
        <is>
          <t>Consumer</t>
        </is>
      </c>
      <c r="G211" t="inlineStr">
        <is>
          <t>P1017</t>
        </is>
      </c>
      <c r="H211" t="inlineStr">
        <is>
          <t>Northstar Lantern</t>
        </is>
      </c>
      <c r="I211" t="inlineStr">
        <is>
          <t>Office Supplies</t>
        </is>
      </c>
      <c r="J211" t="inlineStr">
        <is>
          <t>Paper</t>
        </is>
      </c>
      <c r="K211" t="inlineStr">
        <is>
          <t>West</t>
        </is>
      </c>
      <c r="L211" t="inlineStr">
        <is>
          <t>Washington</t>
        </is>
      </c>
      <c r="M211" t="inlineStr">
        <is>
          <t>Denver</t>
        </is>
      </c>
      <c r="N211" t="inlineStr">
        <is>
          <t>James Carter</t>
        </is>
      </c>
      <c r="O211" t="n">
        <v>2</v>
      </c>
      <c r="P211" s="3" t="n">
        <v>633.8200000000001</v>
      </c>
      <c r="Q211" s="4" t="n">
        <v>0.026</v>
      </c>
      <c r="R211" s="3" t="n">
        <v>1234.68</v>
      </c>
      <c r="S211" s="3" t="n">
        <v>825.17</v>
      </c>
      <c r="T211" s="3" t="n">
        <v>400.91</v>
      </c>
      <c r="U211" s="4" t="n">
        <v>0.3247</v>
      </c>
      <c r="V211" s="3" t="n">
        <v>8.6</v>
      </c>
      <c r="W211" t="inlineStr">
        <is>
          <t>Debit Card</t>
        </is>
      </c>
      <c r="X211" t="inlineStr">
        <is>
          <t>High</t>
        </is>
      </c>
      <c r="Y211" t="n">
        <v>2023</v>
      </c>
      <c r="Z211" t="n">
        <v>11</v>
      </c>
      <c r="AA211" t="inlineStr">
        <is>
          <t>Nov</t>
        </is>
      </c>
      <c r="AB211" t="inlineStr">
        <is>
          <t>Friday</t>
        </is>
      </c>
      <c r="AC211" t="n">
        <v>4</v>
      </c>
      <c r="AD211" t="inlineStr">
        <is>
          <t>Profitable</t>
        </is>
      </c>
      <c r="AE211" t="inlineStr">
        <is>
          <t>Medium</t>
        </is>
      </c>
      <c r="AF211" t="inlineStr">
        <is>
          <t>Medium</t>
        </is>
      </c>
    </row>
    <row r="212">
      <c r="A212" t="inlineStr">
        <is>
          <t>ORD-00211</t>
        </is>
      </c>
      <c r="B212" s="2" t="n">
        <v>45301</v>
      </c>
      <c r="C212" s="2" t="n">
        <v>45303</v>
      </c>
      <c r="D212" t="inlineStr">
        <is>
          <t>CUST-00211</t>
        </is>
      </c>
      <c r="E212" t="inlineStr">
        <is>
          <t>Customer 211</t>
        </is>
      </c>
      <c r="F212" t="inlineStr">
        <is>
          <t>Home Office</t>
        </is>
      </c>
      <c r="G212" t="inlineStr">
        <is>
          <t>P1011</t>
        </is>
      </c>
      <c r="H212" t="inlineStr">
        <is>
          <t>CloudDrive File Box</t>
        </is>
      </c>
      <c r="I212" t="inlineStr">
        <is>
          <t>Office Supplies</t>
        </is>
      </c>
      <c r="J212" t="inlineStr">
        <is>
          <t>Video</t>
        </is>
      </c>
      <c r="K212" t="inlineStr">
        <is>
          <t>North</t>
        </is>
      </c>
      <c r="L212" t="inlineStr">
        <is>
          <t>Ontario</t>
        </is>
      </c>
      <c r="M212" t="inlineStr">
        <is>
          <t>Montreal</t>
        </is>
      </c>
      <c r="N212" t="inlineStr">
        <is>
          <t>Mia Rodriguez</t>
        </is>
      </c>
      <c r="O212" t="n">
        <v>4</v>
      </c>
      <c r="P212" s="3" t="n">
        <v>89.64</v>
      </c>
      <c r="Q212" s="4" t="n">
        <v>0.027</v>
      </c>
      <c r="R212" s="3" t="n">
        <v>348.88</v>
      </c>
      <c r="S212" s="3" t="n">
        <v>169.1</v>
      </c>
      <c r="T212" s="3" t="n">
        <v>170.58</v>
      </c>
      <c r="U212" s="4" t="n">
        <v>0.4889</v>
      </c>
      <c r="V212" s="3" t="n">
        <v>9.199999999999999</v>
      </c>
      <c r="W212" t="inlineStr">
        <is>
          <t>PayPal</t>
        </is>
      </c>
      <c r="X212" t="inlineStr">
        <is>
          <t>High</t>
        </is>
      </c>
      <c r="Y212" t="n">
        <v>2024</v>
      </c>
      <c r="Z212" t="n">
        <v>1</v>
      </c>
      <c r="AA212" t="inlineStr">
        <is>
          <t>Jan</t>
        </is>
      </c>
      <c r="AB212" t="inlineStr">
        <is>
          <t>Wednesday</t>
        </is>
      </c>
      <c r="AC212" t="n">
        <v>2</v>
      </c>
      <c r="AD212" t="inlineStr">
        <is>
          <t>Profitable</t>
        </is>
      </c>
      <c r="AE212" t="inlineStr">
        <is>
          <t>Medium</t>
        </is>
      </c>
      <c r="AF212" t="inlineStr">
        <is>
          <t>Small</t>
        </is>
      </c>
    </row>
    <row r="213">
      <c r="A213" t="inlineStr">
        <is>
          <t>ORD-00212</t>
        </is>
      </c>
      <c r="B213" s="2" t="n">
        <v>45829</v>
      </c>
      <c r="C213" s="2" t="n">
        <v>45830</v>
      </c>
      <c r="D213" t="inlineStr">
        <is>
          <t>CUST-00212</t>
        </is>
      </c>
      <c r="E213" t="inlineStr">
        <is>
          <t>Customer 212</t>
        </is>
      </c>
      <c r="F213" t="inlineStr">
        <is>
          <t>Consumer</t>
        </is>
      </c>
      <c r="G213" t="inlineStr">
        <is>
          <t>P1019</t>
        </is>
      </c>
      <c r="H213" t="inlineStr">
        <is>
          <t>Echo Web Camera</t>
        </is>
      </c>
      <c r="I213" t="inlineStr">
        <is>
          <t>Outdoor</t>
        </is>
      </c>
      <c r="J213" t="inlineStr">
        <is>
          <t>Furniture</t>
        </is>
      </c>
      <c r="K213" t="inlineStr">
        <is>
          <t>West</t>
        </is>
      </c>
      <c r="L213" t="inlineStr">
        <is>
          <t>California</t>
        </is>
      </c>
      <c r="M213" t="inlineStr">
        <is>
          <t>Los Angeles</t>
        </is>
      </c>
      <c r="N213" t="inlineStr">
        <is>
          <t>Sophia Singh</t>
        </is>
      </c>
      <c r="O213" t="n">
        <v>3</v>
      </c>
      <c r="P213" s="3" t="n">
        <v>61.84</v>
      </c>
      <c r="Q213" s="4" t="n">
        <v>0.024</v>
      </c>
      <c r="R213" s="3" t="n">
        <v>181.07</v>
      </c>
      <c r="S213" s="3" t="n">
        <v>77.91</v>
      </c>
      <c r="T213" s="3" t="n">
        <v>93.76000000000001</v>
      </c>
      <c r="U213" s="4" t="n">
        <v>0.5178</v>
      </c>
      <c r="V213" s="3" t="n">
        <v>9.4</v>
      </c>
      <c r="W213" t="inlineStr">
        <is>
          <t>Bank Transfer</t>
        </is>
      </c>
      <c r="X213" t="inlineStr">
        <is>
          <t>Medium</t>
        </is>
      </c>
      <c r="Y213" t="n">
        <v>2025</v>
      </c>
      <c r="Z213" t="n">
        <v>6</v>
      </c>
      <c r="AA213" t="inlineStr">
        <is>
          <t>Jun</t>
        </is>
      </c>
      <c r="AB213" t="inlineStr">
        <is>
          <t>Saturday</t>
        </is>
      </c>
      <c r="AC213" t="n">
        <v>1</v>
      </c>
      <c r="AD213" t="inlineStr">
        <is>
          <t>Profitable</t>
        </is>
      </c>
      <c r="AE213" t="inlineStr">
        <is>
          <t>Medium</t>
        </is>
      </c>
      <c r="AF213" t="inlineStr">
        <is>
          <t>Small</t>
        </is>
      </c>
    </row>
    <row r="214">
      <c r="A214" t="inlineStr">
        <is>
          <t>ORD-00213</t>
        </is>
      </c>
      <c r="B214" s="2" t="n">
        <v>45756</v>
      </c>
      <c r="C214" s="2" t="n">
        <v>45760</v>
      </c>
      <c r="D214" t="inlineStr">
        <is>
          <t>CUST-00213</t>
        </is>
      </c>
      <c r="E214" t="inlineStr">
        <is>
          <t>Customer 213</t>
        </is>
      </c>
      <c r="F214" t="inlineStr">
        <is>
          <t>Consumer</t>
        </is>
      </c>
      <c r="G214" t="inlineStr">
        <is>
          <t>P1018</t>
        </is>
      </c>
      <c r="H214" t="inlineStr">
        <is>
          <t>Trail Tote</t>
        </is>
      </c>
      <c r="I214" t="inlineStr">
        <is>
          <t>Home Decor</t>
        </is>
      </c>
      <c r="J214" t="inlineStr">
        <is>
          <t>Paper</t>
        </is>
      </c>
      <c r="K214" t="inlineStr">
        <is>
          <t>Central</t>
        </is>
      </c>
      <c r="L214" t="inlineStr">
        <is>
          <t>Kansas</t>
        </is>
      </c>
      <c r="M214" t="inlineStr">
        <is>
          <t>St. Louis</t>
        </is>
      </c>
      <c r="N214" t="inlineStr">
        <is>
          <t>James Carter</t>
        </is>
      </c>
      <c r="O214" t="n">
        <v>3</v>
      </c>
      <c r="P214" s="3" t="n">
        <v>86.01000000000001</v>
      </c>
      <c r="Q214" s="4" t="n">
        <v>0.011</v>
      </c>
      <c r="R214" s="3" t="n">
        <v>255.19</v>
      </c>
      <c r="S214" s="3" t="n">
        <v>120.15</v>
      </c>
      <c r="T214" s="3" t="n">
        <v>126.64</v>
      </c>
      <c r="U214" s="4" t="n">
        <v>0.4963</v>
      </c>
      <c r="V214" s="3" t="n">
        <v>8.4</v>
      </c>
      <c r="W214" t="inlineStr">
        <is>
          <t>Bank Transfer</t>
        </is>
      </c>
      <c r="X214" t="inlineStr">
        <is>
          <t>Medium</t>
        </is>
      </c>
      <c r="Y214" t="n">
        <v>2025</v>
      </c>
      <c r="Z214" t="n">
        <v>4</v>
      </c>
      <c r="AA214" t="inlineStr">
        <is>
          <t>Apr</t>
        </is>
      </c>
      <c r="AB214" t="inlineStr">
        <is>
          <t>Wednesday</t>
        </is>
      </c>
      <c r="AC214" t="n">
        <v>4</v>
      </c>
      <c r="AD214" t="inlineStr">
        <is>
          <t>Profitable</t>
        </is>
      </c>
      <c r="AE214" t="inlineStr">
        <is>
          <t>Low</t>
        </is>
      </c>
      <c r="AF214" t="inlineStr">
        <is>
          <t>Small</t>
        </is>
      </c>
    </row>
    <row r="215">
      <c r="A215" t="inlineStr">
        <is>
          <t>ORD-00214</t>
        </is>
      </c>
      <c r="B215" s="2" t="n">
        <v>45128</v>
      </c>
      <c r="C215" s="2" t="n">
        <v>45134</v>
      </c>
      <c r="D215" t="inlineStr">
        <is>
          <t>CUST-00214</t>
        </is>
      </c>
      <c r="E215" t="inlineStr">
        <is>
          <t>Customer 214</t>
        </is>
      </c>
      <c r="F215" t="inlineStr">
        <is>
          <t>Corporate</t>
        </is>
      </c>
      <c r="G215" t="inlineStr">
        <is>
          <t>P1020</t>
        </is>
      </c>
      <c r="H215" t="inlineStr">
        <is>
          <t>Northstar Lantern</t>
        </is>
      </c>
      <c r="I215" t="inlineStr">
        <is>
          <t>Technology</t>
        </is>
      </c>
      <c r="J215" t="inlineStr">
        <is>
          <t>Desks</t>
        </is>
      </c>
      <c r="K215" t="inlineStr">
        <is>
          <t>East</t>
        </is>
      </c>
      <c r="L215" t="inlineStr">
        <is>
          <t>New York</t>
        </is>
      </c>
      <c r="M215" t="inlineStr">
        <is>
          <t>Philadelphia</t>
        </is>
      </c>
      <c r="N215" t="inlineStr">
        <is>
          <t>Sophia Singh</t>
        </is>
      </c>
      <c r="O215" t="n">
        <v>3</v>
      </c>
      <c r="P215" s="3" t="n">
        <v>74.53</v>
      </c>
      <c r="Q215" s="4" t="n">
        <v>0.034</v>
      </c>
      <c r="R215" s="3" t="n">
        <v>215.99</v>
      </c>
      <c r="S215" s="3" t="n">
        <v>107.97</v>
      </c>
      <c r="T215" s="3" t="n">
        <v>98.62</v>
      </c>
      <c r="U215" s="4" t="n">
        <v>0.4566</v>
      </c>
      <c r="V215" s="3" t="n">
        <v>9.4</v>
      </c>
      <c r="W215" t="inlineStr">
        <is>
          <t>Credit Card</t>
        </is>
      </c>
      <c r="X215" t="inlineStr">
        <is>
          <t>Medium</t>
        </is>
      </c>
      <c r="Y215" t="n">
        <v>2023</v>
      </c>
      <c r="Z215" t="n">
        <v>7</v>
      </c>
      <c r="AA215" t="inlineStr">
        <is>
          <t>Jul</t>
        </is>
      </c>
      <c r="AB215" t="inlineStr">
        <is>
          <t>Friday</t>
        </is>
      </c>
      <c r="AC215" t="n">
        <v>6</v>
      </c>
      <c r="AD215" t="inlineStr">
        <is>
          <t>Profitable</t>
        </is>
      </c>
      <c r="AE215" t="inlineStr">
        <is>
          <t>Medium</t>
        </is>
      </c>
      <c r="AF215" t="inlineStr">
        <is>
          <t>Small</t>
        </is>
      </c>
    </row>
    <row r="216">
      <c r="A216" t="inlineStr">
        <is>
          <t>ORD-00215</t>
        </is>
      </c>
      <c r="B216" s="2" t="n">
        <v>45701</v>
      </c>
      <c r="C216" s="2" t="n">
        <v>45702</v>
      </c>
      <c r="D216" t="inlineStr">
        <is>
          <t>CUST-00215</t>
        </is>
      </c>
      <c r="E216" t="inlineStr">
        <is>
          <t>Customer 215</t>
        </is>
      </c>
      <c r="F216" t="inlineStr">
        <is>
          <t>Home Office</t>
        </is>
      </c>
      <c r="G216" t="inlineStr">
        <is>
          <t>P1002</t>
        </is>
      </c>
      <c r="H216" t="inlineStr">
        <is>
          <t>Northstar Lantern</t>
        </is>
      </c>
      <c r="I216" t="inlineStr">
        <is>
          <t>Office Supplies</t>
        </is>
      </c>
      <c r="J216" t="inlineStr">
        <is>
          <t>Storage</t>
        </is>
      </c>
      <c r="K216" t="inlineStr">
        <is>
          <t>South</t>
        </is>
      </c>
      <c r="L216" t="inlineStr">
        <is>
          <t>Texas</t>
        </is>
      </c>
      <c r="M216" t="inlineStr">
        <is>
          <t>Atlanta</t>
        </is>
      </c>
      <c r="N216" t="inlineStr">
        <is>
          <t>Liam Chen</t>
        </is>
      </c>
      <c r="O216" t="n">
        <v>3</v>
      </c>
      <c r="P216" s="3" t="n">
        <v>74.83</v>
      </c>
      <c r="Q216" s="4" t="n">
        <v>0.024</v>
      </c>
      <c r="R216" s="3" t="n">
        <v>219.1</v>
      </c>
      <c r="S216" s="3" t="n">
        <v>106.14</v>
      </c>
      <c r="T216" s="3" t="n">
        <v>104.56</v>
      </c>
      <c r="U216" s="4" t="n">
        <v>0.4772</v>
      </c>
      <c r="V216" s="3" t="n">
        <v>8.4</v>
      </c>
      <c r="W216" t="inlineStr">
        <is>
          <t>Credit Card</t>
        </is>
      </c>
      <c r="X216" t="inlineStr">
        <is>
          <t>Medium</t>
        </is>
      </c>
      <c r="Y216" t="n">
        <v>2025</v>
      </c>
      <c r="Z216" t="n">
        <v>2</v>
      </c>
      <c r="AA216" t="inlineStr">
        <is>
          <t>Feb</t>
        </is>
      </c>
      <c r="AB216" t="inlineStr">
        <is>
          <t>Thursday</t>
        </is>
      </c>
      <c r="AC216" t="n">
        <v>1</v>
      </c>
      <c r="AD216" t="inlineStr">
        <is>
          <t>Profitable</t>
        </is>
      </c>
      <c r="AE216" t="inlineStr">
        <is>
          <t>Medium</t>
        </is>
      </c>
      <c r="AF216" t="inlineStr">
        <is>
          <t>Small</t>
        </is>
      </c>
    </row>
    <row r="217">
      <c r="A217" t="inlineStr">
        <is>
          <t>ORD-00216</t>
        </is>
      </c>
      <c r="B217" s="2" t="n">
        <v>45270</v>
      </c>
      <c r="C217" s="2" t="n">
        <v>45272</v>
      </c>
      <c r="D217" t="inlineStr">
        <is>
          <t>CUST-00216</t>
        </is>
      </c>
      <c r="E217" t="inlineStr">
        <is>
          <t>Customer 216</t>
        </is>
      </c>
      <c r="F217" t="inlineStr">
        <is>
          <t>Consumer</t>
        </is>
      </c>
      <c r="G217" t="inlineStr">
        <is>
          <t>P1009</t>
        </is>
      </c>
      <c r="H217" t="inlineStr">
        <is>
          <t>ProClip Binder</t>
        </is>
      </c>
      <c r="I217" t="inlineStr">
        <is>
          <t>Furniture</t>
        </is>
      </c>
      <c r="J217" t="inlineStr">
        <is>
          <t>Accessories</t>
        </is>
      </c>
      <c r="K217" t="inlineStr">
        <is>
          <t>Central</t>
        </is>
      </c>
      <c r="L217" t="inlineStr">
        <is>
          <t>Kansas</t>
        </is>
      </c>
      <c r="M217" t="inlineStr">
        <is>
          <t>St. Louis</t>
        </is>
      </c>
      <c r="N217" t="inlineStr">
        <is>
          <t>Ava Patel</t>
        </is>
      </c>
      <c r="O217" t="n">
        <v>6</v>
      </c>
      <c r="P217" s="3" t="n">
        <v>95.72</v>
      </c>
      <c r="Q217" s="4" t="n">
        <v>0.054</v>
      </c>
      <c r="R217" s="3" t="n">
        <v>543.3099999999999</v>
      </c>
      <c r="S217" s="3" t="n">
        <v>261.59</v>
      </c>
      <c r="T217" s="3" t="n">
        <v>270.92</v>
      </c>
      <c r="U217" s="4" t="n">
        <v>0.4986</v>
      </c>
      <c r="V217" s="3" t="n">
        <v>10.8</v>
      </c>
      <c r="W217" t="inlineStr">
        <is>
          <t>Credit Card</t>
        </is>
      </c>
      <c r="X217" t="inlineStr">
        <is>
          <t>High</t>
        </is>
      </c>
      <c r="Y217" t="n">
        <v>2023</v>
      </c>
      <c r="Z217" t="n">
        <v>12</v>
      </c>
      <c r="AA217" t="inlineStr">
        <is>
          <t>Dec</t>
        </is>
      </c>
      <c r="AB217" t="inlineStr">
        <is>
          <t>Sunday</t>
        </is>
      </c>
      <c r="AC217" t="n">
        <v>2</v>
      </c>
      <c r="AD217" t="inlineStr">
        <is>
          <t>Profitable</t>
        </is>
      </c>
      <c r="AE217" t="inlineStr">
        <is>
          <t>High</t>
        </is>
      </c>
      <c r="AF217" t="inlineStr">
        <is>
          <t>Medium</t>
        </is>
      </c>
    </row>
    <row r="218">
      <c r="A218" t="inlineStr">
        <is>
          <t>ORD-00217</t>
        </is>
      </c>
      <c r="B218" s="2" t="n">
        <v>45388</v>
      </c>
      <c r="C218" s="2" t="n">
        <v>45393</v>
      </c>
      <c r="D218" t="inlineStr">
        <is>
          <t>CUST-00217</t>
        </is>
      </c>
      <c r="E218" t="inlineStr">
        <is>
          <t>Customer 217</t>
        </is>
      </c>
      <c r="F218" t="inlineStr">
        <is>
          <t>Home Office</t>
        </is>
      </c>
      <c r="G218" t="inlineStr">
        <is>
          <t>P1009</t>
        </is>
      </c>
      <c r="H218" t="inlineStr">
        <is>
          <t>CloudDrive File Box</t>
        </is>
      </c>
      <c r="I218" t="inlineStr">
        <is>
          <t>Technology</t>
        </is>
      </c>
      <c r="J218" t="inlineStr">
        <is>
          <t>Furniture</t>
        </is>
      </c>
      <c r="K218" t="inlineStr">
        <is>
          <t>East</t>
        </is>
      </c>
      <c r="L218" t="inlineStr">
        <is>
          <t>New Jersey</t>
        </is>
      </c>
      <c r="M218" t="inlineStr">
        <is>
          <t>Washington</t>
        </is>
      </c>
      <c r="N218" t="inlineStr">
        <is>
          <t>Noah Kim</t>
        </is>
      </c>
      <c r="O218" t="n">
        <v>4</v>
      </c>
      <c r="P218" s="3" t="n">
        <v>94.68000000000001</v>
      </c>
      <c r="Q218" s="4" t="n">
        <v>0.003</v>
      </c>
      <c r="R218" s="3" t="n">
        <v>377.58</v>
      </c>
      <c r="S218" s="3" t="n">
        <v>183.01</v>
      </c>
      <c r="T218" s="3" t="n">
        <v>184.37</v>
      </c>
      <c r="U218" s="4" t="n">
        <v>0.4883</v>
      </c>
      <c r="V218" s="3" t="n">
        <v>10.2</v>
      </c>
      <c r="W218" t="inlineStr">
        <is>
          <t>Debit Card</t>
        </is>
      </c>
      <c r="X218" t="inlineStr">
        <is>
          <t>Low</t>
        </is>
      </c>
      <c r="Y218" t="n">
        <v>2024</v>
      </c>
      <c r="Z218" t="n">
        <v>4</v>
      </c>
      <c r="AA218" t="inlineStr">
        <is>
          <t>Apr</t>
        </is>
      </c>
      <c r="AB218" t="inlineStr">
        <is>
          <t>Saturday</t>
        </is>
      </c>
      <c r="AC218" t="n">
        <v>5</v>
      </c>
      <c r="AD218" t="inlineStr">
        <is>
          <t>Profitable</t>
        </is>
      </c>
      <c r="AE218" t="inlineStr">
        <is>
          <t>Low</t>
        </is>
      </c>
      <c r="AF218" t="inlineStr">
        <is>
          <t>Small</t>
        </is>
      </c>
    </row>
    <row r="219">
      <c r="A219" t="inlineStr">
        <is>
          <t>ORD-00218</t>
        </is>
      </c>
      <c r="B219" s="2" t="n">
        <v>46002</v>
      </c>
      <c r="C219" s="2" t="n">
        <v>46006</v>
      </c>
      <c r="D219" t="inlineStr">
        <is>
          <t>CUST-00218</t>
        </is>
      </c>
      <c r="E219" t="inlineStr">
        <is>
          <t>Customer 218</t>
        </is>
      </c>
      <c r="F219" t="inlineStr">
        <is>
          <t>Consumer</t>
        </is>
      </c>
      <c r="G219" t="inlineStr">
        <is>
          <t>P1012</t>
        </is>
      </c>
      <c r="H219" t="inlineStr">
        <is>
          <t>Orbit Wireless Mouse</t>
        </is>
      </c>
      <c r="I219" t="inlineStr">
        <is>
          <t>Home Decor</t>
        </is>
      </c>
      <c r="J219" t="inlineStr">
        <is>
          <t>Storage</t>
        </is>
      </c>
      <c r="K219" t="inlineStr">
        <is>
          <t>South</t>
        </is>
      </c>
      <c r="L219" t="inlineStr">
        <is>
          <t>Texas</t>
        </is>
      </c>
      <c r="M219" t="inlineStr">
        <is>
          <t>Atlanta</t>
        </is>
      </c>
      <c r="N219" t="inlineStr">
        <is>
          <t>Olivia Martin</t>
        </is>
      </c>
      <c r="O219" t="n">
        <v>4</v>
      </c>
      <c r="P219" s="3" t="n">
        <v>133.35</v>
      </c>
      <c r="Q219" s="4" t="n">
        <v>0.038</v>
      </c>
      <c r="R219" s="3" t="n">
        <v>513.13</v>
      </c>
      <c r="S219" s="3" t="n">
        <v>258.07</v>
      </c>
      <c r="T219" s="3" t="n">
        <v>245.86</v>
      </c>
      <c r="U219" s="4" t="n">
        <v>0.4791</v>
      </c>
      <c r="V219" s="3" t="n">
        <v>9.199999999999999</v>
      </c>
      <c r="W219" t="inlineStr">
        <is>
          <t>Credit Card</t>
        </is>
      </c>
      <c r="X219" t="inlineStr">
        <is>
          <t>High</t>
        </is>
      </c>
      <c r="Y219" t="n">
        <v>2025</v>
      </c>
      <c r="Z219" t="n">
        <v>12</v>
      </c>
      <c r="AA219" t="inlineStr">
        <is>
          <t>Dec</t>
        </is>
      </c>
      <c r="AB219" t="inlineStr">
        <is>
          <t>Thursday</t>
        </is>
      </c>
      <c r="AC219" t="n">
        <v>4</v>
      </c>
      <c r="AD219" t="inlineStr">
        <is>
          <t>Profitable</t>
        </is>
      </c>
      <c r="AE219" t="inlineStr">
        <is>
          <t>Medium</t>
        </is>
      </c>
      <c r="AF219" t="inlineStr">
        <is>
          <t>Medium</t>
        </is>
      </c>
    </row>
    <row r="220">
      <c r="A220" t="inlineStr">
        <is>
          <t>ORD-00219</t>
        </is>
      </c>
      <c r="B220" s="2" t="n">
        <v>45447</v>
      </c>
      <c r="C220" s="2" t="n">
        <v>45449</v>
      </c>
      <c r="D220" t="inlineStr">
        <is>
          <t>CUST-00219</t>
        </is>
      </c>
      <c r="E220" t="inlineStr">
        <is>
          <t>Customer 219</t>
        </is>
      </c>
      <c r="F220" t="inlineStr">
        <is>
          <t>Consumer</t>
        </is>
      </c>
      <c r="G220" t="inlineStr">
        <is>
          <t>P1013</t>
        </is>
      </c>
      <c r="H220" t="inlineStr">
        <is>
          <t>Summit Patio Set</t>
        </is>
      </c>
      <c r="I220" t="inlineStr">
        <is>
          <t>Home Decor</t>
        </is>
      </c>
      <c r="J220" t="inlineStr">
        <is>
          <t>Paper</t>
        </is>
      </c>
      <c r="K220" t="inlineStr">
        <is>
          <t>East</t>
        </is>
      </c>
      <c r="L220" t="inlineStr">
        <is>
          <t>New York</t>
        </is>
      </c>
      <c r="M220" t="inlineStr">
        <is>
          <t>Boston</t>
        </is>
      </c>
      <c r="N220" t="inlineStr">
        <is>
          <t>Olivia Martin</t>
        </is>
      </c>
      <c r="O220" t="n">
        <v>3</v>
      </c>
      <c r="P220" s="3" t="n">
        <v>168.38</v>
      </c>
      <c r="Q220" s="4" t="n">
        <v>0.016</v>
      </c>
      <c r="R220" s="3" t="n">
        <v>497.06</v>
      </c>
      <c r="S220" s="3" t="n">
        <v>289.97</v>
      </c>
      <c r="T220" s="3" t="n">
        <v>197.69</v>
      </c>
      <c r="U220" s="4" t="n">
        <v>0.3977</v>
      </c>
      <c r="V220" s="3" t="n">
        <v>9.4</v>
      </c>
      <c r="W220" t="inlineStr">
        <is>
          <t>Debit Card</t>
        </is>
      </c>
      <c r="X220" t="inlineStr">
        <is>
          <t>Medium</t>
        </is>
      </c>
      <c r="Y220" t="n">
        <v>2024</v>
      </c>
      <c r="Z220" t="n">
        <v>6</v>
      </c>
      <c r="AA220" t="inlineStr">
        <is>
          <t>Jun</t>
        </is>
      </c>
      <c r="AB220" t="inlineStr">
        <is>
          <t>Tuesday</t>
        </is>
      </c>
      <c r="AC220" t="n">
        <v>2</v>
      </c>
      <c r="AD220" t="inlineStr">
        <is>
          <t>Profitable</t>
        </is>
      </c>
      <c r="AE220" t="inlineStr">
        <is>
          <t>Low</t>
        </is>
      </c>
      <c r="AF220" t="inlineStr">
        <is>
          <t>Small</t>
        </is>
      </c>
    </row>
    <row r="221">
      <c r="A221" t="inlineStr">
        <is>
          <t>ORD-00220</t>
        </is>
      </c>
      <c r="B221" s="2" t="n">
        <v>46017</v>
      </c>
      <c r="C221" s="2" t="n">
        <v>46018</v>
      </c>
      <c r="D221" t="inlineStr">
        <is>
          <t>CUST-00220</t>
        </is>
      </c>
      <c r="E221" t="inlineStr">
        <is>
          <t>Customer 220</t>
        </is>
      </c>
      <c r="F221" t="inlineStr">
        <is>
          <t>Consumer</t>
        </is>
      </c>
      <c r="G221" t="inlineStr">
        <is>
          <t>P1016</t>
        </is>
      </c>
      <c r="H221" t="inlineStr">
        <is>
          <t>ErgoMesh Chair</t>
        </is>
      </c>
      <c r="I221" t="inlineStr">
        <is>
          <t>Home Decor</t>
        </is>
      </c>
      <c r="J221" t="inlineStr">
        <is>
          <t>Peripherals</t>
        </is>
      </c>
      <c r="K221" t="inlineStr">
        <is>
          <t>North</t>
        </is>
      </c>
      <c r="L221" t="inlineStr">
        <is>
          <t>British Columbia</t>
        </is>
      </c>
      <c r="M221" t="inlineStr">
        <is>
          <t>Montreal</t>
        </is>
      </c>
      <c r="N221" t="inlineStr">
        <is>
          <t>Sophia Singh</t>
        </is>
      </c>
      <c r="O221" t="n">
        <v>1</v>
      </c>
      <c r="P221" s="3" t="n">
        <v>42.16</v>
      </c>
      <c r="Q221" s="4" t="n">
        <v>0.048</v>
      </c>
      <c r="R221" s="3" t="n">
        <v>40.14</v>
      </c>
      <c r="S221" s="3" t="n">
        <v>23.89</v>
      </c>
      <c r="T221" s="3" t="n">
        <v>9.449999999999999</v>
      </c>
      <c r="U221" s="4" t="n">
        <v>0.2354</v>
      </c>
      <c r="V221" s="3" t="n">
        <v>6.8</v>
      </c>
      <c r="W221" t="inlineStr">
        <is>
          <t>Bank Transfer</t>
        </is>
      </c>
      <c r="X221" t="inlineStr">
        <is>
          <t>Critical</t>
        </is>
      </c>
      <c r="Y221" t="n">
        <v>2025</v>
      </c>
      <c r="Z221" t="n">
        <v>12</v>
      </c>
      <c r="AA221" t="inlineStr">
        <is>
          <t>Dec</t>
        </is>
      </c>
      <c r="AB221" t="inlineStr">
        <is>
          <t>Friday</t>
        </is>
      </c>
      <c r="AC221" t="n">
        <v>1</v>
      </c>
      <c r="AD221" t="inlineStr">
        <is>
          <t>Profitable</t>
        </is>
      </c>
      <c r="AE221" t="inlineStr">
        <is>
          <t>Medium</t>
        </is>
      </c>
      <c r="AF221" t="inlineStr">
        <is>
          <t>Small</t>
        </is>
      </c>
    </row>
    <row r="222">
      <c r="A222" t="inlineStr">
        <is>
          <t>ORD-00221</t>
        </is>
      </c>
      <c r="B222" s="2" t="n">
        <v>45883</v>
      </c>
      <c r="C222" s="2" t="n">
        <v>45886</v>
      </c>
      <c r="D222" t="inlineStr">
        <is>
          <t>CUST-00221</t>
        </is>
      </c>
      <c r="E222" t="inlineStr">
        <is>
          <t>Customer 221</t>
        </is>
      </c>
      <c r="F222" t="inlineStr">
        <is>
          <t>Corporate</t>
        </is>
      </c>
      <c r="G222" t="inlineStr">
        <is>
          <t>P1013</t>
        </is>
      </c>
      <c r="H222" t="inlineStr">
        <is>
          <t>Northstar Lantern</t>
        </is>
      </c>
      <c r="I222" t="inlineStr">
        <is>
          <t>Office Supplies</t>
        </is>
      </c>
      <c r="J222" t="inlineStr">
        <is>
          <t>Coolers</t>
        </is>
      </c>
      <c r="K222" t="inlineStr">
        <is>
          <t>South</t>
        </is>
      </c>
      <c r="L222" t="inlineStr">
        <is>
          <t>Florida</t>
        </is>
      </c>
      <c r="M222" t="inlineStr">
        <is>
          <t>Houston</t>
        </is>
      </c>
      <c r="N222" t="inlineStr">
        <is>
          <t>Olivia Martin</t>
        </is>
      </c>
      <c r="O222" t="n">
        <v>3</v>
      </c>
      <c r="P222" s="3" t="n">
        <v>166.21</v>
      </c>
      <c r="Q222" s="4" t="n">
        <v>0.026</v>
      </c>
      <c r="R222" s="3" t="n">
        <v>485.67</v>
      </c>
      <c r="S222" s="3" t="n">
        <v>281.59</v>
      </c>
      <c r="T222" s="3" t="n">
        <v>195.68</v>
      </c>
      <c r="U222" s="4" t="n">
        <v>0.4029</v>
      </c>
      <c r="V222" s="3" t="n">
        <v>8.4</v>
      </c>
      <c r="W222" t="inlineStr">
        <is>
          <t>Cash on Delivery</t>
        </is>
      </c>
      <c r="X222" t="inlineStr">
        <is>
          <t>Medium</t>
        </is>
      </c>
      <c r="Y222" t="n">
        <v>2025</v>
      </c>
      <c r="Z222" t="n">
        <v>8</v>
      </c>
      <c r="AA222" t="inlineStr">
        <is>
          <t>Aug</t>
        </is>
      </c>
      <c r="AB222" t="inlineStr">
        <is>
          <t>Thursday</t>
        </is>
      </c>
      <c r="AC222" t="n">
        <v>3</v>
      </c>
      <c r="AD222" t="inlineStr">
        <is>
          <t>Profitable</t>
        </is>
      </c>
      <c r="AE222" t="inlineStr">
        <is>
          <t>Medium</t>
        </is>
      </c>
      <c r="AF222" t="inlineStr">
        <is>
          <t>Small</t>
        </is>
      </c>
    </row>
    <row r="223">
      <c r="A223" t="inlineStr">
        <is>
          <t>ORD-00222</t>
        </is>
      </c>
      <c r="B223" s="2" t="n">
        <v>45643</v>
      </c>
      <c r="C223" s="2" t="n">
        <v>45647</v>
      </c>
      <c r="D223" t="inlineStr">
        <is>
          <t>CUST-00222</t>
        </is>
      </c>
      <c r="E223" t="inlineStr">
        <is>
          <t>Customer 222</t>
        </is>
      </c>
      <c r="F223" t="inlineStr">
        <is>
          <t>Consumer</t>
        </is>
      </c>
      <c r="G223" t="inlineStr">
        <is>
          <t>P1014</t>
        </is>
      </c>
      <c r="H223" t="inlineStr">
        <is>
          <t>Echo Web Camera</t>
        </is>
      </c>
      <c r="I223" t="inlineStr">
        <is>
          <t>Home Decor</t>
        </is>
      </c>
      <c r="J223" t="inlineStr">
        <is>
          <t>Decor</t>
        </is>
      </c>
      <c r="K223" t="inlineStr">
        <is>
          <t>East</t>
        </is>
      </c>
      <c r="L223" t="inlineStr">
        <is>
          <t>Virginia</t>
        </is>
      </c>
      <c r="M223" t="inlineStr">
        <is>
          <t>New York</t>
        </is>
      </c>
      <c r="N223" t="inlineStr">
        <is>
          <t>James Carter</t>
        </is>
      </c>
      <c r="O223" t="n">
        <v>3</v>
      </c>
      <c r="P223" s="3" t="n">
        <v>44.78</v>
      </c>
      <c r="Q223" s="4" t="n">
        <v>0.028</v>
      </c>
      <c r="R223" s="3" t="n">
        <v>130.58</v>
      </c>
      <c r="S223" s="3" t="n">
        <v>60.72</v>
      </c>
      <c r="T223" s="3" t="n">
        <v>60.46</v>
      </c>
      <c r="U223" s="4" t="n">
        <v>0.463</v>
      </c>
      <c r="V223" s="3" t="n">
        <v>9.4</v>
      </c>
      <c r="W223" t="inlineStr">
        <is>
          <t>PayPal</t>
        </is>
      </c>
      <c r="X223" t="inlineStr">
        <is>
          <t>Medium</t>
        </is>
      </c>
      <c r="Y223" t="n">
        <v>2024</v>
      </c>
      <c r="Z223" t="n">
        <v>12</v>
      </c>
      <c r="AA223" t="inlineStr">
        <is>
          <t>Dec</t>
        </is>
      </c>
      <c r="AB223" t="inlineStr">
        <is>
          <t>Tuesday</t>
        </is>
      </c>
      <c r="AC223" t="n">
        <v>4</v>
      </c>
      <c r="AD223" t="inlineStr">
        <is>
          <t>Profitable</t>
        </is>
      </c>
      <c r="AE223" t="inlineStr">
        <is>
          <t>Medium</t>
        </is>
      </c>
      <c r="AF223" t="inlineStr">
        <is>
          <t>Small</t>
        </is>
      </c>
    </row>
    <row r="224">
      <c r="A224" t="inlineStr">
        <is>
          <t>ORD-00223</t>
        </is>
      </c>
      <c r="B224" s="2" t="n">
        <v>44946</v>
      </c>
      <c r="C224" s="2" t="n">
        <v>44953</v>
      </c>
      <c r="D224" t="inlineStr">
        <is>
          <t>CUST-00223</t>
        </is>
      </c>
      <c r="E224" t="inlineStr">
        <is>
          <t>Customer 223</t>
        </is>
      </c>
      <c r="F224" t="inlineStr">
        <is>
          <t>Corporate</t>
        </is>
      </c>
      <c r="G224" t="inlineStr">
        <is>
          <t>P1007</t>
        </is>
      </c>
      <c r="H224" t="inlineStr">
        <is>
          <t>Lumen Desk Lamp</t>
        </is>
      </c>
      <c r="I224" t="inlineStr">
        <is>
          <t>Home Decor</t>
        </is>
      </c>
      <c r="J224" t="inlineStr">
        <is>
          <t>Paper</t>
        </is>
      </c>
      <c r="K224" t="inlineStr">
        <is>
          <t>South</t>
        </is>
      </c>
      <c r="L224" t="inlineStr">
        <is>
          <t>Georgia</t>
        </is>
      </c>
      <c r="M224" t="inlineStr">
        <is>
          <t>Houston</t>
        </is>
      </c>
      <c r="N224" t="inlineStr">
        <is>
          <t>Olivia Martin</t>
        </is>
      </c>
      <c r="O224" t="n">
        <v>1</v>
      </c>
      <c r="P224" s="3" t="n">
        <v>24.37</v>
      </c>
      <c r="Q224" s="4" t="n">
        <v>0.03</v>
      </c>
      <c r="R224" s="3" t="n">
        <v>23.64</v>
      </c>
      <c r="S224" s="3" t="n">
        <v>16.02</v>
      </c>
      <c r="T224" s="3" t="n">
        <v>0.82</v>
      </c>
      <c r="U224" s="4" t="n">
        <v>0.0347</v>
      </c>
      <c r="V224" s="3" t="n">
        <v>6.8</v>
      </c>
      <c r="W224" t="inlineStr">
        <is>
          <t>Bank Transfer</t>
        </is>
      </c>
      <c r="X224" t="inlineStr">
        <is>
          <t>High</t>
        </is>
      </c>
      <c r="Y224" t="n">
        <v>2023</v>
      </c>
      <c r="Z224" t="n">
        <v>1</v>
      </c>
      <c r="AA224" t="inlineStr">
        <is>
          <t>Jan</t>
        </is>
      </c>
      <c r="AB224" t="inlineStr">
        <is>
          <t>Friday</t>
        </is>
      </c>
      <c r="AC224" t="n">
        <v>7</v>
      </c>
      <c r="AD224" t="inlineStr">
        <is>
          <t>Profitable</t>
        </is>
      </c>
      <c r="AE224" t="inlineStr">
        <is>
          <t>Medium</t>
        </is>
      </c>
      <c r="AF224" t="inlineStr">
        <is>
          <t>Small</t>
        </is>
      </c>
    </row>
    <row r="225">
      <c r="A225" t="inlineStr">
        <is>
          <t>ORD-00224</t>
        </is>
      </c>
      <c r="B225" s="2" t="n">
        <v>45567</v>
      </c>
      <c r="C225" s="2" t="n">
        <v>45568</v>
      </c>
      <c r="D225" t="inlineStr">
        <is>
          <t>CUST-00224</t>
        </is>
      </c>
      <c r="E225" t="inlineStr">
        <is>
          <t>Customer 224</t>
        </is>
      </c>
      <c r="F225" t="inlineStr">
        <is>
          <t>Consumer</t>
        </is>
      </c>
      <c r="G225" t="inlineStr">
        <is>
          <t>P1002</t>
        </is>
      </c>
      <c r="H225" t="inlineStr">
        <is>
          <t>Summit Patio Set</t>
        </is>
      </c>
      <c r="I225" t="inlineStr">
        <is>
          <t>Home Decor</t>
        </is>
      </c>
      <c r="J225" t="inlineStr">
        <is>
          <t>Plants</t>
        </is>
      </c>
      <c r="K225" t="inlineStr">
        <is>
          <t>Central</t>
        </is>
      </c>
      <c r="L225" t="inlineStr">
        <is>
          <t>Missouri</t>
        </is>
      </c>
      <c r="M225" t="inlineStr">
        <is>
          <t>Minneapolis</t>
        </is>
      </c>
      <c r="N225" t="inlineStr">
        <is>
          <t>Olivia Martin</t>
        </is>
      </c>
      <c r="O225" t="n">
        <v>4</v>
      </c>
      <c r="P225" s="3" t="n">
        <v>85.97</v>
      </c>
      <c r="Q225" s="4" t="n">
        <v>0.027</v>
      </c>
      <c r="R225" s="3" t="n">
        <v>334.6</v>
      </c>
      <c r="S225" s="3" t="n">
        <v>158.35</v>
      </c>
      <c r="T225" s="3" t="n">
        <v>167.05</v>
      </c>
      <c r="U225" s="4" t="n">
        <v>0.4993</v>
      </c>
      <c r="V225" s="3" t="n">
        <v>9.199999999999999</v>
      </c>
      <c r="W225" t="inlineStr">
        <is>
          <t>Credit Card</t>
        </is>
      </c>
      <c r="X225" t="inlineStr">
        <is>
          <t>Medium</t>
        </is>
      </c>
      <c r="Y225" t="n">
        <v>2024</v>
      </c>
      <c r="Z225" t="n">
        <v>10</v>
      </c>
      <c r="AA225" t="inlineStr">
        <is>
          <t>Oct</t>
        </is>
      </c>
      <c r="AB225" t="inlineStr">
        <is>
          <t>Wednesday</t>
        </is>
      </c>
      <c r="AC225" t="n">
        <v>1</v>
      </c>
      <c r="AD225" t="inlineStr">
        <is>
          <t>Profitable</t>
        </is>
      </c>
      <c r="AE225" t="inlineStr">
        <is>
          <t>Medium</t>
        </is>
      </c>
      <c r="AF225" t="inlineStr">
        <is>
          <t>Small</t>
        </is>
      </c>
    </row>
    <row r="226">
      <c r="A226" t="inlineStr">
        <is>
          <t>ORD-00225</t>
        </is>
      </c>
      <c r="B226" s="2" t="n">
        <v>45270</v>
      </c>
      <c r="C226" s="2" t="n">
        <v>45271</v>
      </c>
      <c r="D226" t="inlineStr">
        <is>
          <t>CUST-00225</t>
        </is>
      </c>
      <c r="E226" t="inlineStr">
        <is>
          <t>Customer 225</t>
        </is>
      </c>
      <c r="F226" t="inlineStr">
        <is>
          <t>Corporate</t>
        </is>
      </c>
      <c r="G226" t="inlineStr">
        <is>
          <t>P1012</t>
        </is>
      </c>
      <c r="H226" t="inlineStr">
        <is>
          <t>SmartInk Pen Set</t>
        </is>
      </c>
      <c r="I226" t="inlineStr">
        <is>
          <t>Office Supplies</t>
        </is>
      </c>
      <c r="J226" t="inlineStr">
        <is>
          <t>Paper</t>
        </is>
      </c>
      <c r="K226" t="inlineStr">
        <is>
          <t>Central</t>
        </is>
      </c>
      <c r="L226" t="inlineStr">
        <is>
          <t>Illinois</t>
        </is>
      </c>
      <c r="M226" t="inlineStr">
        <is>
          <t>St. Louis</t>
        </is>
      </c>
      <c r="N226" t="inlineStr">
        <is>
          <t>Sophia Singh</t>
        </is>
      </c>
      <c r="O226" t="n">
        <v>1</v>
      </c>
      <c r="P226" s="3" t="n">
        <v>143.7</v>
      </c>
      <c r="Q226" s="4" t="n">
        <v>0.025</v>
      </c>
      <c r="R226" s="3" t="n">
        <v>140.11</v>
      </c>
      <c r="S226" s="3" t="n">
        <v>79.59999999999999</v>
      </c>
      <c r="T226" s="3" t="n">
        <v>53.71</v>
      </c>
      <c r="U226" s="4" t="n">
        <v>0.3833</v>
      </c>
      <c r="V226" s="3" t="n">
        <v>6.8</v>
      </c>
      <c r="W226" t="inlineStr">
        <is>
          <t>Credit Card</t>
        </is>
      </c>
      <c r="X226" t="inlineStr">
        <is>
          <t>Medium</t>
        </is>
      </c>
      <c r="Y226" t="n">
        <v>2023</v>
      </c>
      <c r="Z226" t="n">
        <v>12</v>
      </c>
      <c r="AA226" t="inlineStr">
        <is>
          <t>Dec</t>
        </is>
      </c>
      <c r="AB226" t="inlineStr">
        <is>
          <t>Sunday</t>
        </is>
      </c>
      <c r="AC226" t="n">
        <v>1</v>
      </c>
      <c r="AD226" t="inlineStr">
        <is>
          <t>Profitable</t>
        </is>
      </c>
      <c r="AE226" t="inlineStr">
        <is>
          <t>Medium</t>
        </is>
      </c>
      <c r="AF226" t="inlineStr">
        <is>
          <t>Small</t>
        </is>
      </c>
    </row>
    <row r="227">
      <c r="A227" t="inlineStr">
        <is>
          <t>ORD-00226</t>
        </is>
      </c>
      <c r="B227" s="2" t="n">
        <v>44988</v>
      </c>
      <c r="C227" s="2" t="n">
        <v>44995</v>
      </c>
      <c r="D227" t="inlineStr">
        <is>
          <t>CUST-00226</t>
        </is>
      </c>
      <c r="E227" t="inlineStr">
        <is>
          <t>Customer 226</t>
        </is>
      </c>
      <c r="F227" t="inlineStr">
        <is>
          <t>Consumer</t>
        </is>
      </c>
      <c r="G227" t="inlineStr">
        <is>
          <t>P1017</t>
        </is>
      </c>
      <c r="H227" t="inlineStr">
        <is>
          <t>Cove Wall Clock</t>
        </is>
      </c>
      <c r="I227" t="inlineStr">
        <is>
          <t>Outdoor</t>
        </is>
      </c>
      <c r="J227" t="inlineStr">
        <is>
          <t>Video</t>
        </is>
      </c>
      <c r="K227" t="inlineStr">
        <is>
          <t>East</t>
        </is>
      </c>
      <c r="L227" t="inlineStr">
        <is>
          <t>New Jersey</t>
        </is>
      </c>
      <c r="M227" t="inlineStr">
        <is>
          <t>Boston</t>
        </is>
      </c>
      <c r="N227" t="inlineStr">
        <is>
          <t>Noah Kim</t>
        </is>
      </c>
      <c r="O227" t="n">
        <v>3</v>
      </c>
      <c r="P227" s="3" t="n">
        <v>543.65</v>
      </c>
      <c r="Q227" s="4" t="n">
        <v>0.018</v>
      </c>
      <c r="R227" s="3" t="n">
        <v>1601.59</v>
      </c>
      <c r="S227" s="3" t="n">
        <v>1064.73</v>
      </c>
      <c r="T227" s="3" t="n">
        <v>527.46</v>
      </c>
      <c r="U227" s="4" t="n">
        <v>0.3293</v>
      </c>
      <c r="V227" s="3" t="n">
        <v>9.4</v>
      </c>
      <c r="W227" t="inlineStr">
        <is>
          <t>Bank Transfer</t>
        </is>
      </c>
      <c r="X227" t="inlineStr">
        <is>
          <t>Low</t>
        </is>
      </c>
      <c r="Y227" t="n">
        <v>2023</v>
      </c>
      <c r="Z227" t="n">
        <v>3</v>
      </c>
      <c r="AA227" t="inlineStr">
        <is>
          <t>Mar</t>
        </is>
      </c>
      <c r="AB227" t="inlineStr">
        <is>
          <t>Friday</t>
        </is>
      </c>
      <c r="AC227" t="n">
        <v>7</v>
      </c>
      <c r="AD227" t="inlineStr">
        <is>
          <t>Profitable</t>
        </is>
      </c>
      <c r="AE227" t="inlineStr">
        <is>
          <t>Low</t>
        </is>
      </c>
      <c r="AF227" t="inlineStr">
        <is>
          <t>Large</t>
        </is>
      </c>
    </row>
    <row r="228">
      <c r="A228" t="inlineStr">
        <is>
          <t>ORD-00227</t>
        </is>
      </c>
      <c r="B228" s="2" t="n">
        <v>45695</v>
      </c>
      <c r="C228" s="2" t="n">
        <v>45697</v>
      </c>
      <c r="D228" t="inlineStr">
        <is>
          <t>CUST-00227</t>
        </is>
      </c>
      <c r="E228" t="inlineStr">
        <is>
          <t>Customer 227</t>
        </is>
      </c>
      <c r="F228" t="inlineStr">
        <is>
          <t>Consumer</t>
        </is>
      </c>
      <c r="G228" t="inlineStr">
        <is>
          <t>P1005</t>
        </is>
      </c>
      <c r="H228" t="inlineStr">
        <is>
          <t>Cove Wall Clock</t>
        </is>
      </c>
      <c r="I228" t="inlineStr">
        <is>
          <t>Furniture</t>
        </is>
      </c>
      <c r="J228" t="inlineStr">
        <is>
          <t>Peripherals</t>
        </is>
      </c>
      <c r="K228" t="inlineStr">
        <is>
          <t>South</t>
        </is>
      </c>
      <c r="L228" t="inlineStr">
        <is>
          <t>Georgia</t>
        </is>
      </c>
      <c r="M228" t="inlineStr">
        <is>
          <t>Miami</t>
        </is>
      </c>
      <c r="N228" t="inlineStr">
        <is>
          <t>James Carter</t>
        </is>
      </c>
      <c r="O228" t="n">
        <v>5</v>
      </c>
      <c r="P228" s="3" t="n">
        <v>12.4</v>
      </c>
      <c r="Q228" s="4" t="n">
        <v>0.002</v>
      </c>
      <c r="R228" s="3" t="n">
        <v>61.88</v>
      </c>
      <c r="S228" s="3" t="n">
        <v>27.87</v>
      </c>
      <c r="T228" s="3" t="n">
        <v>24.01</v>
      </c>
      <c r="U228" s="4" t="n">
        <v>0.388</v>
      </c>
      <c r="V228" s="3" t="n">
        <v>10</v>
      </c>
      <c r="W228" t="inlineStr">
        <is>
          <t>Bank Transfer</t>
        </is>
      </c>
      <c r="X228" t="inlineStr">
        <is>
          <t>Medium</t>
        </is>
      </c>
      <c r="Y228" t="n">
        <v>2025</v>
      </c>
      <c r="Z228" t="n">
        <v>2</v>
      </c>
      <c r="AA228" t="inlineStr">
        <is>
          <t>Feb</t>
        </is>
      </c>
      <c r="AB228" t="inlineStr">
        <is>
          <t>Friday</t>
        </is>
      </c>
      <c r="AC228" t="n">
        <v>2</v>
      </c>
      <c r="AD228" t="inlineStr">
        <is>
          <t>Profitable</t>
        </is>
      </c>
      <c r="AE228" t="inlineStr">
        <is>
          <t>Low</t>
        </is>
      </c>
      <c r="AF228" t="inlineStr">
        <is>
          <t>Small</t>
        </is>
      </c>
    </row>
    <row r="229">
      <c r="A229" t="inlineStr">
        <is>
          <t>ORD-00228</t>
        </is>
      </c>
      <c r="B229" s="2" t="n">
        <v>45450</v>
      </c>
      <c r="C229" s="2" t="n">
        <v>45451</v>
      </c>
      <c r="D229" t="inlineStr">
        <is>
          <t>CUST-00228</t>
        </is>
      </c>
      <c r="E229" t="inlineStr">
        <is>
          <t>Customer 228</t>
        </is>
      </c>
      <c r="F229" t="inlineStr">
        <is>
          <t>Corporate</t>
        </is>
      </c>
      <c r="G229" t="inlineStr">
        <is>
          <t>P1020</t>
        </is>
      </c>
      <c r="H229" t="inlineStr">
        <is>
          <t>Echo Web Camera</t>
        </is>
      </c>
      <c r="I229" t="inlineStr">
        <is>
          <t>Outdoor</t>
        </is>
      </c>
      <c r="J229" t="inlineStr">
        <is>
          <t>Storage</t>
        </is>
      </c>
      <c r="K229" t="inlineStr">
        <is>
          <t>Central</t>
        </is>
      </c>
      <c r="L229" t="inlineStr">
        <is>
          <t>Kansas</t>
        </is>
      </c>
      <c r="M229" t="inlineStr">
        <is>
          <t>Chicago</t>
        </is>
      </c>
      <c r="N229" t="inlineStr">
        <is>
          <t>Liam Chen</t>
        </is>
      </c>
      <c r="O229" t="n">
        <v>2</v>
      </c>
      <c r="P229" s="3" t="n">
        <v>76.5</v>
      </c>
      <c r="Q229" s="4" t="n">
        <v>0.024</v>
      </c>
      <c r="R229" s="3" t="n">
        <v>149.33</v>
      </c>
      <c r="S229" s="3" t="n">
        <v>79.11</v>
      </c>
      <c r="T229" s="3" t="n">
        <v>62.62</v>
      </c>
      <c r="U229" s="4" t="n">
        <v>0.4193</v>
      </c>
      <c r="V229" s="3" t="n">
        <v>7.6</v>
      </c>
      <c r="W229" t="inlineStr">
        <is>
          <t>Credit Card</t>
        </is>
      </c>
      <c r="X229" t="inlineStr">
        <is>
          <t>Low</t>
        </is>
      </c>
      <c r="Y229" t="n">
        <v>2024</v>
      </c>
      <c r="Z229" t="n">
        <v>6</v>
      </c>
      <c r="AA229" t="inlineStr">
        <is>
          <t>Jun</t>
        </is>
      </c>
      <c r="AB229" t="inlineStr">
        <is>
          <t>Friday</t>
        </is>
      </c>
      <c r="AC229" t="n">
        <v>1</v>
      </c>
      <c r="AD229" t="inlineStr">
        <is>
          <t>Profitable</t>
        </is>
      </c>
      <c r="AE229" t="inlineStr">
        <is>
          <t>Medium</t>
        </is>
      </c>
      <c r="AF229" t="inlineStr">
        <is>
          <t>Small</t>
        </is>
      </c>
    </row>
    <row r="230">
      <c r="A230" t="inlineStr">
        <is>
          <t>ORD-00229</t>
        </is>
      </c>
      <c r="B230" s="2" t="n">
        <v>45992</v>
      </c>
      <c r="C230" s="2" t="n">
        <v>45996</v>
      </c>
      <c r="D230" t="inlineStr">
        <is>
          <t>CUST-00229</t>
        </is>
      </c>
      <c r="E230" t="inlineStr">
        <is>
          <t>Customer 229</t>
        </is>
      </c>
      <c r="F230" t="inlineStr">
        <is>
          <t>Corporate</t>
        </is>
      </c>
      <c r="G230" t="inlineStr">
        <is>
          <t>P1010</t>
        </is>
      </c>
      <c r="H230" t="inlineStr">
        <is>
          <t>Atlas Throw Pillow</t>
        </is>
      </c>
      <c r="I230" t="inlineStr">
        <is>
          <t>Home Decor</t>
        </is>
      </c>
      <c r="J230" t="inlineStr">
        <is>
          <t>Chairs</t>
        </is>
      </c>
      <c r="K230" t="inlineStr">
        <is>
          <t>Central</t>
        </is>
      </c>
      <c r="L230" t="inlineStr">
        <is>
          <t>Illinois</t>
        </is>
      </c>
      <c r="M230" t="inlineStr">
        <is>
          <t>St. Louis</t>
        </is>
      </c>
      <c r="N230" t="inlineStr">
        <is>
          <t>Mia Rodriguez</t>
        </is>
      </c>
      <c r="O230" t="n">
        <v>3</v>
      </c>
      <c r="P230" s="3" t="n">
        <v>56.7</v>
      </c>
      <c r="Q230" s="4" t="n">
        <v>0.02</v>
      </c>
      <c r="R230" s="3" t="n">
        <v>166.7</v>
      </c>
      <c r="S230" s="3" t="n">
        <v>73.68000000000001</v>
      </c>
      <c r="T230" s="3" t="n">
        <v>84.62</v>
      </c>
      <c r="U230" s="4" t="n">
        <v>0.5076000000000001</v>
      </c>
      <c r="V230" s="3" t="n">
        <v>8.4</v>
      </c>
      <c r="W230" t="inlineStr">
        <is>
          <t>Debit Card</t>
        </is>
      </c>
      <c r="X230" t="inlineStr">
        <is>
          <t>Medium</t>
        </is>
      </c>
      <c r="Y230" t="n">
        <v>2025</v>
      </c>
      <c r="Z230" t="n">
        <v>12</v>
      </c>
      <c r="AA230" t="inlineStr">
        <is>
          <t>Dec</t>
        </is>
      </c>
      <c r="AB230" t="inlineStr">
        <is>
          <t>Monday</t>
        </is>
      </c>
      <c r="AC230" t="n">
        <v>4</v>
      </c>
      <c r="AD230" t="inlineStr">
        <is>
          <t>Profitable</t>
        </is>
      </c>
      <c r="AE230" t="inlineStr">
        <is>
          <t>Medium</t>
        </is>
      </c>
      <c r="AF230" t="inlineStr">
        <is>
          <t>Small</t>
        </is>
      </c>
    </row>
    <row r="231">
      <c r="A231" t="inlineStr">
        <is>
          <t>ORD-00230</t>
        </is>
      </c>
      <c r="B231" s="2" t="n">
        <v>45512</v>
      </c>
      <c r="C231" s="2" t="n">
        <v>45518</v>
      </c>
      <c r="D231" t="inlineStr">
        <is>
          <t>CUST-00230</t>
        </is>
      </c>
      <c r="E231" t="inlineStr">
        <is>
          <t>Customer 230</t>
        </is>
      </c>
      <c r="F231" t="inlineStr">
        <is>
          <t>Consumer</t>
        </is>
      </c>
      <c r="G231" t="inlineStr">
        <is>
          <t>P1018</t>
        </is>
      </c>
      <c r="H231" t="inlineStr">
        <is>
          <t>Tide Cooler</t>
        </is>
      </c>
      <c r="I231" t="inlineStr">
        <is>
          <t>Outdoor</t>
        </is>
      </c>
      <c r="J231" t="inlineStr">
        <is>
          <t>Accessories</t>
        </is>
      </c>
      <c r="K231" t="inlineStr">
        <is>
          <t>East</t>
        </is>
      </c>
      <c r="L231" t="inlineStr">
        <is>
          <t>Virginia</t>
        </is>
      </c>
      <c r="M231" t="inlineStr">
        <is>
          <t>Philadelphia</t>
        </is>
      </c>
      <c r="N231" t="inlineStr">
        <is>
          <t>James Carter</t>
        </is>
      </c>
      <c r="O231" t="n">
        <v>2</v>
      </c>
      <c r="P231" s="3" t="n">
        <v>96.58</v>
      </c>
      <c r="Q231" s="4" t="n">
        <v>0.027</v>
      </c>
      <c r="R231" s="3" t="n">
        <v>187.94</v>
      </c>
      <c r="S231" s="3" t="n">
        <v>90.09</v>
      </c>
      <c r="T231" s="3" t="n">
        <v>89.25</v>
      </c>
      <c r="U231" s="4" t="n">
        <v>0.4749</v>
      </c>
      <c r="V231" s="3" t="n">
        <v>8.6</v>
      </c>
      <c r="W231" t="inlineStr">
        <is>
          <t>Cash on Delivery</t>
        </is>
      </c>
      <c r="X231" t="inlineStr">
        <is>
          <t>Medium</t>
        </is>
      </c>
      <c r="Y231" t="n">
        <v>2024</v>
      </c>
      <c r="Z231" t="n">
        <v>8</v>
      </c>
      <c r="AA231" t="inlineStr">
        <is>
          <t>Aug</t>
        </is>
      </c>
      <c r="AB231" t="inlineStr">
        <is>
          <t>Thursday</t>
        </is>
      </c>
      <c r="AC231" t="n">
        <v>6</v>
      </c>
      <c r="AD231" t="inlineStr">
        <is>
          <t>Profitable</t>
        </is>
      </c>
      <c r="AE231" t="inlineStr">
        <is>
          <t>Medium</t>
        </is>
      </c>
      <c r="AF231" t="inlineStr">
        <is>
          <t>Small</t>
        </is>
      </c>
    </row>
    <row r="232">
      <c r="A232" t="inlineStr">
        <is>
          <t>ORD-00231</t>
        </is>
      </c>
      <c r="B232" s="2" t="n">
        <v>45892</v>
      </c>
      <c r="C232" s="2" t="n">
        <v>45899</v>
      </c>
      <c r="D232" t="inlineStr">
        <is>
          <t>CUST-00231</t>
        </is>
      </c>
      <c r="E232" t="inlineStr">
        <is>
          <t>Customer 231</t>
        </is>
      </c>
      <c r="F232" t="inlineStr">
        <is>
          <t>Home Office</t>
        </is>
      </c>
      <c r="G232" t="inlineStr">
        <is>
          <t>P1003</t>
        </is>
      </c>
      <c r="H232" t="inlineStr">
        <is>
          <t>CloudDrive File Box</t>
        </is>
      </c>
      <c r="I232" t="inlineStr">
        <is>
          <t>Furniture</t>
        </is>
      </c>
      <c r="J232" t="inlineStr">
        <is>
          <t>Textiles</t>
        </is>
      </c>
      <c r="K232" t="inlineStr">
        <is>
          <t>West</t>
        </is>
      </c>
      <c r="L232" t="inlineStr">
        <is>
          <t>Colorado</t>
        </is>
      </c>
      <c r="M232" t="inlineStr">
        <is>
          <t>Seattle</t>
        </is>
      </c>
      <c r="N232" t="inlineStr">
        <is>
          <t>Liam Chen</t>
        </is>
      </c>
      <c r="O232" t="n">
        <v>2</v>
      </c>
      <c r="P232" s="3" t="n">
        <v>169.16</v>
      </c>
      <c r="Q232" s="4" t="n">
        <v>0.013</v>
      </c>
      <c r="R232" s="3" t="n">
        <v>333.92</v>
      </c>
      <c r="S232" s="3" t="n">
        <v>177.37</v>
      </c>
      <c r="T232" s="3" t="n">
        <v>147.95</v>
      </c>
      <c r="U232" s="4" t="n">
        <v>0.4431</v>
      </c>
      <c r="V232" s="3" t="n">
        <v>8.6</v>
      </c>
      <c r="W232" t="inlineStr">
        <is>
          <t>Cash on Delivery</t>
        </is>
      </c>
      <c r="X232" t="inlineStr">
        <is>
          <t>Medium</t>
        </is>
      </c>
      <c r="Y232" t="n">
        <v>2025</v>
      </c>
      <c r="Z232" t="n">
        <v>8</v>
      </c>
      <c r="AA232" t="inlineStr">
        <is>
          <t>Aug</t>
        </is>
      </c>
      <c r="AB232" t="inlineStr">
        <is>
          <t>Saturday</t>
        </is>
      </c>
      <c r="AC232" t="n">
        <v>7</v>
      </c>
      <c r="AD232" t="inlineStr">
        <is>
          <t>Profitable</t>
        </is>
      </c>
      <c r="AE232" t="inlineStr">
        <is>
          <t>Low</t>
        </is>
      </c>
      <c r="AF232" t="inlineStr">
        <is>
          <t>Small</t>
        </is>
      </c>
    </row>
    <row r="233">
      <c r="A233" t="inlineStr">
        <is>
          <t>ORD-00232</t>
        </is>
      </c>
      <c r="B233" s="2" t="n">
        <v>45352</v>
      </c>
      <c r="C233" s="2" t="n">
        <v>45356</v>
      </c>
      <c r="D233" t="inlineStr">
        <is>
          <t>CUST-00232</t>
        </is>
      </c>
      <c r="E233" t="inlineStr">
        <is>
          <t>Customer 232</t>
        </is>
      </c>
      <c r="F233" t="inlineStr">
        <is>
          <t>Corporate</t>
        </is>
      </c>
      <c r="G233" t="inlineStr">
        <is>
          <t>P1013</t>
        </is>
      </c>
      <c r="H233" t="inlineStr">
        <is>
          <t>Lumen Desk Lamp</t>
        </is>
      </c>
      <c r="I233" t="inlineStr">
        <is>
          <t>Home Decor</t>
        </is>
      </c>
      <c r="J233" t="inlineStr">
        <is>
          <t>Peripherals</t>
        </is>
      </c>
      <c r="K233" t="inlineStr">
        <is>
          <t>Central</t>
        </is>
      </c>
      <c r="L233" t="inlineStr">
        <is>
          <t>Minnesota</t>
        </is>
      </c>
      <c r="M233" t="inlineStr">
        <is>
          <t>St. Louis</t>
        </is>
      </c>
      <c r="N233" t="inlineStr">
        <is>
          <t>Sophia Singh</t>
        </is>
      </c>
      <c r="O233" t="n">
        <v>4</v>
      </c>
      <c r="P233" s="3" t="n">
        <v>160.24</v>
      </c>
      <c r="Q233" s="4" t="n">
        <v>0.023</v>
      </c>
      <c r="R233" s="3" t="n">
        <v>626.22</v>
      </c>
      <c r="S233" s="3" t="n">
        <v>359.87</v>
      </c>
      <c r="T233" s="3" t="n">
        <v>257.15</v>
      </c>
      <c r="U233" s="4" t="n">
        <v>0.4106</v>
      </c>
      <c r="V233" s="3" t="n">
        <v>9.199999999999999</v>
      </c>
      <c r="W233" t="inlineStr">
        <is>
          <t>Debit Card</t>
        </is>
      </c>
      <c r="X233" t="inlineStr">
        <is>
          <t>Medium</t>
        </is>
      </c>
      <c r="Y233" t="n">
        <v>2024</v>
      </c>
      <c r="Z233" t="n">
        <v>3</v>
      </c>
      <c r="AA233" t="inlineStr">
        <is>
          <t>Mar</t>
        </is>
      </c>
      <c r="AB233" t="inlineStr">
        <is>
          <t>Friday</t>
        </is>
      </c>
      <c r="AC233" t="n">
        <v>4</v>
      </c>
      <c r="AD233" t="inlineStr">
        <is>
          <t>Profitable</t>
        </is>
      </c>
      <c r="AE233" t="inlineStr">
        <is>
          <t>Medium</t>
        </is>
      </c>
      <c r="AF233" t="inlineStr">
        <is>
          <t>Medium</t>
        </is>
      </c>
    </row>
    <row r="234">
      <c r="A234" t="inlineStr">
        <is>
          <t>ORD-00233</t>
        </is>
      </c>
      <c r="B234" s="2" t="n">
        <v>45299</v>
      </c>
      <c r="C234" s="2" t="n">
        <v>45306</v>
      </c>
      <c r="D234" t="inlineStr">
        <is>
          <t>CUST-00233</t>
        </is>
      </c>
      <c r="E234" t="inlineStr">
        <is>
          <t>Customer 233</t>
        </is>
      </c>
      <c r="F234" t="inlineStr">
        <is>
          <t>Consumer</t>
        </is>
      </c>
      <c r="G234" t="inlineStr">
        <is>
          <t>P1013</t>
        </is>
      </c>
      <c r="H234" t="inlineStr">
        <is>
          <t>Pulse Keyboard</t>
        </is>
      </c>
      <c r="I234" t="inlineStr">
        <is>
          <t>Home Decor</t>
        </is>
      </c>
      <c r="J234" t="inlineStr">
        <is>
          <t>Accessories</t>
        </is>
      </c>
      <c r="K234" t="inlineStr">
        <is>
          <t>West</t>
        </is>
      </c>
      <c r="L234" t="inlineStr">
        <is>
          <t>Washington</t>
        </is>
      </c>
      <c r="M234" t="inlineStr">
        <is>
          <t>San Francisco</t>
        </is>
      </c>
      <c r="N234" t="inlineStr">
        <is>
          <t>Liam Chen</t>
        </is>
      </c>
      <c r="O234" t="n">
        <v>2</v>
      </c>
      <c r="P234" s="3" t="n">
        <v>159.56</v>
      </c>
      <c r="Q234" s="4" t="n">
        <v>0.02</v>
      </c>
      <c r="R234" s="3" t="n">
        <v>312.74</v>
      </c>
      <c r="S234" s="3" t="n">
        <v>183.65</v>
      </c>
      <c r="T234" s="3" t="n">
        <v>120.49</v>
      </c>
      <c r="U234" s="4" t="n">
        <v>0.3853</v>
      </c>
      <c r="V234" s="3" t="n">
        <v>8.6</v>
      </c>
      <c r="W234" t="inlineStr">
        <is>
          <t>Credit Card</t>
        </is>
      </c>
      <c r="X234" t="inlineStr">
        <is>
          <t>High</t>
        </is>
      </c>
      <c r="Y234" t="n">
        <v>2024</v>
      </c>
      <c r="Z234" t="n">
        <v>1</v>
      </c>
      <c r="AA234" t="inlineStr">
        <is>
          <t>Jan</t>
        </is>
      </c>
      <c r="AB234" t="inlineStr">
        <is>
          <t>Monday</t>
        </is>
      </c>
      <c r="AC234" t="n">
        <v>7</v>
      </c>
      <c r="AD234" t="inlineStr">
        <is>
          <t>Profitable</t>
        </is>
      </c>
      <c r="AE234" t="inlineStr">
        <is>
          <t>Medium</t>
        </is>
      </c>
      <c r="AF234" t="inlineStr">
        <is>
          <t>Small</t>
        </is>
      </c>
    </row>
    <row r="235">
      <c r="A235" t="inlineStr">
        <is>
          <t>ORD-00234</t>
        </is>
      </c>
      <c r="B235" s="2" t="n">
        <v>45610</v>
      </c>
      <c r="C235" s="2" t="n">
        <v>45611</v>
      </c>
      <c r="D235" t="inlineStr">
        <is>
          <t>CUST-00234</t>
        </is>
      </c>
      <c r="E235" t="inlineStr">
        <is>
          <t>Customer 234</t>
        </is>
      </c>
      <c r="F235" t="inlineStr">
        <is>
          <t>Home Office</t>
        </is>
      </c>
      <c r="G235" t="inlineStr">
        <is>
          <t>P1010</t>
        </is>
      </c>
      <c r="H235" t="inlineStr">
        <is>
          <t>ErgoMesh Chair</t>
        </is>
      </c>
      <c r="I235" t="inlineStr">
        <is>
          <t>Technology</t>
        </is>
      </c>
      <c r="J235" t="inlineStr">
        <is>
          <t>Peripherals</t>
        </is>
      </c>
      <c r="K235" t="inlineStr">
        <is>
          <t>West</t>
        </is>
      </c>
      <c r="L235" t="inlineStr">
        <is>
          <t>California</t>
        </is>
      </c>
      <c r="M235" t="inlineStr">
        <is>
          <t>San Francisco</t>
        </is>
      </c>
      <c r="N235" t="inlineStr">
        <is>
          <t>Ethan Brooks</t>
        </is>
      </c>
      <c r="O235" t="n">
        <v>1</v>
      </c>
      <c r="P235" s="3" t="n">
        <v>59.94</v>
      </c>
      <c r="Q235" s="4" t="n">
        <v>0.021</v>
      </c>
      <c r="R235" s="3" t="n">
        <v>58.68</v>
      </c>
      <c r="S235" s="3" t="n">
        <v>29.69</v>
      </c>
      <c r="T235" s="3" t="n">
        <v>21.19</v>
      </c>
      <c r="U235" s="4" t="n">
        <v>0.3611</v>
      </c>
      <c r="V235" s="3" t="n">
        <v>7.8</v>
      </c>
      <c r="W235" t="inlineStr">
        <is>
          <t>Credit Card</t>
        </is>
      </c>
      <c r="X235" t="inlineStr">
        <is>
          <t>Medium</t>
        </is>
      </c>
      <c r="Y235" t="n">
        <v>2024</v>
      </c>
      <c r="Z235" t="n">
        <v>11</v>
      </c>
      <c r="AA235" t="inlineStr">
        <is>
          <t>Nov</t>
        </is>
      </c>
      <c r="AB235" t="inlineStr">
        <is>
          <t>Thursday</t>
        </is>
      </c>
      <c r="AC235" t="n">
        <v>1</v>
      </c>
      <c r="AD235" t="inlineStr">
        <is>
          <t>Profitable</t>
        </is>
      </c>
      <c r="AE235" t="inlineStr">
        <is>
          <t>Medium</t>
        </is>
      </c>
      <c r="AF235" t="inlineStr">
        <is>
          <t>Small</t>
        </is>
      </c>
    </row>
    <row r="236">
      <c r="A236" t="inlineStr">
        <is>
          <t>ORD-00235</t>
        </is>
      </c>
      <c r="B236" s="2" t="n">
        <v>44971</v>
      </c>
      <c r="C236" s="2" t="n">
        <v>44973</v>
      </c>
      <c r="D236" t="inlineStr">
        <is>
          <t>CUST-00235</t>
        </is>
      </c>
      <c r="E236" t="inlineStr">
        <is>
          <t>Customer 235</t>
        </is>
      </c>
      <c r="F236" t="inlineStr">
        <is>
          <t>Corporate</t>
        </is>
      </c>
      <c r="G236" t="inlineStr">
        <is>
          <t>P1002</t>
        </is>
      </c>
      <c r="H236" t="inlineStr">
        <is>
          <t>Orbit Wireless Mouse</t>
        </is>
      </c>
      <c r="I236" t="inlineStr">
        <is>
          <t>Technology</t>
        </is>
      </c>
      <c r="J236" t="inlineStr">
        <is>
          <t>Lighting</t>
        </is>
      </c>
      <c r="K236" t="inlineStr">
        <is>
          <t>South</t>
        </is>
      </c>
      <c r="L236" t="inlineStr">
        <is>
          <t>Texas</t>
        </is>
      </c>
      <c r="M236" t="inlineStr">
        <is>
          <t>Houston</t>
        </is>
      </c>
      <c r="N236" t="inlineStr">
        <is>
          <t>Noah Kim</t>
        </is>
      </c>
      <c r="O236" t="n">
        <v>3</v>
      </c>
      <c r="P236" s="3" t="n">
        <v>74.97</v>
      </c>
      <c r="Q236" s="4" t="n">
        <v>0.029</v>
      </c>
      <c r="R236" s="3" t="n">
        <v>218.39</v>
      </c>
      <c r="S236" s="3" t="n">
        <v>102.8</v>
      </c>
      <c r="T236" s="3" t="n">
        <v>107.19</v>
      </c>
      <c r="U236" s="4" t="n">
        <v>0.4908</v>
      </c>
      <c r="V236" s="3" t="n">
        <v>8.4</v>
      </c>
      <c r="W236" t="inlineStr">
        <is>
          <t>Bank Transfer</t>
        </is>
      </c>
      <c r="X236" t="inlineStr">
        <is>
          <t>High</t>
        </is>
      </c>
      <c r="Y236" t="n">
        <v>2023</v>
      </c>
      <c r="Z236" t="n">
        <v>2</v>
      </c>
      <c r="AA236" t="inlineStr">
        <is>
          <t>Feb</t>
        </is>
      </c>
      <c r="AB236" t="inlineStr">
        <is>
          <t>Tuesday</t>
        </is>
      </c>
      <c r="AC236" t="n">
        <v>2</v>
      </c>
      <c r="AD236" t="inlineStr">
        <is>
          <t>Profitable</t>
        </is>
      </c>
      <c r="AE236" t="inlineStr">
        <is>
          <t>Medium</t>
        </is>
      </c>
      <c r="AF236" t="inlineStr">
        <is>
          <t>Small</t>
        </is>
      </c>
    </row>
    <row r="237">
      <c r="A237" t="inlineStr">
        <is>
          <t>ORD-00236</t>
        </is>
      </c>
      <c r="B237" s="2" t="n">
        <v>45902</v>
      </c>
      <c r="C237" s="2" t="n">
        <v>45906</v>
      </c>
      <c r="D237" t="inlineStr">
        <is>
          <t>CUST-00236</t>
        </is>
      </c>
      <c r="E237" t="inlineStr">
        <is>
          <t>Customer 236</t>
        </is>
      </c>
      <c r="F237" t="inlineStr">
        <is>
          <t>Consumer</t>
        </is>
      </c>
      <c r="G237" t="inlineStr">
        <is>
          <t>P1016</t>
        </is>
      </c>
      <c r="H237" t="inlineStr">
        <is>
          <t>Tide Cooler</t>
        </is>
      </c>
      <c r="I237" t="inlineStr">
        <is>
          <t>Outdoor</t>
        </is>
      </c>
      <c r="J237" t="inlineStr">
        <is>
          <t>Bags</t>
        </is>
      </c>
      <c r="K237" t="inlineStr">
        <is>
          <t>North</t>
        </is>
      </c>
      <c r="L237" t="inlineStr">
        <is>
          <t>Quebec</t>
        </is>
      </c>
      <c r="M237" t="inlineStr">
        <is>
          <t>Vancouver</t>
        </is>
      </c>
      <c r="N237" t="inlineStr">
        <is>
          <t>Liam Chen</t>
        </is>
      </c>
      <c r="O237" t="n">
        <v>4</v>
      </c>
      <c r="P237" s="3" t="n">
        <v>38.99</v>
      </c>
      <c r="Q237" s="4" t="n">
        <v>0.011</v>
      </c>
      <c r="R237" s="3" t="n">
        <v>154.24</v>
      </c>
      <c r="S237" s="3" t="n">
        <v>64.64</v>
      </c>
      <c r="T237" s="3" t="n">
        <v>80.40000000000001</v>
      </c>
      <c r="U237" s="4" t="n">
        <v>0.5213</v>
      </c>
      <c r="V237" s="3" t="n">
        <v>9.199999999999999</v>
      </c>
      <c r="W237" t="inlineStr">
        <is>
          <t>PayPal</t>
        </is>
      </c>
      <c r="X237" t="inlineStr">
        <is>
          <t>Medium</t>
        </is>
      </c>
      <c r="Y237" t="n">
        <v>2025</v>
      </c>
      <c r="Z237" t="n">
        <v>9</v>
      </c>
      <c r="AA237" t="inlineStr">
        <is>
          <t>Sep</t>
        </is>
      </c>
      <c r="AB237" t="inlineStr">
        <is>
          <t>Tuesday</t>
        </is>
      </c>
      <c r="AC237" t="n">
        <v>4</v>
      </c>
      <c r="AD237" t="inlineStr">
        <is>
          <t>Profitable</t>
        </is>
      </c>
      <c r="AE237" t="inlineStr">
        <is>
          <t>Low</t>
        </is>
      </c>
      <c r="AF237" t="inlineStr">
        <is>
          <t>Small</t>
        </is>
      </c>
    </row>
    <row r="238">
      <c r="A238" t="inlineStr">
        <is>
          <t>ORD-00237</t>
        </is>
      </c>
      <c r="B238" s="2" t="n">
        <v>45268</v>
      </c>
      <c r="C238" s="2" t="n">
        <v>45271</v>
      </c>
      <c r="D238" t="inlineStr">
        <is>
          <t>CUST-00237</t>
        </is>
      </c>
      <c r="E238" t="inlineStr">
        <is>
          <t>Customer 237</t>
        </is>
      </c>
      <c r="F238" t="inlineStr">
        <is>
          <t>Consumer</t>
        </is>
      </c>
      <c r="G238" t="inlineStr">
        <is>
          <t>P1004</t>
        </is>
      </c>
      <c r="H238" t="inlineStr">
        <is>
          <t>Atlas Throw Pillow</t>
        </is>
      </c>
      <c r="I238" t="inlineStr">
        <is>
          <t>Home Decor</t>
        </is>
      </c>
      <c r="J238" t="inlineStr">
        <is>
          <t>Peripherals</t>
        </is>
      </c>
      <c r="K238" t="inlineStr">
        <is>
          <t>West</t>
        </is>
      </c>
      <c r="L238" t="inlineStr">
        <is>
          <t>Washington</t>
        </is>
      </c>
      <c r="M238" t="inlineStr">
        <is>
          <t>San Francisco</t>
        </is>
      </c>
      <c r="N238" t="inlineStr">
        <is>
          <t>Sophia Singh</t>
        </is>
      </c>
      <c r="O238" t="n">
        <v>3</v>
      </c>
      <c r="P238" s="3" t="n">
        <v>688.6</v>
      </c>
      <c r="Q238" s="4" t="n">
        <v>0.061</v>
      </c>
      <c r="R238" s="3" t="n">
        <v>1939.79</v>
      </c>
      <c r="S238" s="3" t="n">
        <v>1233.56</v>
      </c>
      <c r="T238" s="3" t="n">
        <v>696.83</v>
      </c>
      <c r="U238" s="4" t="n">
        <v>0.3592</v>
      </c>
      <c r="V238" s="3" t="n">
        <v>9.4</v>
      </c>
      <c r="W238" t="inlineStr">
        <is>
          <t>PayPal</t>
        </is>
      </c>
      <c r="X238" t="inlineStr">
        <is>
          <t>High</t>
        </is>
      </c>
      <c r="Y238" t="n">
        <v>2023</v>
      </c>
      <c r="Z238" t="n">
        <v>12</v>
      </c>
      <c r="AA238" t="inlineStr">
        <is>
          <t>Dec</t>
        </is>
      </c>
      <c r="AB238" t="inlineStr">
        <is>
          <t>Friday</t>
        </is>
      </c>
      <c r="AC238" t="n">
        <v>3</v>
      </c>
      <c r="AD238" t="inlineStr">
        <is>
          <t>Profitable</t>
        </is>
      </c>
      <c r="AE238" t="inlineStr">
        <is>
          <t>High</t>
        </is>
      </c>
      <c r="AF238" t="inlineStr">
        <is>
          <t>Large</t>
        </is>
      </c>
    </row>
    <row r="239">
      <c r="A239" t="inlineStr">
        <is>
          <t>ORD-00238</t>
        </is>
      </c>
      <c r="B239" s="2" t="n">
        <v>45035</v>
      </c>
      <c r="C239" s="2" t="n">
        <v>45041</v>
      </c>
      <c r="D239" t="inlineStr">
        <is>
          <t>CUST-00238</t>
        </is>
      </c>
      <c r="E239" t="inlineStr">
        <is>
          <t>Customer 238</t>
        </is>
      </c>
      <c r="F239" t="inlineStr">
        <is>
          <t>Corporate</t>
        </is>
      </c>
      <c r="G239" t="inlineStr">
        <is>
          <t>P1019</t>
        </is>
      </c>
      <c r="H239" t="inlineStr">
        <is>
          <t>Lumen Desk Lamp</t>
        </is>
      </c>
      <c r="I239" t="inlineStr">
        <is>
          <t>Office Supplies</t>
        </is>
      </c>
      <c r="J239" t="inlineStr">
        <is>
          <t>Bags</t>
        </is>
      </c>
      <c r="K239" t="inlineStr">
        <is>
          <t>South</t>
        </is>
      </c>
      <c r="L239" t="inlineStr">
        <is>
          <t>Florida</t>
        </is>
      </c>
      <c r="M239" t="inlineStr">
        <is>
          <t>Dallas</t>
        </is>
      </c>
      <c r="N239" t="inlineStr">
        <is>
          <t>Noah Kim</t>
        </is>
      </c>
      <c r="O239" t="n">
        <v>2</v>
      </c>
      <c r="P239" s="3" t="n">
        <v>56.96</v>
      </c>
      <c r="Q239" s="4" t="n">
        <v>0.022</v>
      </c>
      <c r="R239" s="3" t="n">
        <v>111.41</v>
      </c>
      <c r="S239" s="3" t="n">
        <v>55.65</v>
      </c>
      <c r="T239" s="3" t="n">
        <v>48.16</v>
      </c>
      <c r="U239" s="4" t="n">
        <v>0.4323</v>
      </c>
      <c r="V239" s="3" t="n">
        <v>7.6</v>
      </c>
      <c r="W239" t="inlineStr">
        <is>
          <t>Credit Card</t>
        </is>
      </c>
      <c r="X239" t="inlineStr">
        <is>
          <t>Medium</t>
        </is>
      </c>
      <c r="Y239" t="n">
        <v>2023</v>
      </c>
      <c r="Z239" t="n">
        <v>4</v>
      </c>
      <c r="AA239" t="inlineStr">
        <is>
          <t>Apr</t>
        </is>
      </c>
      <c r="AB239" t="inlineStr">
        <is>
          <t>Wednesday</t>
        </is>
      </c>
      <c r="AC239" t="n">
        <v>6</v>
      </c>
      <c r="AD239" t="inlineStr">
        <is>
          <t>Profitable</t>
        </is>
      </c>
      <c r="AE239" t="inlineStr">
        <is>
          <t>Medium</t>
        </is>
      </c>
      <c r="AF239" t="inlineStr">
        <is>
          <t>Small</t>
        </is>
      </c>
    </row>
    <row r="240">
      <c r="A240" t="inlineStr">
        <is>
          <t>ORD-00239</t>
        </is>
      </c>
      <c r="B240" s="2" t="n">
        <v>45545</v>
      </c>
      <c r="C240" s="2" t="n">
        <v>45552</v>
      </c>
      <c r="D240" t="inlineStr">
        <is>
          <t>CUST-00239</t>
        </is>
      </c>
      <c r="E240" t="inlineStr">
        <is>
          <t>Customer 239</t>
        </is>
      </c>
      <c r="F240" t="inlineStr">
        <is>
          <t>Consumer</t>
        </is>
      </c>
      <c r="G240" t="inlineStr">
        <is>
          <t>P1005</t>
        </is>
      </c>
      <c r="H240" t="inlineStr">
        <is>
          <t>Summit Patio Set</t>
        </is>
      </c>
      <c r="I240" t="inlineStr">
        <is>
          <t>Outdoor</t>
        </is>
      </c>
      <c r="J240" t="inlineStr">
        <is>
          <t>Peripherals</t>
        </is>
      </c>
      <c r="K240" t="inlineStr">
        <is>
          <t>South</t>
        </is>
      </c>
      <c r="L240" t="inlineStr">
        <is>
          <t>Texas</t>
        </is>
      </c>
      <c r="M240" t="inlineStr">
        <is>
          <t>Miami</t>
        </is>
      </c>
      <c r="N240" t="inlineStr">
        <is>
          <t>James Carter</t>
        </is>
      </c>
      <c r="O240" t="n">
        <v>4</v>
      </c>
      <c r="P240" s="3" t="n">
        <v>12.5</v>
      </c>
      <c r="Q240" s="4" t="n">
        <v>0.075</v>
      </c>
      <c r="R240" s="3" t="n">
        <v>46.25</v>
      </c>
      <c r="S240" s="3" t="n">
        <v>24.25</v>
      </c>
      <c r="T240" s="3" t="n">
        <v>12.8</v>
      </c>
      <c r="U240" s="4" t="n">
        <v>0.2768</v>
      </c>
      <c r="V240" s="3" t="n">
        <v>9.199999999999999</v>
      </c>
      <c r="W240" t="inlineStr">
        <is>
          <t>Debit Card</t>
        </is>
      </c>
      <c r="X240" t="inlineStr">
        <is>
          <t>Critical</t>
        </is>
      </c>
      <c r="Y240" t="n">
        <v>2024</v>
      </c>
      <c r="Z240" t="n">
        <v>9</v>
      </c>
      <c r="AA240" t="inlineStr">
        <is>
          <t>Sep</t>
        </is>
      </c>
      <c r="AB240" t="inlineStr">
        <is>
          <t>Tuesday</t>
        </is>
      </c>
      <c r="AC240" t="n">
        <v>7</v>
      </c>
      <c r="AD240" t="inlineStr">
        <is>
          <t>Profitable</t>
        </is>
      </c>
      <c r="AE240" t="inlineStr">
        <is>
          <t>High</t>
        </is>
      </c>
      <c r="AF240" t="inlineStr">
        <is>
          <t>Small</t>
        </is>
      </c>
    </row>
    <row r="241">
      <c r="A241" t="inlineStr">
        <is>
          <t>ORD-00240</t>
        </is>
      </c>
      <c r="B241" s="2" t="n">
        <v>44964</v>
      </c>
      <c r="C241" s="2" t="n">
        <v>44969</v>
      </c>
      <c r="D241" t="inlineStr">
        <is>
          <t>CUST-00240</t>
        </is>
      </c>
      <c r="E241" t="inlineStr">
        <is>
          <t>Customer 240</t>
        </is>
      </c>
      <c r="F241" t="inlineStr">
        <is>
          <t>Consumer</t>
        </is>
      </c>
      <c r="G241" t="inlineStr">
        <is>
          <t>P1007</t>
        </is>
      </c>
      <c r="H241" t="inlineStr">
        <is>
          <t>Atlas Throw Pillow</t>
        </is>
      </c>
      <c r="I241" t="inlineStr">
        <is>
          <t>Office Supplies</t>
        </is>
      </c>
      <c r="J241" t="inlineStr">
        <is>
          <t>Writing</t>
        </is>
      </c>
      <c r="K241" t="inlineStr">
        <is>
          <t>East</t>
        </is>
      </c>
      <c r="L241" t="inlineStr">
        <is>
          <t>Massachusetts</t>
        </is>
      </c>
      <c r="M241" t="inlineStr">
        <is>
          <t>Philadelphia</t>
        </is>
      </c>
      <c r="N241" t="inlineStr">
        <is>
          <t>James Carter</t>
        </is>
      </c>
      <c r="O241" t="n">
        <v>1</v>
      </c>
      <c r="P241" s="3" t="n">
        <v>24.96</v>
      </c>
      <c r="Q241" s="4" t="n">
        <v>0.016</v>
      </c>
      <c r="R241" s="3" t="n">
        <v>24.56</v>
      </c>
      <c r="S241" s="3" t="n">
        <v>14.38</v>
      </c>
      <c r="T241" s="3" t="n">
        <v>2.38</v>
      </c>
      <c r="U241" s="4" t="n">
        <v>0.0969</v>
      </c>
      <c r="V241" s="3" t="n">
        <v>7.8</v>
      </c>
      <c r="W241" t="inlineStr">
        <is>
          <t>PayPal</t>
        </is>
      </c>
      <c r="X241" t="inlineStr">
        <is>
          <t>High</t>
        </is>
      </c>
      <c r="Y241" t="n">
        <v>2023</v>
      </c>
      <c r="Z241" t="n">
        <v>2</v>
      </c>
      <c r="AA241" t="inlineStr">
        <is>
          <t>Feb</t>
        </is>
      </c>
      <c r="AB241" t="inlineStr">
        <is>
          <t>Tuesday</t>
        </is>
      </c>
      <c r="AC241" t="n">
        <v>5</v>
      </c>
      <c r="AD241" t="inlineStr">
        <is>
          <t>Profitable</t>
        </is>
      </c>
      <c r="AE241" t="inlineStr">
        <is>
          <t>Low</t>
        </is>
      </c>
      <c r="AF241" t="inlineStr">
        <is>
          <t>Small</t>
        </is>
      </c>
    </row>
    <row r="242">
      <c r="A242" t="inlineStr">
        <is>
          <t>ORD-00241</t>
        </is>
      </c>
      <c r="B242" s="2" t="n">
        <v>45882</v>
      </c>
      <c r="C242" s="2" t="n">
        <v>45884</v>
      </c>
      <c r="D242" t="inlineStr">
        <is>
          <t>CUST-00241</t>
        </is>
      </c>
      <c r="E242" t="inlineStr">
        <is>
          <t>Customer 241</t>
        </is>
      </c>
      <c r="F242" t="inlineStr">
        <is>
          <t>Consumer</t>
        </is>
      </c>
      <c r="G242" t="inlineStr">
        <is>
          <t>P1009</t>
        </is>
      </c>
      <c r="H242" t="inlineStr">
        <is>
          <t>Northstar Lantern</t>
        </is>
      </c>
      <c r="I242" t="inlineStr">
        <is>
          <t>Furniture</t>
        </is>
      </c>
      <c r="J242" t="inlineStr">
        <is>
          <t>Peripherals</t>
        </is>
      </c>
      <c r="K242" t="inlineStr">
        <is>
          <t>West</t>
        </is>
      </c>
      <c r="L242" t="inlineStr">
        <is>
          <t>Oregon</t>
        </is>
      </c>
      <c r="M242" t="inlineStr">
        <is>
          <t>Seattle</t>
        </is>
      </c>
      <c r="N242" t="inlineStr">
        <is>
          <t>Noah Kim</t>
        </is>
      </c>
      <c r="O242" t="n">
        <v>3</v>
      </c>
      <c r="P242" s="3" t="n">
        <v>99.48999999999999</v>
      </c>
      <c r="Q242" s="4" t="n">
        <v>0.006</v>
      </c>
      <c r="R242" s="3" t="n">
        <v>296.68</v>
      </c>
      <c r="S242" s="3" t="n">
        <v>148.03</v>
      </c>
      <c r="T242" s="3" t="n">
        <v>139.25</v>
      </c>
      <c r="U242" s="4" t="n">
        <v>0.4694</v>
      </c>
      <c r="V242" s="3" t="n">
        <v>9.4</v>
      </c>
      <c r="W242" t="inlineStr">
        <is>
          <t>Debit Card</t>
        </is>
      </c>
      <c r="X242" t="inlineStr">
        <is>
          <t>Low</t>
        </is>
      </c>
      <c r="Y242" t="n">
        <v>2025</v>
      </c>
      <c r="Z242" t="n">
        <v>8</v>
      </c>
      <c r="AA242" t="inlineStr">
        <is>
          <t>Aug</t>
        </is>
      </c>
      <c r="AB242" t="inlineStr">
        <is>
          <t>Wednesday</t>
        </is>
      </c>
      <c r="AC242" t="n">
        <v>2</v>
      </c>
      <c r="AD242" t="inlineStr">
        <is>
          <t>Profitable</t>
        </is>
      </c>
      <c r="AE242" t="inlineStr">
        <is>
          <t>Low</t>
        </is>
      </c>
      <c r="AF242" t="inlineStr">
        <is>
          <t>Small</t>
        </is>
      </c>
    </row>
    <row r="243">
      <c r="A243" t="inlineStr">
        <is>
          <t>ORD-00242</t>
        </is>
      </c>
      <c r="B243" s="2" t="n">
        <v>45738</v>
      </c>
      <c r="C243" s="2" t="n">
        <v>45740</v>
      </c>
      <c r="D243" t="inlineStr">
        <is>
          <t>CUST-00242</t>
        </is>
      </c>
      <c r="E243" t="inlineStr">
        <is>
          <t>Customer 242</t>
        </is>
      </c>
      <c r="F243" t="inlineStr">
        <is>
          <t>Corporate</t>
        </is>
      </c>
      <c r="G243" t="inlineStr">
        <is>
          <t>P1005</t>
        </is>
      </c>
      <c r="H243" t="inlineStr">
        <is>
          <t>FlexNote Notebook</t>
        </is>
      </c>
      <c r="I243" t="inlineStr">
        <is>
          <t>Outdoor</t>
        </is>
      </c>
      <c r="J243" t="inlineStr">
        <is>
          <t>Paper</t>
        </is>
      </c>
      <c r="K243" t="inlineStr">
        <is>
          <t>West</t>
        </is>
      </c>
      <c r="L243" t="inlineStr">
        <is>
          <t>Washington</t>
        </is>
      </c>
      <c r="M243" t="inlineStr">
        <is>
          <t>San Francisco</t>
        </is>
      </c>
      <c r="N243" t="inlineStr">
        <is>
          <t>Sophia Singh</t>
        </is>
      </c>
      <c r="O243" t="n">
        <v>3</v>
      </c>
      <c r="P243" s="3" t="n">
        <v>12.49</v>
      </c>
      <c r="Q243" s="4" t="n">
        <v>0.02</v>
      </c>
      <c r="R243" s="3" t="n">
        <v>36.72</v>
      </c>
      <c r="S243" s="3" t="n">
        <v>22.68</v>
      </c>
      <c r="T243" s="3" t="n">
        <v>4.64</v>
      </c>
      <c r="U243" s="4" t="n">
        <v>0.1264</v>
      </c>
      <c r="V243" s="3" t="n">
        <v>9.4</v>
      </c>
      <c r="W243" t="inlineStr">
        <is>
          <t>Credit Card</t>
        </is>
      </c>
      <c r="X243" t="inlineStr">
        <is>
          <t>Low</t>
        </is>
      </c>
      <c r="Y243" t="n">
        <v>2025</v>
      </c>
      <c r="Z243" t="n">
        <v>3</v>
      </c>
      <c r="AA243" t="inlineStr">
        <is>
          <t>Mar</t>
        </is>
      </c>
      <c r="AB243" t="inlineStr">
        <is>
          <t>Saturday</t>
        </is>
      </c>
      <c r="AC243" t="n">
        <v>2</v>
      </c>
      <c r="AD243" t="inlineStr">
        <is>
          <t>Profitable</t>
        </is>
      </c>
      <c r="AE243" t="inlineStr">
        <is>
          <t>Medium</t>
        </is>
      </c>
      <c r="AF243" t="inlineStr">
        <is>
          <t>Small</t>
        </is>
      </c>
    </row>
    <row r="244">
      <c r="A244" t="inlineStr">
        <is>
          <t>ORD-00243</t>
        </is>
      </c>
      <c r="B244" s="2" t="n">
        <v>45951</v>
      </c>
      <c r="C244" s="2" t="n">
        <v>45956</v>
      </c>
      <c r="D244" t="inlineStr">
        <is>
          <t>CUST-00243</t>
        </is>
      </c>
      <c r="E244" t="inlineStr">
        <is>
          <t>Customer 243</t>
        </is>
      </c>
      <c r="F244" t="inlineStr">
        <is>
          <t>Consumer</t>
        </is>
      </c>
      <c r="G244" t="inlineStr">
        <is>
          <t>P1008</t>
        </is>
      </c>
      <c r="H244" t="inlineStr">
        <is>
          <t>ProClip Binder</t>
        </is>
      </c>
      <c r="I244" t="inlineStr">
        <is>
          <t>Home Decor</t>
        </is>
      </c>
      <c r="J244" t="inlineStr">
        <is>
          <t>Video</t>
        </is>
      </c>
      <c r="K244" t="inlineStr">
        <is>
          <t>East</t>
        </is>
      </c>
      <c r="L244" t="inlineStr">
        <is>
          <t>New Jersey</t>
        </is>
      </c>
      <c r="M244" t="inlineStr">
        <is>
          <t>Philadelphia</t>
        </is>
      </c>
      <c r="N244" t="inlineStr">
        <is>
          <t>Sophia Singh</t>
        </is>
      </c>
      <c r="O244" t="n">
        <v>4</v>
      </c>
      <c r="P244" s="3" t="n">
        <v>37.65</v>
      </c>
      <c r="Q244" s="4" t="n">
        <v>0.06</v>
      </c>
      <c r="R244" s="3" t="n">
        <v>141.56</v>
      </c>
      <c r="S244" s="3" t="n">
        <v>62.41</v>
      </c>
      <c r="T244" s="3" t="n">
        <v>68.95</v>
      </c>
      <c r="U244" s="4" t="n">
        <v>0.4871</v>
      </c>
      <c r="V244" s="3" t="n">
        <v>10.2</v>
      </c>
      <c r="W244" t="inlineStr">
        <is>
          <t>Debit Card</t>
        </is>
      </c>
      <c r="X244" t="inlineStr">
        <is>
          <t>High</t>
        </is>
      </c>
      <c r="Y244" t="n">
        <v>2025</v>
      </c>
      <c r="Z244" t="n">
        <v>10</v>
      </c>
      <c r="AA244" t="inlineStr">
        <is>
          <t>Oct</t>
        </is>
      </c>
      <c r="AB244" t="inlineStr">
        <is>
          <t>Tuesday</t>
        </is>
      </c>
      <c r="AC244" t="n">
        <v>5</v>
      </c>
      <c r="AD244" t="inlineStr">
        <is>
          <t>Profitable</t>
        </is>
      </c>
      <c r="AE244" t="inlineStr">
        <is>
          <t>High</t>
        </is>
      </c>
      <c r="AF244" t="inlineStr">
        <is>
          <t>Small</t>
        </is>
      </c>
    </row>
    <row r="245">
      <c r="A245" t="inlineStr">
        <is>
          <t>ORD-00244</t>
        </is>
      </c>
      <c r="B245" s="2" t="n">
        <v>45427</v>
      </c>
      <c r="C245" s="2" t="n">
        <v>45432</v>
      </c>
      <c r="D245" t="inlineStr">
        <is>
          <t>CUST-00244</t>
        </is>
      </c>
      <c r="E245" t="inlineStr">
        <is>
          <t>Customer 244</t>
        </is>
      </c>
      <c r="F245" t="inlineStr">
        <is>
          <t>Home Office</t>
        </is>
      </c>
      <c r="G245" t="inlineStr">
        <is>
          <t>P1002</t>
        </is>
      </c>
      <c r="H245" t="inlineStr">
        <is>
          <t>Summit Patio Set</t>
        </is>
      </c>
      <c r="I245" t="inlineStr">
        <is>
          <t>Furniture</t>
        </is>
      </c>
      <c r="J245" t="inlineStr">
        <is>
          <t>Coolers</t>
        </is>
      </c>
      <c r="K245" t="inlineStr">
        <is>
          <t>East</t>
        </is>
      </c>
      <c r="L245" t="inlineStr">
        <is>
          <t>Virginia</t>
        </is>
      </c>
      <c r="M245" t="inlineStr">
        <is>
          <t>Philadelphia</t>
        </is>
      </c>
      <c r="N245" t="inlineStr">
        <is>
          <t>Sophia Singh</t>
        </is>
      </c>
      <c r="O245" t="n">
        <v>3</v>
      </c>
      <c r="P245" s="3" t="n">
        <v>78.19</v>
      </c>
      <c r="Q245" s="4" t="n">
        <v>0.003</v>
      </c>
      <c r="R245" s="3" t="n">
        <v>233.87</v>
      </c>
      <c r="S245" s="3" t="n">
        <v>111.8</v>
      </c>
      <c r="T245" s="3" t="n">
        <v>112.67</v>
      </c>
      <c r="U245" s="4" t="n">
        <v>0.4818</v>
      </c>
      <c r="V245" s="3" t="n">
        <v>9.4</v>
      </c>
      <c r="W245" t="inlineStr">
        <is>
          <t>PayPal</t>
        </is>
      </c>
      <c r="X245" t="inlineStr">
        <is>
          <t>Medium</t>
        </is>
      </c>
      <c r="Y245" t="n">
        <v>2024</v>
      </c>
      <c r="Z245" t="n">
        <v>5</v>
      </c>
      <c r="AA245" t="inlineStr">
        <is>
          <t>May</t>
        </is>
      </c>
      <c r="AB245" t="inlineStr">
        <is>
          <t>Wednesday</t>
        </is>
      </c>
      <c r="AC245" t="n">
        <v>5</v>
      </c>
      <c r="AD245" t="inlineStr">
        <is>
          <t>Profitable</t>
        </is>
      </c>
      <c r="AE245" t="inlineStr">
        <is>
          <t>Low</t>
        </is>
      </c>
      <c r="AF245" t="inlineStr">
        <is>
          <t>Small</t>
        </is>
      </c>
    </row>
    <row r="246">
      <c r="A246" t="inlineStr">
        <is>
          <t>ORD-00245</t>
        </is>
      </c>
      <c r="B246" s="2" t="n">
        <v>45118</v>
      </c>
      <c r="C246" s="2" t="n">
        <v>45122</v>
      </c>
      <c r="D246" t="inlineStr">
        <is>
          <t>CUST-00245</t>
        </is>
      </c>
      <c r="E246" t="inlineStr">
        <is>
          <t>Customer 245</t>
        </is>
      </c>
      <c r="F246" t="inlineStr">
        <is>
          <t>Consumer</t>
        </is>
      </c>
      <c r="G246" t="inlineStr">
        <is>
          <t>P1020</t>
        </is>
      </c>
      <c r="H246" t="inlineStr">
        <is>
          <t>Atlas Throw Pillow</t>
        </is>
      </c>
      <c r="I246" t="inlineStr">
        <is>
          <t>Furniture</t>
        </is>
      </c>
      <c r="J246" t="inlineStr">
        <is>
          <t>Paper</t>
        </is>
      </c>
      <c r="K246" t="inlineStr">
        <is>
          <t>East</t>
        </is>
      </c>
      <c r="L246" t="inlineStr">
        <is>
          <t>New York</t>
        </is>
      </c>
      <c r="M246" t="inlineStr">
        <is>
          <t>New York</t>
        </is>
      </c>
      <c r="N246" t="inlineStr">
        <is>
          <t>Mia Rodriguez</t>
        </is>
      </c>
      <c r="O246" t="n">
        <v>4</v>
      </c>
      <c r="P246" s="3" t="n">
        <v>79.13</v>
      </c>
      <c r="Q246" s="4" t="n">
        <v>0.028</v>
      </c>
      <c r="R246" s="3" t="n">
        <v>307.66</v>
      </c>
      <c r="S246" s="3" t="n">
        <v>142.63</v>
      </c>
      <c r="T246" s="3" t="n">
        <v>154.83</v>
      </c>
      <c r="U246" s="4" t="n">
        <v>0.5033</v>
      </c>
      <c r="V246" s="3" t="n">
        <v>10.2</v>
      </c>
      <c r="W246" t="inlineStr">
        <is>
          <t>Bank Transfer</t>
        </is>
      </c>
      <c r="X246" t="inlineStr">
        <is>
          <t>Medium</t>
        </is>
      </c>
      <c r="Y246" t="n">
        <v>2023</v>
      </c>
      <c r="Z246" t="n">
        <v>7</v>
      </c>
      <c r="AA246" t="inlineStr">
        <is>
          <t>Jul</t>
        </is>
      </c>
      <c r="AB246" t="inlineStr">
        <is>
          <t>Tuesday</t>
        </is>
      </c>
      <c r="AC246" t="n">
        <v>4</v>
      </c>
      <c r="AD246" t="inlineStr">
        <is>
          <t>Profitable</t>
        </is>
      </c>
      <c r="AE246" t="inlineStr">
        <is>
          <t>Medium</t>
        </is>
      </c>
      <c r="AF246" t="inlineStr">
        <is>
          <t>Small</t>
        </is>
      </c>
    </row>
    <row r="247">
      <c r="A247" t="inlineStr">
        <is>
          <t>ORD-00246</t>
        </is>
      </c>
      <c r="B247" s="2" t="n">
        <v>45895</v>
      </c>
      <c r="C247" s="2" t="n">
        <v>45896</v>
      </c>
      <c r="D247" t="inlineStr">
        <is>
          <t>CUST-00246</t>
        </is>
      </c>
      <c r="E247" t="inlineStr">
        <is>
          <t>Customer 246</t>
        </is>
      </c>
      <c r="F247" t="inlineStr">
        <is>
          <t>Consumer</t>
        </is>
      </c>
      <c r="G247" t="inlineStr">
        <is>
          <t>P1020</t>
        </is>
      </c>
      <c r="H247" t="inlineStr">
        <is>
          <t>Atlas Throw Pillow</t>
        </is>
      </c>
      <c r="I247" t="inlineStr">
        <is>
          <t>Office Supplies</t>
        </is>
      </c>
      <c r="J247" t="inlineStr">
        <is>
          <t>Plants</t>
        </is>
      </c>
      <c r="K247" t="inlineStr">
        <is>
          <t>South</t>
        </is>
      </c>
      <c r="L247" t="inlineStr">
        <is>
          <t>Texas</t>
        </is>
      </c>
      <c r="M247" t="inlineStr">
        <is>
          <t>Houston</t>
        </is>
      </c>
      <c r="N247" t="inlineStr">
        <is>
          <t>Sophia Singh</t>
        </is>
      </c>
      <c r="O247" t="n">
        <v>2</v>
      </c>
      <c r="P247" s="3" t="n">
        <v>76.44</v>
      </c>
      <c r="Q247" s="4" t="n">
        <v>0.027</v>
      </c>
      <c r="R247" s="3" t="n">
        <v>148.75</v>
      </c>
      <c r="S247" s="3" t="n">
        <v>73.11</v>
      </c>
      <c r="T247" s="3" t="n">
        <v>68.04000000000001</v>
      </c>
      <c r="U247" s="4" t="n">
        <v>0.4574</v>
      </c>
      <c r="V247" s="3" t="n">
        <v>7.6</v>
      </c>
      <c r="W247" t="inlineStr">
        <is>
          <t>Credit Card</t>
        </is>
      </c>
      <c r="X247" t="inlineStr">
        <is>
          <t>Medium</t>
        </is>
      </c>
      <c r="Y247" t="n">
        <v>2025</v>
      </c>
      <c r="Z247" t="n">
        <v>8</v>
      </c>
      <c r="AA247" t="inlineStr">
        <is>
          <t>Aug</t>
        </is>
      </c>
      <c r="AB247" t="inlineStr">
        <is>
          <t>Tuesday</t>
        </is>
      </c>
      <c r="AC247" t="n">
        <v>1</v>
      </c>
      <c r="AD247" t="inlineStr">
        <is>
          <t>Profitable</t>
        </is>
      </c>
      <c r="AE247" t="inlineStr">
        <is>
          <t>Medium</t>
        </is>
      </c>
      <c r="AF247" t="inlineStr">
        <is>
          <t>Small</t>
        </is>
      </c>
    </row>
    <row r="248">
      <c r="A248" t="inlineStr">
        <is>
          <t>ORD-00247</t>
        </is>
      </c>
      <c r="B248" s="2" t="n">
        <v>45365</v>
      </c>
      <c r="C248" s="2" t="n">
        <v>45366</v>
      </c>
      <c r="D248" t="inlineStr">
        <is>
          <t>CUST-00247</t>
        </is>
      </c>
      <c r="E248" t="inlineStr">
        <is>
          <t>Customer 247</t>
        </is>
      </c>
      <c r="F248" t="inlineStr">
        <is>
          <t>Corporate</t>
        </is>
      </c>
      <c r="G248" t="inlineStr">
        <is>
          <t>P1007</t>
        </is>
      </c>
      <c r="H248" t="inlineStr">
        <is>
          <t>SmartInk Pen Set</t>
        </is>
      </c>
      <c r="I248" t="inlineStr">
        <is>
          <t>Outdoor</t>
        </is>
      </c>
      <c r="J248" t="inlineStr">
        <is>
          <t>Video</t>
        </is>
      </c>
      <c r="K248" t="inlineStr">
        <is>
          <t>North</t>
        </is>
      </c>
      <c r="L248" t="inlineStr">
        <is>
          <t>Quebec</t>
        </is>
      </c>
      <c r="M248" t="inlineStr">
        <is>
          <t>Montreal</t>
        </is>
      </c>
      <c r="N248" t="inlineStr">
        <is>
          <t>Liam Chen</t>
        </is>
      </c>
      <c r="O248" t="n">
        <v>3</v>
      </c>
      <c r="P248" s="3" t="n">
        <v>23.26</v>
      </c>
      <c r="Q248" s="4" t="n">
        <v>0.015</v>
      </c>
      <c r="R248" s="3" t="n">
        <v>68.73</v>
      </c>
      <c r="S248" s="3" t="n">
        <v>33.24</v>
      </c>
      <c r="T248" s="3" t="n">
        <v>27.09</v>
      </c>
      <c r="U248" s="4" t="n">
        <v>0.3942</v>
      </c>
      <c r="V248" s="3" t="n">
        <v>8.4</v>
      </c>
      <c r="W248" t="inlineStr">
        <is>
          <t>Bank Transfer</t>
        </is>
      </c>
      <c r="X248" t="inlineStr">
        <is>
          <t>Low</t>
        </is>
      </c>
      <c r="Y248" t="n">
        <v>2024</v>
      </c>
      <c r="Z248" t="n">
        <v>3</v>
      </c>
      <c r="AA248" t="inlineStr">
        <is>
          <t>Mar</t>
        </is>
      </c>
      <c r="AB248" t="inlineStr">
        <is>
          <t>Thursday</t>
        </is>
      </c>
      <c r="AC248" t="n">
        <v>1</v>
      </c>
      <c r="AD248" t="inlineStr">
        <is>
          <t>Profitable</t>
        </is>
      </c>
      <c r="AE248" t="inlineStr">
        <is>
          <t>Low</t>
        </is>
      </c>
      <c r="AF248" t="inlineStr">
        <is>
          <t>Small</t>
        </is>
      </c>
    </row>
    <row r="249">
      <c r="A249" t="inlineStr">
        <is>
          <t>ORD-00248</t>
        </is>
      </c>
      <c r="B249" s="2" t="n">
        <v>45941</v>
      </c>
      <c r="C249" s="2" t="n">
        <v>45944</v>
      </c>
      <c r="D249" t="inlineStr">
        <is>
          <t>CUST-00248</t>
        </is>
      </c>
      <c r="E249" t="inlineStr">
        <is>
          <t>Customer 248</t>
        </is>
      </c>
      <c r="F249" t="inlineStr">
        <is>
          <t>Corporate</t>
        </is>
      </c>
      <c r="G249" t="inlineStr">
        <is>
          <t>P1004</t>
        </is>
      </c>
      <c r="H249" t="inlineStr">
        <is>
          <t>Atlas Throw Pillow</t>
        </is>
      </c>
      <c r="I249" t="inlineStr">
        <is>
          <t>Furniture</t>
        </is>
      </c>
      <c r="J249" t="inlineStr">
        <is>
          <t>Chairs</t>
        </is>
      </c>
      <c r="K249" t="inlineStr">
        <is>
          <t>North</t>
        </is>
      </c>
      <c r="L249" t="inlineStr">
        <is>
          <t>Alberta</t>
        </is>
      </c>
      <c r="M249" t="inlineStr">
        <is>
          <t>Toronto</t>
        </is>
      </c>
      <c r="N249" t="inlineStr">
        <is>
          <t>James Carter</t>
        </is>
      </c>
      <c r="O249" t="n">
        <v>3</v>
      </c>
      <c r="P249" s="3" t="n">
        <v>685.98</v>
      </c>
      <c r="Q249" s="4" t="n">
        <v>0.01</v>
      </c>
      <c r="R249" s="3" t="n">
        <v>2037.36</v>
      </c>
      <c r="S249" s="3" t="n">
        <v>1295.31</v>
      </c>
      <c r="T249" s="3" t="n">
        <v>733.65</v>
      </c>
      <c r="U249" s="4" t="n">
        <v>0.3601</v>
      </c>
      <c r="V249" s="3" t="n">
        <v>8.4</v>
      </c>
      <c r="W249" t="inlineStr">
        <is>
          <t>Credit Card</t>
        </is>
      </c>
      <c r="X249" t="inlineStr">
        <is>
          <t>Medium</t>
        </is>
      </c>
      <c r="Y249" t="n">
        <v>2025</v>
      </c>
      <c r="Z249" t="n">
        <v>10</v>
      </c>
      <c r="AA249" t="inlineStr">
        <is>
          <t>Oct</t>
        </is>
      </c>
      <c r="AB249" t="inlineStr">
        <is>
          <t>Saturday</t>
        </is>
      </c>
      <c r="AC249" t="n">
        <v>3</v>
      </c>
      <c r="AD249" t="inlineStr">
        <is>
          <t>Profitable</t>
        </is>
      </c>
      <c r="AE249" t="inlineStr">
        <is>
          <t>Low</t>
        </is>
      </c>
      <c r="AF249" t="inlineStr">
        <is>
          <t>Large</t>
        </is>
      </c>
    </row>
    <row r="250">
      <c r="A250" t="inlineStr">
        <is>
          <t>ORD-00249</t>
        </is>
      </c>
      <c r="B250" s="2" t="n">
        <v>45779</v>
      </c>
      <c r="C250" s="2" t="n">
        <v>45785</v>
      </c>
      <c r="D250" t="inlineStr">
        <is>
          <t>CUST-00249</t>
        </is>
      </c>
      <c r="E250" t="inlineStr">
        <is>
          <t>Customer 249</t>
        </is>
      </c>
      <c r="F250" t="inlineStr">
        <is>
          <t>Consumer</t>
        </is>
      </c>
      <c r="G250" t="inlineStr">
        <is>
          <t>P1015</t>
        </is>
      </c>
      <c r="H250" t="inlineStr">
        <is>
          <t>Nova Laptop Stand</t>
        </is>
      </c>
      <c r="I250" t="inlineStr">
        <is>
          <t>Home Decor</t>
        </is>
      </c>
      <c r="J250" t="inlineStr">
        <is>
          <t>Coolers</t>
        </is>
      </c>
      <c r="K250" t="inlineStr">
        <is>
          <t>South</t>
        </is>
      </c>
      <c r="L250" t="inlineStr">
        <is>
          <t>Texas</t>
        </is>
      </c>
      <c r="M250" t="inlineStr">
        <is>
          <t>Houston</t>
        </is>
      </c>
      <c r="N250" t="inlineStr">
        <is>
          <t>Ethan Brooks</t>
        </is>
      </c>
      <c r="O250" t="n">
        <v>2</v>
      </c>
      <c r="P250" s="3" t="n">
        <v>62.92</v>
      </c>
      <c r="Q250" s="4" t="n">
        <v>0.003</v>
      </c>
      <c r="R250" s="3" t="n">
        <v>125.46</v>
      </c>
      <c r="S250" s="3" t="n">
        <v>59.44</v>
      </c>
      <c r="T250" s="3" t="n">
        <v>58.42</v>
      </c>
      <c r="U250" s="4" t="n">
        <v>0.4656</v>
      </c>
      <c r="V250" s="3" t="n">
        <v>7.6</v>
      </c>
      <c r="W250" t="inlineStr">
        <is>
          <t>Debit Card</t>
        </is>
      </c>
      <c r="X250" t="inlineStr">
        <is>
          <t>Medium</t>
        </is>
      </c>
      <c r="Y250" t="n">
        <v>2025</v>
      </c>
      <c r="Z250" t="n">
        <v>5</v>
      </c>
      <c r="AA250" t="inlineStr">
        <is>
          <t>May</t>
        </is>
      </c>
      <c r="AB250" t="inlineStr">
        <is>
          <t>Friday</t>
        </is>
      </c>
      <c r="AC250" t="n">
        <v>6</v>
      </c>
      <c r="AD250" t="inlineStr">
        <is>
          <t>Profitable</t>
        </is>
      </c>
      <c r="AE250" t="inlineStr">
        <is>
          <t>Low</t>
        </is>
      </c>
      <c r="AF250" t="inlineStr">
        <is>
          <t>Small</t>
        </is>
      </c>
    </row>
    <row r="251">
      <c r="A251" t="inlineStr">
        <is>
          <t>ORD-00250</t>
        </is>
      </c>
      <c r="B251" s="2" t="n">
        <v>45902</v>
      </c>
      <c r="C251" s="2" t="n">
        <v>45909</v>
      </c>
      <c r="D251" t="inlineStr">
        <is>
          <t>CUST-00250</t>
        </is>
      </c>
      <c r="E251" t="inlineStr">
        <is>
          <t>Customer 250</t>
        </is>
      </c>
      <c r="F251" t="inlineStr">
        <is>
          <t>Consumer</t>
        </is>
      </c>
      <c r="G251" t="inlineStr">
        <is>
          <t>P1018</t>
        </is>
      </c>
      <c r="H251" t="inlineStr">
        <is>
          <t>ProClip Binder</t>
        </is>
      </c>
      <c r="I251" t="inlineStr">
        <is>
          <t>Furniture</t>
        </is>
      </c>
      <c r="J251" t="inlineStr">
        <is>
          <t>Binders</t>
        </is>
      </c>
      <c r="K251" t="inlineStr">
        <is>
          <t>Central</t>
        </is>
      </c>
      <c r="L251" t="inlineStr">
        <is>
          <t>Kansas</t>
        </is>
      </c>
      <c r="M251" t="inlineStr">
        <is>
          <t>St. Louis</t>
        </is>
      </c>
      <c r="N251" t="inlineStr">
        <is>
          <t>Ava Patel</t>
        </is>
      </c>
      <c r="O251" t="n">
        <v>1</v>
      </c>
      <c r="P251" s="3" t="n">
        <v>84.34999999999999</v>
      </c>
      <c r="Q251" s="4" t="n">
        <v>0.07099999999999999</v>
      </c>
      <c r="R251" s="3" t="n">
        <v>78.36</v>
      </c>
      <c r="S251" s="3" t="n">
        <v>41.58</v>
      </c>
      <c r="T251" s="3" t="n">
        <v>29.98</v>
      </c>
      <c r="U251" s="4" t="n">
        <v>0.3826</v>
      </c>
      <c r="V251" s="3" t="n">
        <v>6.8</v>
      </c>
      <c r="W251" t="inlineStr">
        <is>
          <t>Credit Card</t>
        </is>
      </c>
      <c r="X251" t="inlineStr">
        <is>
          <t>Critical</t>
        </is>
      </c>
      <c r="Y251" t="n">
        <v>2025</v>
      </c>
      <c r="Z251" t="n">
        <v>9</v>
      </c>
      <c r="AA251" t="inlineStr">
        <is>
          <t>Sep</t>
        </is>
      </c>
      <c r="AB251" t="inlineStr">
        <is>
          <t>Tuesday</t>
        </is>
      </c>
      <c r="AC251" t="n">
        <v>7</v>
      </c>
      <c r="AD251" t="inlineStr">
        <is>
          <t>Profitable</t>
        </is>
      </c>
      <c r="AE251" t="inlineStr">
        <is>
          <t>High</t>
        </is>
      </c>
      <c r="AF251" t="inlineStr">
        <is>
          <t>Small</t>
        </is>
      </c>
    </row>
    <row r="252">
      <c r="A252" t="inlineStr">
        <is>
          <t>ORD-00251</t>
        </is>
      </c>
      <c r="B252" s="2" t="n">
        <v>44997</v>
      </c>
      <c r="C252" s="2" t="n">
        <v>44998</v>
      </c>
      <c r="D252" t="inlineStr">
        <is>
          <t>CUST-00251</t>
        </is>
      </c>
      <c r="E252" t="inlineStr">
        <is>
          <t>Customer 251</t>
        </is>
      </c>
      <c r="F252" t="inlineStr">
        <is>
          <t>Consumer</t>
        </is>
      </c>
      <c r="G252" t="inlineStr">
        <is>
          <t>P1002</t>
        </is>
      </c>
      <c r="H252" t="inlineStr">
        <is>
          <t>Atlas Throw Pillow</t>
        </is>
      </c>
      <c r="I252" t="inlineStr">
        <is>
          <t>Technology</t>
        </is>
      </c>
      <c r="J252" t="inlineStr">
        <is>
          <t>Binders</t>
        </is>
      </c>
      <c r="K252" t="inlineStr">
        <is>
          <t>North</t>
        </is>
      </c>
      <c r="L252" t="inlineStr">
        <is>
          <t>Alberta</t>
        </is>
      </c>
      <c r="M252" t="inlineStr">
        <is>
          <t>Montreal</t>
        </is>
      </c>
      <c r="N252" t="inlineStr">
        <is>
          <t>Mia Rodriguez</t>
        </is>
      </c>
      <c r="O252" t="n">
        <v>4</v>
      </c>
      <c r="P252" s="3" t="n">
        <v>79.95999999999999</v>
      </c>
      <c r="Q252" s="4" t="n">
        <v>0.01</v>
      </c>
      <c r="R252" s="3" t="n">
        <v>316.64</v>
      </c>
      <c r="S252" s="3" t="n">
        <v>144.15</v>
      </c>
      <c r="T252" s="3" t="n">
        <v>163.29</v>
      </c>
      <c r="U252" s="4" t="n">
        <v>0.5157</v>
      </c>
      <c r="V252" s="3" t="n">
        <v>9.199999999999999</v>
      </c>
      <c r="W252" t="inlineStr">
        <is>
          <t>Bank Transfer</t>
        </is>
      </c>
      <c r="X252" t="inlineStr">
        <is>
          <t>Low</t>
        </is>
      </c>
      <c r="Y252" t="n">
        <v>2023</v>
      </c>
      <c r="Z252" t="n">
        <v>3</v>
      </c>
      <c r="AA252" t="inlineStr">
        <is>
          <t>Mar</t>
        </is>
      </c>
      <c r="AB252" t="inlineStr">
        <is>
          <t>Sunday</t>
        </is>
      </c>
      <c r="AC252" t="n">
        <v>1</v>
      </c>
      <c r="AD252" t="inlineStr">
        <is>
          <t>Profitable</t>
        </is>
      </c>
      <c r="AE252" t="inlineStr">
        <is>
          <t>Low</t>
        </is>
      </c>
      <c r="AF252" t="inlineStr">
        <is>
          <t>Small</t>
        </is>
      </c>
    </row>
    <row r="253">
      <c r="A253" t="inlineStr">
        <is>
          <t>ORD-00252</t>
        </is>
      </c>
      <c r="B253" s="2" t="n">
        <v>45580</v>
      </c>
      <c r="C253" s="2" t="n">
        <v>45583</v>
      </c>
      <c r="D253" t="inlineStr">
        <is>
          <t>CUST-00252</t>
        </is>
      </c>
      <c r="E253" t="inlineStr">
        <is>
          <t>Customer 252</t>
        </is>
      </c>
      <c r="F253" t="inlineStr">
        <is>
          <t>Corporate</t>
        </is>
      </c>
      <c r="G253" t="inlineStr">
        <is>
          <t>P1014</t>
        </is>
      </c>
      <c r="H253" t="inlineStr">
        <is>
          <t>Nova Laptop Stand</t>
        </is>
      </c>
      <c r="I253" t="inlineStr">
        <is>
          <t>Outdoor</t>
        </is>
      </c>
      <c r="J253" t="inlineStr">
        <is>
          <t>Peripherals</t>
        </is>
      </c>
      <c r="K253" t="inlineStr">
        <is>
          <t>Central</t>
        </is>
      </c>
      <c r="L253" t="inlineStr">
        <is>
          <t>Minnesota</t>
        </is>
      </c>
      <c r="M253" t="inlineStr">
        <is>
          <t>Kansas City</t>
        </is>
      </c>
      <c r="N253" t="inlineStr">
        <is>
          <t>Mia Rodriguez</t>
        </is>
      </c>
      <c r="O253" t="n">
        <v>2</v>
      </c>
      <c r="P253" s="3" t="n">
        <v>46.17</v>
      </c>
      <c r="Q253" s="4" t="n">
        <v>0.02</v>
      </c>
      <c r="R253" s="3" t="n">
        <v>90.48999999999999</v>
      </c>
      <c r="S253" s="3" t="n">
        <v>39.49</v>
      </c>
      <c r="T253" s="3" t="n">
        <v>43.4</v>
      </c>
      <c r="U253" s="4" t="n">
        <v>0.4796</v>
      </c>
      <c r="V253" s="3" t="n">
        <v>7.6</v>
      </c>
      <c r="W253" t="inlineStr">
        <is>
          <t>Debit Card</t>
        </is>
      </c>
      <c r="X253" t="inlineStr">
        <is>
          <t>Low</t>
        </is>
      </c>
      <c r="Y253" t="n">
        <v>2024</v>
      </c>
      <c r="Z253" t="n">
        <v>10</v>
      </c>
      <c r="AA253" t="inlineStr">
        <is>
          <t>Oct</t>
        </is>
      </c>
      <c r="AB253" t="inlineStr">
        <is>
          <t>Tuesday</t>
        </is>
      </c>
      <c r="AC253" t="n">
        <v>3</v>
      </c>
      <c r="AD253" t="inlineStr">
        <is>
          <t>Profitable</t>
        </is>
      </c>
      <c r="AE253" t="inlineStr">
        <is>
          <t>Medium</t>
        </is>
      </c>
      <c r="AF253" t="inlineStr">
        <is>
          <t>Small</t>
        </is>
      </c>
    </row>
    <row r="254">
      <c r="A254" t="inlineStr">
        <is>
          <t>ORD-00253</t>
        </is>
      </c>
      <c r="B254" s="2" t="n">
        <v>45733</v>
      </c>
      <c r="C254" s="2" t="n">
        <v>45736</v>
      </c>
      <c r="D254" t="inlineStr">
        <is>
          <t>CUST-00253</t>
        </is>
      </c>
      <c r="E254" t="inlineStr">
        <is>
          <t>Customer 253</t>
        </is>
      </c>
      <c r="F254" t="inlineStr">
        <is>
          <t>Consumer</t>
        </is>
      </c>
      <c r="G254" t="inlineStr">
        <is>
          <t>P1010</t>
        </is>
      </c>
      <c r="H254" t="inlineStr">
        <is>
          <t>Aero Standing Desk</t>
        </is>
      </c>
      <c r="I254" t="inlineStr">
        <is>
          <t>Technology</t>
        </is>
      </c>
      <c r="J254" t="inlineStr">
        <is>
          <t>Peripherals</t>
        </is>
      </c>
      <c r="K254" t="inlineStr">
        <is>
          <t>South</t>
        </is>
      </c>
      <c r="L254" t="inlineStr">
        <is>
          <t>Florida</t>
        </is>
      </c>
      <c r="M254" t="inlineStr">
        <is>
          <t>Houston</t>
        </is>
      </c>
      <c r="N254" t="inlineStr">
        <is>
          <t>James Carter</t>
        </is>
      </c>
      <c r="O254" t="n">
        <v>2</v>
      </c>
      <c r="P254" s="3" t="n">
        <v>54.01</v>
      </c>
      <c r="Q254" s="4" t="n">
        <v>0.059</v>
      </c>
      <c r="R254" s="3" t="n">
        <v>101.65</v>
      </c>
      <c r="S254" s="3" t="n">
        <v>50.72</v>
      </c>
      <c r="T254" s="3" t="n">
        <v>43.33</v>
      </c>
      <c r="U254" s="4" t="n">
        <v>0.4263</v>
      </c>
      <c r="V254" s="3" t="n">
        <v>7.6</v>
      </c>
      <c r="W254" t="inlineStr">
        <is>
          <t>PayPal</t>
        </is>
      </c>
      <c r="X254" t="inlineStr">
        <is>
          <t>High</t>
        </is>
      </c>
      <c r="Y254" t="n">
        <v>2025</v>
      </c>
      <c r="Z254" t="n">
        <v>3</v>
      </c>
      <c r="AA254" t="inlineStr">
        <is>
          <t>Mar</t>
        </is>
      </c>
      <c r="AB254" t="inlineStr">
        <is>
          <t>Monday</t>
        </is>
      </c>
      <c r="AC254" t="n">
        <v>3</v>
      </c>
      <c r="AD254" t="inlineStr">
        <is>
          <t>Profitable</t>
        </is>
      </c>
      <c r="AE254" t="inlineStr">
        <is>
          <t>High</t>
        </is>
      </c>
      <c r="AF254" t="inlineStr">
        <is>
          <t>Small</t>
        </is>
      </c>
    </row>
    <row r="255">
      <c r="A255" t="inlineStr">
        <is>
          <t>ORD-00254</t>
        </is>
      </c>
      <c r="B255" s="2" t="n">
        <v>45457</v>
      </c>
      <c r="C255" s="2" t="n">
        <v>45459</v>
      </c>
      <c r="D255" t="inlineStr">
        <is>
          <t>CUST-00254</t>
        </is>
      </c>
      <c r="E255" t="inlineStr">
        <is>
          <t>Customer 254</t>
        </is>
      </c>
      <c r="F255" t="inlineStr">
        <is>
          <t>Corporate</t>
        </is>
      </c>
      <c r="G255" t="inlineStr">
        <is>
          <t>P1005</t>
        </is>
      </c>
      <c r="H255" t="inlineStr">
        <is>
          <t>ProClip Binder</t>
        </is>
      </c>
      <c r="I255" t="inlineStr">
        <is>
          <t>Furniture</t>
        </is>
      </c>
      <c r="J255" t="inlineStr">
        <is>
          <t>Textiles</t>
        </is>
      </c>
      <c r="K255" t="inlineStr">
        <is>
          <t>Central</t>
        </is>
      </c>
      <c r="L255" t="inlineStr">
        <is>
          <t>Illinois</t>
        </is>
      </c>
      <c r="M255" t="inlineStr">
        <is>
          <t>Kansas City</t>
        </is>
      </c>
      <c r="N255" t="inlineStr">
        <is>
          <t>Ava Patel</t>
        </is>
      </c>
      <c r="O255" t="n">
        <v>2</v>
      </c>
      <c r="P255" s="3" t="n">
        <v>12.66</v>
      </c>
      <c r="Q255" s="4" t="n">
        <v>0.043</v>
      </c>
      <c r="R255" s="3" t="n">
        <v>24.23</v>
      </c>
      <c r="S255" s="3" t="n">
        <v>12.98</v>
      </c>
      <c r="T255" s="3" t="n">
        <v>3.65</v>
      </c>
      <c r="U255" s="4" t="n">
        <v>0.1506</v>
      </c>
      <c r="V255" s="3" t="n">
        <v>7.6</v>
      </c>
      <c r="W255" t="inlineStr">
        <is>
          <t>Debit Card</t>
        </is>
      </c>
      <c r="X255" t="inlineStr">
        <is>
          <t>High</t>
        </is>
      </c>
      <c r="Y255" t="n">
        <v>2024</v>
      </c>
      <c r="Z255" t="n">
        <v>6</v>
      </c>
      <c r="AA255" t="inlineStr">
        <is>
          <t>Jun</t>
        </is>
      </c>
      <c r="AB255" t="inlineStr">
        <is>
          <t>Friday</t>
        </is>
      </c>
      <c r="AC255" t="n">
        <v>2</v>
      </c>
      <c r="AD255" t="inlineStr">
        <is>
          <t>Profitable</t>
        </is>
      </c>
      <c r="AE255" t="inlineStr">
        <is>
          <t>Medium</t>
        </is>
      </c>
      <c r="AF255" t="inlineStr">
        <is>
          <t>Small</t>
        </is>
      </c>
    </row>
    <row r="256">
      <c r="A256" t="inlineStr">
        <is>
          <t>ORD-00255</t>
        </is>
      </c>
      <c r="B256" s="2" t="n">
        <v>45041</v>
      </c>
      <c r="C256" s="2" t="n">
        <v>45043</v>
      </c>
      <c r="D256" t="inlineStr">
        <is>
          <t>CUST-00255</t>
        </is>
      </c>
      <c r="E256" t="inlineStr">
        <is>
          <t>Customer 255</t>
        </is>
      </c>
      <c r="F256" t="inlineStr">
        <is>
          <t>Corporate</t>
        </is>
      </c>
      <c r="G256" t="inlineStr">
        <is>
          <t>P1012</t>
        </is>
      </c>
      <c r="H256" t="inlineStr">
        <is>
          <t>Cove Wall Clock</t>
        </is>
      </c>
      <c r="I256" t="inlineStr">
        <is>
          <t>Furniture</t>
        </is>
      </c>
      <c r="J256" t="inlineStr">
        <is>
          <t>Binders</t>
        </is>
      </c>
      <c r="K256" t="inlineStr">
        <is>
          <t>East</t>
        </is>
      </c>
      <c r="L256" t="inlineStr">
        <is>
          <t>Virginia</t>
        </is>
      </c>
      <c r="M256" t="inlineStr">
        <is>
          <t>Philadelphia</t>
        </is>
      </c>
      <c r="N256" t="inlineStr">
        <is>
          <t>Olivia Martin</t>
        </is>
      </c>
      <c r="O256" t="n">
        <v>4</v>
      </c>
      <c r="P256" s="3" t="n">
        <v>129.31</v>
      </c>
      <c r="Q256" s="4" t="n">
        <v>0.035</v>
      </c>
      <c r="R256" s="3" t="n">
        <v>499.14</v>
      </c>
      <c r="S256" s="3" t="n">
        <v>254.14</v>
      </c>
      <c r="T256" s="3" t="n">
        <v>234.8</v>
      </c>
      <c r="U256" s="4" t="n">
        <v>0.4704</v>
      </c>
      <c r="V256" s="3" t="n">
        <v>10.2</v>
      </c>
      <c r="W256" t="inlineStr">
        <is>
          <t>Debit Card</t>
        </is>
      </c>
      <c r="X256" t="inlineStr">
        <is>
          <t>Medium</t>
        </is>
      </c>
      <c r="Y256" t="n">
        <v>2023</v>
      </c>
      <c r="Z256" t="n">
        <v>4</v>
      </c>
      <c r="AA256" t="inlineStr">
        <is>
          <t>Apr</t>
        </is>
      </c>
      <c r="AB256" t="inlineStr">
        <is>
          <t>Tuesday</t>
        </is>
      </c>
      <c r="AC256" t="n">
        <v>2</v>
      </c>
      <c r="AD256" t="inlineStr">
        <is>
          <t>Profitable</t>
        </is>
      </c>
      <c r="AE256" t="inlineStr">
        <is>
          <t>Medium</t>
        </is>
      </c>
      <c r="AF256" t="inlineStr">
        <is>
          <t>Small</t>
        </is>
      </c>
    </row>
    <row r="257">
      <c r="A257" t="inlineStr">
        <is>
          <t>ORD-00256</t>
        </is>
      </c>
      <c r="B257" s="2" t="n">
        <v>45581</v>
      </c>
      <c r="C257" s="2" t="n">
        <v>45587</v>
      </c>
      <c r="D257" t="inlineStr">
        <is>
          <t>CUST-00256</t>
        </is>
      </c>
      <c r="E257" t="inlineStr">
        <is>
          <t>Customer 256</t>
        </is>
      </c>
      <c r="F257" t="inlineStr">
        <is>
          <t>Consumer</t>
        </is>
      </c>
      <c r="G257" t="inlineStr">
        <is>
          <t>P1010</t>
        </is>
      </c>
      <c r="H257" t="inlineStr">
        <is>
          <t>Nimbus Monitor Arm</t>
        </is>
      </c>
      <c r="I257" t="inlineStr">
        <is>
          <t>Furniture</t>
        </is>
      </c>
      <c r="J257" t="inlineStr">
        <is>
          <t>Chairs</t>
        </is>
      </c>
      <c r="K257" t="inlineStr">
        <is>
          <t>South</t>
        </is>
      </c>
      <c r="L257" t="inlineStr">
        <is>
          <t>North Carolina</t>
        </is>
      </c>
      <c r="M257" t="inlineStr">
        <is>
          <t>Houston</t>
        </is>
      </c>
      <c r="N257" t="inlineStr">
        <is>
          <t>Liam Chen</t>
        </is>
      </c>
      <c r="O257" t="n">
        <v>2</v>
      </c>
      <c r="P257" s="3" t="n">
        <v>57.03</v>
      </c>
      <c r="Q257" s="4" t="n">
        <v>0.022</v>
      </c>
      <c r="R257" s="3" t="n">
        <v>111.55</v>
      </c>
      <c r="S257" s="3" t="n">
        <v>51.12</v>
      </c>
      <c r="T257" s="3" t="n">
        <v>52.83</v>
      </c>
      <c r="U257" s="4" t="n">
        <v>0.4736</v>
      </c>
      <c r="V257" s="3" t="n">
        <v>7.6</v>
      </c>
      <c r="W257" t="inlineStr">
        <is>
          <t>Credit Card</t>
        </is>
      </c>
      <c r="X257" t="inlineStr">
        <is>
          <t>Medium</t>
        </is>
      </c>
      <c r="Y257" t="n">
        <v>2024</v>
      </c>
      <c r="Z257" t="n">
        <v>10</v>
      </c>
      <c r="AA257" t="inlineStr">
        <is>
          <t>Oct</t>
        </is>
      </c>
      <c r="AB257" t="inlineStr">
        <is>
          <t>Wednesday</t>
        </is>
      </c>
      <c r="AC257" t="n">
        <v>6</v>
      </c>
      <c r="AD257" t="inlineStr">
        <is>
          <t>Profitable</t>
        </is>
      </c>
      <c r="AE257" t="inlineStr">
        <is>
          <t>Medium</t>
        </is>
      </c>
      <c r="AF257" t="inlineStr">
        <is>
          <t>Small</t>
        </is>
      </c>
    </row>
    <row r="258">
      <c r="A258" t="inlineStr">
        <is>
          <t>ORD-00257</t>
        </is>
      </c>
      <c r="B258" s="2" t="n">
        <v>45774</v>
      </c>
      <c r="C258" s="2" t="n">
        <v>45778</v>
      </c>
      <c r="D258" t="inlineStr">
        <is>
          <t>CUST-00257</t>
        </is>
      </c>
      <c r="E258" t="inlineStr">
        <is>
          <t>Customer 257</t>
        </is>
      </c>
      <c r="F258" t="inlineStr">
        <is>
          <t>Consumer</t>
        </is>
      </c>
      <c r="G258" t="inlineStr">
        <is>
          <t>P1018</t>
        </is>
      </c>
      <c r="H258" t="inlineStr">
        <is>
          <t>Summit Patio Set</t>
        </is>
      </c>
      <c r="I258" t="inlineStr">
        <is>
          <t>Home Decor</t>
        </is>
      </c>
      <c r="J258" t="inlineStr">
        <is>
          <t>Textiles</t>
        </is>
      </c>
      <c r="K258" t="inlineStr">
        <is>
          <t>West</t>
        </is>
      </c>
      <c r="L258" t="inlineStr">
        <is>
          <t>California</t>
        </is>
      </c>
      <c r="M258" t="inlineStr">
        <is>
          <t>San Francisco</t>
        </is>
      </c>
      <c r="N258" t="inlineStr">
        <is>
          <t>Mia Rodriguez</t>
        </is>
      </c>
      <c r="O258" t="n">
        <v>2</v>
      </c>
      <c r="P258" s="3" t="n">
        <v>88.63</v>
      </c>
      <c r="Q258" s="4" t="n">
        <v>0.063</v>
      </c>
      <c r="R258" s="3" t="n">
        <v>166.09</v>
      </c>
      <c r="S258" s="3" t="n">
        <v>75.55</v>
      </c>
      <c r="T258" s="3" t="n">
        <v>81.94</v>
      </c>
      <c r="U258" s="4" t="n">
        <v>0.4933</v>
      </c>
      <c r="V258" s="3" t="n">
        <v>8.6</v>
      </c>
      <c r="W258" t="inlineStr">
        <is>
          <t>Cash on Delivery</t>
        </is>
      </c>
      <c r="X258" t="inlineStr">
        <is>
          <t>High</t>
        </is>
      </c>
      <c r="Y258" t="n">
        <v>2025</v>
      </c>
      <c r="Z258" t="n">
        <v>4</v>
      </c>
      <c r="AA258" t="inlineStr">
        <is>
          <t>Apr</t>
        </is>
      </c>
      <c r="AB258" t="inlineStr">
        <is>
          <t>Sunday</t>
        </is>
      </c>
      <c r="AC258" t="n">
        <v>4</v>
      </c>
      <c r="AD258" t="inlineStr">
        <is>
          <t>Profitable</t>
        </is>
      </c>
      <c r="AE258" t="inlineStr">
        <is>
          <t>High</t>
        </is>
      </c>
      <c r="AF258" t="inlineStr">
        <is>
          <t>Small</t>
        </is>
      </c>
    </row>
    <row r="259">
      <c r="A259" t="inlineStr">
        <is>
          <t>ORD-00258</t>
        </is>
      </c>
      <c r="B259" s="2" t="n">
        <v>45969</v>
      </c>
      <c r="C259" s="2" t="n">
        <v>45974</v>
      </c>
      <c r="D259" t="inlineStr">
        <is>
          <t>CUST-00258</t>
        </is>
      </c>
      <c r="E259" t="inlineStr">
        <is>
          <t>Customer 258</t>
        </is>
      </c>
      <c r="F259" t="inlineStr">
        <is>
          <t>Consumer</t>
        </is>
      </c>
      <c r="G259" t="inlineStr">
        <is>
          <t>P1006</t>
        </is>
      </c>
      <c r="H259" t="inlineStr">
        <is>
          <t>Pulse Keyboard</t>
        </is>
      </c>
      <c r="I259" t="inlineStr">
        <is>
          <t>Outdoor</t>
        </is>
      </c>
      <c r="J259" t="inlineStr">
        <is>
          <t>Accessories</t>
        </is>
      </c>
      <c r="K259" t="inlineStr">
        <is>
          <t>South</t>
        </is>
      </c>
      <c r="L259" t="inlineStr">
        <is>
          <t>Georgia</t>
        </is>
      </c>
      <c r="M259" t="inlineStr">
        <is>
          <t>Miami</t>
        </is>
      </c>
      <c r="N259" t="inlineStr">
        <is>
          <t>James Carter</t>
        </is>
      </c>
      <c r="O259" t="n">
        <v>3</v>
      </c>
      <c r="P259" s="3" t="n">
        <v>18.65</v>
      </c>
      <c r="Q259" s="4" t="n">
        <v>0.029</v>
      </c>
      <c r="R259" s="3" t="n">
        <v>54.33</v>
      </c>
      <c r="S259" s="3" t="n">
        <v>26.6</v>
      </c>
      <c r="T259" s="3" t="n">
        <v>19.33</v>
      </c>
      <c r="U259" s="4" t="n">
        <v>0.3558</v>
      </c>
      <c r="V259" s="3" t="n">
        <v>8.4</v>
      </c>
      <c r="W259" t="inlineStr">
        <is>
          <t>Bank Transfer</t>
        </is>
      </c>
      <c r="X259" t="inlineStr">
        <is>
          <t>Medium</t>
        </is>
      </c>
      <c r="Y259" t="n">
        <v>2025</v>
      </c>
      <c r="Z259" t="n">
        <v>11</v>
      </c>
      <c r="AA259" t="inlineStr">
        <is>
          <t>Nov</t>
        </is>
      </c>
      <c r="AB259" t="inlineStr">
        <is>
          <t>Saturday</t>
        </is>
      </c>
      <c r="AC259" t="n">
        <v>5</v>
      </c>
      <c r="AD259" t="inlineStr">
        <is>
          <t>Profitable</t>
        </is>
      </c>
      <c r="AE259" t="inlineStr">
        <is>
          <t>Medium</t>
        </is>
      </c>
      <c r="AF259" t="inlineStr">
        <is>
          <t>Small</t>
        </is>
      </c>
    </row>
    <row r="260">
      <c r="A260" t="inlineStr">
        <is>
          <t>ORD-00259</t>
        </is>
      </c>
      <c r="B260" s="2" t="n">
        <v>45650</v>
      </c>
      <c r="C260" s="2" t="n">
        <v>45655</v>
      </c>
      <c r="D260" t="inlineStr">
        <is>
          <t>CUST-00259</t>
        </is>
      </c>
      <c r="E260" t="inlineStr">
        <is>
          <t>Customer 259</t>
        </is>
      </c>
      <c r="F260" t="inlineStr">
        <is>
          <t>Consumer</t>
        </is>
      </c>
      <c r="G260" t="inlineStr">
        <is>
          <t>P1012</t>
        </is>
      </c>
      <c r="H260" t="inlineStr">
        <is>
          <t>CloudDrive File Box</t>
        </is>
      </c>
      <c r="I260" t="inlineStr">
        <is>
          <t>Technology</t>
        </is>
      </c>
      <c r="J260" t="inlineStr">
        <is>
          <t>Binders</t>
        </is>
      </c>
      <c r="K260" t="inlineStr">
        <is>
          <t>South</t>
        </is>
      </c>
      <c r="L260" t="inlineStr">
        <is>
          <t>Georgia</t>
        </is>
      </c>
      <c r="M260" t="inlineStr">
        <is>
          <t>Miami</t>
        </is>
      </c>
      <c r="N260" t="inlineStr">
        <is>
          <t>Mia Rodriguez</t>
        </is>
      </c>
      <c r="O260" t="n">
        <v>4</v>
      </c>
      <c r="P260" s="3" t="n">
        <v>136.42</v>
      </c>
      <c r="Q260" s="4" t="n">
        <v>0.003</v>
      </c>
      <c r="R260" s="3" t="n">
        <v>544.04</v>
      </c>
      <c r="S260" s="3" t="n">
        <v>272.56</v>
      </c>
      <c r="T260" s="3" t="n">
        <v>262.28</v>
      </c>
      <c r="U260" s="4" t="n">
        <v>0.4821</v>
      </c>
      <c r="V260" s="3" t="n">
        <v>9.199999999999999</v>
      </c>
      <c r="W260" t="inlineStr">
        <is>
          <t>PayPal</t>
        </is>
      </c>
      <c r="X260" t="inlineStr">
        <is>
          <t>Medium</t>
        </is>
      </c>
      <c r="Y260" t="n">
        <v>2024</v>
      </c>
      <c r="Z260" t="n">
        <v>12</v>
      </c>
      <c r="AA260" t="inlineStr">
        <is>
          <t>Dec</t>
        </is>
      </c>
      <c r="AB260" t="inlineStr">
        <is>
          <t>Tuesday</t>
        </is>
      </c>
      <c r="AC260" t="n">
        <v>5</v>
      </c>
      <c r="AD260" t="inlineStr">
        <is>
          <t>Profitable</t>
        </is>
      </c>
      <c r="AE260" t="inlineStr">
        <is>
          <t>Low</t>
        </is>
      </c>
      <c r="AF260" t="inlineStr">
        <is>
          <t>Medium</t>
        </is>
      </c>
    </row>
    <row r="261">
      <c r="A261" t="inlineStr">
        <is>
          <t>ORD-00260</t>
        </is>
      </c>
      <c r="B261" s="2" t="n">
        <v>45033</v>
      </c>
      <c r="C261" s="2" t="n">
        <v>45039</v>
      </c>
      <c r="D261" t="inlineStr">
        <is>
          <t>CUST-00260</t>
        </is>
      </c>
      <c r="E261" t="inlineStr">
        <is>
          <t>Customer 260</t>
        </is>
      </c>
      <c r="F261" t="inlineStr">
        <is>
          <t>Corporate</t>
        </is>
      </c>
      <c r="G261" t="inlineStr">
        <is>
          <t>P1001</t>
        </is>
      </c>
      <c r="H261" t="inlineStr">
        <is>
          <t>CloudDrive File Box</t>
        </is>
      </c>
      <c r="I261" t="inlineStr">
        <is>
          <t>Home Decor</t>
        </is>
      </c>
      <c r="J261" t="inlineStr">
        <is>
          <t>Accessories</t>
        </is>
      </c>
      <c r="K261" t="inlineStr">
        <is>
          <t>East</t>
        </is>
      </c>
      <c r="L261" t="inlineStr">
        <is>
          <t>New Jersey</t>
        </is>
      </c>
      <c r="M261" t="inlineStr">
        <is>
          <t>New York</t>
        </is>
      </c>
      <c r="N261" t="inlineStr">
        <is>
          <t>Sophia Singh</t>
        </is>
      </c>
      <c r="O261" t="n">
        <v>3</v>
      </c>
      <c r="P261" s="3" t="n">
        <v>291.51</v>
      </c>
      <c r="Q261" s="4" t="n">
        <v>0.02</v>
      </c>
      <c r="R261" s="3" t="n">
        <v>857.04</v>
      </c>
      <c r="S261" s="3" t="n">
        <v>503.51</v>
      </c>
      <c r="T261" s="3" t="n">
        <v>344.13</v>
      </c>
      <c r="U261" s="4" t="n">
        <v>0.4015</v>
      </c>
      <c r="V261" s="3" t="n">
        <v>9.4</v>
      </c>
      <c r="W261" t="inlineStr">
        <is>
          <t>Credit Card</t>
        </is>
      </c>
      <c r="X261" t="inlineStr">
        <is>
          <t>Medium</t>
        </is>
      </c>
      <c r="Y261" t="n">
        <v>2023</v>
      </c>
      <c r="Z261" t="n">
        <v>4</v>
      </c>
      <c r="AA261" t="inlineStr">
        <is>
          <t>Apr</t>
        </is>
      </c>
      <c r="AB261" t="inlineStr">
        <is>
          <t>Monday</t>
        </is>
      </c>
      <c r="AC261" t="n">
        <v>6</v>
      </c>
      <c r="AD261" t="inlineStr">
        <is>
          <t>Profitable</t>
        </is>
      </c>
      <c r="AE261" t="inlineStr">
        <is>
          <t>Medium</t>
        </is>
      </c>
      <c r="AF261" t="inlineStr">
        <is>
          <t>Medium</t>
        </is>
      </c>
    </row>
    <row r="262">
      <c r="A262" t="inlineStr">
        <is>
          <t>ORD-00261</t>
        </is>
      </c>
      <c r="B262" s="2" t="n">
        <v>45540</v>
      </c>
      <c r="C262" s="2" t="n">
        <v>45543</v>
      </c>
      <c r="D262" t="inlineStr">
        <is>
          <t>CUST-00261</t>
        </is>
      </c>
      <c r="E262" t="inlineStr">
        <is>
          <t>Customer 261</t>
        </is>
      </c>
      <c r="F262" t="inlineStr">
        <is>
          <t>Corporate</t>
        </is>
      </c>
      <c r="G262" t="inlineStr">
        <is>
          <t>P1007</t>
        </is>
      </c>
      <c r="H262" t="inlineStr">
        <is>
          <t>Aero Standing Desk</t>
        </is>
      </c>
      <c r="I262" t="inlineStr">
        <is>
          <t>Furniture</t>
        </is>
      </c>
      <c r="J262" t="inlineStr">
        <is>
          <t>Lighting</t>
        </is>
      </c>
      <c r="K262" t="inlineStr">
        <is>
          <t>Central</t>
        </is>
      </c>
      <c r="L262" t="inlineStr">
        <is>
          <t>Kansas</t>
        </is>
      </c>
      <c r="M262" t="inlineStr">
        <is>
          <t>Minneapolis</t>
        </is>
      </c>
      <c r="N262" t="inlineStr">
        <is>
          <t>Ethan Brooks</t>
        </is>
      </c>
      <c r="O262" t="n">
        <v>5</v>
      </c>
      <c r="P262" s="3" t="n">
        <v>24.09</v>
      </c>
      <c r="Q262" s="4" t="n">
        <v>0.031</v>
      </c>
      <c r="R262" s="3" t="n">
        <v>116.72</v>
      </c>
      <c r="S262" s="3" t="n">
        <v>45.71</v>
      </c>
      <c r="T262" s="3" t="n">
        <v>61.01</v>
      </c>
      <c r="U262" s="4" t="n">
        <v>0.5227000000000001</v>
      </c>
      <c r="V262" s="3" t="n">
        <v>10</v>
      </c>
      <c r="W262" t="inlineStr">
        <is>
          <t>Debit Card</t>
        </is>
      </c>
      <c r="X262" t="inlineStr">
        <is>
          <t>Medium</t>
        </is>
      </c>
      <c r="Y262" t="n">
        <v>2024</v>
      </c>
      <c r="Z262" t="n">
        <v>9</v>
      </c>
      <c r="AA262" t="inlineStr">
        <is>
          <t>Sep</t>
        </is>
      </c>
      <c r="AB262" t="inlineStr">
        <is>
          <t>Thursday</t>
        </is>
      </c>
      <c r="AC262" t="n">
        <v>3</v>
      </c>
      <c r="AD262" t="inlineStr">
        <is>
          <t>Profitable</t>
        </is>
      </c>
      <c r="AE262" t="inlineStr">
        <is>
          <t>Medium</t>
        </is>
      </c>
      <c r="AF262" t="inlineStr">
        <is>
          <t>Small</t>
        </is>
      </c>
    </row>
    <row r="263">
      <c r="A263" t="inlineStr">
        <is>
          <t>ORD-00262</t>
        </is>
      </c>
      <c r="B263" s="2" t="n">
        <v>45700</v>
      </c>
      <c r="C263" s="2" t="n">
        <v>45706</v>
      </c>
      <c r="D263" t="inlineStr">
        <is>
          <t>CUST-00262</t>
        </is>
      </c>
      <c r="E263" t="inlineStr">
        <is>
          <t>Customer 262</t>
        </is>
      </c>
      <c r="F263" t="inlineStr">
        <is>
          <t>Corporate</t>
        </is>
      </c>
      <c r="G263" t="inlineStr">
        <is>
          <t>P1012</t>
        </is>
      </c>
      <c r="H263" t="inlineStr">
        <is>
          <t>Halo Planter</t>
        </is>
      </c>
      <c r="I263" t="inlineStr">
        <is>
          <t>Office Supplies</t>
        </is>
      </c>
      <c r="J263" t="inlineStr">
        <is>
          <t>Storage</t>
        </is>
      </c>
      <c r="K263" t="inlineStr">
        <is>
          <t>East</t>
        </is>
      </c>
      <c r="L263" t="inlineStr">
        <is>
          <t>Massachusetts</t>
        </is>
      </c>
      <c r="M263" t="inlineStr">
        <is>
          <t>Washington</t>
        </is>
      </c>
      <c r="N263" t="inlineStr">
        <is>
          <t>James Carter</t>
        </is>
      </c>
      <c r="O263" t="n">
        <v>5</v>
      </c>
      <c r="P263" s="3" t="n">
        <v>125.36</v>
      </c>
      <c r="Q263" s="4" t="n">
        <v>0.024</v>
      </c>
      <c r="R263" s="3" t="n">
        <v>611.76</v>
      </c>
      <c r="S263" s="3" t="n">
        <v>303.9</v>
      </c>
      <c r="T263" s="3" t="n">
        <v>296.86</v>
      </c>
      <c r="U263" s="4" t="n">
        <v>0.4853</v>
      </c>
      <c r="V263" s="3" t="n">
        <v>11</v>
      </c>
      <c r="W263" t="inlineStr">
        <is>
          <t>Credit Card</t>
        </is>
      </c>
      <c r="X263" t="inlineStr">
        <is>
          <t>High</t>
        </is>
      </c>
      <c r="Y263" t="n">
        <v>2025</v>
      </c>
      <c r="Z263" t="n">
        <v>2</v>
      </c>
      <c r="AA263" t="inlineStr">
        <is>
          <t>Feb</t>
        </is>
      </c>
      <c r="AB263" t="inlineStr">
        <is>
          <t>Wednesday</t>
        </is>
      </c>
      <c r="AC263" t="n">
        <v>6</v>
      </c>
      <c r="AD263" t="inlineStr">
        <is>
          <t>Profitable</t>
        </is>
      </c>
      <c r="AE263" t="inlineStr">
        <is>
          <t>Medium</t>
        </is>
      </c>
      <c r="AF263" t="inlineStr">
        <is>
          <t>Medium</t>
        </is>
      </c>
    </row>
    <row r="264">
      <c r="A264" t="inlineStr">
        <is>
          <t>ORD-00263</t>
        </is>
      </c>
      <c r="B264" s="2" t="n">
        <v>45083</v>
      </c>
      <c r="C264" s="2" t="n">
        <v>45088</v>
      </c>
      <c r="D264" t="inlineStr">
        <is>
          <t>CUST-00263</t>
        </is>
      </c>
      <c r="E264" t="inlineStr">
        <is>
          <t>Customer 263</t>
        </is>
      </c>
      <c r="F264" t="inlineStr">
        <is>
          <t>Consumer</t>
        </is>
      </c>
      <c r="G264" t="inlineStr">
        <is>
          <t>P1007</t>
        </is>
      </c>
      <c r="H264" t="inlineStr">
        <is>
          <t>Atlas Throw Pillow</t>
        </is>
      </c>
      <c r="I264" t="inlineStr">
        <is>
          <t>Office Supplies</t>
        </is>
      </c>
      <c r="J264" t="inlineStr">
        <is>
          <t>Lighting</t>
        </is>
      </c>
      <c r="K264" t="inlineStr">
        <is>
          <t>East</t>
        </is>
      </c>
      <c r="L264" t="inlineStr">
        <is>
          <t>Virginia</t>
        </is>
      </c>
      <c r="M264" t="inlineStr">
        <is>
          <t>Boston</t>
        </is>
      </c>
      <c r="N264" t="inlineStr">
        <is>
          <t>James Carter</t>
        </is>
      </c>
      <c r="O264" t="n">
        <v>5</v>
      </c>
      <c r="P264" s="3" t="n">
        <v>24.32</v>
      </c>
      <c r="Q264" s="4" t="n">
        <v>0.013</v>
      </c>
      <c r="R264" s="3" t="n">
        <v>120.02</v>
      </c>
      <c r="S264" s="3" t="n">
        <v>43.9</v>
      </c>
      <c r="T264" s="3" t="n">
        <v>65.12</v>
      </c>
      <c r="U264" s="4" t="n">
        <v>0.5426</v>
      </c>
      <c r="V264" s="3" t="n">
        <v>11</v>
      </c>
      <c r="W264" t="inlineStr">
        <is>
          <t>Bank Transfer</t>
        </is>
      </c>
      <c r="X264" t="inlineStr">
        <is>
          <t>Medium</t>
        </is>
      </c>
      <c r="Y264" t="n">
        <v>2023</v>
      </c>
      <c r="Z264" t="n">
        <v>6</v>
      </c>
      <c r="AA264" t="inlineStr">
        <is>
          <t>Jun</t>
        </is>
      </c>
      <c r="AB264" t="inlineStr">
        <is>
          <t>Tuesday</t>
        </is>
      </c>
      <c r="AC264" t="n">
        <v>5</v>
      </c>
      <c r="AD264" t="inlineStr">
        <is>
          <t>Profitable</t>
        </is>
      </c>
      <c r="AE264" t="inlineStr">
        <is>
          <t>Low</t>
        </is>
      </c>
      <c r="AF264" t="inlineStr">
        <is>
          <t>Small</t>
        </is>
      </c>
    </row>
    <row r="265">
      <c r="A265" t="inlineStr">
        <is>
          <t>ORD-00264</t>
        </is>
      </c>
      <c r="B265" s="2" t="n">
        <v>45583</v>
      </c>
      <c r="C265" s="2" t="n">
        <v>45586</v>
      </c>
      <c r="D265" t="inlineStr">
        <is>
          <t>CUST-00264</t>
        </is>
      </c>
      <c r="E265" t="inlineStr">
        <is>
          <t>Customer 264</t>
        </is>
      </c>
      <c r="F265" t="inlineStr">
        <is>
          <t>Home Office</t>
        </is>
      </c>
      <c r="G265" t="inlineStr">
        <is>
          <t>P1009</t>
        </is>
      </c>
      <c r="H265" t="inlineStr">
        <is>
          <t>Pulse Keyboard</t>
        </is>
      </c>
      <c r="I265" t="inlineStr">
        <is>
          <t>Office Supplies</t>
        </is>
      </c>
      <c r="J265" t="inlineStr">
        <is>
          <t>Lighting</t>
        </is>
      </c>
      <c r="K265" t="inlineStr">
        <is>
          <t>West</t>
        </is>
      </c>
      <c r="L265" t="inlineStr">
        <is>
          <t>California</t>
        </is>
      </c>
      <c r="M265" t="inlineStr">
        <is>
          <t>Los Angeles</t>
        </is>
      </c>
      <c r="N265" t="inlineStr">
        <is>
          <t>Olivia Martin</t>
        </is>
      </c>
      <c r="O265" t="n">
        <v>3</v>
      </c>
      <c r="P265" s="3" t="n">
        <v>96.73</v>
      </c>
      <c r="Q265" s="4" t="n">
        <v>0.054</v>
      </c>
      <c r="R265" s="3" t="n">
        <v>274.52</v>
      </c>
      <c r="S265" s="3" t="n">
        <v>138.82</v>
      </c>
      <c r="T265" s="3" t="n">
        <v>126.3</v>
      </c>
      <c r="U265" s="4" t="n">
        <v>0.4601</v>
      </c>
      <c r="V265" s="3" t="n">
        <v>9.4</v>
      </c>
      <c r="W265" t="inlineStr">
        <is>
          <t>Credit Card</t>
        </is>
      </c>
      <c r="X265" t="inlineStr">
        <is>
          <t>High</t>
        </is>
      </c>
      <c r="Y265" t="n">
        <v>2024</v>
      </c>
      <c r="Z265" t="n">
        <v>10</v>
      </c>
      <c r="AA265" t="inlineStr">
        <is>
          <t>Oct</t>
        </is>
      </c>
      <c r="AB265" t="inlineStr">
        <is>
          <t>Friday</t>
        </is>
      </c>
      <c r="AC265" t="n">
        <v>3</v>
      </c>
      <c r="AD265" t="inlineStr">
        <is>
          <t>Profitable</t>
        </is>
      </c>
      <c r="AE265" t="inlineStr">
        <is>
          <t>High</t>
        </is>
      </c>
      <c r="AF265" t="inlineStr">
        <is>
          <t>Small</t>
        </is>
      </c>
    </row>
    <row r="266">
      <c r="A266" t="inlineStr">
        <is>
          <t>ORD-00265</t>
        </is>
      </c>
      <c r="B266" s="2" t="n">
        <v>45926</v>
      </c>
      <c r="C266" s="2" t="n">
        <v>45931</v>
      </c>
      <c r="D266" t="inlineStr">
        <is>
          <t>CUST-00265</t>
        </is>
      </c>
      <c r="E266" t="inlineStr">
        <is>
          <t>Customer 265</t>
        </is>
      </c>
      <c r="F266" t="inlineStr">
        <is>
          <t>Consumer</t>
        </is>
      </c>
      <c r="G266" t="inlineStr">
        <is>
          <t>P1020</t>
        </is>
      </c>
      <c r="H266" t="inlineStr">
        <is>
          <t>SmartInk Pen Set</t>
        </is>
      </c>
      <c r="I266" t="inlineStr">
        <is>
          <t>Office Supplies</t>
        </is>
      </c>
      <c r="J266" t="inlineStr">
        <is>
          <t>Plants</t>
        </is>
      </c>
      <c r="K266" t="inlineStr">
        <is>
          <t>East</t>
        </is>
      </c>
      <c r="L266" t="inlineStr">
        <is>
          <t>New York</t>
        </is>
      </c>
      <c r="M266" t="inlineStr">
        <is>
          <t>New York</t>
        </is>
      </c>
      <c r="N266" t="inlineStr">
        <is>
          <t>Noah Kim</t>
        </is>
      </c>
      <c r="O266" t="n">
        <v>4</v>
      </c>
      <c r="P266" s="3" t="n">
        <v>70.72</v>
      </c>
      <c r="Q266" s="4" t="n">
        <v>0.028</v>
      </c>
      <c r="R266" s="3" t="n">
        <v>274.96</v>
      </c>
      <c r="S266" s="3" t="n">
        <v>131.6</v>
      </c>
      <c r="T266" s="3" t="n">
        <v>133.16</v>
      </c>
      <c r="U266" s="4" t="n">
        <v>0.4843</v>
      </c>
      <c r="V266" s="3" t="n">
        <v>10.2</v>
      </c>
      <c r="W266" t="inlineStr">
        <is>
          <t>PayPal</t>
        </is>
      </c>
      <c r="X266" t="inlineStr">
        <is>
          <t>High</t>
        </is>
      </c>
      <c r="Y266" t="n">
        <v>2025</v>
      </c>
      <c r="Z266" t="n">
        <v>9</v>
      </c>
      <c r="AA266" t="inlineStr">
        <is>
          <t>Sep</t>
        </is>
      </c>
      <c r="AB266" t="inlineStr">
        <is>
          <t>Friday</t>
        </is>
      </c>
      <c r="AC266" t="n">
        <v>5</v>
      </c>
      <c r="AD266" t="inlineStr">
        <is>
          <t>Profitable</t>
        </is>
      </c>
      <c r="AE266" t="inlineStr">
        <is>
          <t>Medium</t>
        </is>
      </c>
      <c r="AF266" t="inlineStr">
        <is>
          <t>Small</t>
        </is>
      </c>
    </row>
    <row r="267">
      <c r="A267" t="inlineStr">
        <is>
          <t>ORD-00266</t>
        </is>
      </c>
      <c r="B267" s="2" t="n">
        <v>45905</v>
      </c>
      <c r="C267" s="2" t="n">
        <v>45909</v>
      </c>
      <c r="D267" t="inlineStr">
        <is>
          <t>CUST-00266</t>
        </is>
      </c>
      <c r="E267" t="inlineStr">
        <is>
          <t>Customer 266</t>
        </is>
      </c>
      <c r="F267" t="inlineStr">
        <is>
          <t>Consumer</t>
        </is>
      </c>
      <c r="G267" t="inlineStr">
        <is>
          <t>P1015</t>
        </is>
      </c>
      <c r="H267" t="inlineStr">
        <is>
          <t>Tide Cooler</t>
        </is>
      </c>
      <c r="I267" t="inlineStr">
        <is>
          <t>Technology</t>
        </is>
      </c>
      <c r="J267" t="inlineStr">
        <is>
          <t>Decor</t>
        </is>
      </c>
      <c r="K267" t="inlineStr">
        <is>
          <t>North</t>
        </is>
      </c>
      <c r="L267" t="inlineStr">
        <is>
          <t>British Columbia</t>
        </is>
      </c>
      <c r="M267" t="inlineStr">
        <is>
          <t>Vancouver</t>
        </is>
      </c>
      <c r="N267" t="inlineStr">
        <is>
          <t>Mia Rodriguez</t>
        </is>
      </c>
      <c r="O267" t="n">
        <v>2</v>
      </c>
      <c r="P267" s="3" t="n">
        <v>64.45</v>
      </c>
      <c r="Q267" s="4" t="n">
        <v>0.018</v>
      </c>
      <c r="R267" s="3" t="n">
        <v>126.58</v>
      </c>
      <c r="S267" s="3" t="n">
        <v>62.2</v>
      </c>
      <c r="T267" s="3" t="n">
        <v>56.78</v>
      </c>
      <c r="U267" s="4" t="n">
        <v>0.4486</v>
      </c>
      <c r="V267" s="3" t="n">
        <v>7.6</v>
      </c>
      <c r="W267" t="inlineStr">
        <is>
          <t>Cash on Delivery</t>
        </is>
      </c>
      <c r="X267" t="inlineStr">
        <is>
          <t>Medium</t>
        </is>
      </c>
      <c r="Y267" t="n">
        <v>2025</v>
      </c>
      <c r="Z267" t="n">
        <v>9</v>
      </c>
      <c r="AA267" t="inlineStr">
        <is>
          <t>Sep</t>
        </is>
      </c>
      <c r="AB267" t="inlineStr">
        <is>
          <t>Friday</t>
        </is>
      </c>
      <c r="AC267" t="n">
        <v>4</v>
      </c>
      <c r="AD267" t="inlineStr">
        <is>
          <t>Profitable</t>
        </is>
      </c>
      <c r="AE267" t="inlineStr">
        <is>
          <t>Low</t>
        </is>
      </c>
      <c r="AF267" t="inlineStr">
        <is>
          <t>Small</t>
        </is>
      </c>
    </row>
    <row r="268">
      <c r="A268" t="inlineStr">
        <is>
          <t>ORD-00267</t>
        </is>
      </c>
      <c r="B268" s="2" t="n">
        <v>45783</v>
      </c>
      <c r="C268" s="2" t="n">
        <v>45785</v>
      </c>
      <c r="D268" t="inlineStr">
        <is>
          <t>CUST-00267</t>
        </is>
      </c>
      <c r="E268" t="inlineStr">
        <is>
          <t>Customer 267</t>
        </is>
      </c>
      <c r="F268" t="inlineStr">
        <is>
          <t>Corporate</t>
        </is>
      </c>
      <c r="G268" t="inlineStr">
        <is>
          <t>P1012</t>
        </is>
      </c>
      <c r="H268" t="inlineStr">
        <is>
          <t>ProClip Binder</t>
        </is>
      </c>
      <c r="I268" t="inlineStr">
        <is>
          <t>Furniture</t>
        </is>
      </c>
      <c r="J268" t="inlineStr">
        <is>
          <t>Decor</t>
        </is>
      </c>
      <c r="K268" t="inlineStr">
        <is>
          <t>West</t>
        </is>
      </c>
      <c r="L268" t="inlineStr">
        <is>
          <t>Colorado</t>
        </is>
      </c>
      <c r="M268" t="inlineStr">
        <is>
          <t>San Francisco</t>
        </is>
      </c>
      <c r="N268" t="inlineStr">
        <is>
          <t>Ethan Brooks</t>
        </is>
      </c>
      <c r="O268" t="n">
        <v>3</v>
      </c>
      <c r="P268" s="3" t="n">
        <v>137.16</v>
      </c>
      <c r="Q268" s="4" t="n">
        <v>0.034</v>
      </c>
      <c r="R268" s="3" t="n">
        <v>397.49</v>
      </c>
      <c r="S268" s="3" t="n">
        <v>204.45</v>
      </c>
      <c r="T268" s="3" t="n">
        <v>183.64</v>
      </c>
      <c r="U268" s="4" t="n">
        <v>0.462</v>
      </c>
      <c r="V268" s="3" t="n">
        <v>9.4</v>
      </c>
      <c r="W268" t="inlineStr">
        <is>
          <t>Bank Transfer</t>
        </is>
      </c>
      <c r="X268" t="inlineStr">
        <is>
          <t>Low</t>
        </is>
      </c>
      <c r="Y268" t="n">
        <v>2025</v>
      </c>
      <c r="Z268" t="n">
        <v>5</v>
      </c>
      <c r="AA268" t="inlineStr">
        <is>
          <t>May</t>
        </is>
      </c>
      <c r="AB268" t="inlineStr">
        <is>
          <t>Tuesday</t>
        </is>
      </c>
      <c r="AC268" t="n">
        <v>2</v>
      </c>
      <c r="AD268" t="inlineStr">
        <is>
          <t>Profitable</t>
        </is>
      </c>
      <c r="AE268" t="inlineStr">
        <is>
          <t>Medium</t>
        </is>
      </c>
      <c r="AF268" t="inlineStr">
        <is>
          <t>Small</t>
        </is>
      </c>
    </row>
    <row r="269">
      <c r="A269" t="inlineStr">
        <is>
          <t>ORD-00268</t>
        </is>
      </c>
      <c r="B269" s="2" t="n">
        <v>45817</v>
      </c>
      <c r="C269" s="2" t="n">
        <v>45819</v>
      </c>
      <c r="D269" t="inlineStr">
        <is>
          <t>CUST-00268</t>
        </is>
      </c>
      <c r="E269" t="inlineStr">
        <is>
          <t>Customer 268</t>
        </is>
      </c>
      <c r="F269" t="inlineStr">
        <is>
          <t>Home Office</t>
        </is>
      </c>
      <c r="G269" t="inlineStr">
        <is>
          <t>P1013</t>
        </is>
      </c>
      <c r="H269" t="inlineStr">
        <is>
          <t>Aero Standing Desk</t>
        </is>
      </c>
      <c r="I269" t="inlineStr">
        <is>
          <t>Home Decor</t>
        </is>
      </c>
      <c r="J269" t="inlineStr">
        <is>
          <t>Desks</t>
        </is>
      </c>
      <c r="K269" t="inlineStr">
        <is>
          <t>East</t>
        </is>
      </c>
      <c r="L269" t="inlineStr">
        <is>
          <t>Virginia</t>
        </is>
      </c>
      <c r="M269" t="inlineStr">
        <is>
          <t>Boston</t>
        </is>
      </c>
      <c r="N269" t="inlineStr">
        <is>
          <t>Olivia Martin</t>
        </is>
      </c>
      <c r="O269" t="n">
        <v>1</v>
      </c>
      <c r="P269" s="3" t="n">
        <v>173.93</v>
      </c>
      <c r="Q269" s="4" t="n">
        <v>0.032</v>
      </c>
      <c r="R269" s="3" t="n">
        <v>168.36</v>
      </c>
      <c r="S269" s="3" t="n">
        <v>98.76000000000001</v>
      </c>
      <c r="T269" s="3" t="n">
        <v>61.8</v>
      </c>
      <c r="U269" s="4" t="n">
        <v>0.3671</v>
      </c>
      <c r="V269" s="3" t="n">
        <v>7.8</v>
      </c>
      <c r="W269" t="inlineStr">
        <is>
          <t>Credit Card</t>
        </is>
      </c>
      <c r="X269" t="inlineStr">
        <is>
          <t>High</t>
        </is>
      </c>
      <c r="Y269" t="n">
        <v>2025</v>
      </c>
      <c r="Z269" t="n">
        <v>6</v>
      </c>
      <c r="AA269" t="inlineStr">
        <is>
          <t>Jun</t>
        </is>
      </c>
      <c r="AB269" t="inlineStr">
        <is>
          <t>Monday</t>
        </is>
      </c>
      <c r="AC269" t="n">
        <v>2</v>
      </c>
      <c r="AD269" t="inlineStr">
        <is>
          <t>Profitable</t>
        </is>
      </c>
      <c r="AE269" t="inlineStr">
        <is>
          <t>Medium</t>
        </is>
      </c>
      <c r="AF269" t="inlineStr">
        <is>
          <t>Small</t>
        </is>
      </c>
    </row>
    <row r="270">
      <c r="A270" t="inlineStr">
        <is>
          <t>ORD-00269</t>
        </is>
      </c>
      <c r="B270" s="2" t="n">
        <v>45337</v>
      </c>
      <c r="C270" s="2" t="n">
        <v>45340</v>
      </c>
      <c r="D270" t="inlineStr">
        <is>
          <t>CUST-00269</t>
        </is>
      </c>
      <c r="E270" t="inlineStr">
        <is>
          <t>Customer 269</t>
        </is>
      </c>
      <c r="F270" t="inlineStr">
        <is>
          <t>Consumer</t>
        </is>
      </c>
      <c r="G270" t="inlineStr">
        <is>
          <t>P1004</t>
        </is>
      </c>
      <c r="H270" t="inlineStr">
        <is>
          <t>FlexNote Notebook</t>
        </is>
      </c>
      <c r="I270" t="inlineStr">
        <is>
          <t>Home Decor</t>
        </is>
      </c>
      <c r="J270" t="inlineStr">
        <is>
          <t>Lighting</t>
        </is>
      </c>
      <c r="K270" t="inlineStr">
        <is>
          <t>West</t>
        </is>
      </c>
      <c r="L270" t="inlineStr">
        <is>
          <t>Oregon</t>
        </is>
      </c>
      <c r="M270" t="inlineStr">
        <is>
          <t>Los Angeles</t>
        </is>
      </c>
      <c r="N270" t="inlineStr">
        <is>
          <t>James Carter</t>
        </is>
      </c>
      <c r="O270" t="n">
        <v>2</v>
      </c>
      <c r="P270" s="3" t="n">
        <v>621.54</v>
      </c>
      <c r="Q270" s="4" t="n">
        <v>0.062</v>
      </c>
      <c r="R270" s="3" t="n">
        <v>1166.01</v>
      </c>
      <c r="S270" s="3" t="n">
        <v>741.3200000000001</v>
      </c>
      <c r="T270" s="3" t="n">
        <v>416.09</v>
      </c>
      <c r="U270" s="4" t="n">
        <v>0.3568</v>
      </c>
      <c r="V270" s="3" t="n">
        <v>8.6</v>
      </c>
      <c r="W270" t="inlineStr">
        <is>
          <t>Credit Card</t>
        </is>
      </c>
      <c r="X270" t="inlineStr">
        <is>
          <t>High</t>
        </is>
      </c>
      <c r="Y270" t="n">
        <v>2024</v>
      </c>
      <c r="Z270" t="n">
        <v>2</v>
      </c>
      <c r="AA270" t="inlineStr">
        <is>
          <t>Feb</t>
        </is>
      </c>
      <c r="AB270" t="inlineStr">
        <is>
          <t>Thursday</t>
        </is>
      </c>
      <c r="AC270" t="n">
        <v>3</v>
      </c>
      <c r="AD270" t="inlineStr">
        <is>
          <t>Profitable</t>
        </is>
      </c>
      <c r="AE270" t="inlineStr">
        <is>
          <t>High</t>
        </is>
      </c>
      <c r="AF270" t="inlineStr">
        <is>
          <t>Medium</t>
        </is>
      </c>
    </row>
    <row r="271">
      <c r="A271" t="inlineStr">
        <is>
          <t>ORD-00270</t>
        </is>
      </c>
      <c r="B271" s="2" t="n">
        <v>45209</v>
      </c>
      <c r="C271" s="2" t="n">
        <v>45215</v>
      </c>
      <c r="D271" t="inlineStr">
        <is>
          <t>CUST-00270</t>
        </is>
      </c>
      <c r="E271" t="inlineStr">
        <is>
          <t>Customer 270</t>
        </is>
      </c>
      <c r="F271" t="inlineStr">
        <is>
          <t>Corporate</t>
        </is>
      </c>
      <c r="G271" t="inlineStr">
        <is>
          <t>P1010</t>
        </is>
      </c>
      <c r="H271" t="inlineStr">
        <is>
          <t>Nimbus Monitor Arm</t>
        </is>
      </c>
      <c r="I271" t="inlineStr">
        <is>
          <t>Technology</t>
        </is>
      </c>
      <c r="J271" t="inlineStr">
        <is>
          <t>Writing</t>
        </is>
      </c>
      <c r="K271" t="inlineStr">
        <is>
          <t>West</t>
        </is>
      </c>
      <c r="L271" t="inlineStr">
        <is>
          <t>Colorado</t>
        </is>
      </c>
      <c r="M271" t="inlineStr">
        <is>
          <t>Los Angeles</t>
        </is>
      </c>
      <c r="N271" t="inlineStr">
        <is>
          <t>Liam Chen</t>
        </is>
      </c>
      <c r="O271" t="n">
        <v>2</v>
      </c>
      <c r="P271" s="3" t="n">
        <v>63.97</v>
      </c>
      <c r="Q271" s="4" t="n">
        <v>0.08500000000000001</v>
      </c>
      <c r="R271" s="3" t="n">
        <v>117.07</v>
      </c>
      <c r="S271" s="3" t="n">
        <v>59.83</v>
      </c>
      <c r="T271" s="3" t="n">
        <v>48.64</v>
      </c>
      <c r="U271" s="4" t="n">
        <v>0.4155</v>
      </c>
      <c r="V271" s="3" t="n">
        <v>8.6</v>
      </c>
      <c r="W271" t="inlineStr">
        <is>
          <t>Debit Card</t>
        </is>
      </c>
      <c r="X271" t="inlineStr">
        <is>
          <t>Critical</t>
        </is>
      </c>
      <c r="Y271" t="n">
        <v>2023</v>
      </c>
      <c r="Z271" t="n">
        <v>10</v>
      </c>
      <c r="AA271" t="inlineStr">
        <is>
          <t>Oct</t>
        </is>
      </c>
      <c r="AB271" t="inlineStr">
        <is>
          <t>Tuesday</t>
        </is>
      </c>
      <c r="AC271" t="n">
        <v>6</v>
      </c>
      <c r="AD271" t="inlineStr">
        <is>
          <t>Profitable</t>
        </is>
      </c>
      <c r="AE271" t="inlineStr">
        <is>
          <t>High</t>
        </is>
      </c>
      <c r="AF271" t="inlineStr">
        <is>
          <t>Small</t>
        </is>
      </c>
    </row>
    <row r="272">
      <c r="A272" t="inlineStr">
        <is>
          <t>ORD-00271</t>
        </is>
      </c>
      <c r="B272" s="2" t="n">
        <v>45855</v>
      </c>
      <c r="C272" s="2" t="n">
        <v>45860</v>
      </c>
      <c r="D272" t="inlineStr">
        <is>
          <t>CUST-00271</t>
        </is>
      </c>
      <c r="E272" t="inlineStr">
        <is>
          <t>Customer 271</t>
        </is>
      </c>
      <c r="F272" t="inlineStr">
        <is>
          <t>Home Office</t>
        </is>
      </c>
      <c r="G272" t="inlineStr">
        <is>
          <t>P1003</t>
        </is>
      </c>
      <c r="H272" t="inlineStr">
        <is>
          <t>ProClip Binder</t>
        </is>
      </c>
      <c r="I272" t="inlineStr">
        <is>
          <t>Furniture</t>
        </is>
      </c>
      <c r="J272" t="inlineStr">
        <is>
          <t>Textiles</t>
        </is>
      </c>
      <c r="K272" t="inlineStr">
        <is>
          <t>East</t>
        </is>
      </c>
      <c r="L272" t="inlineStr">
        <is>
          <t>Virginia</t>
        </is>
      </c>
      <c r="M272" t="inlineStr">
        <is>
          <t>Boston</t>
        </is>
      </c>
      <c r="N272" t="inlineStr">
        <is>
          <t>Olivia Martin</t>
        </is>
      </c>
      <c r="O272" t="n">
        <v>2</v>
      </c>
      <c r="P272" s="3" t="n">
        <v>150.49</v>
      </c>
      <c r="Q272" s="4" t="n">
        <v>0.058</v>
      </c>
      <c r="R272" s="3" t="n">
        <v>283.52</v>
      </c>
      <c r="S272" s="3" t="n">
        <v>154.53</v>
      </c>
      <c r="T272" s="3" t="n">
        <v>120.39</v>
      </c>
      <c r="U272" s="4" t="n">
        <v>0.4246</v>
      </c>
      <c r="V272" s="3" t="n">
        <v>8.6</v>
      </c>
      <c r="W272" t="inlineStr">
        <is>
          <t>Debit Card</t>
        </is>
      </c>
      <c r="X272" t="inlineStr">
        <is>
          <t>High</t>
        </is>
      </c>
      <c r="Y272" t="n">
        <v>2025</v>
      </c>
      <c r="Z272" t="n">
        <v>7</v>
      </c>
      <c r="AA272" t="inlineStr">
        <is>
          <t>Jul</t>
        </is>
      </c>
      <c r="AB272" t="inlineStr">
        <is>
          <t>Thursday</t>
        </is>
      </c>
      <c r="AC272" t="n">
        <v>5</v>
      </c>
      <c r="AD272" t="inlineStr">
        <is>
          <t>Profitable</t>
        </is>
      </c>
      <c r="AE272" t="inlineStr">
        <is>
          <t>High</t>
        </is>
      </c>
      <c r="AF272" t="inlineStr">
        <is>
          <t>Small</t>
        </is>
      </c>
    </row>
    <row r="273">
      <c r="A273" t="inlineStr">
        <is>
          <t>ORD-00272</t>
        </is>
      </c>
      <c r="B273" s="2" t="n">
        <v>45956</v>
      </c>
      <c r="C273" s="2" t="n">
        <v>45957</v>
      </c>
      <c r="D273" t="inlineStr">
        <is>
          <t>CUST-00272</t>
        </is>
      </c>
      <c r="E273" t="inlineStr">
        <is>
          <t>Customer 272</t>
        </is>
      </c>
      <c r="F273" t="inlineStr">
        <is>
          <t>Corporate</t>
        </is>
      </c>
      <c r="G273" t="inlineStr">
        <is>
          <t>P1005</t>
        </is>
      </c>
      <c r="H273" t="inlineStr">
        <is>
          <t>Cove Wall Clock</t>
        </is>
      </c>
      <c r="I273" t="inlineStr">
        <is>
          <t>Office Supplies</t>
        </is>
      </c>
      <c r="J273" t="inlineStr">
        <is>
          <t>Storage</t>
        </is>
      </c>
      <c r="K273" t="inlineStr">
        <is>
          <t>South</t>
        </is>
      </c>
      <c r="L273" t="inlineStr">
        <is>
          <t>Florida</t>
        </is>
      </c>
      <c r="M273" t="inlineStr">
        <is>
          <t>Miami</t>
        </is>
      </c>
      <c r="N273" t="inlineStr">
        <is>
          <t>James Carter</t>
        </is>
      </c>
      <c r="O273" t="n">
        <v>2</v>
      </c>
      <c r="P273" s="3" t="n">
        <v>12.57</v>
      </c>
      <c r="Q273" s="4" t="n">
        <v>0.053</v>
      </c>
      <c r="R273" s="3" t="n">
        <v>23.81</v>
      </c>
      <c r="S273" s="3" t="n">
        <v>17.79</v>
      </c>
      <c r="T273" s="3" t="n">
        <v>-1.58</v>
      </c>
      <c r="U273" s="4" t="n">
        <v>-0.0664</v>
      </c>
      <c r="V273" s="3" t="n">
        <v>7.6</v>
      </c>
      <c r="W273" t="inlineStr">
        <is>
          <t>Debit Card</t>
        </is>
      </c>
      <c r="X273" t="inlineStr">
        <is>
          <t>High</t>
        </is>
      </c>
      <c r="Y273" t="n">
        <v>2025</v>
      </c>
      <c r="Z273" t="n">
        <v>10</v>
      </c>
      <c r="AA273" t="inlineStr">
        <is>
          <t>Oct</t>
        </is>
      </c>
      <c r="AB273" t="inlineStr">
        <is>
          <t>Sunday</t>
        </is>
      </c>
      <c r="AC273" t="n">
        <v>1</v>
      </c>
      <c r="AD273" t="inlineStr">
        <is>
          <t>Unprofitable</t>
        </is>
      </c>
      <c r="AE273" t="inlineStr">
        <is>
          <t>High</t>
        </is>
      </c>
      <c r="AF273" t="inlineStr">
        <is>
          <t>Small</t>
        </is>
      </c>
    </row>
    <row r="274">
      <c r="A274" t="inlineStr">
        <is>
          <t>ORD-00273</t>
        </is>
      </c>
      <c r="B274" s="2" t="n">
        <v>45766</v>
      </c>
      <c r="C274" s="2" t="n">
        <v>45770</v>
      </c>
      <c r="D274" t="inlineStr">
        <is>
          <t>CUST-00273</t>
        </is>
      </c>
      <c r="E274" t="inlineStr">
        <is>
          <t>Customer 273</t>
        </is>
      </c>
      <c r="F274" t="inlineStr">
        <is>
          <t>Consumer</t>
        </is>
      </c>
      <c r="G274" t="inlineStr">
        <is>
          <t>P1004</t>
        </is>
      </c>
      <c r="H274" t="inlineStr">
        <is>
          <t>ErgoMesh Chair</t>
        </is>
      </c>
      <c r="I274" t="inlineStr">
        <is>
          <t>Office Supplies</t>
        </is>
      </c>
      <c r="J274" t="inlineStr">
        <is>
          <t>Plants</t>
        </is>
      </c>
      <c r="K274" t="inlineStr">
        <is>
          <t>East</t>
        </is>
      </c>
      <c r="L274" t="inlineStr">
        <is>
          <t>New York</t>
        </is>
      </c>
      <c r="M274" t="inlineStr">
        <is>
          <t>New York</t>
        </is>
      </c>
      <c r="N274" t="inlineStr">
        <is>
          <t>Noah Kim</t>
        </is>
      </c>
      <c r="O274" t="n">
        <v>1</v>
      </c>
      <c r="P274" s="3" t="n">
        <v>609.36</v>
      </c>
      <c r="Q274" s="4" t="n">
        <v>0.003</v>
      </c>
      <c r="R274" s="3" t="n">
        <v>607.53</v>
      </c>
      <c r="S274" s="3" t="n">
        <v>387.38</v>
      </c>
      <c r="T274" s="3" t="n">
        <v>212.35</v>
      </c>
      <c r="U274" s="4" t="n">
        <v>0.3495</v>
      </c>
      <c r="V274" s="3" t="n">
        <v>7.8</v>
      </c>
      <c r="W274" t="inlineStr">
        <is>
          <t>Credit Card</t>
        </is>
      </c>
      <c r="X274" t="inlineStr">
        <is>
          <t>Low</t>
        </is>
      </c>
      <c r="Y274" t="n">
        <v>2025</v>
      </c>
      <c r="Z274" t="n">
        <v>4</v>
      </c>
      <c r="AA274" t="inlineStr">
        <is>
          <t>Apr</t>
        </is>
      </c>
      <c r="AB274" t="inlineStr">
        <is>
          <t>Saturday</t>
        </is>
      </c>
      <c r="AC274" t="n">
        <v>4</v>
      </c>
      <c r="AD274" t="inlineStr">
        <is>
          <t>Profitable</t>
        </is>
      </c>
      <c r="AE274" t="inlineStr">
        <is>
          <t>Low</t>
        </is>
      </c>
      <c r="AF274" t="inlineStr">
        <is>
          <t>Medium</t>
        </is>
      </c>
    </row>
    <row r="275">
      <c r="A275" t="inlineStr">
        <is>
          <t>ORD-00274</t>
        </is>
      </c>
      <c r="B275" s="2" t="n">
        <v>45789</v>
      </c>
      <c r="C275" s="2" t="n">
        <v>45794</v>
      </c>
      <c r="D275" t="inlineStr">
        <is>
          <t>CUST-00274</t>
        </is>
      </c>
      <c r="E275" t="inlineStr">
        <is>
          <t>Customer 274</t>
        </is>
      </c>
      <c r="F275" t="inlineStr">
        <is>
          <t>Home Office</t>
        </is>
      </c>
      <c r="G275" t="inlineStr">
        <is>
          <t>P1019</t>
        </is>
      </c>
      <c r="H275" t="inlineStr">
        <is>
          <t>Trail Tote</t>
        </is>
      </c>
      <c r="I275" t="inlineStr">
        <is>
          <t>Technology</t>
        </is>
      </c>
      <c r="J275" t="inlineStr">
        <is>
          <t>Bags</t>
        </is>
      </c>
      <c r="K275" t="inlineStr">
        <is>
          <t>Central</t>
        </is>
      </c>
      <c r="L275" t="inlineStr">
        <is>
          <t>Missouri</t>
        </is>
      </c>
      <c r="M275" t="inlineStr">
        <is>
          <t>Chicago</t>
        </is>
      </c>
      <c r="N275" t="inlineStr">
        <is>
          <t>Ava Patel</t>
        </is>
      </c>
      <c r="O275" t="n">
        <v>3</v>
      </c>
      <c r="P275" s="3" t="n">
        <v>57.8</v>
      </c>
      <c r="Q275" s="4" t="n">
        <v>0.022</v>
      </c>
      <c r="R275" s="3" t="n">
        <v>169.59</v>
      </c>
      <c r="S275" s="3" t="n">
        <v>78.37</v>
      </c>
      <c r="T275" s="3" t="n">
        <v>82.81999999999999</v>
      </c>
      <c r="U275" s="4" t="n">
        <v>0.4884</v>
      </c>
      <c r="V275" s="3" t="n">
        <v>8.4</v>
      </c>
      <c r="W275" t="inlineStr">
        <is>
          <t>Debit Card</t>
        </is>
      </c>
      <c r="X275" t="inlineStr">
        <is>
          <t>High</t>
        </is>
      </c>
      <c r="Y275" t="n">
        <v>2025</v>
      </c>
      <c r="Z275" t="n">
        <v>5</v>
      </c>
      <c r="AA275" t="inlineStr">
        <is>
          <t>May</t>
        </is>
      </c>
      <c r="AB275" t="inlineStr">
        <is>
          <t>Monday</t>
        </is>
      </c>
      <c r="AC275" t="n">
        <v>5</v>
      </c>
      <c r="AD275" t="inlineStr">
        <is>
          <t>Profitable</t>
        </is>
      </c>
      <c r="AE275" t="inlineStr">
        <is>
          <t>Medium</t>
        </is>
      </c>
      <c r="AF275" t="inlineStr">
        <is>
          <t>Small</t>
        </is>
      </c>
    </row>
    <row r="276">
      <c r="A276" t="inlineStr">
        <is>
          <t>ORD-00275</t>
        </is>
      </c>
      <c r="B276" s="2" t="n">
        <v>45421</v>
      </c>
      <c r="C276" s="2" t="n">
        <v>45428</v>
      </c>
      <c r="D276" t="inlineStr">
        <is>
          <t>CUST-00275</t>
        </is>
      </c>
      <c r="E276" t="inlineStr">
        <is>
          <t>Customer 275</t>
        </is>
      </c>
      <c r="F276" t="inlineStr">
        <is>
          <t>Corporate</t>
        </is>
      </c>
      <c r="G276" t="inlineStr">
        <is>
          <t>P1015</t>
        </is>
      </c>
      <c r="H276" t="inlineStr">
        <is>
          <t>Cove Wall Clock</t>
        </is>
      </c>
      <c r="I276" t="inlineStr">
        <is>
          <t>Office Supplies</t>
        </is>
      </c>
      <c r="J276" t="inlineStr">
        <is>
          <t>Paper</t>
        </is>
      </c>
      <c r="K276" t="inlineStr">
        <is>
          <t>Central</t>
        </is>
      </c>
      <c r="L276" t="inlineStr">
        <is>
          <t>Missouri</t>
        </is>
      </c>
      <c r="M276" t="inlineStr">
        <is>
          <t>Chicago</t>
        </is>
      </c>
      <c r="N276" t="inlineStr">
        <is>
          <t>Olivia Martin</t>
        </is>
      </c>
      <c r="O276" t="n">
        <v>3</v>
      </c>
      <c r="P276" s="3" t="n">
        <v>65.59</v>
      </c>
      <c r="Q276" s="4" t="n">
        <v>0.034</v>
      </c>
      <c r="R276" s="3" t="n">
        <v>190.08</v>
      </c>
      <c r="S276" s="3" t="n">
        <v>89.48999999999999</v>
      </c>
      <c r="T276" s="3" t="n">
        <v>92.19</v>
      </c>
      <c r="U276" s="4" t="n">
        <v>0.485</v>
      </c>
      <c r="V276" s="3" t="n">
        <v>8.4</v>
      </c>
      <c r="W276" t="inlineStr">
        <is>
          <t>PayPal</t>
        </is>
      </c>
      <c r="X276" t="inlineStr">
        <is>
          <t>Medium</t>
        </is>
      </c>
      <c r="Y276" t="n">
        <v>2024</v>
      </c>
      <c r="Z276" t="n">
        <v>5</v>
      </c>
      <c r="AA276" t="inlineStr">
        <is>
          <t>May</t>
        </is>
      </c>
      <c r="AB276" t="inlineStr">
        <is>
          <t>Thursday</t>
        </is>
      </c>
      <c r="AC276" t="n">
        <v>7</v>
      </c>
      <c r="AD276" t="inlineStr">
        <is>
          <t>Profitable</t>
        </is>
      </c>
      <c r="AE276" t="inlineStr">
        <is>
          <t>Medium</t>
        </is>
      </c>
      <c r="AF276" t="inlineStr">
        <is>
          <t>Small</t>
        </is>
      </c>
    </row>
    <row r="277">
      <c r="A277" t="inlineStr">
        <is>
          <t>ORD-00276</t>
        </is>
      </c>
      <c r="B277" s="2" t="n">
        <v>45306</v>
      </c>
      <c r="C277" s="2" t="n">
        <v>45307</v>
      </c>
      <c r="D277" t="inlineStr">
        <is>
          <t>CUST-00276</t>
        </is>
      </c>
      <c r="E277" t="inlineStr">
        <is>
          <t>Customer 276</t>
        </is>
      </c>
      <c r="F277" t="inlineStr">
        <is>
          <t>Corporate</t>
        </is>
      </c>
      <c r="G277" t="inlineStr">
        <is>
          <t>P1007</t>
        </is>
      </c>
      <c r="H277" t="inlineStr">
        <is>
          <t>ProClip Binder</t>
        </is>
      </c>
      <c r="I277" t="inlineStr">
        <is>
          <t>Home Decor</t>
        </is>
      </c>
      <c r="J277" t="inlineStr">
        <is>
          <t>Chairs</t>
        </is>
      </c>
      <c r="K277" t="inlineStr">
        <is>
          <t>West</t>
        </is>
      </c>
      <c r="L277" t="inlineStr">
        <is>
          <t>Colorado</t>
        </is>
      </c>
      <c r="M277" t="inlineStr">
        <is>
          <t>San Francisco</t>
        </is>
      </c>
      <c r="N277" t="inlineStr">
        <is>
          <t>Olivia Martin</t>
        </is>
      </c>
      <c r="O277" t="n">
        <v>3</v>
      </c>
      <c r="P277" s="3" t="n">
        <v>25.94</v>
      </c>
      <c r="Q277" s="4" t="n">
        <v>0.08699999999999999</v>
      </c>
      <c r="R277" s="3" t="n">
        <v>71.05</v>
      </c>
      <c r="S277" s="3" t="n">
        <v>33.61</v>
      </c>
      <c r="T277" s="3" t="n">
        <v>28.04</v>
      </c>
      <c r="U277" s="4" t="n">
        <v>0.3947</v>
      </c>
      <c r="V277" s="3" t="n">
        <v>9.4</v>
      </c>
      <c r="W277" t="inlineStr">
        <is>
          <t>Cash on Delivery</t>
        </is>
      </c>
      <c r="X277" t="inlineStr">
        <is>
          <t>Critical</t>
        </is>
      </c>
      <c r="Y277" t="n">
        <v>2024</v>
      </c>
      <c r="Z277" t="n">
        <v>1</v>
      </c>
      <c r="AA277" t="inlineStr">
        <is>
          <t>Jan</t>
        </is>
      </c>
      <c r="AB277" t="inlineStr">
        <is>
          <t>Monday</t>
        </is>
      </c>
      <c r="AC277" t="n">
        <v>1</v>
      </c>
      <c r="AD277" t="inlineStr">
        <is>
          <t>Profitable</t>
        </is>
      </c>
      <c r="AE277" t="inlineStr">
        <is>
          <t>High</t>
        </is>
      </c>
      <c r="AF277" t="inlineStr">
        <is>
          <t>Small</t>
        </is>
      </c>
    </row>
    <row r="278">
      <c r="A278" t="inlineStr">
        <is>
          <t>ORD-00277</t>
        </is>
      </c>
      <c r="B278" s="2" t="n">
        <v>45791</v>
      </c>
      <c r="C278" s="2" t="n">
        <v>45795</v>
      </c>
      <c r="D278" t="inlineStr">
        <is>
          <t>CUST-00277</t>
        </is>
      </c>
      <c r="E278" t="inlineStr">
        <is>
          <t>Customer 277</t>
        </is>
      </c>
      <c r="F278" t="inlineStr">
        <is>
          <t>Corporate</t>
        </is>
      </c>
      <c r="G278" t="inlineStr">
        <is>
          <t>P1003</t>
        </is>
      </c>
      <c r="H278" t="inlineStr">
        <is>
          <t>Nimbus Monitor Arm</t>
        </is>
      </c>
      <c r="I278" t="inlineStr">
        <is>
          <t>Technology</t>
        </is>
      </c>
      <c r="J278" t="inlineStr">
        <is>
          <t>Video</t>
        </is>
      </c>
      <c r="K278" t="inlineStr">
        <is>
          <t>North</t>
        </is>
      </c>
      <c r="L278" t="inlineStr">
        <is>
          <t>Alberta</t>
        </is>
      </c>
      <c r="M278" t="inlineStr">
        <is>
          <t>Montreal</t>
        </is>
      </c>
      <c r="N278" t="inlineStr">
        <is>
          <t>Mia Rodriguez</t>
        </is>
      </c>
      <c r="O278" t="n">
        <v>1</v>
      </c>
      <c r="P278" s="3" t="n">
        <v>144.33</v>
      </c>
      <c r="Q278" s="4" t="n">
        <v>0.021</v>
      </c>
      <c r="R278" s="3" t="n">
        <v>141.3</v>
      </c>
      <c r="S278" s="3" t="n">
        <v>77.12</v>
      </c>
      <c r="T278" s="3" t="n">
        <v>57.38</v>
      </c>
      <c r="U278" s="4" t="n">
        <v>0.4061</v>
      </c>
      <c r="V278" s="3" t="n">
        <v>6.8</v>
      </c>
      <c r="W278" t="inlineStr">
        <is>
          <t>Bank Transfer</t>
        </is>
      </c>
      <c r="X278" t="inlineStr">
        <is>
          <t>Medium</t>
        </is>
      </c>
      <c r="Y278" t="n">
        <v>2025</v>
      </c>
      <c r="Z278" t="n">
        <v>5</v>
      </c>
      <c r="AA278" t="inlineStr">
        <is>
          <t>May</t>
        </is>
      </c>
      <c r="AB278" t="inlineStr">
        <is>
          <t>Wednesday</t>
        </is>
      </c>
      <c r="AC278" t="n">
        <v>4</v>
      </c>
      <c r="AD278" t="inlineStr">
        <is>
          <t>Profitable</t>
        </is>
      </c>
      <c r="AE278" t="inlineStr">
        <is>
          <t>Medium</t>
        </is>
      </c>
      <c r="AF278" t="inlineStr">
        <is>
          <t>Small</t>
        </is>
      </c>
    </row>
    <row r="279">
      <c r="A279" t="inlineStr">
        <is>
          <t>ORD-00278</t>
        </is>
      </c>
      <c r="B279" s="2" t="n">
        <v>45597</v>
      </c>
      <c r="C279" s="2" t="n">
        <v>45601</v>
      </c>
      <c r="D279" t="inlineStr">
        <is>
          <t>CUST-00278</t>
        </is>
      </c>
      <c r="E279" t="inlineStr">
        <is>
          <t>Customer 278</t>
        </is>
      </c>
      <c r="F279" t="inlineStr">
        <is>
          <t>Home Office</t>
        </is>
      </c>
      <c r="G279" t="inlineStr">
        <is>
          <t>P1016</t>
        </is>
      </c>
      <c r="H279" t="inlineStr">
        <is>
          <t>Summit Patio Set</t>
        </is>
      </c>
      <c r="I279" t="inlineStr">
        <is>
          <t>Furniture</t>
        </is>
      </c>
      <c r="J279" t="inlineStr">
        <is>
          <t>Accessories</t>
        </is>
      </c>
      <c r="K279" t="inlineStr">
        <is>
          <t>Central</t>
        </is>
      </c>
      <c r="L279" t="inlineStr">
        <is>
          <t>Missouri</t>
        </is>
      </c>
      <c r="M279" t="inlineStr">
        <is>
          <t>Chicago</t>
        </is>
      </c>
      <c r="N279" t="inlineStr">
        <is>
          <t>Liam Chen</t>
        </is>
      </c>
      <c r="O279" t="n">
        <v>5</v>
      </c>
      <c r="P279" s="3" t="n">
        <v>43.05</v>
      </c>
      <c r="Q279" s="4" t="n">
        <v>0.006</v>
      </c>
      <c r="R279" s="3" t="n">
        <v>213.96</v>
      </c>
      <c r="S279" s="3" t="n">
        <v>86.93000000000001</v>
      </c>
      <c r="T279" s="3" t="n">
        <v>117.03</v>
      </c>
      <c r="U279" s="4" t="n">
        <v>0.547</v>
      </c>
      <c r="V279" s="3" t="n">
        <v>10</v>
      </c>
      <c r="W279" t="inlineStr">
        <is>
          <t>Credit Card</t>
        </is>
      </c>
      <c r="X279" t="inlineStr">
        <is>
          <t>Medium</t>
        </is>
      </c>
      <c r="Y279" t="n">
        <v>2024</v>
      </c>
      <c r="Z279" t="n">
        <v>11</v>
      </c>
      <c r="AA279" t="inlineStr">
        <is>
          <t>Nov</t>
        </is>
      </c>
      <c r="AB279" t="inlineStr">
        <is>
          <t>Friday</t>
        </is>
      </c>
      <c r="AC279" t="n">
        <v>4</v>
      </c>
      <c r="AD279" t="inlineStr">
        <is>
          <t>Profitable</t>
        </is>
      </c>
      <c r="AE279" t="inlineStr">
        <is>
          <t>Low</t>
        </is>
      </c>
      <c r="AF279" t="inlineStr">
        <is>
          <t>Small</t>
        </is>
      </c>
    </row>
    <row r="280">
      <c r="A280" t="inlineStr">
        <is>
          <t>ORD-00279</t>
        </is>
      </c>
      <c r="B280" s="2" t="n">
        <v>46008</v>
      </c>
      <c r="C280" s="2" t="n">
        <v>46010</v>
      </c>
      <c r="D280" t="inlineStr">
        <is>
          <t>CUST-00279</t>
        </is>
      </c>
      <c r="E280" t="inlineStr">
        <is>
          <t>Customer 279</t>
        </is>
      </c>
      <c r="F280" t="inlineStr">
        <is>
          <t>Consumer</t>
        </is>
      </c>
      <c r="G280" t="inlineStr">
        <is>
          <t>P1015</t>
        </is>
      </c>
      <c r="H280" t="inlineStr">
        <is>
          <t>Cove Wall Clock</t>
        </is>
      </c>
      <c r="I280" t="inlineStr">
        <is>
          <t>Technology</t>
        </is>
      </c>
      <c r="J280" t="inlineStr">
        <is>
          <t>Lighting</t>
        </is>
      </c>
      <c r="K280" t="inlineStr">
        <is>
          <t>East</t>
        </is>
      </c>
      <c r="L280" t="inlineStr">
        <is>
          <t>Massachusetts</t>
        </is>
      </c>
      <c r="M280" t="inlineStr">
        <is>
          <t>Washington</t>
        </is>
      </c>
      <c r="N280" t="inlineStr">
        <is>
          <t>Ethan Brooks</t>
        </is>
      </c>
      <c r="O280" t="n">
        <v>3</v>
      </c>
      <c r="P280" s="3" t="n">
        <v>73.73999999999999</v>
      </c>
      <c r="Q280" s="4" t="n">
        <v>0</v>
      </c>
      <c r="R280" s="3" t="n">
        <v>221.22</v>
      </c>
      <c r="S280" s="3" t="n">
        <v>102.73</v>
      </c>
      <c r="T280" s="3" t="n">
        <v>109.09</v>
      </c>
      <c r="U280" s="4" t="n">
        <v>0.4931</v>
      </c>
      <c r="V280" s="3" t="n">
        <v>9.4</v>
      </c>
      <c r="W280" t="inlineStr">
        <is>
          <t>Credit Card</t>
        </is>
      </c>
      <c r="X280" t="inlineStr">
        <is>
          <t>Medium</t>
        </is>
      </c>
      <c r="Y280" t="n">
        <v>2025</v>
      </c>
      <c r="Z280" t="n">
        <v>12</v>
      </c>
      <c r="AA280" t="inlineStr">
        <is>
          <t>Dec</t>
        </is>
      </c>
      <c r="AB280" t="inlineStr">
        <is>
          <t>Wednesday</t>
        </is>
      </c>
      <c r="AC280" t="n">
        <v>2</v>
      </c>
      <c r="AD280" t="inlineStr">
        <is>
          <t>Profitable</t>
        </is>
      </c>
      <c r="AE280" t="inlineStr">
        <is>
          <t>Low</t>
        </is>
      </c>
      <c r="AF280" t="inlineStr">
        <is>
          <t>Small</t>
        </is>
      </c>
    </row>
    <row r="281">
      <c r="A281" t="inlineStr">
        <is>
          <t>ORD-00280</t>
        </is>
      </c>
      <c r="B281" s="2" t="n">
        <v>45839</v>
      </c>
      <c r="C281" s="2" t="n">
        <v>45842</v>
      </c>
      <c r="D281" t="inlineStr">
        <is>
          <t>CUST-00280</t>
        </is>
      </c>
      <c r="E281" t="inlineStr">
        <is>
          <t>Customer 280</t>
        </is>
      </c>
      <c r="F281" t="inlineStr">
        <is>
          <t>Consumer</t>
        </is>
      </c>
      <c r="G281" t="inlineStr">
        <is>
          <t>P1018</t>
        </is>
      </c>
      <c r="H281" t="inlineStr">
        <is>
          <t>Northstar Lantern</t>
        </is>
      </c>
      <c r="I281" t="inlineStr">
        <is>
          <t>Office Supplies</t>
        </is>
      </c>
      <c r="J281" t="inlineStr">
        <is>
          <t>Coolers</t>
        </is>
      </c>
      <c r="K281" t="inlineStr">
        <is>
          <t>North</t>
        </is>
      </c>
      <c r="L281" t="inlineStr">
        <is>
          <t>Quebec</t>
        </is>
      </c>
      <c r="M281" t="inlineStr">
        <is>
          <t>Toronto</t>
        </is>
      </c>
      <c r="N281" t="inlineStr">
        <is>
          <t>Ava Patel</t>
        </is>
      </c>
      <c r="O281" t="n">
        <v>3</v>
      </c>
      <c r="P281" s="3" t="n">
        <v>94.93000000000001</v>
      </c>
      <c r="Q281" s="4" t="n">
        <v>0.016</v>
      </c>
      <c r="R281" s="3" t="n">
        <v>280.23</v>
      </c>
      <c r="S281" s="3" t="n">
        <v>129.2</v>
      </c>
      <c r="T281" s="3" t="n">
        <v>142.63</v>
      </c>
      <c r="U281" s="4" t="n">
        <v>0.509</v>
      </c>
      <c r="V281" s="3" t="n">
        <v>8.4</v>
      </c>
      <c r="W281" t="inlineStr">
        <is>
          <t>Debit Card</t>
        </is>
      </c>
      <c r="X281" t="inlineStr">
        <is>
          <t>Medium</t>
        </is>
      </c>
      <c r="Y281" t="n">
        <v>2025</v>
      </c>
      <c r="Z281" t="n">
        <v>7</v>
      </c>
      <c r="AA281" t="inlineStr">
        <is>
          <t>Jul</t>
        </is>
      </c>
      <c r="AB281" t="inlineStr">
        <is>
          <t>Tuesday</t>
        </is>
      </c>
      <c r="AC281" t="n">
        <v>3</v>
      </c>
      <c r="AD281" t="inlineStr">
        <is>
          <t>Profitable</t>
        </is>
      </c>
      <c r="AE281" t="inlineStr">
        <is>
          <t>Low</t>
        </is>
      </c>
      <c r="AF281" t="inlineStr">
        <is>
          <t>Small</t>
        </is>
      </c>
    </row>
    <row r="282">
      <c r="A282" t="inlineStr">
        <is>
          <t>ORD-00281</t>
        </is>
      </c>
      <c r="B282" s="2" t="n">
        <v>45861</v>
      </c>
      <c r="C282" s="2" t="n">
        <v>45866</v>
      </c>
      <c r="D282" t="inlineStr">
        <is>
          <t>CUST-00281</t>
        </is>
      </c>
      <c r="E282" t="inlineStr">
        <is>
          <t>Customer 281</t>
        </is>
      </c>
      <c r="F282" t="inlineStr">
        <is>
          <t>Consumer</t>
        </is>
      </c>
      <c r="G282" t="inlineStr">
        <is>
          <t>P1003</t>
        </is>
      </c>
      <c r="H282" t="inlineStr">
        <is>
          <t>SmartInk Pen Set</t>
        </is>
      </c>
      <c r="I282" t="inlineStr">
        <is>
          <t>Technology</t>
        </is>
      </c>
      <c r="J282" t="inlineStr">
        <is>
          <t>Writing</t>
        </is>
      </c>
      <c r="K282" t="inlineStr">
        <is>
          <t>Central</t>
        </is>
      </c>
      <c r="L282" t="inlineStr">
        <is>
          <t>Illinois</t>
        </is>
      </c>
      <c r="M282" t="inlineStr">
        <is>
          <t>St. Louis</t>
        </is>
      </c>
      <c r="N282" t="inlineStr">
        <is>
          <t>Sophia Singh</t>
        </is>
      </c>
      <c r="O282" t="n">
        <v>3</v>
      </c>
      <c r="P282" s="3" t="n">
        <v>160.9</v>
      </c>
      <c r="Q282" s="4" t="n">
        <v>0.018</v>
      </c>
      <c r="R282" s="3" t="n">
        <v>474.01</v>
      </c>
      <c r="S282" s="3" t="n">
        <v>247.73</v>
      </c>
      <c r="T282" s="3" t="n">
        <v>217.88</v>
      </c>
      <c r="U282" s="4" t="n">
        <v>0.4597</v>
      </c>
      <c r="V282" s="3" t="n">
        <v>8.4</v>
      </c>
      <c r="W282" t="inlineStr">
        <is>
          <t>Cash on Delivery</t>
        </is>
      </c>
      <c r="X282" t="inlineStr">
        <is>
          <t>Medium</t>
        </is>
      </c>
      <c r="Y282" t="n">
        <v>2025</v>
      </c>
      <c r="Z282" t="n">
        <v>7</v>
      </c>
      <c r="AA282" t="inlineStr">
        <is>
          <t>Jul</t>
        </is>
      </c>
      <c r="AB282" t="inlineStr">
        <is>
          <t>Wednesday</t>
        </is>
      </c>
      <c r="AC282" t="n">
        <v>5</v>
      </c>
      <c r="AD282" t="inlineStr">
        <is>
          <t>Profitable</t>
        </is>
      </c>
      <c r="AE282" t="inlineStr">
        <is>
          <t>Low</t>
        </is>
      </c>
      <c r="AF282" t="inlineStr">
        <is>
          <t>Small</t>
        </is>
      </c>
    </row>
    <row r="283">
      <c r="A283" t="inlineStr">
        <is>
          <t>ORD-00282</t>
        </is>
      </c>
      <c r="B283" s="2" t="n">
        <v>45312</v>
      </c>
      <c r="C283" s="2" t="n">
        <v>45316</v>
      </c>
      <c r="D283" t="inlineStr">
        <is>
          <t>CUST-00282</t>
        </is>
      </c>
      <c r="E283" t="inlineStr">
        <is>
          <t>Customer 282</t>
        </is>
      </c>
      <c r="F283" t="inlineStr">
        <is>
          <t>Consumer</t>
        </is>
      </c>
      <c r="G283" t="inlineStr">
        <is>
          <t>P1014</t>
        </is>
      </c>
      <c r="H283" t="inlineStr">
        <is>
          <t>Pulse Keyboard</t>
        </is>
      </c>
      <c r="I283" t="inlineStr">
        <is>
          <t>Technology</t>
        </is>
      </c>
      <c r="J283" t="inlineStr">
        <is>
          <t>Peripherals</t>
        </is>
      </c>
      <c r="K283" t="inlineStr">
        <is>
          <t>Central</t>
        </is>
      </c>
      <c r="L283" t="inlineStr">
        <is>
          <t>Illinois</t>
        </is>
      </c>
      <c r="M283" t="inlineStr">
        <is>
          <t>Minneapolis</t>
        </is>
      </c>
      <c r="N283" t="inlineStr">
        <is>
          <t>Sophia Singh</t>
        </is>
      </c>
      <c r="O283" t="n">
        <v>3</v>
      </c>
      <c r="P283" s="3" t="n">
        <v>41.02</v>
      </c>
      <c r="Q283" s="4" t="n">
        <v>0.023</v>
      </c>
      <c r="R283" s="3" t="n">
        <v>120.23</v>
      </c>
      <c r="S283" s="3" t="n">
        <v>58.53</v>
      </c>
      <c r="T283" s="3" t="n">
        <v>53.3</v>
      </c>
      <c r="U283" s="4" t="n">
        <v>0.4433</v>
      </c>
      <c r="V283" s="3" t="n">
        <v>8.4</v>
      </c>
      <c r="W283" t="inlineStr">
        <is>
          <t>PayPal</t>
        </is>
      </c>
      <c r="X283" t="inlineStr">
        <is>
          <t>Medium</t>
        </is>
      </c>
      <c r="Y283" t="n">
        <v>2024</v>
      </c>
      <c r="Z283" t="n">
        <v>1</v>
      </c>
      <c r="AA283" t="inlineStr">
        <is>
          <t>Jan</t>
        </is>
      </c>
      <c r="AB283" t="inlineStr">
        <is>
          <t>Sunday</t>
        </is>
      </c>
      <c r="AC283" t="n">
        <v>4</v>
      </c>
      <c r="AD283" t="inlineStr">
        <is>
          <t>Profitable</t>
        </is>
      </c>
      <c r="AE283" t="inlineStr">
        <is>
          <t>Medium</t>
        </is>
      </c>
      <c r="AF283" t="inlineStr">
        <is>
          <t>Small</t>
        </is>
      </c>
    </row>
    <row r="284">
      <c r="A284" t="inlineStr">
        <is>
          <t>ORD-00283</t>
        </is>
      </c>
      <c r="B284" s="2" t="n">
        <v>45618</v>
      </c>
      <c r="C284" s="2" t="n">
        <v>45623</v>
      </c>
      <c r="D284" t="inlineStr">
        <is>
          <t>CUST-00283</t>
        </is>
      </c>
      <c r="E284" t="inlineStr">
        <is>
          <t>Customer 283</t>
        </is>
      </c>
      <c r="F284" t="inlineStr">
        <is>
          <t>Consumer</t>
        </is>
      </c>
      <c r="G284" t="inlineStr">
        <is>
          <t>P1001</t>
        </is>
      </c>
      <c r="H284" t="inlineStr">
        <is>
          <t>SmartInk Pen Set</t>
        </is>
      </c>
      <c r="I284" t="inlineStr">
        <is>
          <t>Office Supplies</t>
        </is>
      </c>
      <c r="J284" t="inlineStr">
        <is>
          <t>Peripherals</t>
        </is>
      </c>
      <c r="K284" t="inlineStr">
        <is>
          <t>South</t>
        </is>
      </c>
      <c r="L284" t="inlineStr">
        <is>
          <t>Florida</t>
        </is>
      </c>
      <c r="M284" t="inlineStr">
        <is>
          <t>Dallas</t>
        </is>
      </c>
      <c r="N284" t="inlineStr">
        <is>
          <t>James Carter</t>
        </is>
      </c>
      <c r="O284" t="n">
        <v>2</v>
      </c>
      <c r="P284" s="3" t="n">
        <v>300.06</v>
      </c>
      <c r="Q284" s="4" t="n">
        <v>0.024</v>
      </c>
      <c r="R284" s="3" t="n">
        <v>585.72</v>
      </c>
      <c r="S284" s="3" t="n">
        <v>349.55</v>
      </c>
      <c r="T284" s="3" t="n">
        <v>228.57</v>
      </c>
      <c r="U284" s="4" t="n">
        <v>0.3902</v>
      </c>
      <c r="V284" s="3" t="n">
        <v>7.6</v>
      </c>
      <c r="W284" t="inlineStr">
        <is>
          <t>Bank Transfer</t>
        </is>
      </c>
      <c r="X284" t="inlineStr">
        <is>
          <t>Medium</t>
        </is>
      </c>
      <c r="Y284" t="n">
        <v>2024</v>
      </c>
      <c r="Z284" t="n">
        <v>11</v>
      </c>
      <c r="AA284" t="inlineStr">
        <is>
          <t>Nov</t>
        </is>
      </c>
      <c r="AB284" t="inlineStr">
        <is>
          <t>Friday</t>
        </is>
      </c>
      <c r="AC284" t="n">
        <v>5</v>
      </c>
      <c r="AD284" t="inlineStr">
        <is>
          <t>Profitable</t>
        </is>
      </c>
      <c r="AE284" t="inlineStr">
        <is>
          <t>Medium</t>
        </is>
      </c>
      <c r="AF284" t="inlineStr">
        <is>
          <t>Medium</t>
        </is>
      </c>
    </row>
    <row r="285">
      <c r="A285" t="inlineStr">
        <is>
          <t>ORD-00284</t>
        </is>
      </c>
      <c r="B285" s="2" t="n">
        <v>44939</v>
      </c>
      <c r="C285" s="2" t="n">
        <v>44943</v>
      </c>
      <c r="D285" t="inlineStr">
        <is>
          <t>CUST-00284</t>
        </is>
      </c>
      <c r="E285" t="inlineStr">
        <is>
          <t>Customer 284</t>
        </is>
      </c>
      <c r="F285" t="inlineStr">
        <is>
          <t>Corporate</t>
        </is>
      </c>
      <c r="G285" t="inlineStr">
        <is>
          <t>P1007</t>
        </is>
      </c>
      <c r="H285" t="inlineStr">
        <is>
          <t>Harbor Rug</t>
        </is>
      </c>
      <c r="I285" t="inlineStr">
        <is>
          <t>Office Supplies</t>
        </is>
      </c>
      <c r="J285" t="inlineStr">
        <is>
          <t>Bags</t>
        </is>
      </c>
      <c r="K285" t="inlineStr">
        <is>
          <t>South</t>
        </is>
      </c>
      <c r="L285" t="inlineStr">
        <is>
          <t>Texas</t>
        </is>
      </c>
      <c r="M285" t="inlineStr">
        <is>
          <t>Miami</t>
        </is>
      </c>
      <c r="N285" t="inlineStr">
        <is>
          <t>Noah Kim</t>
        </is>
      </c>
      <c r="O285" t="n">
        <v>1</v>
      </c>
      <c r="P285" s="3" t="n">
        <v>24.49</v>
      </c>
      <c r="Q285" s="4" t="n">
        <v>0.015</v>
      </c>
      <c r="R285" s="3" t="n">
        <v>24.12</v>
      </c>
      <c r="S285" s="3" t="n">
        <v>17.62</v>
      </c>
      <c r="T285" s="3" t="n">
        <v>-0.3</v>
      </c>
      <c r="U285" s="4" t="n">
        <v>-0.0124</v>
      </c>
      <c r="V285" s="3" t="n">
        <v>6.8</v>
      </c>
      <c r="W285" t="inlineStr">
        <is>
          <t>Credit Card</t>
        </is>
      </c>
      <c r="X285" t="inlineStr">
        <is>
          <t>Low</t>
        </is>
      </c>
      <c r="Y285" t="n">
        <v>2023</v>
      </c>
      <c r="Z285" t="n">
        <v>1</v>
      </c>
      <c r="AA285" t="inlineStr">
        <is>
          <t>Jan</t>
        </is>
      </c>
      <c r="AB285" t="inlineStr">
        <is>
          <t>Friday</t>
        </is>
      </c>
      <c r="AC285" t="n">
        <v>4</v>
      </c>
      <c r="AD285" t="inlineStr">
        <is>
          <t>Unprofitable</t>
        </is>
      </c>
      <c r="AE285" t="inlineStr">
        <is>
          <t>Low</t>
        </is>
      </c>
      <c r="AF285" t="inlineStr">
        <is>
          <t>Small</t>
        </is>
      </c>
    </row>
    <row r="286">
      <c r="A286" t="inlineStr">
        <is>
          <t>ORD-00285</t>
        </is>
      </c>
      <c r="B286" s="2" t="n">
        <v>45634</v>
      </c>
      <c r="C286" s="2" t="n">
        <v>45640</v>
      </c>
      <c r="D286" t="inlineStr">
        <is>
          <t>CUST-00285</t>
        </is>
      </c>
      <c r="E286" t="inlineStr">
        <is>
          <t>Customer 285</t>
        </is>
      </c>
      <c r="F286" t="inlineStr">
        <is>
          <t>Consumer</t>
        </is>
      </c>
      <c r="G286" t="inlineStr">
        <is>
          <t>P1002</t>
        </is>
      </c>
      <c r="H286" t="inlineStr">
        <is>
          <t>Cove Wall Clock</t>
        </is>
      </c>
      <c r="I286" t="inlineStr">
        <is>
          <t>Outdoor</t>
        </is>
      </c>
      <c r="J286" t="inlineStr">
        <is>
          <t>Bags</t>
        </is>
      </c>
      <c r="K286" t="inlineStr">
        <is>
          <t>North</t>
        </is>
      </c>
      <c r="L286" t="inlineStr">
        <is>
          <t>Ontario</t>
        </is>
      </c>
      <c r="M286" t="inlineStr">
        <is>
          <t>Toronto</t>
        </is>
      </c>
      <c r="N286" t="inlineStr">
        <is>
          <t>Ava Patel</t>
        </is>
      </c>
      <c r="O286" t="n">
        <v>4</v>
      </c>
      <c r="P286" s="3" t="n">
        <v>85.90000000000001</v>
      </c>
      <c r="Q286" s="4" t="n">
        <v>0.003</v>
      </c>
      <c r="R286" s="3" t="n">
        <v>342.57</v>
      </c>
      <c r="S286" s="3" t="n">
        <v>161.87</v>
      </c>
      <c r="T286" s="3" t="n">
        <v>171.5</v>
      </c>
      <c r="U286" s="4" t="n">
        <v>0.5006</v>
      </c>
      <c r="V286" s="3" t="n">
        <v>9.199999999999999</v>
      </c>
      <c r="W286" t="inlineStr">
        <is>
          <t>Debit Card</t>
        </is>
      </c>
      <c r="X286" t="inlineStr">
        <is>
          <t>Medium</t>
        </is>
      </c>
      <c r="Y286" t="n">
        <v>2024</v>
      </c>
      <c r="Z286" t="n">
        <v>12</v>
      </c>
      <c r="AA286" t="inlineStr">
        <is>
          <t>Dec</t>
        </is>
      </c>
      <c r="AB286" t="inlineStr">
        <is>
          <t>Sunday</t>
        </is>
      </c>
      <c r="AC286" t="n">
        <v>6</v>
      </c>
      <c r="AD286" t="inlineStr">
        <is>
          <t>Profitable</t>
        </is>
      </c>
      <c r="AE286" t="inlineStr">
        <is>
          <t>Low</t>
        </is>
      </c>
      <c r="AF286" t="inlineStr">
        <is>
          <t>Small</t>
        </is>
      </c>
    </row>
    <row r="287">
      <c r="A287" t="inlineStr">
        <is>
          <t>ORD-00286</t>
        </is>
      </c>
      <c r="B287" s="2" t="n">
        <v>45120</v>
      </c>
      <c r="C287" s="2" t="n">
        <v>45122</v>
      </c>
      <c r="D287" t="inlineStr">
        <is>
          <t>CUST-00286</t>
        </is>
      </c>
      <c r="E287" t="inlineStr">
        <is>
          <t>Customer 286</t>
        </is>
      </c>
      <c r="F287" t="inlineStr">
        <is>
          <t>Corporate</t>
        </is>
      </c>
      <c r="G287" t="inlineStr">
        <is>
          <t>P1010</t>
        </is>
      </c>
      <c r="H287" t="inlineStr">
        <is>
          <t>Pulse Keyboard</t>
        </is>
      </c>
      <c r="I287" t="inlineStr">
        <is>
          <t>Home Decor</t>
        </is>
      </c>
      <c r="J287" t="inlineStr">
        <is>
          <t>Plants</t>
        </is>
      </c>
      <c r="K287" t="inlineStr">
        <is>
          <t>West</t>
        </is>
      </c>
      <c r="L287" t="inlineStr">
        <is>
          <t>Oregon</t>
        </is>
      </c>
      <c r="M287" t="inlineStr">
        <is>
          <t>San Francisco</t>
        </is>
      </c>
      <c r="N287" t="inlineStr">
        <is>
          <t>Noah Kim</t>
        </is>
      </c>
      <c r="O287" t="n">
        <v>2</v>
      </c>
      <c r="P287" s="3" t="n">
        <v>56.69</v>
      </c>
      <c r="Q287" s="4" t="n">
        <v>0.029</v>
      </c>
      <c r="R287" s="3" t="n">
        <v>110.09</v>
      </c>
      <c r="S287" s="3" t="n">
        <v>49.97</v>
      </c>
      <c r="T287" s="3" t="n">
        <v>51.52</v>
      </c>
      <c r="U287" s="4" t="n">
        <v>0.468</v>
      </c>
      <c r="V287" s="3" t="n">
        <v>8.6</v>
      </c>
      <c r="W287" t="inlineStr">
        <is>
          <t>Credit Card</t>
        </is>
      </c>
      <c r="X287" t="inlineStr">
        <is>
          <t>Medium</t>
        </is>
      </c>
      <c r="Y287" t="n">
        <v>2023</v>
      </c>
      <c r="Z287" t="n">
        <v>7</v>
      </c>
      <c r="AA287" t="inlineStr">
        <is>
          <t>Jul</t>
        </is>
      </c>
      <c r="AB287" t="inlineStr">
        <is>
          <t>Thursday</t>
        </is>
      </c>
      <c r="AC287" t="n">
        <v>2</v>
      </c>
      <c r="AD287" t="inlineStr">
        <is>
          <t>Profitable</t>
        </is>
      </c>
      <c r="AE287" t="inlineStr">
        <is>
          <t>Medium</t>
        </is>
      </c>
      <c r="AF287" t="inlineStr">
        <is>
          <t>Small</t>
        </is>
      </c>
    </row>
    <row r="288">
      <c r="A288" t="inlineStr">
        <is>
          <t>ORD-00287</t>
        </is>
      </c>
      <c r="B288" s="2" t="n">
        <v>45428</v>
      </c>
      <c r="C288" s="2" t="n">
        <v>45431</v>
      </c>
      <c r="D288" t="inlineStr">
        <is>
          <t>CUST-00287</t>
        </is>
      </c>
      <c r="E288" t="inlineStr">
        <is>
          <t>Customer 287</t>
        </is>
      </c>
      <c r="F288" t="inlineStr">
        <is>
          <t>Home Office</t>
        </is>
      </c>
      <c r="G288" t="inlineStr">
        <is>
          <t>P1016</t>
        </is>
      </c>
      <c r="H288" t="inlineStr">
        <is>
          <t>CloudDrive File Box</t>
        </is>
      </c>
      <c r="I288" t="inlineStr">
        <is>
          <t>Home Decor</t>
        </is>
      </c>
      <c r="J288" t="inlineStr">
        <is>
          <t>Furniture</t>
        </is>
      </c>
      <c r="K288" t="inlineStr">
        <is>
          <t>East</t>
        </is>
      </c>
      <c r="L288" t="inlineStr">
        <is>
          <t>Virginia</t>
        </is>
      </c>
      <c r="M288" t="inlineStr">
        <is>
          <t>Washington</t>
        </is>
      </c>
      <c r="N288" t="inlineStr">
        <is>
          <t>Ava Patel</t>
        </is>
      </c>
      <c r="O288" t="n">
        <v>3</v>
      </c>
      <c r="P288" s="3" t="n">
        <v>37.28</v>
      </c>
      <c r="Q288" s="4" t="n">
        <v>0.036</v>
      </c>
      <c r="R288" s="3" t="n">
        <v>107.81</v>
      </c>
      <c r="S288" s="3" t="n">
        <v>49.3</v>
      </c>
      <c r="T288" s="3" t="n">
        <v>49.11</v>
      </c>
      <c r="U288" s="4" t="n">
        <v>0.4555</v>
      </c>
      <c r="V288" s="3" t="n">
        <v>9.4</v>
      </c>
      <c r="W288" t="inlineStr">
        <is>
          <t>Credit Card</t>
        </is>
      </c>
      <c r="X288" t="inlineStr">
        <is>
          <t>Critical</t>
        </is>
      </c>
      <c r="Y288" t="n">
        <v>2024</v>
      </c>
      <c r="Z288" t="n">
        <v>5</v>
      </c>
      <c r="AA288" t="inlineStr">
        <is>
          <t>May</t>
        </is>
      </c>
      <c r="AB288" t="inlineStr">
        <is>
          <t>Thursday</t>
        </is>
      </c>
      <c r="AC288" t="n">
        <v>3</v>
      </c>
      <c r="AD288" t="inlineStr">
        <is>
          <t>Profitable</t>
        </is>
      </c>
      <c r="AE288" t="inlineStr">
        <is>
          <t>Medium</t>
        </is>
      </c>
      <c r="AF288" t="inlineStr">
        <is>
          <t>Small</t>
        </is>
      </c>
    </row>
    <row r="289">
      <c r="A289" t="inlineStr">
        <is>
          <t>ORD-00288</t>
        </is>
      </c>
      <c r="B289" s="2" t="n">
        <v>45628</v>
      </c>
      <c r="C289" s="2" t="n">
        <v>45629</v>
      </c>
      <c r="D289" t="inlineStr">
        <is>
          <t>CUST-00288</t>
        </is>
      </c>
      <c r="E289" t="inlineStr">
        <is>
          <t>Customer 288</t>
        </is>
      </c>
      <c r="F289" t="inlineStr">
        <is>
          <t>Consumer</t>
        </is>
      </c>
      <c r="G289" t="inlineStr">
        <is>
          <t>P1012</t>
        </is>
      </c>
      <c r="H289" t="inlineStr">
        <is>
          <t>Echo Web Camera</t>
        </is>
      </c>
      <c r="I289" t="inlineStr">
        <is>
          <t>Office Supplies</t>
        </is>
      </c>
      <c r="J289" t="inlineStr">
        <is>
          <t>Accessories</t>
        </is>
      </c>
      <c r="K289" t="inlineStr">
        <is>
          <t>West</t>
        </is>
      </c>
      <c r="L289" t="inlineStr">
        <is>
          <t>Washington</t>
        </is>
      </c>
      <c r="M289" t="inlineStr">
        <is>
          <t>Seattle</t>
        </is>
      </c>
      <c r="N289" t="inlineStr">
        <is>
          <t>Ethan Brooks</t>
        </is>
      </c>
      <c r="O289" t="n">
        <v>3</v>
      </c>
      <c r="P289" s="3" t="n">
        <v>148.3</v>
      </c>
      <c r="Q289" s="4" t="n">
        <v>0.027</v>
      </c>
      <c r="R289" s="3" t="n">
        <v>432.89</v>
      </c>
      <c r="S289" s="3" t="n">
        <v>221.05</v>
      </c>
      <c r="T289" s="3" t="n">
        <v>202.44</v>
      </c>
      <c r="U289" s="4" t="n">
        <v>0.4676</v>
      </c>
      <c r="V289" s="3" t="n">
        <v>9.4</v>
      </c>
      <c r="W289" t="inlineStr">
        <is>
          <t>Bank Transfer</t>
        </is>
      </c>
      <c r="X289" t="inlineStr">
        <is>
          <t>High</t>
        </is>
      </c>
      <c r="Y289" t="n">
        <v>2024</v>
      </c>
      <c r="Z289" t="n">
        <v>12</v>
      </c>
      <c r="AA289" t="inlineStr">
        <is>
          <t>Dec</t>
        </is>
      </c>
      <c r="AB289" t="inlineStr">
        <is>
          <t>Monday</t>
        </is>
      </c>
      <c r="AC289" t="n">
        <v>1</v>
      </c>
      <c r="AD289" t="inlineStr">
        <is>
          <t>Profitable</t>
        </is>
      </c>
      <c r="AE289" t="inlineStr">
        <is>
          <t>Medium</t>
        </is>
      </c>
      <c r="AF289" t="inlineStr">
        <is>
          <t>Small</t>
        </is>
      </c>
    </row>
    <row r="290">
      <c r="A290" t="inlineStr">
        <is>
          <t>ORD-00289</t>
        </is>
      </c>
      <c r="B290" s="2" t="n">
        <v>44939</v>
      </c>
      <c r="C290" s="2" t="n">
        <v>44940</v>
      </c>
      <c r="D290" t="inlineStr">
        <is>
          <t>CUST-00289</t>
        </is>
      </c>
      <c r="E290" t="inlineStr">
        <is>
          <t>Customer 289</t>
        </is>
      </c>
      <c r="F290" t="inlineStr">
        <is>
          <t>Home Office</t>
        </is>
      </c>
      <c r="G290" t="inlineStr">
        <is>
          <t>P1018</t>
        </is>
      </c>
      <c r="H290" t="inlineStr">
        <is>
          <t>Halo Planter</t>
        </is>
      </c>
      <c r="I290" t="inlineStr">
        <is>
          <t>Home Decor</t>
        </is>
      </c>
      <c r="J290" t="inlineStr">
        <is>
          <t>Peripherals</t>
        </is>
      </c>
      <c r="K290" t="inlineStr">
        <is>
          <t>West</t>
        </is>
      </c>
      <c r="L290" t="inlineStr">
        <is>
          <t>Colorado</t>
        </is>
      </c>
      <c r="M290" t="inlineStr">
        <is>
          <t>San Francisco</t>
        </is>
      </c>
      <c r="N290" t="inlineStr">
        <is>
          <t>James Carter</t>
        </is>
      </c>
      <c r="O290" t="n">
        <v>5</v>
      </c>
      <c r="P290" s="3" t="n">
        <v>88.73</v>
      </c>
      <c r="Q290" s="4" t="n">
        <v>0.03</v>
      </c>
      <c r="R290" s="3" t="n">
        <v>430.34</v>
      </c>
      <c r="S290" s="3" t="n">
        <v>196.36</v>
      </c>
      <c r="T290" s="3" t="n">
        <v>222.98</v>
      </c>
      <c r="U290" s="4" t="n">
        <v>0.5181</v>
      </c>
      <c r="V290" s="3" t="n">
        <v>11</v>
      </c>
      <c r="W290" t="inlineStr">
        <is>
          <t>PayPal</t>
        </is>
      </c>
      <c r="X290" t="inlineStr">
        <is>
          <t>Medium</t>
        </is>
      </c>
      <c r="Y290" t="n">
        <v>2023</v>
      </c>
      <c r="Z290" t="n">
        <v>1</v>
      </c>
      <c r="AA290" t="inlineStr">
        <is>
          <t>Jan</t>
        </is>
      </c>
      <c r="AB290" t="inlineStr">
        <is>
          <t>Friday</t>
        </is>
      </c>
      <c r="AC290" t="n">
        <v>1</v>
      </c>
      <c r="AD290" t="inlineStr">
        <is>
          <t>Profitable</t>
        </is>
      </c>
      <c r="AE290" t="inlineStr">
        <is>
          <t>Medium</t>
        </is>
      </c>
      <c r="AF290" t="inlineStr">
        <is>
          <t>Small</t>
        </is>
      </c>
    </row>
    <row r="291">
      <c r="A291" t="inlineStr">
        <is>
          <t>ORD-00290</t>
        </is>
      </c>
      <c r="B291" s="2" t="n">
        <v>45522</v>
      </c>
      <c r="C291" s="2" t="n">
        <v>45528</v>
      </c>
      <c r="D291" t="inlineStr">
        <is>
          <t>CUST-00290</t>
        </is>
      </c>
      <c r="E291" t="inlineStr">
        <is>
          <t>Customer 290</t>
        </is>
      </c>
      <c r="F291" t="inlineStr">
        <is>
          <t>Consumer</t>
        </is>
      </c>
      <c r="G291" t="inlineStr">
        <is>
          <t>P1006</t>
        </is>
      </c>
      <c r="H291" t="inlineStr">
        <is>
          <t>Orbit Wireless Mouse</t>
        </is>
      </c>
      <c r="I291" t="inlineStr">
        <is>
          <t>Furniture</t>
        </is>
      </c>
      <c r="J291" t="inlineStr">
        <is>
          <t>Flooring</t>
        </is>
      </c>
      <c r="K291" t="inlineStr">
        <is>
          <t>West</t>
        </is>
      </c>
      <c r="L291" t="inlineStr">
        <is>
          <t>Colorado</t>
        </is>
      </c>
      <c r="M291" t="inlineStr">
        <is>
          <t>Denver</t>
        </is>
      </c>
      <c r="N291" t="inlineStr">
        <is>
          <t>James Carter</t>
        </is>
      </c>
      <c r="O291" t="n">
        <v>1</v>
      </c>
      <c r="P291" s="3" t="n">
        <v>20.4</v>
      </c>
      <c r="Q291" s="4" t="n">
        <v>0.021</v>
      </c>
      <c r="R291" s="3" t="n">
        <v>19.97</v>
      </c>
      <c r="S291" s="3" t="n">
        <v>13.19</v>
      </c>
      <c r="T291" s="3" t="n">
        <v>-1.02</v>
      </c>
      <c r="U291" s="4" t="n">
        <v>-0.0511</v>
      </c>
      <c r="V291" s="3" t="n">
        <v>7.8</v>
      </c>
      <c r="W291" t="inlineStr">
        <is>
          <t>Credit Card</t>
        </is>
      </c>
      <c r="X291" t="inlineStr">
        <is>
          <t>High</t>
        </is>
      </c>
      <c r="Y291" t="n">
        <v>2024</v>
      </c>
      <c r="Z291" t="n">
        <v>8</v>
      </c>
      <c r="AA291" t="inlineStr">
        <is>
          <t>Aug</t>
        </is>
      </c>
      <c r="AB291" t="inlineStr">
        <is>
          <t>Sunday</t>
        </is>
      </c>
      <c r="AC291" t="n">
        <v>6</v>
      </c>
      <c r="AD291" t="inlineStr">
        <is>
          <t>Unprofitable</t>
        </is>
      </c>
      <c r="AE291" t="inlineStr">
        <is>
          <t>Medium</t>
        </is>
      </c>
      <c r="AF291" t="inlineStr">
        <is>
          <t>Small</t>
        </is>
      </c>
    </row>
    <row r="292">
      <c r="A292" t="inlineStr">
        <is>
          <t>ORD-00291</t>
        </is>
      </c>
      <c r="B292" s="2" t="n">
        <v>45141</v>
      </c>
      <c r="C292" s="2" t="n">
        <v>45148</v>
      </c>
      <c r="D292" t="inlineStr">
        <is>
          <t>CUST-00291</t>
        </is>
      </c>
      <c r="E292" t="inlineStr">
        <is>
          <t>Customer 291</t>
        </is>
      </c>
      <c r="F292" t="inlineStr">
        <is>
          <t>Home Office</t>
        </is>
      </c>
      <c r="G292" t="inlineStr">
        <is>
          <t>P1017</t>
        </is>
      </c>
      <c r="H292" t="inlineStr">
        <is>
          <t>Lumen Desk Lamp</t>
        </is>
      </c>
      <c r="I292" t="inlineStr">
        <is>
          <t>Technology</t>
        </is>
      </c>
      <c r="J292" t="inlineStr">
        <is>
          <t>Binders</t>
        </is>
      </c>
      <c r="K292" t="inlineStr">
        <is>
          <t>East</t>
        </is>
      </c>
      <c r="L292" t="inlineStr">
        <is>
          <t>Virginia</t>
        </is>
      </c>
      <c r="M292" t="inlineStr">
        <is>
          <t>Washington</t>
        </is>
      </c>
      <c r="N292" t="inlineStr">
        <is>
          <t>Ava Patel</t>
        </is>
      </c>
      <c r="O292" t="n">
        <v>3</v>
      </c>
      <c r="P292" s="3" t="n">
        <v>609.24</v>
      </c>
      <c r="Q292" s="4" t="n">
        <v>0.049</v>
      </c>
      <c r="R292" s="3" t="n">
        <v>1738.16</v>
      </c>
      <c r="S292" s="3" t="n">
        <v>1156.15</v>
      </c>
      <c r="T292" s="3" t="n">
        <v>572.61</v>
      </c>
      <c r="U292" s="4" t="n">
        <v>0.3294</v>
      </c>
      <c r="V292" s="3" t="n">
        <v>9.4</v>
      </c>
      <c r="W292" t="inlineStr">
        <is>
          <t>Bank Transfer</t>
        </is>
      </c>
      <c r="X292" t="inlineStr">
        <is>
          <t>High</t>
        </is>
      </c>
      <c r="Y292" t="n">
        <v>2023</v>
      </c>
      <c r="Z292" t="n">
        <v>8</v>
      </c>
      <c r="AA292" t="inlineStr">
        <is>
          <t>Aug</t>
        </is>
      </c>
      <c r="AB292" t="inlineStr">
        <is>
          <t>Thursday</t>
        </is>
      </c>
      <c r="AC292" t="n">
        <v>7</v>
      </c>
      <c r="AD292" t="inlineStr">
        <is>
          <t>Profitable</t>
        </is>
      </c>
      <c r="AE292" t="inlineStr">
        <is>
          <t>Medium</t>
        </is>
      </c>
      <c r="AF292" t="inlineStr">
        <is>
          <t>Large</t>
        </is>
      </c>
    </row>
    <row r="293">
      <c r="A293" t="inlineStr">
        <is>
          <t>ORD-00292</t>
        </is>
      </c>
      <c r="B293" s="2" t="n">
        <v>45029</v>
      </c>
      <c r="C293" s="2" t="n">
        <v>45031</v>
      </c>
      <c r="D293" t="inlineStr">
        <is>
          <t>CUST-00292</t>
        </is>
      </c>
      <c r="E293" t="inlineStr">
        <is>
          <t>Customer 292</t>
        </is>
      </c>
      <c r="F293" t="inlineStr">
        <is>
          <t>Home Office</t>
        </is>
      </c>
      <c r="G293" t="inlineStr">
        <is>
          <t>P1008</t>
        </is>
      </c>
      <c r="H293" t="inlineStr">
        <is>
          <t>Harbor Rug</t>
        </is>
      </c>
      <c r="I293" t="inlineStr">
        <is>
          <t>Furniture</t>
        </is>
      </c>
      <c r="J293" t="inlineStr">
        <is>
          <t>Decor</t>
        </is>
      </c>
      <c r="K293" t="inlineStr">
        <is>
          <t>East</t>
        </is>
      </c>
      <c r="L293" t="inlineStr">
        <is>
          <t>Virginia</t>
        </is>
      </c>
      <c r="M293" t="inlineStr">
        <is>
          <t>Washington</t>
        </is>
      </c>
      <c r="N293" t="inlineStr">
        <is>
          <t>Olivia Martin</t>
        </is>
      </c>
      <c r="O293" t="n">
        <v>5</v>
      </c>
      <c r="P293" s="3" t="n">
        <v>34.51</v>
      </c>
      <c r="Q293" s="4" t="n">
        <v>0.011</v>
      </c>
      <c r="R293" s="3" t="n">
        <v>170.65</v>
      </c>
      <c r="S293" s="3" t="n">
        <v>70.67</v>
      </c>
      <c r="T293" s="3" t="n">
        <v>88.98</v>
      </c>
      <c r="U293" s="4" t="n">
        <v>0.5214</v>
      </c>
      <c r="V293" s="3" t="n">
        <v>11</v>
      </c>
      <c r="W293" t="inlineStr">
        <is>
          <t>Bank Transfer</t>
        </is>
      </c>
      <c r="X293" t="inlineStr">
        <is>
          <t>Medium</t>
        </is>
      </c>
      <c r="Y293" t="n">
        <v>2023</v>
      </c>
      <c r="Z293" t="n">
        <v>4</v>
      </c>
      <c r="AA293" t="inlineStr">
        <is>
          <t>Apr</t>
        </is>
      </c>
      <c r="AB293" t="inlineStr">
        <is>
          <t>Thursday</t>
        </is>
      </c>
      <c r="AC293" t="n">
        <v>2</v>
      </c>
      <c r="AD293" t="inlineStr">
        <is>
          <t>Profitable</t>
        </is>
      </c>
      <c r="AE293" t="inlineStr">
        <is>
          <t>Low</t>
        </is>
      </c>
      <c r="AF293" t="inlineStr">
        <is>
          <t>Small</t>
        </is>
      </c>
    </row>
    <row r="294">
      <c r="A294" t="inlineStr">
        <is>
          <t>ORD-00293</t>
        </is>
      </c>
      <c r="B294" s="2" t="n">
        <v>45827</v>
      </c>
      <c r="C294" s="2" t="n">
        <v>45831</v>
      </c>
      <c r="D294" t="inlineStr">
        <is>
          <t>CUST-00293</t>
        </is>
      </c>
      <c r="E294" t="inlineStr">
        <is>
          <t>Customer 293</t>
        </is>
      </c>
      <c r="F294" t="inlineStr">
        <is>
          <t>Consumer</t>
        </is>
      </c>
      <c r="G294" t="inlineStr">
        <is>
          <t>P1009</t>
        </is>
      </c>
      <c r="H294" t="inlineStr">
        <is>
          <t>Orbit Wireless Mouse</t>
        </is>
      </c>
      <c r="I294" t="inlineStr">
        <is>
          <t>Outdoor</t>
        </is>
      </c>
      <c r="J294" t="inlineStr">
        <is>
          <t>Peripherals</t>
        </is>
      </c>
      <c r="K294" t="inlineStr">
        <is>
          <t>East</t>
        </is>
      </c>
      <c r="L294" t="inlineStr">
        <is>
          <t>New York</t>
        </is>
      </c>
      <c r="M294" t="inlineStr">
        <is>
          <t>Washington</t>
        </is>
      </c>
      <c r="N294" t="inlineStr">
        <is>
          <t>Sophia Singh</t>
        </is>
      </c>
      <c r="O294" t="n">
        <v>2</v>
      </c>
      <c r="P294" s="3" t="n">
        <v>98.83</v>
      </c>
      <c r="Q294" s="4" t="n">
        <v>0.024</v>
      </c>
      <c r="R294" s="3" t="n">
        <v>192.92</v>
      </c>
      <c r="S294" s="3" t="n">
        <v>95.23</v>
      </c>
      <c r="T294" s="3" t="n">
        <v>89.09</v>
      </c>
      <c r="U294" s="4" t="n">
        <v>0.4618</v>
      </c>
      <c r="V294" s="3" t="n">
        <v>8.6</v>
      </c>
      <c r="W294" t="inlineStr">
        <is>
          <t>Debit Card</t>
        </is>
      </c>
      <c r="X294" t="inlineStr">
        <is>
          <t>Medium</t>
        </is>
      </c>
      <c r="Y294" t="n">
        <v>2025</v>
      </c>
      <c r="Z294" t="n">
        <v>6</v>
      </c>
      <c r="AA294" t="inlineStr">
        <is>
          <t>Jun</t>
        </is>
      </c>
      <c r="AB294" t="inlineStr">
        <is>
          <t>Thursday</t>
        </is>
      </c>
      <c r="AC294" t="n">
        <v>4</v>
      </c>
      <c r="AD294" t="inlineStr">
        <is>
          <t>Profitable</t>
        </is>
      </c>
      <c r="AE294" t="inlineStr">
        <is>
          <t>Medium</t>
        </is>
      </c>
      <c r="AF294" t="inlineStr">
        <is>
          <t>Small</t>
        </is>
      </c>
    </row>
    <row r="295">
      <c r="A295" t="inlineStr">
        <is>
          <t>ORD-00294</t>
        </is>
      </c>
      <c r="B295" s="2" t="n">
        <v>45548</v>
      </c>
      <c r="C295" s="2" t="n">
        <v>45550</v>
      </c>
      <c r="D295" t="inlineStr">
        <is>
          <t>CUST-00294</t>
        </is>
      </c>
      <c r="E295" t="inlineStr">
        <is>
          <t>Customer 294</t>
        </is>
      </c>
      <c r="F295" t="inlineStr">
        <is>
          <t>Consumer</t>
        </is>
      </c>
      <c r="G295" t="inlineStr">
        <is>
          <t>P1019</t>
        </is>
      </c>
      <c r="H295" t="inlineStr">
        <is>
          <t>Summit Patio Set</t>
        </is>
      </c>
      <c r="I295" t="inlineStr">
        <is>
          <t>Technology</t>
        </is>
      </c>
      <c r="J295" t="inlineStr">
        <is>
          <t>Flooring</t>
        </is>
      </c>
      <c r="K295" t="inlineStr">
        <is>
          <t>South</t>
        </is>
      </c>
      <c r="L295" t="inlineStr">
        <is>
          <t>North Carolina</t>
        </is>
      </c>
      <c r="M295" t="inlineStr">
        <is>
          <t>Houston</t>
        </is>
      </c>
      <c r="N295" t="inlineStr">
        <is>
          <t>James Carter</t>
        </is>
      </c>
      <c r="O295" t="n">
        <v>1</v>
      </c>
      <c r="P295" s="3" t="n">
        <v>52.39</v>
      </c>
      <c r="Q295" s="4" t="n">
        <v>0.014</v>
      </c>
      <c r="R295" s="3" t="n">
        <v>51.66</v>
      </c>
      <c r="S295" s="3" t="n">
        <v>28.77</v>
      </c>
      <c r="T295" s="3" t="n">
        <v>16.09</v>
      </c>
      <c r="U295" s="4" t="n">
        <v>0.3115</v>
      </c>
      <c r="V295" s="3" t="n">
        <v>6.8</v>
      </c>
      <c r="W295" t="inlineStr">
        <is>
          <t>Credit Card</t>
        </is>
      </c>
      <c r="X295" t="inlineStr">
        <is>
          <t>Low</t>
        </is>
      </c>
      <c r="Y295" t="n">
        <v>2024</v>
      </c>
      <c r="Z295" t="n">
        <v>9</v>
      </c>
      <c r="AA295" t="inlineStr">
        <is>
          <t>Sep</t>
        </is>
      </c>
      <c r="AB295" t="inlineStr">
        <is>
          <t>Friday</t>
        </is>
      </c>
      <c r="AC295" t="n">
        <v>2</v>
      </c>
      <c r="AD295" t="inlineStr">
        <is>
          <t>Profitable</t>
        </is>
      </c>
      <c r="AE295" t="inlineStr">
        <is>
          <t>Low</t>
        </is>
      </c>
      <c r="AF295" t="inlineStr">
        <is>
          <t>Small</t>
        </is>
      </c>
    </row>
    <row r="296">
      <c r="A296" t="inlineStr">
        <is>
          <t>ORD-00295</t>
        </is>
      </c>
      <c r="B296" s="2" t="n">
        <v>45218</v>
      </c>
      <c r="C296" s="2" t="n">
        <v>45221</v>
      </c>
      <c r="D296" t="inlineStr">
        <is>
          <t>CUST-00295</t>
        </is>
      </c>
      <c r="E296" t="inlineStr">
        <is>
          <t>Customer 295</t>
        </is>
      </c>
      <c r="F296" t="inlineStr">
        <is>
          <t>Consumer</t>
        </is>
      </c>
      <c r="G296" t="inlineStr">
        <is>
          <t>P1002</t>
        </is>
      </c>
      <c r="H296" t="inlineStr">
        <is>
          <t>Orbit Wireless Mouse</t>
        </is>
      </c>
      <c r="I296" t="inlineStr">
        <is>
          <t>Outdoor</t>
        </is>
      </c>
      <c r="J296" t="inlineStr">
        <is>
          <t>Furniture</t>
        </is>
      </c>
      <c r="K296" t="inlineStr">
        <is>
          <t>South</t>
        </is>
      </c>
      <c r="L296" t="inlineStr">
        <is>
          <t>North Carolina</t>
        </is>
      </c>
      <c r="M296" t="inlineStr">
        <is>
          <t>Houston</t>
        </is>
      </c>
      <c r="N296" t="inlineStr">
        <is>
          <t>Noah Kim</t>
        </is>
      </c>
      <c r="O296" t="n">
        <v>3</v>
      </c>
      <c r="P296" s="3" t="n">
        <v>87.29000000000001</v>
      </c>
      <c r="Q296" s="4" t="n">
        <v>0.004</v>
      </c>
      <c r="R296" s="3" t="n">
        <v>260.82</v>
      </c>
      <c r="S296" s="3" t="n">
        <v>124.54</v>
      </c>
      <c r="T296" s="3" t="n">
        <v>127.88</v>
      </c>
      <c r="U296" s="4" t="n">
        <v>0.4903</v>
      </c>
      <c r="V296" s="3" t="n">
        <v>8.4</v>
      </c>
      <c r="W296" t="inlineStr">
        <is>
          <t>Cash on Delivery</t>
        </is>
      </c>
      <c r="X296" t="inlineStr">
        <is>
          <t>Low</t>
        </is>
      </c>
      <c r="Y296" t="n">
        <v>2023</v>
      </c>
      <c r="Z296" t="n">
        <v>10</v>
      </c>
      <c r="AA296" t="inlineStr">
        <is>
          <t>Oct</t>
        </is>
      </c>
      <c r="AB296" t="inlineStr">
        <is>
          <t>Thursday</t>
        </is>
      </c>
      <c r="AC296" t="n">
        <v>3</v>
      </c>
      <c r="AD296" t="inlineStr">
        <is>
          <t>Profitable</t>
        </is>
      </c>
      <c r="AE296" t="inlineStr">
        <is>
          <t>Low</t>
        </is>
      </c>
      <c r="AF296" t="inlineStr">
        <is>
          <t>Small</t>
        </is>
      </c>
    </row>
    <row r="297">
      <c r="A297" t="inlineStr">
        <is>
          <t>ORD-00296</t>
        </is>
      </c>
      <c r="B297" s="2" t="n">
        <v>45295</v>
      </c>
      <c r="C297" s="2" t="n">
        <v>45296</v>
      </c>
      <c r="D297" t="inlineStr">
        <is>
          <t>CUST-00296</t>
        </is>
      </c>
      <c r="E297" t="inlineStr">
        <is>
          <t>Customer 296</t>
        </is>
      </c>
      <c r="F297" t="inlineStr">
        <is>
          <t>Home Office</t>
        </is>
      </c>
      <c r="G297" t="inlineStr">
        <is>
          <t>P1007</t>
        </is>
      </c>
      <c r="H297" t="inlineStr">
        <is>
          <t>ProClip Binder</t>
        </is>
      </c>
      <c r="I297" t="inlineStr">
        <is>
          <t>Office Supplies</t>
        </is>
      </c>
      <c r="J297" t="inlineStr">
        <is>
          <t>Decor</t>
        </is>
      </c>
      <c r="K297" t="inlineStr">
        <is>
          <t>East</t>
        </is>
      </c>
      <c r="L297" t="inlineStr">
        <is>
          <t>New Jersey</t>
        </is>
      </c>
      <c r="M297" t="inlineStr">
        <is>
          <t>New York</t>
        </is>
      </c>
      <c r="N297" t="inlineStr">
        <is>
          <t>Sophia Singh</t>
        </is>
      </c>
      <c r="O297" t="n">
        <v>2</v>
      </c>
      <c r="P297" s="3" t="n">
        <v>25.68</v>
      </c>
      <c r="Q297" s="4" t="n">
        <v>0.019</v>
      </c>
      <c r="R297" s="3" t="n">
        <v>50.38</v>
      </c>
      <c r="S297" s="3" t="n">
        <v>20.84</v>
      </c>
      <c r="T297" s="3" t="n">
        <v>20.94</v>
      </c>
      <c r="U297" s="4" t="n">
        <v>0.4156</v>
      </c>
      <c r="V297" s="3" t="n">
        <v>8.6</v>
      </c>
      <c r="W297" t="inlineStr">
        <is>
          <t>PayPal</t>
        </is>
      </c>
      <c r="X297" t="inlineStr">
        <is>
          <t>Medium</t>
        </is>
      </c>
      <c r="Y297" t="n">
        <v>2024</v>
      </c>
      <c r="Z297" t="n">
        <v>1</v>
      </c>
      <c r="AA297" t="inlineStr">
        <is>
          <t>Jan</t>
        </is>
      </c>
      <c r="AB297" t="inlineStr">
        <is>
          <t>Thursday</t>
        </is>
      </c>
      <c r="AC297" t="n">
        <v>1</v>
      </c>
      <c r="AD297" t="inlineStr">
        <is>
          <t>Profitable</t>
        </is>
      </c>
      <c r="AE297" t="inlineStr">
        <is>
          <t>Low</t>
        </is>
      </c>
      <c r="AF297" t="inlineStr">
        <is>
          <t>Small</t>
        </is>
      </c>
    </row>
    <row r="298">
      <c r="A298" t="inlineStr">
        <is>
          <t>ORD-00297</t>
        </is>
      </c>
      <c r="B298" s="2" t="n">
        <v>46010</v>
      </c>
      <c r="C298" s="2" t="n">
        <v>46015</v>
      </c>
      <c r="D298" t="inlineStr">
        <is>
          <t>CUST-00297</t>
        </is>
      </c>
      <c r="E298" t="inlineStr">
        <is>
          <t>Customer 297</t>
        </is>
      </c>
      <c r="F298" t="inlineStr">
        <is>
          <t>Home Office</t>
        </is>
      </c>
      <c r="G298" t="inlineStr">
        <is>
          <t>P1011</t>
        </is>
      </c>
      <c r="H298" t="inlineStr">
        <is>
          <t>Trail Tote</t>
        </is>
      </c>
      <c r="I298" t="inlineStr">
        <is>
          <t>Technology</t>
        </is>
      </c>
      <c r="J298" t="inlineStr">
        <is>
          <t>Decor</t>
        </is>
      </c>
      <c r="K298" t="inlineStr">
        <is>
          <t>West</t>
        </is>
      </c>
      <c r="L298" t="inlineStr">
        <is>
          <t>California</t>
        </is>
      </c>
      <c r="M298" t="inlineStr">
        <is>
          <t>San Francisco</t>
        </is>
      </c>
      <c r="N298" t="inlineStr">
        <is>
          <t>Ava Patel</t>
        </is>
      </c>
      <c r="O298" t="n">
        <v>4</v>
      </c>
      <c r="P298" s="3" t="n">
        <v>100.89</v>
      </c>
      <c r="Q298" s="4" t="n">
        <v>0.05599999999999999</v>
      </c>
      <c r="R298" s="3" t="n">
        <v>380.96</v>
      </c>
      <c r="S298" s="3" t="n">
        <v>187.09</v>
      </c>
      <c r="T298" s="3" t="n">
        <v>183.67</v>
      </c>
      <c r="U298" s="4" t="n">
        <v>0.4821</v>
      </c>
      <c r="V298" s="3" t="n">
        <v>10.2</v>
      </c>
      <c r="W298" t="inlineStr">
        <is>
          <t>Bank Transfer</t>
        </is>
      </c>
      <c r="X298" t="inlineStr">
        <is>
          <t>High</t>
        </is>
      </c>
      <c r="Y298" t="n">
        <v>2025</v>
      </c>
      <c r="Z298" t="n">
        <v>12</v>
      </c>
      <c r="AA298" t="inlineStr">
        <is>
          <t>Dec</t>
        </is>
      </c>
      <c r="AB298" t="inlineStr">
        <is>
          <t>Friday</t>
        </is>
      </c>
      <c r="AC298" t="n">
        <v>5</v>
      </c>
      <c r="AD298" t="inlineStr">
        <is>
          <t>Profitable</t>
        </is>
      </c>
      <c r="AE298" t="inlineStr">
        <is>
          <t>High</t>
        </is>
      </c>
      <c r="AF298" t="inlineStr">
        <is>
          <t>Small</t>
        </is>
      </c>
    </row>
    <row r="299">
      <c r="A299" t="inlineStr">
        <is>
          <t>ORD-00298</t>
        </is>
      </c>
      <c r="B299" s="2" t="n">
        <v>45003</v>
      </c>
      <c r="C299" s="2" t="n">
        <v>45004</v>
      </c>
      <c r="D299" t="inlineStr">
        <is>
          <t>CUST-00298</t>
        </is>
      </c>
      <c r="E299" t="inlineStr">
        <is>
          <t>Customer 298</t>
        </is>
      </c>
      <c r="F299" t="inlineStr">
        <is>
          <t>Consumer</t>
        </is>
      </c>
      <c r="G299" t="inlineStr">
        <is>
          <t>P1013</t>
        </is>
      </c>
      <c r="H299" t="inlineStr">
        <is>
          <t>ErgoMesh Chair</t>
        </is>
      </c>
      <c r="I299" t="inlineStr">
        <is>
          <t>Outdoor</t>
        </is>
      </c>
      <c r="J299" t="inlineStr">
        <is>
          <t>Desks</t>
        </is>
      </c>
      <c r="K299" t="inlineStr">
        <is>
          <t>West</t>
        </is>
      </c>
      <c r="L299" t="inlineStr">
        <is>
          <t>California</t>
        </is>
      </c>
      <c r="M299" t="inlineStr">
        <is>
          <t>San Francisco</t>
        </is>
      </c>
      <c r="N299" t="inlineStr">
        <is>
          <t>Sophia Singh</t>
        </is>
      </c>
      <c r="O299" t="n">
        <v>4</v>
      </c>
      <c r="P299" s="3" t="n">
        <v>163.98</v>
      </c>
      <c r="Q299" s="4" t="n">
        <v>0.027</v>
      </c>
      <c r="R299" s="3" t="n">
        <v>638.21</v>
      </c>
      <c r="S299" s="3" t="n">
        <v>369.33</v>
      </c>
      <c r="T299" s="3" t="n">
        <v>258.68</v>
      </c>
      <c r="U299" s="4" t="n">
        <v>0.4053</v>
      </c>
      <c r="V299" s="3" t="n">
        <v>10.2</v>
      </c>
      <c r="W299" t="inlineStr">
        <is>
          <t>Cash on Delivery</t>
        </is>
      </c>
      <c r="X299" t="inlineStr">
        <is>
          <t>High</t>
        </is>
      </c>
      <c r="Y299" t="n">
        <v>2023</v>
      </c>
      <c r="Z299" t="n">
        <v>3</v>
      </c>
      <c r="AA299" t="inlineStr">
        <is>
          <t>Mar</t>
        </is>
      </c>
      <c r="AB299" t="inlineStr">
        <is>
          <t>Saturday</t>
        </is>
      </c>
      <c r="AC299" t="n">
        <v>1</v>
      </c>
      <c r="AD299" t="inlineStr">
        <is>
          <t>Profitable</t>
        </is>
      </c>
      <c r="AE299" t="inlineStr">
        <is>
          <t>Medium</t>
        </is>
      </c>
      <c r="AF299" t="inlineStr">
        <is>
          <t>Medium</t>
        </is>
      </c>
    </row>
    <row r="300">
      <c r="A300" t="inlineStr">
        <is>
          <t>ORD-00299</t>
        </is>
      </c>
      <c r="B300" s="2" t="n">
        <v>45407</v>
      </c>
      <c r="C300" s="2" t="n">
        <v>45414</v>
      </c>
      <c r="D300" t="inlineStr">
        <is>
          <t>CUST-00299</t>
        </is>
      </c>
      <c r="E300" t="inlineStr">
        <is>
          <t>Customer 299</t>
        </is>
      </c>
      <c r="F300" t="inlineStr">
        <is>
          <t>Corporate</t>
        </is>
      </c>
      <c r="G300" t="inlineStr">
        <is>
          <t>P1010</t>
        </is>
      </c>
      <c r="H300" t="inlineStr">
        <is>
          <t>Summit Patio Set</t>
        </is>
      </c>
      <c r="I300" t="inlineStr">
        <is>
          <t>Home Decor</t>
        </is>
      </c>
      <c r="J300" t="inlineStr">
        <is>
          <t>Desks</t>
        </is>
      </c>
      <c r="K300" t="inlineStr">
        <is>
          <t>West</t>
        </is>
      </c>
      <c r="L300" t="inlineStr">
        <is>
          <t>Washington</t>
        </is>
      </c>
      <c r="M300" t="inlineStr">
        <is>
          <t>San Francisco</t>
        </is>
      </c>
      <c r="N300" t="inlineStr">
        <is>
          <t>Noah Kim</t>
        </is>
      </c>
      <c r="O300" t="n">
        <v>1</v>
      </c>
      <c r="P300" s="3" t="n">
        <v>55.63</v>
      </c>
      <c r="Q300" s="4" t="n">
        <v>0.057</v>
      </c>
      <c r="R300" s="3" t="n">
        <v>52.46</v>
      </c>
      <c r="S300" s="3" t="n">
        <v>29.14</v>
      </c>
      <c r="T300" s="3" t="n">
        <v>15.52</v>
      </c>
      <c r="U300" s="4" t="n">
        <v>0.2958</v>
      </c>
      <c r="V300" s="3" t="n">
        <v>7.8</v>
      </c>
      <c r="W300" t="inlineStr">
        <is>
          <t>Credit Card</t>
        </is>
      </c>
      <c r="X300" t="inlineStr">
        <is>
          <t>Critical</t>
        </is>
      </c>
      <c r="Y300" t="n">
        <v>2024</v>
      </c>
      <c r="Z300" t="n">
        <v>4</v>
      </c>
      <c r="AA300" t="inlineStr">
        <is>
          <t>Apr</t>
        </is>
      </c>
      <c r="AB300" t="inlineStr">
        <is>
          <t>Thursday</t>
        </is>
      </c>
      <c r="AC300" t="n">
        <v>7</v>
      </c>
      <c r="AD300" t="inlineStr">
        <is>
          <t>Profitable</t>
        </is>
      </c>
      <c r="AE300" t="inlineStr">
        <is>
          <t>High</t>
        </is>
      </c>
      <c r="AF300" t="inlineStr">
        <is>
          <t>Small</t>
        </is>
      </c>
    </row>
    <row r="301">
      <c r="A301" t="inlineStr">
        <is>
          <t>ORD-00300</t>
        </is>
      </c>
      <c r="B301" s="2" t="n">
        <v>45022</v>
      </c>
      <c r="C301" s="2" t="n">
        <v>45029</v>
      </c>
      <c r="D301" t="inlineStr">
        <is>
          <t>CUST-00300</t>
        </is>
      </c>
      <c r="E301" t="inlineStr">
        <is>
          <t>Customer 300</t>
        </is>
      </c>
      <c r="F301" t="inlineStr">
        <is>
          <t>Consumer</t>
        </is>
      </c>
      <c r="G301" t="inlineStr">
        <is>
          <t>P1015</t>
        </is>
      </c>
      <c r="H301" t="inlineStr">
        <is>
          <t>ErgoMesh Chair</t>
        </is>
      </c>
      <c r="I301" t="inlineStr">
        <is>
          <t>Home Decor</t>
        </is>
      </c>
      <c r="J301" t="inlineStr">
        <is>
          <t>Decor</t>
        </is>
      </c>
      <c r="K301" t="inlineStr">
        <is>
          <t>West</t>
        </is>
      </c>
      <c r="L301" t="inlineStr">
        <is>
          <t>Colorado</t>
        </is>
      </c>
      <c r="M301" t="inlineStr">
        <is>
          <t>San Francisco</t>
        </is>
      </c>
      <c r="N301" t="inlineStr">
        <is>
          <t>James Carter</t>
        </is>
      </c>
      <c r="O301" t="n">
        <v>3</v>
      </c>
      <c r="P301" s="3" t="n">
        <v>68.05</v>
      </c>
      <c r="Q301" s="4" t="n">
        <v>0.031</v>
      </c>
      <c r="R301" s="3" t="n">
        <v>197.82</v>
      </c>
      <c r="S301" s="3" t="n">
        <v>93.26000000000001</v>
      </c>
      <c r="T301" s="3" t="n">
        <v>95.16</v>
      </c>
      <c r="U301" s="4" t="n">
        <v>0.481</v>
      </c>
      <c r="V301" s="3" t="n">
        <v>9.4</v>
      </c>
      <c r="W301" t="inlineStr">
        <is>
          <t>Bank Transfer</t>
        </is>
      </c>
      <c r="X301" t="inlineStr">
        <is>
          <t>Medium</t>
        </is>
      </c>
      <c r="Y301" t="n">
        <v>2023</v>
      </c>
      <c r="Z301" t="n">
        <v>4</v>
      </c>
      <c r="AA301" t="inlineStr">
        <is>
          <t>Apr</t>
        </is>
      </c>
      <c r="AB301" t="inlineStr">
        <is>
          <t>Thursday</t>
        </is>
      </c>
      <c r="AC301" t="n">
        <v>7</v>
      </c>
      <c r="AD301" t="inlineStr">
        <is>
          <t>Profitable</t>
        </is>
      </c>
      <c r="AE301" t="inlineStr">
        <is>
          <t>Medium</t>
        </is>
      </c>
      <c r="AF301" t="inlineStr">
        <is>
          <t>Small</t>
        </is>
      </c>
    </row>
    <row r="302">
      <c r="A302" t="inlineStr">
        <is>
          <t>ORD-00301</t>
        </is>
      </c>
      <c r="B302" s="2" t="n">
        <v>44945</v>
      </c>
      <c r="C302" s="2" t="n">
        <v>44952</v>
      </c>
      <c r="D302" t="inlineStr">
        <is>
          <t>CUST-00301</t>
        </is>
      </c>
      <c r="E302" t="inlineStr">
        <is>
          <t>Customer 301</t>
        </is>
      </c>
      <c r="F302" t="inlineStr">
        <is>
          <t>Consumer</t>
        </is>
      </c>
      <c r="G302" t="inlineStr">
        <is>
          <t>P1007</t>
        </is>
      </c>
      <c r="H302" t="inlineStr">
        <is>
          <t>FlexNote Notebook</t>
        </is>
      </c>
      <c r="I302" t="inlineStr">
        <is>
          <t>Home Decor</t>
        </is>
      </c>
      <c r="J302" t="inlineStr">
        <is>
          <t>Decor</t>
        </is>
      </c>
      <c r="K302" t="inlineStr">
        <is>
          <t>Central</t>
        </is>
      </c>
      <c r="L302" t="inlineStr">
        <is>
          <t>Illinois</t>
        </is>
      </c>
      <c r="M302" t="inlineStr">
        <is>
          <t>Minneapolis</t>
        </is>
      </c>
      <c r="N302" t="inlineStr">
        <is>
          <t>Noah Kim</t>
        </is>
      </c>
      <c r="O302" t="n">
        <v>1</v>
      </c>
      <c r="P302" s="3" t="n">
        <v>24.06</v>
      </c>
      <c r="Q302" s="4" t="n">
        <v>0.02</v>
      </c>
      <c r="R302" s="3" t="n">
        <v>23.58</v>
      </c>
      <c r="S302" s="3" t="n">
        <v>17.34</v>
      </c>
      <c r="T302" s="3" t="n">
        <v>-0.5600000000000001</v>
      </c>
      <c r="U302" s="4" t="n">
        <v>-0.0237</v>
      </c>
      <c r="V302" s="3" t="n">
        <v>6.8</v>
      </c>
      <c r="W302" t="inlineStr">
        <is>
          <t>Credit Card</t>
        </is>
      </c>
      <c r="X302" t="inlineStr">
        <is>
          <t>Medium</t>
        </is>
      </c>
      <c r="Y302" t="n">
        <v>2023</v>
      </c>
      <c r="Z302" t="n">
        <v>1</v>
      </c>
      <c r="AA302" t="inlineStr">
        <is>
          <t>Jan</t>
        </is>
      </c>
      <c r="AB302" t="inlineStr">
        <is>
          <t>Thursday</t>
        </is>
      </c>
      <c r="AC302" t="n">
        <v>7</v>
      </c>
      <c r="AD302" t="inlineStr">
        <is>
          <t>Unprofitable</t>
        </is>
      </c>
      <c r="AE302" t="inlineStr">
        <is>
          <t>Medium</t>
        </is>
      </c>
      <c r="AF302" t="inlineStr">
        <is>
          <t>Small</t>
        </is>
      </c>
    </row>
    <row r="303">
      <c r="A303" t="inlineStr">
        <is>
          <t>ORD-00302</t>
        </is>
      </c>
      <c r="B303" s="2" t="n">
        <v>45376</v>
      </c>
      <c r="C303" s="2" t="n">
        <v>45383</v>
      </c>
      <c r="D303" t="inlineStr">
        <is>
          <t>CUST-00302</t>
        </is>
      </c>
      <c r="E303" t="inlineStr">
        <is>
          <t>Customer 302</t>
        </is>
      </c>
      <c r="F303" t="inlineStr">
        <is>
          <t>Home Office</t>
        </is>
      </c>
      <c r="G303" t="inlineStr">
        <is>
          <t>P1006</t>
        </is>
      </c>
      <c r="H303" t="inlineStr">
        <is>
          <t>Halo Planter</t>
        </is>
      </c>
      <c r="I303" t="inlineStr">
        <is>
          <t>Office Supplies</t>
        </is>
      </c>
      <c r="J303" t="inlineStr">
        <is>
          <t>Writing</t>
        </is>
      </c>
      <c r="K303" t="inlineStr">
        <is>
          <t>Central</t>
        </is>
      </c>
      <c r="L303" t="inlineStr">
        <is>
          <t>Kansas</t>
        </is>
      </c>
      <c r="M303" t="inlineStr">
        <is>
          <t>St. Louis</t>
        </is>
      </c>
      <c r="N303" t="inlineStr">
        <is>
          <t>Liam Chen</t>
        </is>
      </c>
      <c r="O303" t="n">
        <v>4</v>
      </c>
      <c r="P303" s="3" t="n">
        <v>18.37</v>
      </c>
      <c r="Q303" s="4" t="n">
        <v>0.011</v>
      </c>
      <c r="R303" s="3" t="n">
        <v>72.67</v>
      </c>
      <c r="S303" s="3" t="n">
        <v>28.27</v>
      </c>
      <c r="T303" s="3" t="n">
        <v>35.2</v>
      </c>
      <c r="U303" s="4" t="n">
        <v>0.4844</v>
      </c>
      <c r="V303" s="3" t="n">
        <v>9.199999999999999</v>
      </c>
      <c r="W303" t="inlineStr">
        <is>
          <t>Debit Card</t>
        </is>
      </c>
      <c r="X303" t="inlineStr">
        <is>
          <t>Low</t>
        </is>
      </c>
      <c r="Y303" t="n">
        <v>2024</v>
      </c>
      <c r="Z303" t="n">
        <v>3</v>
      </c>
      <c r="AA303" t="inlineStr">
        <is>
          <t>Mar</t>
        </is>
      </c>
      <c r="AB303" t="inlineStr">
        <is>
          <t>Monday</t>
        </is>
      </c>
      <c r="AC303" t="n">
        <v>7</v>
      </c>
      <c r="AD303" t="inlineStr">
        <is>
          <t>Profitable</t>
        </is>
      </c>
      <c r="AE303" t="inlineStr">
        <is>
          <t>Low</t>
        </is>
      </c>
      <c r="AF303" t="inlineStr">
        <is>
          <t>Small</t>
        </is>
      </c>
    </row>
    <row r="304">
      <c r="A304" t="inlineStr">
        <is>
          <t>ORD-00303</t>
        </is>
      </c>
      <c r="B304" s="2" t="n">
        <v>45630</v>
      </c>
      <c r="C304" s="2" t="n">
        <v>45633</v>
      </c>
      <c r="D304" t="inlineStr">
        <is>
          <t>CUST-00303</t>
        </is>
      </c>
      <c r="E304" t="inlineStr">
        <is>
          <t>Customer 303</t>
        </is>
      </c>
      <c r="F304" t="inlineStr">
        <is>
          <t>Consumer</t>
        </is>
      </c>
      <c r="G304" t="inlineStr">
        <is>
          <t>P1012</t>
        </is>
      </c>
      <c r="H304" t="inlineStr">
        <is>
          <t>ErgoMesh Chair</t>
        </is>
      </c>
      <c r="I304" t="inlineStr">
        <is>
          <t>Office Supplies</t>
        </is>
      </c>
      <c r="J304" t="inlineStr">
        <is>
          <t>Textiles</t>
        </is>
      </c>
      <c r="K304" t="inlineStr">
        <is>
          <t>East</t>
        </is>
      </c>
      <c r="L304" t="inlineStr">
        <is>
          <t>New York</t>
        </is>
      </c>
      <c r="M304" t="inlineStr">
        <is>
          <t>New York</t>
        </is>
      </c>
      <c r="N304" t="inlineStr">
        <is>
          <t>Sophia Singh</t>
        </is>
      </c>
      <c r="O304" t="n">
        <v>2</v>
      </c>
      <c r="P304" s="3" t="n">
        <v>141.79</v>
      </c>
      <c r="Q304" s="4" t="n">
        <v>0.052</v>
      </c>
      <c r="R304" s="3" t="n">
        <v>268.83</v>
      </c>
      <c r="S304" s="3" t="n">
        <v>140.51</v>
      </c>
      <c r="T304" s="3" t="n">
        <v>119.72</v>
      </c>
      <c r="U304" s="4" t="n">
        <v>0.4453</v>
      </c>
      <c r="V304" s="3" t="n">
        <v>8.6</v>
      </c>
      <c r="W304" t="inlineStr">
        <is>
          <t>Bank Transfer</t>
        </is>
      </c>
      <c r="X304" t="inlineStr">
        <is>
          <t>High</t>
        </is>
      </c>
      <c r="Y304" t="n">
        <v>2024</v>
      </c>
      <c r="Z304" t="n">
        <v>12</v>
      </c>
      <c r="AA304" t="inlineStr">
        <is>
          <t>Dec</t>
        </is>
      </c>
      <c r="AB304" t="inlineStr">
        <is>
          <t>Wednesday</t>
        </is>
      </c>
      <c r="AC304" t="n">
        <v>3</v>
      </c>
      <c r="AD304" t="inlineStr">
        <is>
          <t>Profitable</t>
        </is>
      </c>
      <c r="AE304" t="inlineStr">
        <is>
          <t>High</t>
        </is>
      </c>
      <c r="AF304" t="inlineStr">
        <is>
          <t>Small</t>
        </is>
      </c>
    </row>
    <row r="305">
      <c r="A305" t="inlineStr">
        <is>
          <t>ORD-00304</t>
        </is>
      </c>
      <c r="B305" s="2" t="n">
        <v>45416</v>
      </c>
      <c r="C305" s="2" t="n">
        <v>45420</v>
      </c>
      <c r="D305" t="inlineStr">
        <is>
          <t>CUST-00304</t>
        </is>
      </c>
      <c r="E305" t="inlineStr">
        <is>
          <t>Customer 304</t>
        </is>
      </c>
      <c r="F305" t="inlineStr">
        <is>
          <t>Home Office</t>
        </is>
      </c>
      <c r="G305" t="inlineStr">
        <is>
          <t>P1003</t>
        </is>
      </c>
      <c r="H305" t="inlineStr">
        <is>
          <t>Summit Patio Set</t>
        </is>
      </c>
      <c r="I305" t="inlineStr">
        <is>
          <t>Home Decor</t>
        </is>
      </c>
      <c r="J305" t="inlineStr">
        <is>
          <t>Decor</t>
        </is>
      </c>
      <c r="K305" t="inlineStr">
        <is>
          <t>East</t>
        </is>
      </c>
      <c r="L305" t="inlineStr">
        <is>
          <t>New York</t>
        </is>
      </c>
      <c r="M305" t="inlineStr">
        <is>
          <t>Washington</t>
        </is>
      </c>
      <c r="N305" t="inlineStr">
        <is>
          <t>Liam Chen</t>
        </is>
      </c>
      <c r="O305" t="n">
        <v>4</v>
      </c>
      <c r="P305" s="3" t="n">
        <v>146.1</v>
      </c>
      <c r="Q305" s="4" t="n">
        <v>0.018</v>
      </c>
      <c r="R305" s="3" t="n">
        <v>573.88</v>
      </c>
      <c r="S305" s="3" t="n">
        <v>299.38</v>
      </c>
      <c r="T305" s="3" t="n">
        <v>264.3</v>
      </c>
      <c r="U305" s="4" t="n">
        <v>0.4605</v>
      </c>
      <c r="V305" s="3" t="n">
        <v>10.2</v>
      </c>
      <c r="W305" t="inlineStr">
        <is>
          <t>Debit Card</t>
        </is>
      </c>
      <c r="X305" t="inlineStr">
        <is>
          <t>Low</t>
        </is>
      </c>
      <c r="Y305" t="n">
        <v>2024</v>
      </c>
      <c r="Z305" t="n">
        <v>5</v>
      </c>
      <c r="AA305" t="inlineStr">
        <is>
          <t>May</t>
        </is>
      </c>
      <c r="AB305" t="inlineStr">
        <is>
          <t>Saturday</t>
        </is>
      </c>
      <c r="AC305" t="n">
        <v>4</v>
      </c>
      <c r="AD305" t="inlineStr">
        <is>
          <t>Profitable</t>
        </is>
      </c>
      <c r="AE305" t="inlineStr">
        <is>
          <t>Low</t>
        </is>
      </c>
      <c r="AF305" t="inlineStr">
        <is>
          <t>Medium</t>
        </is>
      </c>
    </row>
    <row r="306">
      <c r="A306" t="inlineStr">
        <is>
          <t>ORD-00305</t>
        </is>
      </c>
      <c r="B306" s="2" t="n">
        <v>45712</v>
      </c>
      <c r="C306" s="2" t="n">
        <v>45714</v>
      </c>
      <c r="D306" t="inlineStr">
        <is>
          <t>CUST-00305</t>
        </is>
      </c>
      <c r="E306" t="inlineStr">
        <is>
          <t>Customer 305</t>
        </is>
      </c>
      <c r="F306" t="inlineStr">
        <is>
          <t>Home Office</t>
        </is>
      </c>
      <c r="G306" t="inlineStr">
        <is>
          <t>P1016</t>
        </is>
      </c>
      <c r="H306" t="inlineStr">
        <is>
          <t>Cove Wall Clock</t>
        </is>
      </c>
      <c r="I306" t="inlineStr">
        <is>
          <t>Home Decor</t>
        </is>
      </c>
      <c r="J306" t="inlineStr">
        <is>
          <t>Paper</t>
        </is>
      </c>
      <c r="K306" t="inlineStr">
        <is>
          <t>Central</t>
        </is>
      </c>
      <c r="L306" t="inlineStr">
        <is>
          <t>Missouri</t>
        </is>
      </c>
      <c r="M306" t="inlineStr">
        <is>
          <t>Kansas City</t>
        </is>
      </c>
      <c r="N306" t="inlineStr">
        <is>
          <t>Ava Patel</t>
        </is>
      </c>
      <c r="O306" t="n">
        <v>1</v>
      </c>
      <c r="P306" s="3" t="n">
        <v>38.94</v>
      </c>
      <c r="Q306" s="4" t="n">
        <v>0.059</v>
      </c>
      <c r="R306" s="3" t="n">
        <v>36.64</v>
      </c>
      <c r="S306" s="3" t="n">
        <v>22.48</v>
      </c>
      <c r="T306" s="3" t="n">
        <v>7.36</v>
      </c>
      <c r="U306" s="4" t="n">
        <v>0.2009</v>
      </c>
      <c r="V306" s="3" t="n">
        <v>6.8</v>
      </c>
      <c r="W306" t="inlineStr">
        <is>
          <t>Debit Card</t>
        </is>
      </c>
      <c r="X306" t="inlineStr">
        <is>
          <t>Critical</t>
        </is>
      </c>
      <c r="Y306" t="n">
        <v>2025</v>
      </c>
      <c r="Z306" t="n">
        <v>2</v>
      </c>
      <c r="AA306" t="inlineStr">
        <is>
          <t>Feb</t>
        </is>
      </c>
      <c r="AB306" t="inlineStr">
        <is>
          <t>Monday</t>
        </is>
      </c>
      <c r="AC306" t="n">
        <v>2</v>
      </c>
      <c r="AD306" t="inlineStr">
        <is>
          <t>Profitable</t>
        </is>
      </c>
      <c r="AE306" t="inlineStr">
        <is>
          <t>High</t>
        </is>
      </c>
      <c r="AF306" t="inlineStr">
        <is>
          <t>Small</t>
        </is>
      </c>
    </row>
    <row r="307">
      <c r="A307" t="inlineStr">
        <is>
          <t>ORD-00306</t>
        </is>
      </c>
      <c r="B307" s="2" t="n">
        <v>45695</v>
      </c>
      <c r="C307" s="2" t="n">
        <v>45696</v>
      </c>
      <c r="D307" t="inlineStr">
        <is>
          <t>CUST-00306</t>
        </is>
      </c>
      <c r="E307" t="inlineStr">
        <is>
          <t>Customer 306</t>
        </is>
      </c>
      <c r="F307" t="inlineStr">
        <is>
          <t>Home Office</t>
        </is>
      </c>
      <c r="G307" t="inlineStr">
        <is>
          <t>P1020</t>
        </is>
      </c>
      <c r="H307" t="inlineStr">
        <is>
          <t>Harbor Rug</t>
        </is>
      </c>
      <c r="I307" t="inlineStr">
        <is>
          <t>Home Decor</t>
        </is>
      </c>
      <c r="J307" t="inlineStr">
        <is>
          <t>Writing</t>
        </is>
      </c>
      <c r="K307" t="inlineStr">
        <is>
          <t>South</t>
        </is>
      </c>
      <c r="L307" t="inlineStr">
        <is>
          <t>Florida</t>
        </is>
      </c>
      <c r="M307" t="inlineStr">
        <is>
          <t>Dallas</t>
        </is>
      </c>
      <c r="N307" t="inlineStr">
        <is>
          <t>Ethan Brooks</t>
        </is>
      </c>
      <c r="O307" t="n">
        <v>3</v>
      </c>
      <c r="P307" s="3" t="n">
        <v>68.78</v>
      </c>
      <c r="Q307" s="4" t="n">
        <v>0.015</v>
      </c>
      <c r="R307" s="3" t="n">
        <v>203.24</v>
      </c>
      <c r="S307" s="3" t="n">
        <v>102.41</v>
      </c>
      <c r="T307" s="3" t="n">
        <v>92.43000000000001</v>
      </c>
      <c r="U307" s="4" t="n">
        <v>0.4548</v>
      </c>
      <c r="V307" s="3" t="n">
        <v>8.4</v>
      </c>
      <c r="W307" t="inlineStr">
        <is>
          <t>Credit Card</t>
        </is>
      </c>
      <c r="X307" t="inlineStr">
        <is>
          <t>Medium</t>
        </is>
      </c>
      <c r="Y307" t="n">
        <v>2025</v>
      </c>
      <c r="Z307" t="n">
        <v>2</v>
      </c>
      <c r="AA307" t="inlineStr">
        <is>
          <t>Feb</t>
        </is>
      </c>
      <c r="AB307" t="inlineStr">
        <is>
          <t>Friday</t>
        </is>
      </c>
      <c r="AC307" t="n">
        <v>1</v>
      </c>
      <c r="AD307" t="inlineStr">
        <is>
          <t>Profitable</t>
        </is>
      </c>
      <c r="AE307" t="inlineStr">
        <is>
          <t>Low</t>
        </is>
      </c>
      <c r="AF307" t="inlineStr">
        <is>
          <t>Small</t>
        </is>
      </c>
    </row>
    <row r="308">
      <c r="A308" t="inlineStr">
        <is>
          <t>ORD-00307</t>
        </is>
      </c>
      <c r="B308" s="2" t="n">
        <v>45572</v>
      </c>
      <c r="C308" s="2" t="n">
        <v>45579</v>
      </c>
      <c r="D308" t="inlineStr">
        <is>
          <t>CUST-00307</t>
        </is>
      </c>
      <c r="E308" t="inlineStr">
        <is>
          <t>Customer 307</t>
        </is>
      </c>
      <c r="F308" t="inlineStr">
        <is>
          <t>Consumer</t>
        </is>
      </c>
      <c r="G308" t="inlineStr">
        <is>
          <t>P1009</t>
        </is>
      </c>
      <c r="H308" t="inlineStr">
        <is>
          <t>Pulse Keyboard</t>
        </is>
      </c>
      <c r="I308" t="inlineStr">
        <is>
          <t>Outdoor</t>
        </is>
      </c>
      <c r="J308" t="inlineStr">
        <is>
          <t>Furniture</t>
        </is>
      </c>
      <c r="K308" t="inlineStr">
        <is>
          <t>West</t>
        </is>
      </c>
      <c r="L308" t="inlineStr">
        <is>
          <t>Oregon</t>
        </is>
      </c>
      <c r="M308" t="inlineStr">
        <is>
          <t>Seattle</t>
        </is>
      </c>
      <c r="N308" t="inlineStr">
        <is>
          <t>Sophia Singh</t>
        </is>
      </c>
      <c r="O308" t="n">
        <v>5</v>
      </c>
      <c r="P308" s="3" t="n">
        <v>97.31</v>
      </c>
      <c r="Q308" s="4" t="n">
        <v>0.035</v>
      </c>
      <c r="R308" s="3" t="n">
        <v>469.52</v>
      </c>
      <c r="S308" s="3" t="n">
        <v>227.01</v>
      </c>
      <c r="T308" s="3" t="n">
        <v>231.51</v>
      </c>
      <c r="U308" s="4" t="n">
        <v>0.4931</v>
      </c>
      <c r="V308" s="3" t="n">
        <v>11</v>
      </c>
      <c r="W308" t="inlineStr">
        <is>
          <t>Bank Transfer</t>
        </is>
      </c>
      <c r="X308" t="inlineStr">
        <is>
          <t>High</t>
        </is>
      </c>
      <c r="Y308" t="n">
        <v>2024</v>
      </c>
      <c r="Z308" t="n">
        <v>10</v>
      </c>
      <c r="AA308" t="inlineStr">
        <is>
          <t>Oct</t>
        </is>
      </c>
      <c r="AB308" t="inlineStr">
        <is>
          <t>Monday</t>
        </is>
      </c>
      <c r="AC308" t="n">
        <v>7</v>
      </c>
      <c r="AD308" t="inlineStr">
        <is>
          <t>Profitable</t>
        </is>
      </c>
      <c r="AE308" t="inlineStr">
        <is>
          <t>Medium</t>
        </is>
      </c>
      <c r="AF308" t="inlineStr">
        <is>
          <t>Small</t>
        </is>
      </c>
    </row>
    <row r="309">
      <c r="A309" t="inlineStr">
        <is>
          <t>ORD-00308</t>
        </is>
      </c>
      <c r="B309" s="2" t="n">
        <v>45622</v>
      </c>
      <c r="C309" s="2" t="n">
        <v>45623</v>
      </c>
      <c r="D309" t="inlineStr">
        <is>
          <t>CUST-00308</t>
        </is>
      </c>
      <c r="E309" t="inlineStr">
        <is>
          <t>Customer 308</t>
        </is>
      </c>
      <c r="F309" t="inlineStr">
        <is>
          <t>Consumer</t>
        </is>
      </c>
      <c r="G309" t="inlineStr">
        <is>
          <t>P1010</t>
        </is>
      </c>
      <c r="H309" t="inlineStr">
        <is>
          <t>Echo Web Camera</t>
        </is>
      </c>
      <c r="I309" t="inlineStr">
        <is>
          <t>Furniture</t>
        </is>
      </c>
      <c r="J309" t="inlineStr">
        <is>
          <t>Plants</t>
        </is>
      </c>
      <c r="K309" t="inlineStr">
        <is>
          <t>East</t>
        </is>
      </c>
      <c r="L309" t="inlineStr">
        <is>
          <t>Virginia</t>
        </is>
      </c>
      <c r="M309" t="inlineStr">
        <is>
          <t>Washington</t>
        </is>
      </c>
      <c r="N309" t="inlineStr">
        <is>
          <t>Mia Rodriguez</t>
        </is>
      </c>
      <c r="O309" t="n">
        <v>1</v>
      </c>
      <c r="P309" s="3" t="n">
        <v>58.75</v>
      </c>
      <c r="Q309" s="4" t="n">
        <v>0.018</v>
      </c>
      <c r="R309" s="3" t="n">
        <v>57.69</v>
      </c>
      <c r="S309" s="3" t="n">
        <v>32.25</v>
      </c>
      <c r="T309" s="3" t="n">
        <v>17.64</v>
      </c>
      <c r="U309" s="4" t="n">
        <v>0.3058</v>
      </c>
      <c r="V309" s="3" t="n">
        <v>7.8</v>
      </c>
      <c r="W309" t="inlineStr">
        <is>
          <t>Credit Card</t>
        </is>
      </c>
      <c r="X309" t="inlineStr">
        <is>
          <t>Medium</t>
        </is>
      </c>
      <c r="Y309" t="n">
        <v>2024</v>
      </c>
      <c r="Z309" t="n">
        <v>11</v>
      </c>
      <c r="AA309" t="inlineStr">
        <is>
          <t>Nov</t>
        </is>
      </c>
      <c r="AB309" t="inlineStr">
        <is>
          <t>Tuesday</t>
        </is>
      </c>
      <c r="AC309" t="n">
        <v>1</v>
      </c>
      <c r="AD309" t="inlineStr">
        <is>
          <t>Profitable</t>
        </is>
      </c>
      <c r="AE309" t="inlineStr">
        <is>
          <t>Low</t>
        </is>
      </c>
      <c r="AF309" t="inlineStr">
        <is>
          <t>Small</t>
        </is>
      </c>
    </row>
    <row r="310">
      <c r="A310" t="inlineStr">
        <is>
          <t>ORD-00309</t>
        </is>
      </c>
      <c r="B310" s="2" t="n">
        <v>45770</v>
      </c>
      <c r="C310" s="2" t="n">
        <v>45777</v>
      </c>
      <c r="D310" t="inlineStr">
        <is>
          <t>CUST-00309</t>
        </is>
      </c>
      <c r="E310" t="inlineStr">
        <is>
          <t>Customer 309</t>
        </is>
      </c>
      <c r="F310" t="inlineStr">
        <is>
          <t>Consumer</t>
        </is>
      </c>
      <c r="G310" t="inlineStr">
        <is>
          <t>P1013</t>
        </is>
      </c>
      <c r="H310" t="inlineStr">
        <is>
          <t>ProClip Binder</t>
        </is>
      </c>
      <c r="I310" t="inlineStr">
        <is>
          <t>Home Decor</t>
        </is>
      </c>
      <c r="J310" t="inlineStr">
        <is>
          <t>Writing</t>
        </is>
      </c>
      <c r="K310" t="inlineStr">
        <is>
          <t>South</t>
        </is>
      </c>
      <c r="L310" t="inlineStr">
        <is>
          <t>Georgia</t>
        </is>
      </c>
      <c r="M310" t="inlineStr">
        <is>
          <t>Dallas</t>
        </is>
      </c>
      <c r="N310" t="inlineStr">
        <is>
          <t>Liam Chen</t>
        </is>
      </c>
      <c r="O310" t="n">
        <v>2</v>
      </c>
      <c r="P310" s="3" t="n">
        <v>150.06</v>
      </c>
      <c r="Q310" s="4" t="n">
        <v>0.001</v>
      </c>
      <c r="R310" s="3" t="n">
        <v>299.82</v>
      </c>
      <c r="S310" s="3" t="n">
        <v>173</v>
      </c>
      <c r="T310" s="3" t="n">
        <v>119.22</v>
      </c>
      <c r="U310" s="4" t="n">
        <v>0.3976</v>
      </c>
      <c r="V310" s="3" t="n">
        <v>7.6</v>
      </c>
      <c r="W310" t="inlineStr">
        <is>
          <t>Credit Card</t>
        </is>
      </c>
      <c r="X310" t="inlineStr">
        <is>
          <t>Medium</t>
        </is>
      </c>
      <c r="Y310" t="n">
        <v>2025</v>
      </c>
      <c r="Z310" t="n">
        <v>4</v>
      </c>
      <c r="AA310" t="inlineStr">
        <is>
          <t>Apr</t>
        </is>
      </c>
      <c r="AB310" t="inlineStr">
        <is>
          <t>Wednesday</t>
        </is>
      </c>
      <c r="AC310" t="n">
        <v>7</v>
      </c>
      <c r="AD310" t="inlineStr">
        <is>
          <t>Profitable</t>
        </is>
      </c>
      <c r="AE310" t="inlineStr">
        <is>
          <t>Low</t>
        </is>
      </c>
      <c r="AF310" t="inlineStr">
        <is>
          <t>Small</t>
        </is>
      </c>
    </row>
    <row r="311">
      <c r="A311" t="inlineStr">
        <is>
          <t>ORD-00310</t>
        </is>
      </c>
      <c r="B311" s="2" t="n">
        <v>44952</v>
      </c>
      <c r="C311" s="2" t="n">
        <v>44957</v>
      </c>
      <c r="D311" t="inlineStr">
        <is>
          <t>CUST-00310</t>
        </is>
      </c>
      <c r="E311" t="inlineStr">
        <is>
          <t>Customer 310</t>
        </is>
      </c>
      <c r="F311" t="inlineStr">
        <is>
          <t>Corporate</t>
        </is>
      </c>
      <c r="G311" t="inlineStr">
        <is>
          <t>P1008</t>
        </is>
      </c>
      <c r="H311" t="inlineStr">
        <is>
          <t>Pulse Keyboard</t>
        </is>
      </c>
      <c r="I311" t="inlineStr">
        <is>
          <t>Furniture</t>
        </is>
      </c>
      <c r="J311" t="inlineStr">
        <is>
          <t>Peripherals</t>
        </is>
      </c>
      <c r="K311" t="inlineStr">
        <is>
          <t>East</t>
        </is>
      </c>
      <c r="L311" t="inlineStr">
        <is>
          <t>New Jersey</t>
        </is>
      </c>
      <c r="M311" t="inlineStr">
        <is>
          <t>Washington</t>
        </is>
      </c>
      <c r="N311" t="inlineStr">
        <is>
          <t>Noah Kim</t>
        </is>
      </c>
      <c r="O311" t="n">
        <v>4</v>
      </c>
      <c r="P311" s="3" t="n">
        <v>36.17</v>
      </c>
      <c r="Q311" s="4" t="n">
        <v>0.019</v>
      </c>
      <c r="R311" s="3" t="n">
        <v>141.93</v>
      </c>
      <c r="S311" s="3" t="n">
        <v>59.66</v>
      </c>
      <c r="T311" s="3" t="n">
        <v>72.06999999999999</v>
      </c>
      <c r="U311" s="4" t="n">
        <v>0.5078</v>
      </c>
      <c r="V311" s="3" t="n">
        <v>10.2</v>
      </c>
      <c r="W311" t="inlineStr">
        <is>
          <t>Credit Card</t>
        </is>
      </c>
      <c r="X311" t="inlineStr">
        <is>
          <t>Medium</t>
        </is>
      </c>
      <c r="Y311" t="n">
        <v>2023</v>
      </c>
      <c r="Z311" t="n">
        <v>1</v>
      </c>
      <c r="AA311" t="inlineStr">
        <is>
          <t>Jan</t>
        </is>
      </c>
      <c r="AB311" t="inlineStr">
        <is>
          <t>Thursday</t>
        </is>
      </c>
      <c r="AC311" t="n">
        <v>5</v>
      </c>
      <c r="AD311" t="inlineStr">
        <is>
          <t>Profitable</t>
        </is>
      </c>
      <c r="AE311" t="inlineStr">
        <is>
          <t>Low</t>
        </is>
      </c>
      <c r="AF311" t="inlineStr">
        <is>
          <t>Small</t>
        </is>
      </c>
    </row>
    <row r="312">
      <c r="A312" t="inlineStr">
        <is>
          <t>ORD-00311</t>
        </is>
      </c>
      <c r="B312" s="2" t="n">
        <v>45398</v>
      </c>
      <c r="C312" s="2" t="n">
        <v>45400</v>
      </c>
      <c r="D312" t="inlineStr">
        <is>
          <t>CUST-00311</t>
        </is>
      </c>
      <c r="E312" t="inlineStr">
        <is>
          <t>Customer 311</t>
        </is>
      </c>
      <c r="F312" t="inlineStr">
        <is>
          <t>Corporate</t>
        </is>
      </c>
      <c r="G312" t="inlineStr">
        <is>
          <t>P1006</t>
        </is>
      </c>
      <c r="H312" t="inlineStr">
        <is>
          <t>Lumen Desk Lamp</t>
        </is>
      </c>
      <c r="I312" t="inlineStr">
        <is>
          <t>Furniture</t>
        </is>
      </c>
      <c r="J312" t="inlineStr">
        <is>
          <t>Coolers</t>
        </is>
      </c>
      <c r="K312" t="inlineStr">
        <is>
          <t>East</t>
        </is>
      </c>
      <c r="L312" t="inlineStr">
        <is>
          <t>New Jersey</t>
        </is>
      </c>
      <c r="M312" t="inlineStr">
        <is>
          <t>Washington</t>
        </is>
      </c>
      <c r="N312" t="inlineStr">
        <is>
          <t>James Carter</t>
        </is>
      </c>
      <c r="O312" t="n">
        <v>3</v>
      </c>
      <c r="P312" s="3" t="n">
        <v>17.96</v>
      </c>
      <c r="Q312" s="4" t="n">
        <v>0.02</v>
      </c>
      <c r="R312" s="3" t="n">
        <v>52.8</v>
      </c>
      <c r="S312" s="3" t="n">
        <v>26.23</v>
      </c>
      <c r="T312" s="3" t="n">
        <v>17.17</v>
      </c>
      <c r="U312" s="4" t="n">
        <v>0.3252</v>
      </c>
      <c r="V312" s="3" t="n">
        <v>9.4</v>
      </c>
      <c r="W312" t="inlineStr">
        <is>
          <t>Credit Card</t>
        </is>
      </c>
      <c r="X312" t="inlineStr">
        <is>
          <t>Medium</t>
        </is>
      </c>
      <c r="Y312" t="n">
        <v>2024</v>
      </c>
      <c r="Z312" t="n">
        <v>4</v>
      </c>
      <c r="AA312" t="inlineStr">
        <is>
          <t>Apr</t>
        </is>
      </c>
      <c r="AB312" t="inlineStr">
        <is>
          <t>Tuesday</t>
        </is>
      </c>
      <c r="AC312" t="n">
        <v>2</v>
      </c>
      <c r="AD312" t="inlineStr">
        <is>
          <t>Profitable</t>
        </is>
      </c>
      <c r="AE312" t="inlineStr">
        <is>
          <t>Medium</t>
        </is>
      </c>
      <c r="AF312" t="inlineStr">
        <is>
          <t>Small</t>
        </is>
      </c>
    </row>
    <row r="313">
      <c r="A313" t="inlineStr">
        <is>
          <t>ORD-00312</t>
        </is>
      </c>
      <c r="B313" s="2" t="n">
        <v>44984</v>
      </c>
      <c r="C313" s="2" t="n">
        <v>44989</v>
      </c>
      <c r="D313" t="inlineStr">
        <is>
          <t>CUST-00312</t>
        </is>
      </c>
      <c r="E313" t="inlineStr">
        <is>
          <t>Customer 312</t>
        </is>
      </c>
      <c r="F313" t="inlineStr">
        <is>
          <t>Consumer</t>
        </is>
      </c>
      <c r="G313" t="inlineStr">
        <is>
          <t>P1003</t>
        </is>
      </c>
      <c r="H313" t="inlineStr">
        <is>
          <t>Tide Cooler</t>
        </is>
      </c>
      <c r="I313" t="inlineStr">
        <is>
          <t>Outdoor</t>
        </is>
      </c>
      <c r="J313" t="inlineStr">
        <is>
          <t>Peripherals</t>
        </is>
      </c>
      <c r="K313" t="inlineStr">
        <is>
          <t>West</t>
        </is>
      </c>
      <c r="L313" t="inlineStr">
        <is>
          <t>Washington</t>
        </is>
      </c>
      <c r="M313" t="inlineStr">
        <is>
          <t>San Francisco</t>
        </is>
      </c>
      <c r="N313" t="inlineStr">
        <is>
          <t>Liam Chen</t>
        </is>
      </c>
      <c r="O313" t="n">
        <v>3</v>
      </c>
      <c r="P313" s="3" t="n">
        <v>152.76</v>
      </c>
      <c r="Q313" s="4" t="n">
        <v>0.063</v>
      </c>
      <c r="R313" s="3" t="n">
        <v>429.41</v>
      </c>
      <c r="S313" s="3" t="n">
        <v>229.81</v>
      </c>
      <c r="T313" s="3" t="n">
        <v>190.2</v>
      </c>
      <c r="U313" s="4" t="n">
        <v>0.4429</v>
      </c>
      <c r="V313" s="3" t="n">
        <v>9.4</v>
      </c>
      <c r="W313" t="inlineStr">
        <is>
          <t>Debit Card</t>
        </is>
      </c>
      <c r="X313" t="inlineStr">
        <is>
          <t>High</t>
        </is>
      </c>
      <c r="Y313" t="n">
        <v>2023</v>
      </c>
      <c r="Z313" t="n">
        <v>2</v>
      </c>
      <c r="AA313" t="inlineStr">
        <is>
          <t>Feb</t>
        </is>
      </c>
      <c r="AB313" t="inlineStr">
        <is>
          <t>Monday</t>
        </is>
      </c>
      <c r="AC313" t="n">
        <v>5</v>
      </c>
      <c r="AD313" t="inlineStr">
        <is>
          <t>Profitable</t>
        </is>
      </c>
      <c r="AE313" t="inlineStr">
        <is>
          <t>High</t>
        </is>
      </c>
      <c r="AF313" t="inlineStr">
        <is>
          <t>Small</t>
        </is>
      </c>
    </row>
    <row r="314">
      <c r="A314" t="inlineStr">
        <is>
          <t>ORD-00313</t>
        </is>
      </c>
      <c r="B314" s="2" t="n">
        <v>44973</v>
      </c>
      <c r="C314" s="2" t="n">
        <v>44978</v>
      </c>
      <c r="D314" t="inlineStr">
        <is>
          <t>CUST-00313</t>
        </is>
      </c>
      <c r="E314" t="inlineStr">
        <is>
          <t>Customer 313</t>
        </is>
      </c>
      <c r="F314" t="inlineStr">
        <is>
          <t>Corporate</t>
        </is>
      </c>
      <c r="G314" t="inlineStr">
        <is>
          <t>P1012</t>
        </is>
      </c>
      <c r="H314" t="inlineStr">
        <is>
          <t>Echo Web Camera</t>
        </is>
      </c>
      <c r="I314" t="inlineStr">
        <is>
          <t>Office Supplies</t>
        </is>
      </c>
      <c r="J314" t="inlineStr">
        <is>
          <t>Decor</t>
        </is>
      </c>
      <c r="K314" t="inlineStr">
        <is>
          <t>South</t>
        </is>
      </c>
      <c r="L314" t="inlineStr">
        <is>
          <t>Georgia</t>
        </is>
      </c>
      <c r="M314" t="inlineStr">
        <is>
          <t>Miami</t>
        </is>
      </c>
      <c r="N314" t="inlineStr">
        <is>
          <t>Sophia Singh</t>
        </is>
      </c>
      <c r="O314" t="n">
        <v>4</v>
      </c>
      <c r="P314" s="3" t="n">
        <v>120.14</v>
      </c>
      <c r="Q314" s="4" t="n">
        <v>0.021</v>
      </c>
      <c r="R314" s="3" t="n">
        <v>470.47</v>
      </c>
      <c r="S314" s="3" t="n">
        <v>238.38</v>
      </c>
      <c r="T314" s="3" t="n">
        <v>222.89</v>
      </c>
      <c r="U314" s="4" t="n">
        <v>0.4738</v>
      </c>
      <c r="V314" s="3" t="n">
        <v>9.199999999999999</v>
      </c>
      <c r="W314" t="inlineStr">
        <is>
          <t>Credit Card</t>
        </is>
      </c>
      <c r="X314" t="inlineStr">
        <is>
          <t>Medium</t>
        </is>
      </c>
      <c r="Y314" t="n">
        <v>2023</v>
      </c>
      <c r="Z314" t="n">
        <v>2</v>
      </c>
      <c r="AA314" t="inlineStr">
        <is>
          <t>Feb</t>
        </is>
      </c>
      <c r="AB314" t="inlineStr">
        <is>
          <t>Thursday</t>
        </is>
      </c>
      <c r="AC314" t="n">
        <v>5</v>
      </c>
      <c r="AD314" t="inlineStr">
        <is>
          <t>Profitable</t>
        </is>
      </c>
      <c r="AE314" t="inlineStr">
        <is>
          <t>Medium</t>
        </is>
      </c>
      <c r="AF314" t="inlineStr">
        <is>
          <t>Small</t>
        </is>
      </c>
    </row>
    <row r="315">
      <c r="A315" t="inlineStr">
        <is>
          <t>ORD-00314</t>
        </is>
      </c>
      <c r="B315" s="2" t="n">
        <v>45813</v>
      </c>
      <c r="C315" s="2" t="n">
        <v>45820</v>
      </c>
      <c r="D315" t="inlineStr">
        <is>
          <t>CUST-00314</t>
        </is>
      </c>
      <c r="E315" t="inlineStr">
        <is>
          <t>Customer 314</t>
        </is>
      </c>
      <c r="F315" t="inlineStr">
        <is>
          <t>Consumer</t>
        </is>
      </c>
      <c r="G315" t="inlineStr">
        <is>
          <t>P1009</t>
        </is>
      </c>
      <c r="H315" t="inlineStr">
        <is>
          <t>Halo Planter</t>
        </is>
      </c>
      <c r="I315" t="inlineStr">
        <is>
          <t>Technology</t>
        </is>
      </c>
      <c r="J315" t="inlineStr">
        <is>
          <t>Desks</t>
        </is>
      </c>
      <c r="K315" t="inlineStr">
        <is>
          <t>East</t>
        </is>
      </c>
      <c r="L315" t="inlineStr">
        <is>
          <t>New Jersey</t>
        </is>
      </c>
      <c r="M315" t="inlineStr">
        <is>
          <t>Washington</t>
        </is>
      </c>
      <c r="N315" t="inlineStr">
        <is>
          <t>Liam Chen</t>
        </is>
      </c>
      <c r="O315" t="n">
        <v>4</v>
      </c>
      <c r="P315" s="3" t="n">
        <v>90.45</v>
      </c>
      <c r="Q315" s="4" t="n">
        <v>0.007</v>
      </c>
      <c r="R315" s="3" t="n">
        <v>359.27</v>
      </c>
      <c r="S315" s="3" t="n">
        <v>180.22</v>
      </c>
      <c r="T315" s="3" t="n">
        <v>168.85</v>
      </c>
      <c r="U315" s="4" t="n">
        <v>0.47</v>
      </c>
      <c r="V315" s="3" t="n">
        <v>10.2</v>
      </c>
      <c r="W315" t="inlineStr">
        <is>
          <t>Credit Card</t>
        </is>
      </c>
      <c r="X315" t="inlineStr">
        <is>
          <t>Low</t>
        </is>
      </c>
      <c r="Y315" t="n">
        <v>2025</v>
      </c>
      <c r="Z315" t="n">
        <v>6</v>
      </c>
      <c r="AA315" t="inlineStr">
        <is>
          <t>Jun</t>
        </is>
      </c>
      <c r="AB315" t="inlineStr">
        <is>
          <t>Thursday</t>
        </is>
      </c>
      <c r="AC315" t="n">
        <v>7</v>
      </c>
      <c r="AD315" t="inlineStr">
        <is>
          <t>Profitable</t>
        </is>
      </c>
      <c r="AE315" t="inlineStr">
        <is>
          <t>Low</t>
        </is>
      </c>
      <c r="AF315" t="inlineStr">
        <is>
          <t>Small</t>
        </is>
      </c>
    </row>
    <row r="316">
      <c r="A316" t="inlineStr">
        <is>
          <t>ORD-00315</t>
        </is>
      </c>
      <c r="B316" s="2" t="n">
        <v>45762</v>
      </c>
      <c r="C316" s="2" t="n">
        <v>45766</v>
      </c>
      <c r="D316" t="inlineStr">
        <is>
          <t>CUST-00315</t>
        </is>
      </c>
      <c r="E316" t="inlineStr">
        <is>
          <t>Customer 315</t>
        </is>
      </c>
      <c r="F316" t="inlineStr">
        <is>
          <t>Consumer</t>
        </is>
      </c>
      <c r="G316" t="inlineStr">
        <is>
          <t>P1009</t>
        </is>
      </c>
      <c r="H316" t="inlineStr">
        <is>
          <t>Nova Laptop Stand</t>
        </is>
      </c>
      <c r="I316" t="inlineStr">
        <is>
          <t>Office Supplies</t>
        </is>
      </c>
      <c r="J316" t="inlineStr">
        <is>
          <t>Accessories</t>
        </is>
      </c>
      <c r="K316" t="inlineStr">
        <is>
          <t>South</t>
        </is>
      </c>
      <c r="L316" t="inlineStr">
        <is>
          <t>Texas</t>
        </is>
      </c>
      <c r="M316" t="inlineStr">
        <is>
          <t>Atlanta</t>
        </is>
      </c>
      <c r="N316" t="inlineStr">
        <is>
          <t>James Carter</t>
        </is>
      </c>
      <c r="O316" t="n">
        <v>2</v>
      </c>
      <c r="P316" s="3" t="n">
        <v>89.45999999999999</v>
      </c>
      <c r="Q316" s="4" t="n">
        <v>0.012</v>
      </c>
      <c r="R316" s="3" t="n">
        <v>176.77</v>
      </c>
      <c r="S316" s="3" t="n">
        <v>94.18000000000001</v>
      </c>
      <c r="T316" s="3" t="n">
        <v>74.98999999999999</v>
      </c>
      <c r="U316" s="4" t="n">
        <v>0.4242</v>
      </c>
      <c r="V316" s="3" t="n">
        <v>7.6</v>
      </c>
      <c r="W316" t="inlineStr">
        <is>
          <t>Credit Card</t>
        </is>
      </c>
      <c r="X316" t="inlineStr">
        <is>
          <t>Low</t>
        </is>
      </c>
      <c r="Y316" t="n">
        <v>2025</v>
      </c>
      <c r="Z316" t="n">
        <v>4</v>
      </c>
      <c r="AA316" t="inlineStr">
        <is>
          <t>Apr</t>
        </is>
      </c>
      <c r="AB316" t="inlineStr">
        <is>
          <t>Tuesday</t>
        </is>
      </c>
      <c r="AC316" t="n">
        <v>4</v>
      </c>
      <c r="AD316" t="inlineStr">
        <is>
          <t>Profitable</t>
        </is>
      </c>
      <c r="AE316" t="inlineStr">
        <is>
          <t>Low</t>
        </is>
      </c>
      <c r="AF316" t="inlineStr">
        <is>
          <t>Small</t>
        </is>
      </c>
    </row>
    <row r="317">
      <c r="A317" t="inlineStr">
        <is>
          <t>ORD-00316</t>
        </is>
      </c>
      <c r="B317" s="2" t="n">
        <v>45861</v>
      </c>
      <c r="C317" s="2" t="n">
        <v>45862</v>
      </c>
      <c r="D317" t="inlineStr">
        <is>
          <t>CUST-00316</t>
        </is>
      </c>
      <c r="E317" t="inlineStr">
        <is>
          <t>Customer 316</t>
        </is>
      </c>
      <c r="F317" t="inlineStr">
        <is>
          <t>Consumer</t>
        </is>
      </c>
      <c r="G317" t="inlineStr">
        <is>
          <t>P1011</t>
        </is>
      </c>
      <c r="H317" t="inlineStr">
        <is>
          <t>CloudDrive File Box</t>
        </is>
      </c>
      <c r="I317" t="inlineStr">
        <is>
          <t>Furniture</t>
        </is>
      </c>
      <c r="J317" t="inlineStr">
        <is>
          <t>Decor</t>
        </is>
      </c>
      <c r="K317" t="inlineStr">
        <is>
          <t>East</t>
        </is>
      </c>
      <c r="L317" t="inlineStr">
        <is>
          <t>New Jersey</t>
        </is>
      </c>
      <c r="M317" t="inlineStr">
        <is>
          <t>New York</t>
        </is>
      </c>
      <c r="N317" t="inlineStr">
        <is>
          <t>James Carter</t>
        </is>
      </c>
      <c r="O317" t="n">
        <v>3</v>
      </c>
      <c r="P317" s="3" t="n">
        <v>88.90000000000001</v>
      </c>
      <c r="Q317" s="4" t="n">
        <v>0.028</v>
      </c>
      <c r="R317" s="3" t="n">
        <v>259.23</v>
      </c>
      <c r="S317" s="3" t="n">
        <v>124.75</v>
      </c>
      <c r="T317" s="3" t="n">
        <v>125.08</v>
      </c>
      <c r="U317" s="4" t="n">
        <v>0.4825</v>
      </c>
      <c r="V317" s="3" t="n">
        <v>9.4</v>
      </c>
      <c r="W317" t="inlineStr">
        <is>
          <t>Bank Transfer</t>
        </is>
      </c>
      <c r="X317" t="inlineStr">
        <is>
          <t>Critical</t>
        </is>
      </c>
      <c r="Y317" t="n">
        <v>2025</v>
      </c>
      <c r="Z317" t="n">
        <v>7</v>
      </c>
      <c r="AA317" t="inlineStr">
        <is>
          <t>Jul</t>
        </is>
      </c>
      <c r="AB317" t="inlineStr">
        <is>
          <t>Wednesday</t>
        </is>
      </c>
      <c r="AC317" t="n">
        <v>1</v>
      </c>
      <c r="AD317" t="inlineStr">
        <is>
          <t>Profitable</t>
        </is>
      </c>
      <c r="AE317" t="inlineStr">
        <is>
          <t>Medium</t>
        </is>
      </c>
      <c r="AF317" t="inlineStr">
        <is>
          <t>Small</t>
        </is>
      </c>
    </row>
    <row r="318">
      <c r="A318" t="inlineStr">
        <is>
          <t>ORD-00317</t>
        </is>
      </c>
      <c r="B318" s="2" t="n">
        <v>45386</v>
      </c>
      <c r="C318" s="2" t="n">
        <v>45392</v>
      </c>
      <c r="D318" t="inlineStr">
        <is>
          <t>CUST-00317</t>
        </is>
      </c>
      <c r="E318" t="inlineStr">
        <is>
          <t>Customer 317</t>
        </is>
      </c>
      <c r="F318" t="inlineStr">
        <is>
          <t>Consumer</t>
        </is>
      </c>
      <c r="G318" t="inlineStr">
        <is>
          <t>P1006</t>
        </is>
      </c>
      <c r="H318" t="inlineStr">
        <is>
          <t>Tide Cooler</t>
        </is>
      </c>
      <c r="I318" t="inlineStr">
        <is>
          <t>Office Supplies</t>
        </is>
      </c>
      <c r="J318" t="inlineStr">
        <is>
          <t>Bags</t>
        </is>
      </c>
      <c r="K318" t="inlineStr">
        <is>
          <t>East</t>
        </is>
      </c>
      <c r="L318" t="inlineStr">
        <is>
          <t>New Jersey</t>
        </is>
      </c>
      <c r="M318" t="inlineStr">
        <is>
          <t>Washington</t>
        </is>
      </c>
      <c r="N318" t="inlineStr">
        <is>
          <t>Noah Kim</t>
        </is>
      </c>
      <c r="O318" t="n">
        <v>3</v>
      </c>
      <c r="P318" s="3" t="n">
        <v>18.49</v>
      </c>
      <c r="Q318" s="4" t="n">
        <v>0.016</v>
      </c>
      <c r="R318" s="3" t="n">
        <v>54.58</v>
      </c>
      <c r="S318" s="3" t="n">
        <v>20.81</v>
      </c>
      <c r="T318" s="3" t="n">
        <v>24.37</v>
      </c>
      <c r="U318" s="4" t="n">
        <v>0.4465</v>
      </c>
      <c r="V318" s="3" t="n">
        <v>9.4</v>
      </c>
      <c r="W318" t="inlineStr">
        <is>
          <t>Bank Transfer</t>
        </is>
      </c>
      <c r="X318" t="inlineStr">
        <is>
          <t>Medium</t>
        </is>
      </c>
      <c r="Y318" t="n">
        <v>2024</v>
      </c>
      <c r="Z318" t="n">
        <v>4</v>
      </c>
      <c r="AA318" t="inlineStr">
        <is>
          <t>Apr</t>
        </is>
      </c>
      <c r="AB318" t="inlineStr">
        <is>
          <t>Thursday</t>
        </is>
      </c>
      <c r="AC318" t="n">
        <v>6</v>
      </c>
      <c r="AD318" t="inlineStr">
        <is>
          <t>Profitable</t>
        </is>
      </c>
      <c r="AE318" t="inlineStr">
        <is>
          <t>Low</t>
        </is>
      </c>
      <c r="AF318" t="inlineStr">
        <is>
          <t>Small</t>
        </is>
      </c>
    </row>
    <row r="319">
      <c r="A319" t="inlineStr">
        <is>
          <t>ORD-00318</t>
        </is>
      </c>
      <c r="B319" s="2" t="n">
        <v>45284</v>
      </c>
      <c r="C319" s="2" t="n">
        <v>45286</v>
      </c>
      <c r="D319" t="inlineStr">
        <is>
          <t>CUST-00318</t>
        </is>
      </c>
      <c r="E319" t="inlineStr">
        <is>
          <t>Customer 318</t>
        </is>
      </c>
      <c r="F319" t="inlineStr">
        <is>
          <t>Consumer</t>
        </is>
      </c>
      <c r="G319" t="inlineStr">
        <is>
          <t>P1002</t>
        </is>
      </c>
      <c r="H319" t="inlineStr">
        <is>
          <t>Atlas Throw Pillow</t>
        </is>
      </c>
      <c r="I319" t="inlineStr">
        <is>
          <t>Furniture</t>
        </is>
      </c>
      <c r="J319" t="inlineStr">
        <is>
          <t>Accessories</t>
        </is>
      </c>
      <c r="K319" t="inlineStr">
        <is>
          <t>East</t>
        </is>
      </c>
      <c r="L319" t="inlineStr">
        <is>
          <t>Massachusetts</t>
        </is>
      </c>
      <c r="M319" t="inlineStr">
        <is>
          <t>New York</t>
        </is>
      </c>
      <c r="N319" t="inlineStr">
        <is>
          <t>Liam Chen</t>
        </is>
      </c>
      <c r="O319" t="n">
        <v>1</v>
      </c>
      <c r="P319" s="3" t="n">
        <v>84.45999999999999</v>
      </c>
      <c r="Q319" s="4" t="n">
        <v>0.015</v>
      </c>
      <c r="R319" s="3" t="n">
        <v>83.19</v>
      </c>
      <c r="S319" s="3" t="n">
        <v>46.17</v>
      </c>
      <c r="T319" s="3" t="n">
        <v>29.22</v>
      </c>
      <c r="U319" s="4" t="n">
        <v>0.3512</v>
      </c>
      <c r="V319" s="3" t="n">
        <v>7.8</v>
      </c>
      <c r="W319" t="inlineStr">
        <is>
          <t>PayPal</t>
        </is>
      </c>
      <c r="X319" t="inlineStr">
        <is>
          <t>Low</t>
        </is>
      </c>
      <c r="Y319" t="n">
        <v>2023</v>
      </c>
      <c r="Z319" t="n">
        <v>12</v>
      </c>
      <c r="AA319" t="inlineStr">
        <is>
          <t>Dec</t>
        </is>
      </c>
      <c r="AB319" t="inlineStr">
        <is>
          <t>Sunday</t>
        </is>
      </c>
      <c r="AC319" t="n">
        <v>2</v>
      </c>
      <c r="AD319" t="inlineStr">
        <is>
          <t>Profitable</t>
        </is>
      </c>
      <c r="AE319" t="inlineStr">
        <is>
          <t>Low</t>
        </is>
      </c>
      <c r="AF319" t="inlineStr">
        <is>
          <t>Small</t>
        </is>
      </c>
    </row>
    <row r="320">
      <c r="A320" t="inlineStr">
        <is>
          <t>ORD-00319</t>
        </is>
      </c>
      <c r="B320" s="2" t="n">
        <v>45285</v>
      </c>
      <c r="C320" s="2" t="n">
        <v>45289</v>
      </c>
      <c r="D320" t="inlineStr">
        <is>
          <t>CUST-00319</t>
        </is>
      </c>
      <c r="E320" t="inlineStr">
        <is>
          <t>Customer 319</t>
        </is>
      </c>
      <c r="F320" t="inlineStr">
        <is>
          <t>Consumer</t>
        </is>
      </c>
      <c r="G320" t="inlineStr">
        <is>
          <t>P1007</t>
        </is>
      </c>
      <c r="H320" t="inlineStr">
        <is>
          <t>Orbit Wireless Mouse</t>
        </is>
      </c>
      <c r="I320" t="inlineStr">
        <is>
          <t>Office Supplies</t>
        </is>
      </c>
      <c r="J320" t="inlineStr">
        <is>
          <t>Accessories</t>
        </is>
      </c>
      <c r="K320" t="inlineStr">
        <is>
          <t>South</t>
        </is>
      </c>
      <c r="L320" t="inlineStr">
        <is>
          <t>Florida</t>
        </is>
      </c>
      <c r="M320" t="inlineStr">
        <is>
          <t>Miami</t>
        </is>
      </c>
      <c r="N320" t="inlineStr">
        <is>
          <t>Liam Chen</t>
        </is>
      </c>
      <c r="O320" t="n">
        <v>4</v>
      </c>
      <c r="P320" s="3" t="n">
        <v>24.39</v>
      </c>
      <c r="Q320" s="4" t="n">
        <v>0.003</v>
      </c>
      <c r="R320" s="3" t="n">
        <v>97.27</v>
      </c>
      <c r="S320" s="3" t="n">
        <v>36.21</v>
      </c>
      <c r="T320" s="3" t="n">
        <v>51.86</v>
      </c>
      <c r="U320" s="4" t="n">
        <v>0.5332</v>
      </c>
      <c r="V320" s="3" t="n">
        <v>9.199999999999999</v>
      </c>
      <c r="W320" t="inlineStr">
        <is>
          <t>PayPal</t>
        </is>
      </c>
      <c r="X320" t="inlineStr">
        <is>
          <t>Low</t>
        </is>
      </c>
      <c r="Y320" t="n">
        <v>2023</v>
      </c>
      <c r="Z320" t="n">
        <v>12</v>
      </c>
      <c r="AA320" t="inlineStr">
        <is>
          <t>Dec</t>
        </is>
      </c>
      <c r="AB320" t="inlineStr">
        <is>
          <t>Monday</t>
        </is>
      </c>
      <c r="AC320" t="n">
        <v>4</v>
      </c>
      <c r="AD320" t="inlineStr">
        <is>
          <t>Profitable</t>
        </is>
      </c>
      <c r="AE320" t="inlineStr">
        <is>
          <t>Low</t>
        </is>
      </c>
      <c r="AF320" t="inlineStr">
        <is>
          <t>Small</t>
        </is>
      </c>
    </row>
    <row r="321">
      <c r="A321" t="inlineStr">
        <is>
          <t>ORD-00320</t>
        </is>
      </c>
      <c r="B321" s="2" t="n">
        <v>45151</v>
      </c>
      <c r="C321" s="2" t="n">
        <v>45157</v>
      </c>
      <c r="D321" t="inlineStr">
        <is>
          <t>CUST-00320</t>
        </is>
      </c>
      <c r="E321" t="inlineStr">
        <is>
          <t>Customer 320</t>
        </is>
      </c>
      <c r="F321" t="inlineStr">
        <is>
          <t>Home Office</t>
        </is>
      </c>
      <c r="G321" t="inlineStr">
        <is>
          <t>P1009</t>
        </is>
      </c>
      <c r="H321" t="inlineStr">
        <is>
          <t>Echo Web Camera</t>
        </is>
      </c>
      <c r="I321" t="inlineStr">
        <is>
          <t>Home Decor</t>
        </is>
      </c>
      <c r="J321" t="inlineStr">
        <is>
          <t>Bags</t>
        </is>
      </c>
      <c r="K321" t="inlineStr">
        <is>
          <t>South</t>
        </is>
      </c>
      <c r="L321" t="inlineStr">
        <is>
          <t>North Carolina</t>
        </is>
      </c>
      <c r="M321" t="inlineStr">
        <is>
          <t>Atlanta</t>
        </is>
      </c>
      <c r="N321" t="inlineStr">
        <is>
          <t>Mia Rodriguez</t>
        </is>
      </c>
      <c r="O321" t="n">
        <v>1</v>
      </c>
      <c r="P321" s="3" t="n">
        <v>92.73</v>
      </c>
      <c r="Q321" s="4" t="n">
        <v>0.018</v>
      </c>
      <c r="R321" s="3" t="n">
        <v>91.06</v>
      </c>
      <c r="S321" s="3" t="n">
        <v>47.07</v>
      </c>
      <c r="T321" s="3" t="n">
        <v>37.19</v>
      </c>
      <c r="U321" s="4" t="n">
        <v>0.4084</v>
      </c>
      <c r="V321" s="3" t="n">
        <v>6.8</v>
      </c>
      <c r="W321" t="inlineStr">
        <is>
          <t>Bank Transfer</t>
        </is>
      </c>
      <c r="X321" t="inlineStr">
        <is>
          <t>Low</t>
        </is>
      </c>
      <c r="Y321" t="n">
        <v>2023</v>
      </c>
      <c r="Z321" t="n">
        <v>8</v>
      </c>
      <c r="AA321" t="inlineStr">
        <is>
          <t>Aug</t>
        </is>
      </c>
      <c r="AB321" t="inlineStr">
        <is>
          <t>Sunday</t>
        </is>
      </c>
      <c r="AC321" t="n">
        <v>6</v>
      </c>
      <c r="AD321" t="inlineStr">
        <is>
          <t>Profitable</t>
        </is>
      </c>
      <c r="AE321" t="inlineStr">
        <is>
          <t>Low</t>
        </is>
      </c>
      <c r="AF321" t="inlineStr">
        <is>
          <t>Small</t>
        </is>
      </c>
    </row>
    <row r="322">
      <c r="A322" t="inlineStr">
        <is>
          <t>ORD-00321</t>
        </is>
      </c>
      <c r="B322" s="2" t="n">
        <v>45471</v>
      </c>
      <c r="C322" s="2" t="n">
        <v>45475</v>
      </c>
      <c r="D322" t="inlineStr">
        <is>
          <t>CUST-00321</t>
        </is>
      </c>
      <c r="E322" t="inlineStr">
        <is>
          <t>Customer 321</t>
        </is>
      </c>
      <c r="F322" t="inlineStr">
        <is>
          <t>Corporate</t>
        </is>
      </c>
      <c r="G322" t="inlineStr">
        <is>
          <t>P1019</t>
        </is>
      </c>
      <c r="H322" t="inlineStr">
        <is>
          <t>Trail Tote</t>
        </is>
      </c>
      <c r="I322" t="inlineStr">
        <is>
          <t>Furniture</t>
        </is>
      </c>
      <c r="J322" t="inlineStr">
        <is>
          <t>Video</t>
        </is>
      </c>
      <c r="K322" t="inlineStr">
        <is>
          <t>Central</t>
        </is>
      </c>
      <c r="L322" t="inlineStr">
        <is>
          <t>Missouri</t>
        </is>
      </c>
      <c r="M322" t="inlineStr">
        <is>
          <t>Chicago</t>
        </is>
      </c>
      <c r="N322" t="inlineStr">
        <is>
          <t>Ava Patel</t>
        </is>
      </c>
      <c r="O322" t="n">
        <v>2</v>
      </c>
      <c r="P322" s="3" t="n">
        <v>55.47</v>
      </c>
      <c r="Q322" s="4" t="n">
        <v>0.03</v>
      </c>
      <c r="R322" s="3" t="n">
        <v>107.61</v>
      </c>
      <c r="S322" s="3" t="n">
        <v>52.24</v>
      </c>
      <c r="T322" s="3" t="n">
        <v>47.77</v>
      </c>
      <c r="U322" s="4" t="n">
        <v>0.4439</v>
      </c>
      <c r="V322" s="3" t="n">
        <v>7.6</v>
      </c>
      <c r="W322" t="inlineStr">
        <is>
          <t>Credit Card</t>
        </is>
      </c>
      <c r="X322" t="inlineStr">
        <is>
          <t>Medium</t>
        </is>
      </c>
      <c r="Y322" t="n">
        <v>2024</v>
      </c>
      <c r="Z322" t="n">
        <v>6</v>
      </c>
      <c r="AA322" t="inlineStr">
        <is>
          <t>Jun</t>
        </is>
      </c>
      <c r="AB322" t="inlineStr">
        <is>
          <t>Friday</t>
        </is>
      </c>
      <c r="AC322" t="n">
        <v>4</v>
      </c>
      <c r="AD322" t="inlineStr">
        <is>
          <t>Profitable</t>
        </is>
      </c>
      <c r="AE322" t="inlineStr">
        <is>
          <t>Medium</t>
        </is>
      </c>
      <c r="AF322" t="inlineStr">
        <is>
          <t>Small</t>
        </is>
      </c>
    </row>
    <row r="323">
      <c r="A323" t="inlineStr">
        <is>
          <t>ORD-00322</t>
        </is>
      </c>
      <c r="B323" s="2" t="n">
        <v>45827</v>
      </c>
      <c r="C323" s="2" t="n">
        <v>45834</v>
      </c>
      <c r="D323" t="inlineStr">
        <is>
          <t>CUST-00322</t>
        </is>
      </c>
      <c r="E323" t="inlineStr">
        <is>
          <t>Customer 322</t>
        </is>
      </c>
      <c r="F323" t="inlineStr">
        <is>
          <t>Consumer</t>
        </is>
      </c>
      <c r="G323" t="inlineStr">
        <is>
          <t>P1018</t>
        </is>
      </c>
      <c r="H323" t="inlineStr">
        <is>
          <t>Echo Web Camera</t>
        </is>
      </c>
      <c r="I323" t="inlineStr">
        <is>
          <t>Furniture</t>
        </is>
      </c>
      <c r="J323" t="inlineStr">
        <is>
          <t>Peripherals</t>
        </is>
      </c>
      <c r="K323" t="inlineStr">
        <is>
          <t>East</t>
        </is>
      </c>
      <c r="L323" t="inlineStr">
        <is>
          <t>New York</t>
        </is>
      </c>
      <c r="M323" t="inlineStr">
        <is>
          <t>Philadelphia</t>
        </is>
      </c>
      <c r="N323" t="inlineStr">
        <is>
          <t>Olivia Martin</t>
        </is>
      </c>
      <c r="O323" t="n">
        <v>5</v>
      </c>
      <c r="P323" s="3" t="n">
        <v>95.67</v>
      </c>
      <c r="Q323" s="4" t="n">
        <v>0.008</v>
      </c>
      <c r="R323" s="3" t="n">
        <v>474.52</v>
      </c>
      <c r="S323" s="3" t="n">
        <v>213.11</v>
      </c>
      <c r="T323" s="3" t="n">
        <v>250.41</v>
      </c>
      <c r="U323" s="4" t="n">
        <v>0.5276999999999999</v>
      </c>
      <c r="V323" s="3" t="n">
        <v>11</v>
      </c>
      <c r="W323" t="inlineStr">
        <is>
          <t>Bank Transfer</t>
        </is>
      </c>
      <c r="X323" t="inlineStr">
        <is>
          <t>Low</t>
        </is>
      </c>
      <c r="Y323" t="n">
        <v>2025</v>
      </c>
      <c r="Z323" t="n">
        <v>6</v>
      </c>
      <c r="AA323" t="inlineStr">
        <is>
          <t>Jun</t>
        </is>
      </c>
      <c r="AB323" t="inlineStr">
        <is>
          <t>Thursday</t>
        </is>
      </c>
      <c r="AC323" t="n">
        <v>7</v>
      </c>
      <c r="AD323" t="inlineStr">
        <is>
          <t>Profitable</t>
        </is>
      </c>
      <c r="AE323" t="inlineStr">
        <is>
          <t>Low</t>
        </is>
      </c>
      <c r="AF323" t="inlineStr">
        <is>
          <t>Small</t>
        </is>
      </c>
    </row>
    <row r="324">
      <c r="A324" t="inlineStr">
        <is>
          <t>ORD-00323</t>
        </is>
      </c>
      <c r="B324" s="2" t="n">
        <v>45815</v>
      </c>
      <c r="C324" s="2" t="n">
        <v>45822</v>
      </c>
      <c r="D324" t="inlineStr">
        <is>
          <t>CUST-00323</t>
        </is>
      </c>
      <c r="E324" t="inlineStr">
        <is>
          <t>Customer 323</t>
        </is>
      </c>
      <c r="F324" t="inlineStr">
        <is>
          <t>Corporate</t>
        </is>
      </c>
      <c r="G324" t="inlineStr">
        <is>
          <t>P1012</t>
        </is>
      </c>
      <c r="H324" t="inlineStr">
        <is>
          <t>Orbit Wireless Mouse</t>
        </is>
      </c>
      <c r="I324" t="inlineStr">
        <is>
          <t>Home Decor</t>
        </is>
      </c>
      <c r="J324" t="inlineStr">
        <is>
          <t>Bags</t>
        </is>
      </c>
      <c r="K324" t="inlineStr">
        <is>
          <t>North</t>
        </is>
      </c>
      <c r="L324" t="inlineStr">
        <is>
          <t>British Columbia</t>
        </is>
      </c>
      <c r="M324" t="inlineStr">
        <is>
          <t>Toronto</t>
        </is>
      </c>
      <c r="N324" t="inlineStr">
        <is>
          <t>Noah Kim</t>
        </is>
      </c>
      <c r="O324" t="n">
        <v>2</v>
      </c>
      <c r="P324" s="3" t="n">
        <v>140.67</v>
      </c>
      <c r="Q324" s="4" t="n">
        <v>0.023</v>
      </c>
      <c r="R324" s="3" t="n">
        <v>274.87</v>
      </c>
      <c r="S324" s="3" t="n">
        <v>144.05</v>
      </c>
      <c r="T324" s="3" t="n">
        <v>123.22</v>
      </c>
      <c r="U324" s="4" t="n">
        <v>0.4483</v>
      </c>
      <c r="V324" s="3" t="n">
        <v>7.6</v>
      </c>
      <c r="W324" t="inlineStr">
        <is>
          <t>Credit Card</t>
        </is>
      </c>
      <c r="X324" t="inlineStr">
        <is>
          <t>Low</t>
        </is>
      </c>
      <c r="Y324" t="n">
        <v>2025</v>
      </c>
      <c r="Z324" t="n">
        <v>6</v>
      </c>
      <c r="AA324" t="inlineStr">
        <is>
          <t>Jun</t>
        </is>
      </c>
      <c r="AB324" t="inlineStr">
        <is>
          <t>Saturday</t>
        </is>
      </c>
      <c r="AC324" t="n">
        <v>7</v>
      </c>
      <c r="AD324" t="inlineStr">
        <is>
          <t>Profitable</t>
        </is>
      </c>
      <c r="AE324" t="inlineStr">
        <is>
          <t>Medium</t>
        </is>
      </c>
      <c r="AF324" t="inlineStr">
        <is>
          <t>Small</t>
        </is>
      </c>
    </row>
    <row r="325">
      <c r="A325" t="inlineStr">
        <is>
          <t>ORD-00324</t>
        </is>
      </c>
      <c r="B325" s="2" t="n">
        <v>45211</v>
      </c>
      <c r="C325" s="2" t="n">
        <v>45215</v>
      </c>
      <c r="D325" t="inlineStr">
        <is>
          <t>CUST-00324</t>
        </is>
      </c>
      <c r="E325" t="inlineStr">
        <is>
          <t>Customer 324</t>
        </is>
      </c>
      <c r="F325" t="inlineStr">
        <is>
          <t>Corporate</t>
        </is>
      </c>
      <c r="G325" t="inlineStr">
        <is>
          <t>P1011</t>
        </is>
      </c>
      <c r="H325" t="inlineStr">
        <is>
          <t>Cove Wall Clock</t>
        </is>
      </c>
      <c r="I325" t="inlineStr">
        <is>
          <t>Technology</t>
        </is>
      </c>
      <c r="J325" t="inlineStr">
        <is>
          <t>Coolers</t>
        </is>
      </c>
      <c r="K325" t="inlineStr">
        <is>
          <t>South</t>
        </is>
      </c>
      <c r="L325" t="inlineStr">
        <is>
          <t>North Carolina</t>
        </is>
      </c>
      <c r="M325" t="inlineStr">
        <is>
          <t>Atlanta</t>
        </is>
      </c>
      <c r="N325" t="inlineStr">
        <is>
          <t>Olivia Martin</t>
        </is>
      </c>
      <c r="O325" t="n">
        <v>2</v>
      </c>
      <c r="P325" s="3" t="n">
        <v>88.40000000000001</v>
      </c>
      <c r="Q325" s="4" t="n">
        <v>0.048</v>
      </c>
      <c r="R325" s="3" t="n">
        <v>168.31</v>
      </c>
      <c r="S325" s="3" t="n">
        <v>85.09999999999999</v>
      </c>
      <c r="T325" s="3" t="n">
        <v>75.61</v>
      </c>
      <c r="U325" s="4" t="n">
        <v>0.4492</v>
      </c>
      <c r="V325" s="3" t="n">
        <v>7.6</v>
      </c>
      <c r="W325" t="inlineStr">
        <is>
          <t>Debit Card</t>
        </is>
      </c>
      <c r="X325" t="inlineStr">
        <is>
          <t>Critical</t>
        </is>
      </c>
      <c r="Y325" t="n">
        <v>2023</v>
      </c>
      <c r="Z325" t="n">
        <v>10</v>
      </c>
      <c r="AA325" t="inlineStr">
        <is>
          <t>Oct</t>
        </is>
      </c>
      <c r="AB325" t="inlineStr">
        <is>
          <t>Thursday</t>
        </is>
      </c>
      <c r="AC325" t="n">
        <v>4</v>
      </c>
      <c r="AD325" t="inlineStr">
        <is>
          <t>Profitable</t>
        </is>
      </c>
      <c r="AE325" t="inlineStr">
        <is>
          <t>Medium</t>
        </is>
      </c>
      <c r="AF325" t="inlineStr">
        <is>
          <t>Small</t>
        </is>
      </c>
    </row>
    <row r="326">
      <c r="A326" t="inlineStr">
        <is>
          <t>ORD-00325</t>
        </is>
      </c>
      <c r="B326" s="2" t="n">
        <v>45864</v>
      </c>
      <c r="C326" s="2" t="n">
        <v>45867</v>
      </c>
      <c r="D326" t="inlineStr">
        <is>
          <t>CUST-00325</t>
        </is>
      </c>
      <c r="E326" t="inlineStr">
        <is>
          <t>Customer 325</t>
        </is>
      </c>
      <c r="F326" t="inlineStr">
        <is>
          <t>Consumer</t>
        </is>
      </c>
      <c r="G326" t="inlineStr">
        <is>
          <t>P1010</t>
        </is>
      </c>
      <c r="H326" t="inlineStr">
        <is>
          <t>Aero Standing Desk</t>
        </is>
      </c>
      <c r="I326" t="inlineStr">
        <is>
          <t>Office Supplies</t>
        </is>
      </c>
      <c r="J326" t="inlineStr">
        <is>
          <t>Video</t>
        </is>
      </c>
      <c r="K326" t="inlineStr">
        <is>
          <t>East</t>
        </is>
      </c>
      <c r="L326" t="inlineStr">
        <is>
          <t>Massachusetts</t>
        </is>
      </c>
      <c r="M326" t="inlineStr">
        <is>
          <t>Philadelphia</t>
        </is>
      </c>
      <c r="N326" t="inlineStr">
        <is>
          <t>James Carter</t>
        </is>
      </c>
      <c r="O326" t="n">
        <v>3</v>
      </c>
      <c r="P326" s="3" t="n">
        <v>55.37</v>
      </c>
      <c r="Q326" s="4" t="n">
        <v>0.015</v>
      </c>
      <c r="R326" s="3" t="n">
        <v>163.62</v>
      </c>
      <c r="S326" s="3" t="n">
        <v>77.77</v>
      </c>
      <c r="T326" s="3" t="n">
        <v>76.45</v>
      </c>
      <c r="U326" s="4" t="n">
        <v>0.4672</v>
      </c>
      <c r="V326" s="3" t="n">
        <v>9.4</v>
      </c>
      <c r="W326" t="inlineStr">
        <is>
          <t>Cash on Delivery</t>
        </is>
      </c>
      <c r="X326" t="inlineStr">
        <is>
          <t>Medium</t>
        </is>
      </c>
      <c r="Y326" t="n">
        <v>2025</v>
      </c>
      <c r="Z326" t="n">
        <v>7</v>
      </c>
      <c r="AA326" t="inlineStr">
        <is>
          <t>Jul</t>
        </is>
      </c>
      <c r="AB326" t="inlineStr">
        <is>
          <t>Saturday</t>
        </is>
      </c>
      <c r="AC326" t="n">
        <v>3</v>
      </c>
      <c r="AD326" t="inlineStr">
        <is>
          <t>Profitable</t>
        </is>
      </c>
      <c r="AE326" t="inlineStr">
        <is>
          <t>Low</t>
        </is>
      </c>
      <c r="AF326" t="inlineStr">
        <is>
          <t>Small</t>
        </is>
      </c>
    </row>
    <row r="327">
      <c r="A327" t="inlineStr">
        <is>
          <t>ORD-00326</t>
        </is>
      </c>
      <c r="B327" s="2" t="n">
        <v>45970</v>
      </c>
      <c r="C327" s="2" t="n">
        <v>45973</v>
      </c>
      <c r="D327" t="inlineStr">
        <is>
          <t>CUST-00326</t>
        </is>
      </c>
      <c r="E327" t="inlineStr">
        <is>
          <t>Customer 326</t>
        </is>
      </c>
      <c r="F327" t="inlineStr">
        <is>
          <t>Corporate</t>
        </is>
      </c>
      <c r="G327" t="inlineStr">
        <is>
          <t>P1003</t>
        </is>
      </c>
      <c r="H327" t="inlineStr">
        <is>
          <t>Halo Planter</t>
        </is>
      </c>
      <c r="I327" t="inlineStr">
        <is>
          <t>Furniture</t>
        </is>
      </c>
      <c r="J327" t="inlineStr">
        <is>
          <t>Desks</t>
        </is>
      </c>
      <c r="K327" t="inlineStr">
        <is>
          <t>West</t>
        </is>
      </c>
      <c r="L327" t="inlineStr">
        <is>
          <t>Colorado</t>
        </is>
      </c>
      <c r="M327" t="inlineStr">
        <is>
          <t>Denver</t>
        </is>
      </c>
      <c r="N327" t="inlineStr">
        <is>
          <t>Ava Patel</t>
        </is>
      </c>
      <c r="O327" t="n">
        <v>4</v>
      </c>
      <c r="P327" s="3" t="n">
        <v>172.26</v>
      </c>
      <c r="Q327" s="4" t="n">
        <v>0.019</v>
      </c>
      <c r="R327" s="3" t="n">
        <v>675.95</v>
      </c>
      <c r="S327" s="3" t="n">
        <v>355.11</v>
      </c>
      <c r="T327" s="3" t="n">
        <v>310.64</v>
      </c>
      <c r="U327" s="4" t="n">
        <v>0.4596</v>
      </c>
      <c r="V327" s="3" t="n">
        <v>10.2</v>
      </c>
      <c r="W327" t="inlineStr">
        <is>
          <t>Bank Transfer</t>
        </is>
      </c>
      <c r="X327" t="inlineStr">
        <is>
          <t>Medium</t>
        </is>
      </c>
      <c r="Y327" t="n">
        <v>2025</v>
      </c>
      <c r="Z327" t="n">
        <v>11</v>
      </c>
      <c r="AA327" t="inlineStr">
        <is>
          <t>Nov</t>
        </is>
      </c>
      <c r="AB327" t="inlineStr">
        <is>
          <t>Sunday</t>
        </is>
      </c>
      <c r="AC327" t="n">
        <v>3</v>
      </c>
      <c r="AD327" t="inlineStr">
        <is>
          <t>Profitable</t>
        </is>
      </c>
      <c r="AE327" t="inlineStr">
        <is>
          <t>Low</t>
        </is>
      </c>
      <c r="AF327" t="inlineStr">
        <is>
          <t>Medium</t>
        </is>
      </c>
    </row>
    <row r="328">
      <c r="A328" t="inlineStr">
        <is>
          <t>ORD-00327</t>
        </is>
      </c>
      <c r="B328" s="2" t="n">
        <v>45643</v>
      </c>
      <c r="C328" s="2" t="n">
        <v>45647</v>
      </c>
      <c r="D328" t="inlineStr">
        <is>
          <t>CUST-00327</t>
        </is>
      </c>
      <c r="E328" t="inlineStr">
        <is>
          <t>Customer 327</t>
        </is>
      </c>
      <c r="F328" t="inlineStr">
        <is>
          <t>Corporate</t>
        </is>
      </c>
      <c r="G328" t="inlineStr">
        <is>
          <t>P1012</t>
        </is>
      </c>
      <c r="H328" t="inlineStr">
        <is>
          <t>Trail Tote</t>
        </is>
      </c>
      <c r="I328" t="inlineStr">
        <is>
          <t>Technology</t>
        </is>
      </c>
      <c r="J328" t="inlineStr">
        <is>
          <t>Lighting</t>
        </is>
      </c>
      <c r="K328" t="inlineStr">
        <is>
          <t>East</t>
        </is>
      </c>
      <c r="L328" t="inlineStr">
        <is>
          <t>New York</t>
        </is>
      </c>
      <c r="M328" t="inlineStr">
        <is>
          <t>Philadelphia</t>
        </is>
      </c>
      <c r="N328" t="inlineStr">
        <is>
          <t>Mia Rodriguez</t>
        </is>
      </c>
      <c r="O328" t="n">
        <v>2</v>
      </c>
      <c r="P328" s="3" t="n">
        <v>139.01</v>
      </c>
      <c r="Q328" s="4" t="n">
        <v>0.064</v>
      </c>
      <c r="R328" s="3" t="n">
        <v>260.23</v>
      </c>
      <c r="S328" s="3" t="n">
        <v>138.89</v>
      </c>
      <c r="T328" s="3" t="n">
        <v>112.74</v>
      </c>
      <c r="U328" s="4" t="n">
        <v>0.4332</v>
      </c>
      <c r="V328" s="3" t="n">
        <v>8.6</v>
      </c>
      <c r="W328" t="inlineStr">
        <is>
          <t>Debit Card</t>
        </is>
      </c>
      <c r="X328" t="inlineStr">
        <is>
          <t>High</t>
        </is>
      </c>
      <c r="Y328" t="n">
        <v>2024</v>
      </c>
      <c r="Z328" t="n">
        <v>12</v>
      </c>
      <c r="AA328" t="inlineStr">
        <is>
          <t>Dec</t>
        </is>
      </c>
      <c r="AB328" t="inlineStr">
        <is>
          <t>Tuesday</t>
        </is>
      </c>
      <c r="AC328" t="n">
        <v>4</v>
      </c>
      <c r="AD328" t="inlineStr">
        <is>
          <t>Profitable</t>
        </is>
      </c>
      <c r="AE328" t="inlineStr">
        <is>
          <t>High</t>
        </is>
      </c>
      <c r="AF328" t="inlineStr">
        <is>
          <t>Small</t>
        </is>
      </c>
    </row>
    <row r="329">
      <c r="A329" t="inlineStr">
        <is>
          <t>ORD-00328</t>
        </is>
      </c>
      <c r="B329" s="2" t="n">
        <v>45414</v>
      </c>
      <c r="C329" s="2" t="n">
        <v>45417</v>
      </c>
      <c r="D329" t="inlineStr">
        <is>
          <t>CUST-00328</t>
        </is>
      </c>
      <c r="E329" t="inlineStr">
        <is>
          <t>Customer 328</t>
        </is>
      </c>
      <c r="F329" t="inlineStr">
        <is>
          <t>Corporate</t>
        </is>
      </c>
      <c r="G329" t="inlineStr">
        <is>
          <t>P1004</t>
        </is>
      </c>
      <c r="H329" t="inlineStr">
        <is>
          <t>Nova Laptop Stand</t>
        </is>
      </c>
      <c r="I329" t="inlineStr">
        <is>
          <t>Office Supplies</t>
        </is>
      </c>
      <c r="J329" t="inlineStr">
        <is>
          <t>Lighting</t>
        </is>
      </c>
      <c r="K329" t="inlineStr">
        <is>
          <t>East</t>
        </is>
      </c>
      <c r="L329" t="inlineStr">
        <is>
          <t>New Jersey</t>
        </is>
      </c>
      <c r="M329" t="inlineStr">
        <is>
          <t>Philadelphia</t>
        </is>
      </c>
      <c r="N329" t="inlineStr">
        <is>
          <t>James Carter</t>
        </is>
      </c>
      <c r="O329" t="n">
        <v>4</v>
      </c>
      <c r="P329" s="3" t="n">
        <v>590.34</v>
      </c>
      <c r="Q329" s="4" t="n">
        <v>0.038</v>
      </c>
      <c r="R329" s="3" t="n">
        <v>2271.63</v>
      </c>
      <c r="S329" s="3" t="n">
        <v>1440.86</v>
      </c>
      <c r="T329" s="3" t="n">
        <v>820.5700000000001</v>
      </c>
      <c r="U329" s="4" t="n">
        <v>0.3612</v>
      </c>
      <c r="V329" s="3" t="n">
        <v>10.2</v>
      </c>
      <c r="W329" t="inlineStr">
        <is>
          <t>Cash on Delivery</t>
        </is>
      </c>
      <c r="X329" t="inlineStr">
        <is>
          <t>High</t>
        </is>
      </c>
      <c r="Y329" t="n">
        <v>2024</v>
      </c>
      <c r="Z329" t="n">
        <v>5</v>
      </c>
      <c r="AA329" t="inlineStr">
        <is>
          <t>May</t>
        </is>
      </c>
      <c r="AB329" t="inlineStr">
        <is>
          <t>Thursday</t>
        </is>
      </c>
      <c r="AC329" t="n">
        <v>3</v>
      </c>
      <c r="AD329" t="inlineStr">
        <is>
          <t>Profitable</t>
        </is>
      </c>
      <c r="AE329" t="inlineStr">
        <is>
          <t>Medium</t>
        </is>
      </c>
      <c r="AF329" t="inlineStr">
        <is>
          <t>Large</t>
        </is>
      </c>
    </row>
    <row r="330">
      <c r="A330" t="inlineStr">
        <is>
          <t>ORD-00329</t>
        </is>
      </c>
      <c r="B330" s="2" t="n">
        <v>45520</v>
      </c>
      <c r="C330" s="2" t="n">
        <v>45522</v>
      </c>
      <c r="D330" t="inlineStr">
        <is>
          <t>CUST-00329</t>
        </is>
      </c>
      <c r="E330" t="inlineStr">
        <is>
          <t>Customer 329</t>
        </is>
      </c>
      <c r="F330" t="inlineStr">
        <is>
          <t>Corporate</t>
        </is>
      </c>
      <c r="G330" t="inlineStr">
        <is>
          <t>P1010</t>
        </is>
      </c>
      <c r="H330" t="inlineStr">
        <is>
          <t>SmartInk Pen Set</t>
        </is>
      </c>
      <c r="I330" t="inlineStr">
        <is>
          <t>Home Decor</t>
        </is>
      </c>
      <c r="J330" t="inlineStr">
        <is>
          <t>Furniture</t>
        </is>
      </c>
      <c r="K330" t="inlineStr">
        <is>
          <t>Central</t>
        </is>
      </c>
      <c r="L330" t="inlineStr">
        <is>
          <t>Illinois</t>
        </is>
      </c>
      <c r="M330" t="inlineStr">
        <is>
          <t>Chicago</t>
        </is>
      </c>
      <c r="N330" t="inlineStr">
        <is>
          <t>Olivia Martin</t>
        </is>
      </c>
      <c r="O330" t="n">
        <v>1</v>
      </c>
      <c r="P330" s="3" t="n">
        <v>54.22</v>
      </c>
      <c r="Q330" s="4" t="n">
        <v>0.021</v>
      </c>
      <c r="R330" s="3" t="n">
        <v>53.08</v>
      </c>
      <c r="S330" s="3" t="n">
        <v>30.48</v>
      </c>
      <c r="T330" s="3" t="n">
        <v>15.8</v>
      </c>
      <c r="U330" s="4" t="n">
        <v>0.2977</v>
      </c>
      <c r="V330" s="3" t="n">
        <v>6.8</v>
      </c>
      <c r="W330" t="inlineStr">
        <is>
          <t>Credit Card</t>
        </is>
      </c>
      <c r="X330" t="inlineStr">
        <is>
          <t>Low</t>
        </is>
      </c>
      <c r="Y330" t="n">
        <v>2024</v>
      </c>
      <c r="Z330" t="n">
        <v>8</v>
      </c>
      <c r="AA330" t="inlineStr">
        <is>
          <t>Aug</t>
        </is>
      </c>
      <c r="AB330" t="inlineStr">
        <is>
          <t>Friday</t>
        </is>
      </c>
      <c r="AC330" t="n">
        <v>2</v>
      </c>
      <c r="AD330" t="inlineStr">
        <is>
          <t>Profitable</t>
        </is>
      </c>
      <c r="AE330" t="inlineStr">
        <is>
          <t>Medium</t>
        </is>
      </c>
      <c r="AF330" t="inlineStr">
        <is>
          <t>Small</t>
        </is>
      </c>
    </row>
    <row r="331">
      <c r="A331" t="inlineStr">
        <is>
          <t>ORD-00330</t>
        </is>
      </c>
      <c r="B331" s="2" t="n">
        <v>44964</v>
      </c>
      <c r="C331" s="2" t="n">
        <v>44965</v>
      </c>
      <c r="D331" t="inlineStr">
        <is>
          <t>CUST-00330</t>
        </is>
      </c>
      <c r="E331" t="inlineStr">
        <is>
          <t>Customer 330</t>
        </is>
      </c>
      <c r="F331" t="inlineStr">
        <is>
          <t>Corporate</t>
        </is>
      </c>
      <c r="G331" t="inlineStr">
        <is>
          <t>P1002</t>
        </is>
      </c>
      <c r="H331" t="inlineStr">
        <is>
          <t>SmartInk Pen Set</t>
        </is>
      </c>
      <c r="I331" t="inlineStr">
        <is>
          <t>Technology</t>
        </is>
      </c>
      <c r="J331" t="inlineStr">
        <is>
          <t>Storage</t>
        </is>
      </c>
      <c r="K331" t="inlineStr">
        <is>
          <t>East</t>
        </is>
      </c>
      <c r="L331" t="inlineStr">
        <is>
          <t>Massachusetts</t>
        </is>
      </c>
      <c r="M331" t="inlineStr">
        <is>
          <t>Philadelphia</t>
        </is>
      </c>
      <c r="N331" t="inlineStr">
        <is>
          <t>Ethan Brooks</t>
        </is>
      </c>
      <c r="O331" t="n">
        <v>1</v>
      </c>
      <c r="P331" s="3" t="n">
        <v>79.81999999999999</v>
      </c>
      <c r="Q331" s="4" t="n">
        <v>0.032</v>
      </c>
      <c r="R331" s="3" t="n">
        <v>77.27</v>
      </c>
      <c r="S331" s="3" t="n">
        <v>40.73</v>
      </c>
      <c r="T331" s="3" t="n">
        <v>28.74</v>
      </c>
      <c r="U331" s="4" t="n">
        <v>0.3719</v>
      </c>
      <c r="V331" s="3" t="n">
        <v>7.8</v>
      </c>
      <c r="W331" t="inlineStr">
        <is>
          <t>Cash on Delivery</t>
        </is>
      </c>
      <c r="X331" t="inlineStr">
        <is>
          <t>Medium</t>
        </is>
      </c>
      <c r="Y331" t="n">
        <v>2023</v>
      </c>
      <c r="Z331" t="n">
        <v>2</v>
      </c>
      <c r="AA331" t="inlineStr">
        <is>
          <t>Feb</t>
        </is>
      </c>
      <c r="AB331" t="inlineStr">
        <is>
          <t>Tuesday</t>
        </is>
      </c>
      <c r="AC331" t="n">
        <v>1</v>
      </c>
      <c r="AD331" t="inlineStr">
        <is>
          <t>Profitable</t>
        </is>
      </c>
      <c r="AE331" t="inlineStr">
        <is>
          <t>Medium</t>
        </is>
      </c>
      <c r="AF331" t="inlineStr">
        <is>
          <t>Small</t>
        </is>
      </c>
    </row>
    <row r="332">
      <c r="A332" t="inlineStr">
        <is>
          <t>ORD-00331</t>
        </is>
      </c>
      <c r="B332" s="2" t="n">
        <v>45400</v>
      </c>
      <c r="C332" s="2" t="n">
        <v>45406</v>
      </c>
      <c r="D332" t="inlineStr">
        <is>
          <t>CUST-00331</t>
        </is>
      </c>
      <c r="E332" t="inlineStr">
        <is>
          <t>Customer 331</t>
        </is>
      </c>
      <c r="F332" t="inlineStr">
        <is>
          <t>Consumer</t>
        </is>
      </c>
      <c r="G332" t="inlineStr">
        <is>
          <t>P1012</t>
        </is>
      </c>
      <c r="H332" t="inlineStr">
        <is>
          <t>Trail Tote</t>
        </is>
      </c>
      <c r="I332" t="inlineStr">
        <is>
          <t>Outdoor</t>
        </is>
      </c>
      <c r="J332" t="inlineStr">
        <is>
          <t>Peripherals</t>
        </is>
      </c>
      <c r="K332" t="inlineStr">
        <is>
          <t>East</t>
        </is>
      </c>
      <c r="L332" t="inlineStr">
        <is>
          <t>New Jersey</t>
        </is>
      </c>
      <c r="M332" t="inlineStr">
        <is>
          <t>Washington</t>
        </is>
      </c>
      <c r="N332" t="inlineStr">
        <is>
          <t>Ethan Brooks</t>
        </is>
      </c>
      <c r="O332" t="n">
        <v>1</v>
      </c>
      <c r="P332" s="3" t="n">
        <v>126.51</v>
      </c>
      <c r="Q332" s="4" t="n">
        <v>0.033</v>
      </c>
      <c r="R332" s="3" t="n">
        <v>122.34</v>
      </c>
      <c r="S332" s="3" t="n">
        <v>71.47</v>
      </c>
      <c r="T332" s="3" t="n">
        <v>43.07</v>
      </c>
      <c r="U332" s="4" t="n">
        <v>0.3521</v>
      </c>
      <c r="V332" s="3" t="n">
        <v>7.8</v>
      </c>
      <c r="W332" t="inlineStr">
        <is>
          <t>Bank Transfer</t>
        </is>
      </c>
      <c r="X332" t="inlineStr">
        <is>
          <t>High</t>
        </is>
      </c>
      <c r="Y332" t="n">
        <v>2024</v>
      </c>
      <c r="Z332" t="n">
        <v>4</v>
      </c>
      <c r="AA332" t="inlineStr">
        <is>
          <t>Apr</t>
        </is>
      </c>
      <c r="AB332" t="inlineStr">
        <is>
          <t>Thursday</t>
        </is>
      </c>
      <c r="AC332" t="n">
        <v>6</v>
      </c>
      <c r="AD332" t="inlineStr">
        <is>
          <t>Profitable</t>
        </is>
      </c>
      <c r="AE332" t="inlineStr">
        <is>
          <t>Medium</t>
        </is>
      </c>
      <c r="AF332" t="inlineStr">
        <is>
          <t>Small</t>
        </is>
      </c>
    </row>
    <row r="333">
      <c r="A333" t="inlineStr">
        <is>
          <t>ORD-00332</t>
        </is>
      </c>
      <c r="B333" s="2" t="n">
        <v>45815</v>
      </c>
      <c r="C333" s="2" t="n">
        <v>45822</v>
      </c>
      <c r="D333" t="inlineStr">
        <is>
          <t>CUST-00332</t>
        </is>
      </c>
      <c r="E333" t="inlineStr">
        <is>
          <t>Customer 332</t>
        </is>
      </c>
      <c r="F333" t="inlineStr">
        <is>
          <t>Home Office</t>
        </is>
      </c>
      <c r="G333" t="inlineStr">
        <is>
          <t>P1011</t>
        </is>
      </c>
      <c r="H333" t="inlineStr">
        <is>
          <t>Nova Laptop Stand</t>
        </is>
      </c>
      <c r="I333" t="inlineStr">
        <is>
          <t>Outdoor</t>
        </is>
      </c>
      <c r="J333" t="inlineStr">
        <is>
          <t>Paper</t>
        </is>
      </c>
      <c r="K333" t="inlineStr">
        <is>
          <t>South</t>
        </is>
      </c>
      <c r="L333" t="inlineStr">
        <is>
          <t>North Carolina</t>
        </is>
      </c>
      <c r="M333" t="inlineStr">
        <is>
          <t>Atlanta</t>
        </is>
      </c>
      <c r="N333" t="inlineStr">
        <is>
          <t>Sophia Singh</t>
        </is>
      </c>
      <c r="O333" t="n">
        <v>2</v>
      </c>
      <c r="P333" s="3" t="n">
        <v>84.83</v>
      </c>
      <c r="Q333" s="4" t="n">
        <v>0.023</v>
      </c>
      <c r="R333" s="3" t="n">
        <v>165.76</v>
      </c>
      <c r="S333" s="3" t="n">
        <v>86.18000000000001</v>
      </c>
      <c r="T333" s="3" t="n">
        <v>71.98</v>
      </c>
      <c r="U333" s="4" t="n">
        <v>0.4342</v>
      </c>
      <c r="V333" s="3" t="n">
        <v>7.6</v>
      </c>
      <c r="W333" t="inlineStr">
        <is>
          <t>PayPal</t>
        </is>
      </c>
      <c r="X333" t="inlineStr">
        <is>
          <t>High</t>
        </is>
      </c>
      <c r="Y333" t="n">
        <v>2025</v>
      </c>
      <c r="Z333" t="n">
        <v>6</v>
      </c>
      <c r="AA333" t="inlineStr">
        <is>
          <t>Jun</t>
        </is>
      </c>
      <c r="AB333" t="inlineStr">
        <is>
          <t>Saturday</t>
        </is>
      </c>
      <c r="AC333" t="n">
        <v>7</v>
      </c>
      <c r="AD333" t="inlineStr">
        <is>
          <t>Profitable</t>
        </is>
      </c>
      <c r="AE333" t="inlineStr">
        <is>
          <t>Medium</t>
        </is>
      </c>
      <c r="AF333" t="inlineStr">
        <is>
          <t>Small</t>
        </is>
      </c>
    </row>
    <row r="334">
      <c r="A334" t="inlineStr">
        <is>
          <t>ORD-00333</t>
        </is>
      </c>
      <c r="B334" s="2" t="n">
        <v>45017</v>
      </c>
      <c r="C334" s="2" t="n">
        <v>45019</v>
      </c>
      <c r="D334" t="inlineStr">
        <is>
          <t>CUST-00333</t>
        </is>
      </c>
      <c r="E334" t="inlineStr">
        <is>
          <t>Customer 333</t>
        </is>
      </c>
      <c r="F334" t="inlineStr">
        <is>
          <t>Consumer</t>
        </is>
      </c>
      <c r="G334" t="inlineStr">
        <is>
          <t>P1014</t>
        </is>
      </c>
      <c r="H334" t="inlineStr">
        <is>
          <t>Orbit Wireless Mouse</t>
        </is>
      </c>
      <c r="I334" t="inlineStr">
        <is>
          <t>Furniture</t>
        </is>
      </c>
      <c r="J334" t="inlineStr">
        <is>
          <t>Paper</t>
        </is>
      </c>
      <c r="K334" t="inlineStr">
        <is>
          <t>West</t>
        </is>
      </c>
      <c r="L334" t="inlineStr">
        <is>
          <t>California</t>
        </is>
      </c>
      <c r="M334" t="inlineStr">
        <is>
          <t>Denver</t>
        </is>
      </c>
      <c r="N334" t="inlineStr">
        <is>
          <t>Sophia Singh</t>
        </is>
      </c>
      <c r="O334" t="n">
        <v>2</v>
      </c>
      <c r="P334" s="3" t="n">
        <v>43.55</v>
      </c>
      <c r="Q334" s="4" t="n">
        <v>0.018</v>
      </c>
      <c r="R334" s="3" t="n">
        <v>85.53</v>
      </c>
      <c r="S334" s="3" t="n">
        <v>41.65</v>
      </c>
      <c r="T334" s="3" t="n">
        <v>35.28</v>
      </c>
      <c r="U334" s="4" t="n">
        <v>0.4125</v>
      </c>
      <c r="V334" s="3" t="n">
        <v>8.6</v>
      </c>
      <c r="W334" t="inlineStr">
        <is>
          <t>Credit Card</t>
        </is>
      </c>
      <c r="X334" t="inlineStr">
        <is>
          <t>High</t>
        </is>
      </c>
      <c r="Y334" t="n">
        <v>2023</v>
      </c>
      <c r="Z334" t="n">
        <v>4</v>
      </c>
      <c r="AA334" t="inlineStr">
        <is>
          <t>Apr</t>
        </is>
      </c>
      <c r="AB334" t="inlineStr">
        <is>
          <t>Saturday</t>
        </is>
      </c>
      <c r="AC334" t="n">
        <v>2</v>
      </c>
      <c r="AD334" t="inlineStr">
        <is>
          <t>Profitable</t>
        </is>
      </c>
      <c r="AE334" t="inlineStr">
        <is>
          <t>Low</t>
        </is>
      </c>
      <c r="AF334" t="inlineStr">
        <is>
          <t>Small</t>
        </is>
      </c>
    </row>
    <row r="335">
      <c r="A335" t="inlineStr">
        <is>
          <t>ORD-00334</t>
        </is>
      </c>
      <c r="B335" s="2" t="n">
        <v>45233</v>
      </c>
      <c r="C335" s="2" t="n">
        <v>45234</v>
      </c>
      <c r="D335" t="inlineStr">
        <is>
          <t>CUST-00334</t>
        </is>
      </c>
      <c r="E335" t="inlineStr">
        <is>
          <t>Customer 334</t>
        </is>
      </c>
      <c r="F335" t="inlineStr">
        <is>
          <t>Home Office</t>
        </is>
      </c>
      <c r="G335" t="inlineStr">
        <is>
          <t>P1015</t>
        </is>
      </c>
      <c r="H335" t="inlineStr">
        <is>
          <t>Trail Tote</t>
        </is>
      </c>
      <c r="I335" t="inlineStr">
        <is>
          <t>Technology</t>
        </is>
      </c>
      <c r="J335" t="inlineStr">
        <is>
          <t>Flooring</t>
        </is>
      </c>
      <c r="K335" t="inlineStr">
        <is>
          <t>West</t>
        </is>
      </c>
      <c r="L335" t="inlineStr">
        <is>
          <t>California</t>
        </is>
      </c>
      <c r="M335" t="inlineStr">
        <is>
          <t>Denver</t>
        </is>
      </c>
      <c r="N335" t="inlineStr">
        <is>
          <t>Mia Rodriguez</t>
        </is>
      </c>
      <c r="O335" t="n">
        <v>3</v>
      </c>
      <c r="P335" s="3" t="n">
        <v>74.7</v>
      </c>
      <c r="Q335" s="4" t="n">
        <v>0.029</v>
      </c>
      <c r="R335" s="3" t="n">
        <v>217.6</v>
      </c>
      <c r="S335" s="3" t="n">
        <v>98.03</v>
      </c>
      <c r="T335" s="3" t="n">
        <v>110.17</v>
      </c>
      <c r="U335" s="4" t="n">
        <v>0.5063</v>
      </c>
      <c r="V335" s="3" t="n">
        <v>9.4</v>
      </c>
      <c r="W335" t="inlineStr">
        <is>
          <t>Bank Transfer</t>
        </is>
      </c>
      <c r="X335" t="inlineStr">
        <is>
          <t>Medium</t>
        </is>
      </c>
      <c r="Y335" t="n">
        <v>2023</v>
      </c>
      <c r="Z335" t="n">
        <v>11</v>
      </c>
      <c r="AA335" t="inlineStr">
        <is>
          <t>Nov</t>
        </is>
      </c>
      <c r="AB335" t="inlineStr">
        <is>
          <t>Friday</t>
        </is>
      </c>
      <c r="AC335" t="n">
        <v>1</v>
      </c>
      <c r="AD335" t="inlineStr">
        <is>
          <t>Profitable</t>
        </is>
      </c>
      <c r="AE335" t="inlineStr">
        <is>
          <t>Medium</t>
        </is>
      </c>
      <c r="AF335" t="inlineStr">
        <is>
          <t>Small</t>
        </is>
      </c>
    </row>
    <row r="336">
      <c r="A336" t="inlineStr">
        <is>
          <t>ORD-00335</t>
        </is>
      </c>
      <c r="B336" s="2" t="n">
        <v>45006</v>
      </c>
      <c r="C336" s="2" t="n">
        <v>45009</v>
      </c>
      <c r="D336" t="inlineStr">
        <is>
          <t>CUST-00335</t>
        </is>
      </c>
      <c r="E336" t="inlineStr">
        <is>
          <t>Customer 335</t>
        </is>
      </c>
      <c r="F336" t="inlineStr">
        <is>
          <t>Consumer</t>
        </is>
      </c>
      <c r="G336" t="inlineStr">
        <is>
          <t>P1014</t>
        </is>
      </c>
      <c r="H336" t="inlineStr">
        <is>
          <t>Harbor Rug</t>
        </is>
      </c>
      <c r="I336" t="inlineStr">
        <is>
          <t>Office Supplies</t>
        </is>
      </c>
      <c r="J336" t="inlineStr">
        <is>
          <t>Desks</t>
        </is>
      </c>
      <c r="K336" t="inlineStr">
        <is>
          <t>East</t>
        </is>
      </c>
      <c r="L336" t="inlineStr">
        <is>
          <t>New Jersey</t>
        </is>
      </c>
      <c r="M336" t="inlineStr">
        <is>
          <t>New York</t>
        </is>
      </c>
      <c r="N336" t="inlineStr">
        <is>
          <t>Sophia Singh</t>
        </is>
      </c>
      <c r="O336" t="n">
        <v>6</v>
      </c>
      <c r="P336" s="3" t="n">
        <v>44.12</v>
      </c>
      <c r="Q336" s="4" t="n">
        <v>0.003</v>
      </c>
      <c r="R336" s="3" t="n">
        <v>263.93</v>
      </c>
      <c r="S336" s="3" t="n">
        <v>108.89</v>
      </c>
      <c r="T336" s="3" t="n">
        <v>143.24</v>
      </c>
      <c r="U336" s="4" t="n">
        <v>0.5427</v>
      </c>
      <c r="V336" s="3" t="n">
        <v>11.8</v>
      </c>
      <c r="W336" t="inlineStr">
        <is>
          <t>Credit Card</t>
        </is>
      </c>
      <c r="X336" t="inlineStr">
        <is>
          <t>Low</t>
        </is>
      </c>
      <c r="Y336" t="n">
        <v>2023</v>
      </c>
      <c r="Z336" t="n">
        <v>3</v>
      </c>
      <c r="AA336" t="inlineStr">
        <is>
          <t>Mar</t>
        </is>
      </c>
      <c r="AB336" t="inlineStr">
        <is>
          <t>Tuesday</t>
        </is>
      </c>
      <c r="AC336" t="n">
        <v>3</v>
      </c>
      <c r="AD336" t="inlineStr">
        <is>
          <t>Profitable</t>
        </is>
      </c>
      <c r="AE336" t="inlineStr">
        <is>
          <t>Low</t>
        </is>
      </c>
      <c r="AF336" t="inlineStr">
        <is>
          <t>Small</t>
        </is>
      </c>
    </row>
    <row r="337">
      <c r="A337" t="inlineStr">
        <is>
          <t>ORD-00336</t>
        </is>
      </c>
      <c r="B337" s="2" t="n">
        <v>45135</v>
      </c>
      <c r="C337" s="2" t="n">
        <v>45141</v>
      </c>
      <c r="D337" t="inlineStr">
        <is>
          <t>CUST-00336</t>
        </is>
      </c>
      <c r="E337" t="inlineStr">
        <is>
          <t>Customer 336</t>
        </is>
      </c>
      <c r="F337" t="inlineStr">
        <is>
          <t>Consumer</t>
        </is>
      </c>
      <c r="G337" t="inlineStr">
        <is>
          <t>P1012</t>
        </is>
      </c>
      <c r="H337" t="inlineStr">
        <is>
          <t>ProClip Binder</t>
        </is>
      </c>
      <c r="I337" t="inlineStr">
        <is>
          <t>Furniture</t>
        </is>
      </c>
      <c r="J337" t="inlineStr">
        <is>
          <t>Flooring</t>
        </is>
      </c>
      <c r="K337" t="inlineStr">
        <is>
          <t>East</t>
        </is>
      </c>
      <c r="L337" t="inlineStr">
        <is>
          <t>New York</t>
        </is>
      </c>
      <c r="M337" t="inlineStr">
        <is>
          <t>Philadelphia</t>
        </is>
      </c>
      <c r="N337" t="inlineStr">
        <is>
          <t>Sophia Singh</t>
        </is>
      </c>
      <c r="O337" t="n">
        <v>4</v>
      </c>
      <c r="P337" s="3" t="n">
        <v>137.16</v>
      </c>
      <c r="Q337" s="4" t="n">
        <v>0.018</v>
      </c>
      <c r="R337" s="3" t="n">
        <v>538.76</v>
      </c>
      <c r="S337" s="3" t="n">
        <v>272.92</v>
      </c>
      <c r="T337" s="3" t="n">
        <v>255.64</v>
      </c>
      <c r="U337" s="4" t="n">
        <v>0.4745</v>
      </c>
      <c r="V337" s="3" t="n">
        <v>10.2</v>
      </c>
      <c r="W337" t="inlineStr">
        <is>
          <t>Credit Card</t>
        </is>
      </c>
      <c r="X337" t="inlineStr">
        <is>
          <t>High</t>
        </is>
      </c>
      <c r="Y337" t="n">
        <v>2023</v>
      </c>
      <c r="Z337" t="n">
        <v>7</v>
      </c>
      <c r="AA337" t="inlineStr">
        <is>
          <t>Jul</t>
        </is>
      </c>
      <c r="AB337" t="inlineStr">
        <is>
          <t>Friday</t>
        </is>
      </c>
      <c r="AC337" t="n">
        <v>6</v>
      </c>
      <c r="AD337" t="inlineStr">
        <is>
          <t>Profitable</t>
        </is>
      </c>
      <c r="AE337" t="inlineStr">
        <is>
          <t>Low</t>
        </is>
      </c>
      <c r="AF337" t="inlineStr">
        <is>
          <t>Medium</t>
        </is>
      </c>
    </row>
    <row r="338">
      <c r="A338" t="inlineStr">
        <is>
          <t>ORD-00337</t>
        </is>
      </c>
      <c r="B338" s="2" t="n">
        <v>45911</v>
      </c>
      <c r="C338" s="2" t="n">
        <v>45913</v>
      </c>
      <c r="D338" t="inlineStr">
        <is>
          <t>CUST-00337</t>
        </is>
      </c>
      <c r="E338" t="inlineStr">
        <is>
          <t>Customer 337</t>
        </is>
      </c>
      <c r="F338" t="inlineStr">
        <is>
          <t>Corporate</t>
        </is>
      </c>
      <c r="G338" t="inlineStr">
        <is>
          <t>P1002</t>
        </is>
      </c>
      <c r="H338" t="inlineStr">
        <is>
          <t>Aero Standing Desk</t>
        </is>
      </c>
      <c r="I338" t="inlineStr">
        <is>
          <t>Outdoor</t>
        </is>
      </c>
      <c r="J338" t="inlineStr">
        <is>
          <t>Textiles</t>
        </is>
      </c>
      <c r="K338" t="inlineStr">
        <is>
          <t>Central</t>
        </is>
      </c>
      <c r="L338" t="inlineStr">
        <is>
          <t>Missouri</t>
        </is>
      </c>
      <c r="M338" t="inlineStr">
        <is>
          <t>Kansas City</t>
        </is>
      </c>
      <c r="N338" t="inlineStr">
        <is>
          <t>Liam Chen</t>
        </is>
      </c>
      <c r="O338" t="n">
        <v>4</v>
      </c>
      <c r="P338" s="3" t="n">
        <v>79.40000000000001</v>
      </c>
      <c r="Q338" s="4" t="n">
        <v>0.02</v>
      </c>
      <c r="R338" s="3" t="n">
        <v>311.25</v>
      </c>
      <c r="S338" s="3" t="n">
        <v>144.2</v>
      </c>
      <c r="T338" s="3" t="n">
        <v>157.85</v>
      </c>
      <c r="U338" s="4" t="n">
        <v>0.5071</v>
      </c>
      <c r="V338" s="3" t="n">
        <v>9.199999999999999</v>
      </c>
      <c r="W338" t="inlineStr">
        <is>
          <t>PayPal</t>
        </is>
      </c>
      <c r="X338" t="inlineStr">
        <is>
          <t>Medium</t>
        </is>
      </c>
      <c r="Y338" t="n">
        <v>2025</v>
      </c>
      <c r="Z338" t="n">
        <v>9</v>
      </c>
      <c r="AA338" t="inlineStr">
        <is>
          <t>Sep</t>
        </is>
      </c>
      <c r="AB338" t="inlineStr">
        <is>
          <t>Thursday</t>
        </is>
      </c>
      <c r="AC338" t="n">
        <v>2</v>
      </c>
      <c r="AD338" t="inlineStr">
        <is>
          <t>Profitable</t>
        </is>
      </c>
      <c r="AE338" t="inlineStr">
        <is>
          <t>Medium</t>
        </is>
      </c>
      <c r="AF338" t="inlineStr">
        <is>
          <t>Small</t>
        </is>
      </c>
    </row>
    <row r="339">
      <c r="A339" t="inlineStr">
        <is>
          <t>ORD-00338</t>
        </is>
      </c>
      <c r="B339" s="2" t="n">
        <v>45952</v>
      </c>
      <c r="C339" s="2" t="n">
        <v>45957</v>
      </c>
      <c r="D339" t="inlineStr">
        <is>
          <t>CUST-00338</t>
        </is>
      </c>
      <c r="E339" t="inlineStr">
        <is>
          <t>Customer 338</t>
        </is>
      </c>
      <c r="F339" t="inlineStr">
        <is>
          <t>Consumer</t>
        </is>
      </c>
      <c r="G339" t="inlineStr">
        <is>
          <t>P1002</t>
        </is>
      </c>
      <c r="H339" t="inlineStr">
        <is>
          <t>Summit Patio Set</t>
        </is>
      </c>
      <c r="I339" t="inlineStr">
        <is>
          <t>Furniture</t>
        </is>
      </c>
      <c r="J339" t="inlineStr">
        <is>
          <t>Video</t>
        </is>
      </c>
      <c r="K339" t="inlineStr">
        <is>
          <t>West</t>
        </is>
      </c>
      <c r="L339" t="inlineStr">
        <is>
          <t>Oregon</t>
        </is>
      </c>
      <c r="M339" t="inlineStr">
        <is>
          <t>Seattle</t>
        </is>
      </c>
      <c r="N339" t="inlineStr">
        <is>
          <t>Olivia Martin</t>
        </is>
      </c>
      <c r="O339" t="n">
        <v>4</v>
      </c>
      <c r="P339" s="3" t="n">
        <v>93.40000000000001</v>
      </c>
      <c r="Q339" s="4" t="n">
        <v>0.017</v>
      </c>
      <c r="R339" s="3" t="n">
        <v>367.25</v>
      </c>
      <c r="S339" s="3" t="n">
        <v>173.05</v>
      </c>
      <c r="T339" s="3" t="n">
        <v>184</v>
      </c>
      <c r="U339" s="4" t="n">
        <v>0.501</v>
      </c>
      <c r="V339" s="3" t="n">
        <v>10.2</v>
      </c>
      <c r="W339" t="inlineStr">
        <is>
          <t>Credit Card</t>
        </is>
      </c>
      <c r="X339" t="inlineStr">
        <is>
          <t>Low</t>
        </is>
      </c>
      <c r="Y339" t="n">
        <v>2025</v>
      </c>
      <c r="Z339" t="n">
        <v>10</v>
      </c>
      <c r="AA339" t="inlineStr">
        <is>
          <t>Oct</t>
        </is>
      </c>
      <c r="AB339" t="inlineStr">
        <is>
          <t>Wednesday</t>
        </is>
      </c>
      <c r="AC339" t="n">
        <v>5</v>
      </c>
      <c r="AD339" t="inlineStr">
        <is>
          <t>Profitable</t>
        </is>
      </c>
      <c r="AE339" t="inlineStr">
        <is>
          <t>Low</t>
        </is>
      </c>
      <c r="AF339" t="inlineStr">
        <is>
          <t>Small</t>
        </is>
      </c>
    </row>
    <row r="340">
      <c r="A340" t="inlineStr">
        <is>
          <t>ORD-00339</t>
        </is>
      </c>
      <c r="B340" s="2" t="n">
        <v>45458</v>
      </c>
      <c r="C340" s="2" t="n">
        <v>45465</v>
      </c>
      <c r="D340" t="inlineStr">
        <is>
          <t>CUST-00339</t>
        </is>
      </c>
      <c r="E340" t="inlineStr">
        <is>
          <t>Customer 339</t>
        </is>
      </c>
      <c r="F340" t="inlineStr">
        <is>
          <t>Home Office</t>
        </is>
      </c>
      <c r="G340" t="inlineStr">
        <is>
          <t>P1001</t>
        </is>
      </c>
      <c r="H340" t="inlineStr">
        <is>
          <t>Cove Wall Clock</t>
        </is>
      </c>
      <c r="I340" t="inlineStr">
        <is>
          <t>Furniture</t>
        </is>
      </c>
      <c r="J340" t="inlineStr">
        <is>
          <t>Decor</t>
        </is>
      </c>
      <c r="K340" t="inlineStr">
        <is>
          <t>East</t>
        </is>
      </c>
      <c r="L340" t="inlineStr">
        <is>
          <t>New York</t>
        </is>
      </c>
      <c r="M340" t="inlineStr">
        <is>
          <t>Boston</t>
        </is>
      </c>
      <c r="N340" t="inlineStr">
        <is>
          <t>Liam Chen</t>
        </is>
      </c>
      <c r="O340" t="n">
        <v>2</v>
      </c>
      <c r="P340" s="3" t="n">
        <v>300.14</v>
      </c>
      <c r="Q340" s="4" t="n">
        <v>0.025</v>
      </c>
      <c r="R340" s="3" t="n">
        <v>585.27</v>
      </c>
      <c r="S340" s="3" t="n">
        <v>351.16</v>
      </c>
      <c r="T340" s="3" t="n">
        <v>225.51</v>
      </c>
      <c r="U340" s="4" t="n">
        <v>0.3853</v>
      </c>
      <c r="V340" s="3" t="n">
        <v>8.6</v>
      </c>
      <c r="W340" t="inlineStr">
        <is>
          <t>Debit Card</t>
        </is>
      </c>
      <c r="X340" t="inlineStr">
        <is>
          <t>Medium</t>
        </is>
      </c>
      <c r="Y340" t="n">
        <v>2024</v>
      </c>
      <c r="Z340" t="n">
        <v>6</v>
      </c>
      <c r="AA340" t="inlineStr">
        <is>
          <t>Jun</t>
        </is>
      </c>
      <c r="AB340" t="inlineStr">
        <is>
          <t>Saturday</t>
        </is>
      </c>
      <c r="AC340" t="n">
        <v>7</v>
      </c>
      <c r="AD340" t="inlineStr">
        <is>
          <t>Profitable</t>
        </is>
      </c>
      <c r="AE340" t="inlineStr">
        <is>
          <t>Medium</t>
        </is>
      </c>
      <c r="AF340" t="inlineStr">
        <is>
          <t>Medium</t>
        </is>
      </c>
    </row>
    <row r="341">
      <c r="A341" t="inlineStr">
        <is>
          <t>ORD-00340</t>
        </is>
      </c>
      <c r="B341" s="2" t="n">
        <v>45255</v>
      </c>
      <c r="C341" s="2" t="n">
        <v>45259</v>
      </c>
      <c r="D341" t="inlineStr">
        <is>
          <t>CUST-00340</t>
        </is>
      </c>
      <c r="E341" t="inlineStr">
        <is>
          <t>Customer 340</t>
        </is>
      </c>
      <c r="F341" t="inlineStr">
        <is>
          <t>Consumer</t>
        </is>
      </c>
      <c r="G341" t="inlineStr">
        <is>
          <t>P1020</t>
        </is>
      </c>
      <c r="H341" t="inlineStr">
        <is>
          <t>Nimbus Monitor Arm</t>
        </is>
      </c>
      <c r="I341" t="inlineStr">
        <is>
          <t>Technology</t>
        </is>
      </c>
      <c r="J341" t="inlineStr">
        <is>
          <t>Accessories</t>
        </is>
      </c>
      <c r="K341" t="inlineStr">
        <is>
          <t>East</t>
        </is>
      </c>
      <c r="L341" t="inlineStr">
        <is>
          <t>New Jersey</t>
        </is>
      </c>
      <c r="M341" t="inlineStr">
        <is>
          <t>Washington</t>
        </is>
      </c>
      <c r="N341" t="inlineStr">
        <is>
          <t>Liam Chen</t>
        </is>
      </c>
      <c r="O341" t="n">
        <v>2</v>
      </c>
      <c r="P341" s="3" t="n">
        <v>79.25</v>
      </c>
      <c r="Q341" s="4" t="n">
        <v>0.051</v>
      </c>
      <c r="R341" s="3" t="n">
        <v>150.42</v>
      </c>
      <c r="S341" s="3" t="n">
        <v>73.3</v>
      </c>
      <c r="T341" s="3" t="n">
        <v>68.52</v>
      </c>
      <c r="U341" s="4" t="n">
        <v>0.4555</v>
      </c>
      <c r="V341" s="3" t="n">
        <v>8.6</v>
      </c>
      <c r="W341" t="inlineStr">
        <is>
          <t>PayPal</t>
        </is>
      </c>
      <c r="X341" t="inlineStr">
        <is>
          <t>High</t>
        </is>
      </c>
      <c r="Y341" t="n">
        <v>2023</v>
      </c>
      <c r="Z341" t="n">
        <v>11</v>
      </c>
      <c r="AA341" t="inlineStr">
        <is>
          <t>Nov</t>
        </is>
      </c>
      <c r="AB341" t="inlineStr">
        <is>
          <t>Saturday</t>
        </is>
      </c>
      <c r="AC341" t="n">
        <v>4</v>
      </c>
      <c r="AD341" t="inlineStr">
        <is>
          <t>Profitable</t>
        </is>
      </c>
      <c r="AE341" t="inlineStr">
        <is>
          <t>High</t>
        </is>
      </c>
      <c r="AF341" t="inlineStr">
        <is>
          <t>Small</t>
        </is>
      </c>
    </row>
    <row r="342">
      <c r="A342" t="inlineStr">
        <is>
          <t>ORD-00341</t>
        </is>
      </c>
      <c r="B342" s="2" t="n">
        <v>45529</v>
      </c>
      <c r="C342" s="2" t="n">
        <v>45536</v>
      </c>
      <c r="D342" t="inlineStr">
        <is>
          <t>CUST-00341</t>
        </is>
      </c>
      <c r="E342" t="inlineStr">
        <is>
          <t>Customer 341</t>
        </is>
      </c>
      <c r="F342" t="inlineStr">
        <is>
          <t>Corporate</t>
        </is>
      </c>
      <c r="G342" t="inlineStr">
        <is>
          <t>P1015</t>
        </is>
      </c>
      <c r="H342" t="inlineStr">
        <is>
          <t>ErgoMesh Chair</t>
        </is>
      </c>
      <c r="I342" t="inlineStr">
        <is>
          <t>Home Decor</t>
        </is>
      </c>
      <c r="J342" t="inlineStr">
        <is>
          <t>Binders</t>
        </is>
      </c>
      <c r="K342" t="inlineStr">
        <is>
          <t>East</t>
        </is>
      </c>
      <c r="L342" t="inlineStr">
        <is>
          <t>Virginia</t>
        </is>
      </c>
      <c r="M342" t="inlineStr">
        <is>
          <t>Philadelphia</t>
        </is>
      </c>
      <c r="N342" t="inlineStr">
        <is>
          <t>Ethan Brooks</t>
        </is>
      </c>
      <c r="O342" t="n">
        <v>4</v>
      </c>
      <c r="P342" s="3" t="n">
        <v>74.62</v>
      </c>
      <c r="Q342" s="4" t="n">
        <v>0.029</v>
      </c>
      <c r="R342" s="3" t="n">
        <v>289.82</v>
      </c>
      <c r="S342" s="3" t="n">
        <v>127.67</v>
      </c>
      <c r="T342" s="3" t="n">
        <v>151.95</v>
      </c>
      <c r="U342" s="4" t="n">
        <v>0.5243</v>
      </c>
      <c r="V342" s="3" t="n">
        <v>10.2</v>
      </c>
      <c r="W342" t="inlineStr">
        <is>
          <t>Credit Card</t>
        </is>
      </c>
      <c r="X342" t="inlineStr">
        <is>
          <t>High</t>
        </is>
      </c>
      <c r="Y342" t="n">
        <v>2024</v>
      </c>
      <c r="Z342" t="n">
        <v>8</v>
      </c>
      <c r="AA342" t="inlineStr">
        <is>
          <t>Aug</t>
        </is>
      </c>
      <c r="AB342" t="inlineStr">
        <is>
          <t>Sunday</t>
        </is>
      </c>
      <c r="AC342" t="n">
        <v>7</v>
      </c>
      <c r="AD342" t="inlineStr">
        <is>
          <t>Profitable</t>
        </is>
      </c>
      <c r="AE342" t="inlineStr">
        <is>
          <t>Medium</t>
        </is>
      </c>
      <c r="AF342" t="inlineStr">
        <is>
          <t>Small</t>
        </is>
      </c>
    </row>
    <row r="343">
      <c r="A343" t="inlineStr">
        <is>
          <t>ORD-00342</t>
        </is>
      </c>
      <c r="B343" s="2" t="n">
        <v>45446</v>
      </c>
      <c r="C343" s="2" t="n">
        <v>45447</v>
      </c>
      <c r="D343" t="inlineStr">
        <is>
          <t>CUST-00342</t>
        </is>
      </c>
      <c r="E343" t="inlineStr">
        <is>
          <t>Customer 342</t>
        </is>
      </c>
      <c r="F343" t="inlineStr">
        <is>
          <t>Consumer</t>
        </is>
      </c>
      <c r="G343" t="inlineStr">
        <is>
          <t>P1010</t>
        </is>
      </c>
      <c r="H343" t="inlineStr">
        <is>
          <t>Tide Cooler</t>
        </is>
      </c>
      <c r="I343" t="inlineStr">
        <is>
          <t>Outdoor</t>
        </is>
      </c>
      <c r="J343" t="inlineStr">
        <is>
          <t>Storage</t>
        </is>
      </c>
      <c r="K343" t="inlineStr">
        <is>
          <t>West</t>
        </is>
      </c>
      <c r="L343" t="inlineStr">
        <is>
          <t>California</t>
        </is>
      </c>
      <c r="M343" t="inlineStr">
        <is>
          <t>San Francisco</t>
        </is>
      </c>
      <c r="N343" t="inlineStr">
        <is>
          <t>Olivia Martin</t>
        </is>
      </c>
      <c r="O343" t="n">
        <v>3</v>
      </c>
      <c r="P343" s="3" t="n">
        <v>59.97</v>
      </c>
      <c r="Q343" s="4" t="n">
        <v>0.051</v>
      </c>
      <c r="R343" s="3" t="n">
        <v>170.73</v>
      </c>
      <c r="S343" s="3" t="n">
        <v>81.59999999999999</v>
      </c>
      <c r="T343" s="3" t="n">
        <v>79.73</v>
      </c>
      <c r="U343" s="4" t="n">
        <v>0.467</v>
      </c>
      <c r="V343" s="3" t="n">
        <v>9.4</v>
      </c>
      <c r="W343" t="inlineStr">
        <is>
          <t>Debit Card</t>
        </is>
      </c>
      <c r="X343" t="inlineStr">
        <is>
          <t>High</t>
        </is>
      </c>
      <c r="Y343" t="n">
        <v>2024</v>
      </c>
      <c r="Z343" t="n">
        <v>6</v>
      </c>
      <c r="AA343" t="inlineStr">
        <is>
          <t>Jun</t>
        </is>
      </c>
      <c r="AB343" t="inlineStr">
        <is>
          <t>Monday</t>
        </is>
      </c>
      <c r="AC343" t="n">
        <v>1</v>
      </c>
      <c r="AD343" t="inlineStr">
        <is>
          <t>Profitable</t>
        </is>
      </c>
      <c r="AE343" t="inlineStr">
        <is>
          <t>High</t>
        </is>
      </c>
      <c r="AF343" t="inlineStr">
        <is>
          <t>Small</t>
        </is>
      </c>
    </row>
    <row r="344">
      <c r="A344" t="inlineStr">
        <is>
          <t>ORD-00343</t>
        </is>
      </c>
      <c r="B344" s="2" t="n">
        <v>44981</v>
      </c>
      <c r="C344" s="2" t="n">
        <v>44982</v>
      </c>
      <c r="D344" t="inlineStr">
        <is>
          <t>CUST-00343</t>
        </is>
      </c>
      <c r="E344" t="inlineStr">
        <is>
          <t>Customer 343</t>
        </is>
      </c>
      <c r="F344" t="inlineStr">
        <is>
          <t>Consumer</t>
        </is>
      </c>
      <c r="G344" t="inlineStr">
        <is>
          <t>P1020</t>
        </is>
      </c>
      <c r="H344" t="inlineStr">
        <is>
          <t>Lumen Desk Lamp</t>
        </is>
      </c>
      <c r="I344" t="inlineStr">
        <is>
          <t>Office Supplies</t>
        </is>
      </c>
      <c r="J344" t="inlineStr">
        <is>
          <t>Textiles</t>
        </is>
      </c>
      <c r="K344" t="inlineStr">
        <is>
          <t>Central</t>
        </is>
      </c>
      <c r="L344" t="inlineStr">
        <is>
          <t>Minnesota</t>
        </is>
      </c>
      <c r="M344" t="inlineStr">
        <is>
          <t>Minneapolis</t>
        </is>
      </c>
      <c r="N344" t="inlineStr">
        <is>
          <t>Olivia Martin</t>
        </is>
      </c>
      <c r="O344" t="n">
        <v>2</v>
      </c>
      <c r="P344" s="3" t="n">
        <v>72.56</v>
      </c>
      <c r="Q344" s="4" t="n">
        <v>0.008</v>
      </c>
      <c r="R344" s="3" t="n">
        <v>143.96</v>
      </c>
      <c r="S344" s="3" t="n">
        <v>71.94</v>
      </c>
      <c r="T344" s="3" t="n">
        <v>64.42</v>
      </c>
      <c r="U344" s="4" t="n">
        <v>0.4475</v>
      </c>
      <c r="V344" s="3" t="n">
        <v>7.6</v>
      </c>
      <c r="W344" t="inlineStr">
        <is>
          <t>Credit Card</t>
        </is>
      </c>
      <c r="X344" t="inlineStr">
        <is>
          <t>Medium</t>
        </is>
      </c>
      <c r="Y344" t="n">
        <v>2023</v>
      </c>
      <c r="Z344" t="n">
        <v>2</v>
      </c>
      <c r="AA344" t="inlineStr">
        <is>
          <t>Feb</t>
        </is>
      </c>
      <c r="AB344" t="inlineStr">
        <is>
          <t>Friday</t>
        </is>
      </c>
      <c r="AC344" t="n">
        <v>1</v>
      </c>
      <c r="AD344" t="inlineStr">
        <is>
          <t>Profitable</t>
        </is>
      </c>
      <c r="AE344" t="inlineStr">
        <is>
          <t>Low</t>
        </is>
      </c>
      <c r="AF344" t="inlineStr">
        <is>
          <t>Small</t>
        </is>
      </c>
    </row>
    <row r="345">
      <c r="A345" t="inlineStr">
        <is>
          <t>ORD-00344</t>
        </is>
      </c>
      <c r="B345" s="2" t="n">
        <v>45486</v>
      </c>
      <c r="C345" s="2" t="n">
        <v>45491</v>
      </c>
      <c r="D345" t="inlineStr">
        <is>
          <t>CUST-00344</t>
        </is>
      </c>
      <c r="E345" t="inlineStr">
        <is>
          <t>Customer 344</t>
        </is>
      </c>
      <c r="F345" t="inlineStr">
        <is>
          <t>Consumer</t>
        </is>
      </c>
      <c r="G345" t="inlineStr">
        <is>
          <t>P1001</t>
        </is>
      </c>
      <c r="H345" t="inlineStr">
        <is>
          <t>CloudDrive File Box</t>
        </is>
      </c>
      <c r="I345" t="inlineStr">
        <is>
          <t>Home Decor</t>
        </is>
      </c>
      <c r="J345" t="inlineStr">
        <is>
          <t>Lighting</t>
        </is>
      </c>
      <c r="K345" t="inlineStr">
        <is>
          <t>West</t>
        </is>
      </c>
      <c r="L345" t="inlineStr">
        <is>
          <t>Oregon</t>
        </is>
      </c>
      <c r="M345" t="inlineStr">
        <is>
          <t>Denver</t>
        </is>
      </c>
      <c r="N345" t="inlineStr">
        <is>
          <t>Mia Rodriguez</t>
        </is>
      </c>
      <c r="O345" t="n">
        <v>5</v>
      </c>
      <c r="P345" s="3" t="n">
        <v>329.18</v>
      </c>
      <c r="Q345" s="4" t="n">
        <v>0.062</v>
      </c>
      <c r="R345" s="3" t="n">
        <v>1543.85</v>
      </c>
      <c r="S345" s="3" t="n">
        <v>903.42</v>
      </c>
      <c r="T345" s="3" t="n">
        <v>629.4299999999999</v>
      </c>
      <c r="U345" s="4" t="n">
        <v>0.4077</v>
      </c>
      <c r="V345" s="3" t="n">
        <v>11</v>
      </c>
      <c r="W345" t="inlineStr">
        <is>
          <t>Credit Card</t>
        </is>
      </c>
      <c r="X345" t="inlineStr">
        <is>
          <t>High</t>
        </is>
      </c>
      <c r="Y345" t="n">
        <v>2024</v>
      </c>
      <c r="Z345" t="n">
        <v>7</v>
      </c>
      <c r="AA345" t="inlineStr">
        <is>
          <t>Jul</t>
        </is>
      </c>
      <c r="AB345" t="inlineStr">
        <is>
          <t>Saturday</t>
        </is>
      </c>
      <c r="AC345" t="n">
        <v>5</v>
      </c>
      <c r="AD345" t="inlineStr">
        <is>
          <t>Profitable</t>
        </is>
      </c>
      <c r="AE345" t="inlineStr">
        <is>
          <t>High</t>
        </is>
      </c>
      <c r="AF345" t="inlineStr">
        <is>
          <t>Large</t>
        </is>
      </c>
    </row>
    <row r="346">
      <c r="A346" t="inlineStr">
        <is>
          <t>ORD-00345</t>
        </is>
      </c>
      <c r="B346" s="2" t="n">
        <v>45600</v>
      </c>
      <c r="C346" s="2" t="n">
        <v>45605</v>
      </c>
      <c r="D346" t="inlineStr">
        <is>
          <t>CUST-00345</t>
        </is>
      </c>
      <c r="E346" t="inlineStr">
        <is>
          <t>Customer 345</t>
        </is>
      </c>
      <c r="F346" t="inlineStr">
        <is>
          <t>Corporate</t>
        </is>
      </c>
      <c r="G346" t="inlineStr">
        <is>
          <t>P1001</t>
        </is>
      </c>
      <c r="H346" t="inlineStr">
        <is>
          <t>Atlas Throw Pillow</t>
        </is>
      </c>
      <c r="I346" t="inlineStr">
        <is>
          <t>Technology</t>
        </is>
      </c>
      <c r="J346" t="inlineStr">
        <is>
          <t>Lighting</t>
        </is>
      </c>
      <c r="K346" t="inlineStr">
        <is>
          <t>South</t>
        </is>
      </c>
      <c r="L346" t="inlineStr">
        <is>
          <t>North Carolina</t>
        </is>
      </c>
      <c r="M346" t="inlineStr">
        <is>
          <t>Atlanta</t>
        </is>
      </c>
      <c r="N346" t="inlineStr">
        <is>
          <t>Ethan Brooks</t>
        </is>
      </c>
      <c r="O346" t="n">
        <v>3</v>
      </c>
      <c r="P346" s="3" t="n">
        <v>297.05</v>
      </c>
      <c r="Q346" s="4" t="n">
        <v>0.037</v>
      </c>
      <c r="R346" s="3" t="n">
        <v>858.1799999999999</v>
      </c>
      <c r="S346" s="3" t="n">
        <v>507.01</v>
      </c>
      <c r="T346" s="3" t="n">
        <v>342.77</v>
      </c>
      <c r="U346" s="4" t="n">
        <v>0.3994</v>
      </c>
      <c r="V346" s="3" t="n">
        <v>8.4</v>
      </c>
      <c r="W346" t="inlineStr">
        <is>
          <t>PayPal</t>
        </is>
      </c>
      <c r="X346" t="inlineStr">
        <is>
          <t>High</t>
        </is>
      </c>
      <c r="Y346" t="n">
        <v>2024</v>
      </c>
      <c r="Z346" t="n">
        <v>11</v>
      </c>
      <c r="AA346" t="inlineStr">
        <is>
          <t>Nov</t>
        </is>
      </c>
      <c r="AB346" t="inlineStr">
        <is>
          <t>Monday</t>
        </is>
      </c>
      <c r="AC346" t="n">
        <v>5</v>
      </c>
      <c r="AD346" t="inlineStr">
        <is>
          <t>Profitable</t>
        </is>
      </c>
      <c r="AE346" t="inlineStr">
        <is>
          <t>Medium</t>
        </is>
      </c>
      <c r="AF346" t="inlineStr">
        <is>
          <t>Medium</t>
        </is>
      </c>
    </row>
    <row r="347">
      <c r="A347" t="inlineStr">
        <is>
          <t>ORD-00346</t>
        </is>
      </c>
      <c r="B347" s="2" t="n">
        <v>45558</v>
      </c>
      <c r="C347" s="2" t="n">
        <v>45562</v>
      </c>
      <c r="D347" t="inlineStr">
        <is>
          <t>CUST-00346</t>
        </is>
      </c>
      <c r="E347" t="inlineStr">
        <is>
          <t>Customer 346</t>
        </is>
      </c>
      <c r="F347" t="inlineStr">
        <is>
          <t>Corporate</t>
        </is>
      </c>
      <c r="G347" t="inlineStr">
        <is>
          <t>P1001</t>
        </is>
      </c>
      <c r="H347" t="inlineStr">
        <is>
          <t>Aero Standing Desk</t>
        </is>
      </c>
      <c r="I347" t="inlineStr">
        <is>
          <t>Technology</t>
        </is>
      </c>
      <c r="J347" t="inlineStr">
        <is>
          <t>Binders</t>
        </is>
      </c>
      <c r="K347" t="inlineStr">
        <is>
          <t>South</t>
        </is>
      </c>
      <c r="L347" t="inlineStr">
        <is>
          <t>North Carolina</t>
        </is>
      </c>
      <c r="M347" t="inlineStr">
        <is>
          <t>Houston</t>
        </is>
      </c>
      <c r="N347" t="inlineStr">
        <is>
          <t>Sophia Singh</t>
        </is>
      </c>
      <c r="O347" t="n">
        <v>4</v>
      </c>
      <c r="P347" s="3" t="n">
        <v>294.8</v>
      </c>
      <c r="Q347" s="4" t="n">
        <v>0.075</v>
      </c>
      <c r="R347" s="3" t="n">
        <v>1090.76</v>
      </c>
      <c r="S347" s="3" t="n">
        <v>643.38</v>
      </c>
      <c r="T347" s="3" t="n">
        <v>438.18</v>
      </c>
      <c r="U347" s="4" t="n">
        <v>0.4017</v>
      </c>
      <c r="V347" s="3" t="n">
        <v>9.199999999999999</v>
      </c>
      <c r="W347" t="inlineStr">
        <is>
          <t>PayPal</t>
        </is>
      </c>
      <c r="X347" t="inlineStr">
        <is>
          <t>Critical</t>
        </is>
      </c>
      <c r="Y347" t="n">
        <v>2024</v>
      </c>
      <c r="Z347" t="n">
        <v>9</v>
      </c>
      <c r="AA347" t="inlineStr">
        <is>
          <t>Sep</t>
        </is>
      </c>
      <c r="AB347" t="inlineStr">
        <is>
          <t>Monday</t>
        </is>
      </c>
      <c r="AC347" t="n">
        <v>4</v>
      </c>
      <c r="AD347" t="inlineStr">
        <is>
          <t>Profitable</t>
        </is>
      </c>
      <c r="AE347" t="inlineStr">
        <is>
          <t>High</t>
        </is>
      </c>
      <c r="AF347" t="inlineStr">
        <is>
          <t>Medium</t>
        </is>
      </c>
    </row>
    <row r="348">
      <c r="A348" t="inlineStr">
        <is>
          <t>ORD-00347</t>
        </is>
      </c>
      <c r="B348" s="2" t="n">
        <v>45618</v>
      </c>
      <c r="C348" s="2" t="n">
        <v>45621</v>
      </c>
      <c r="D348" t="inlineStr">
        <is>
          <t>CUST-00347</t>
        </is>
      </c>
      <c r="E348" t="inlineStr">
        <is>
          <t>Customer 347</t>
        </is>
      </c>
      <c r="F348" t="inlineStr">
        <is>
          <t>Corporate</t>
        </is>
      </c>
      <c r="G348" t="inlineStr">
        <is>
          <t>P1011</t>
        </is>
      </c>
      <c r="H348" t="inlineStr">
        <is>
          <t>Northstar Lantern</t>
        </is>
      </c>
      <c r="I348" t="inlineStr">
        <is>
          <t>Furniture</t>
        </is>
      </c>
      <c r="J348" t="inlineStr">
        <is>
          <t>Lighting</t>
        </is>
      </c>
      <c r="K348" t="inlineStr">
        <is>
          <t>Central</t>
        </is>
      </c>
      <c r="L348" t="inlineStr">
        <is>
          <t>Minnesota</t>
        </is>
      </c>
      <c r="M348" t="inlineStr">
        <is>
          <t>St. Louis</t>
        </is>
      </c>
      <c r="N348" t="inlineStr">
        <is>
          <t>Olivia Martin</t>
        </is>
      </c>
      <c r="O348" t="n">
        <v>1</v>
      </c>
      <c r="P348" s="3" t="n">
        <v>91.81</v>
      </c>
      <c r="Q348" s="4" t="n">
        <v>0.026</v>
      </c>
      <c r="R348" s="3" t="n">
        <v>89.42</v>
      </c>
      <c r="S348" s="3" t="n">
        <v>46.78</v>
      </c>
      <c r="T348" s="3" t="n">
        <v>35.84</v>
      </c>
      <c r="U348" s="4" t="n">
        <v>0.4008</v>
      </c>
      <c r="V348" s="3" t="n">
        <v>6.8</v>
      </c>
      <c r="W348" t="inlineStr">
        <is>
          <t>PayPal</t>
        </is>
      </c>
      <c r="X348" t="inlineStr">
        <is>
          <t>Low</t>
        </is>
      </c>
      <c r="Y348" t="n">
        <v>2024</v>
      </c>
      <c r="Z348" t="n">
        <v>11</v>
      </c>
      <c r="AA348" t="inlineStr">
        <is>
          <t>Nov</t>
        </is>
      </c>
      <c r="AB348" t="inlineStr">
        <is>
          <t>Friday</t>
        </is>
      </c>
      <c r="AC348" t="n">
        <v>3</v>
      </c>
      <c r="AD348" t="inlineStr">
        <is>
          <t>Profitable</t>
        </is>
      </c>
      <c r="AE348" t="inlineStr">
        <is>
          <t>Medium</t>
        </is>
      </c>
      <c r="AF348" t="inlineStr">
        <is>
          <t>Small</t>
        </is>
      </c>
    </row>
    <row r="349">
      <c r="A349" t="inlineStr">
        <is>
          <t>ORD-00348</t>
        </is>
      </c>
      <c r="B349" s="2" t="n">
        <v>45115</v>
      </c>
      <c r="C349" s="2" t="n">
        <v>45122</v>
      </c>
      <c r="D349" t="inlineStr">
        <is>
          <t>CUST-00348</t>
        </is>
      </c>
      <c r="E349" t="inlineStr">
        <is>
          <t>Customer 348</t>
        </is>
      </c>
      <c r="F349" t="inlineStr">
        <is>
          <t>Home Office</t>
        </is>
      </c>
      <c r="G349" t="inlineStr">
        <is>
          <t>P1012</t>
        </is>
      </c>
      <c r="H349" t="inlineStr">
        <is>
          <t>Trail Tote</t>
        </is>
      </c>
      <c r="I349" t="inlineStr">
        <is>
          <t>Home Decor</t>
        </is>
      </c>
      <c r="J349" t="inlineStr">
        <is>
          <t>Lighting</t>
        </is>
      </c>
      <c r="K349" t="inlineStr">
        <is>
          <t>South</t>
        </is>
      </c>
      <c r="L349" t="inlineStr">
        <is>
          <t>Florida</t>
        </is>
      </c>
      <c r="M349" t="inlineStr">
        <is>
          <t>Houston</t>
        </is>
      </c>
      <c r="N349" t="inlineStr">
        <is>
          <t>Ava Patel</t>
        </is>
      </c>
      <c r="O349" t="n">
        <v>1</v>
      </c>
      <c r="P349" s="3" t="n">
        <v>133</v>
      </c>
      <c r="Q349" s="4" t="n">
        <v>0.007</v>
      </c>
      <c r="R349" s="3" t="n">
        <v>132.07</v>
      </c>
      <c r="S349" s="3" t="n">
        <v>74.06999999999999</v>
      </c>
      <c r="T349" s="3" t="n">
        <v>51.2</v>
      </c>
      <c r="U349" s="4" t="n">
        <v>0.3877</v>
      </c>
      <c r="V349" s="3" t="n">
        <v>6.8</v>
      </c>
      <c r="W349" t="inlineStr">
        <is>
          <t>Cash on Delivery</t>
        </is>
      </c>
      <c r="X349" t="inlineStr">
        <is>
          <t>Low</t>
        </is>
      </c>
      <c r="Y349" t="n">
        <v>2023</v>
      </c>
      <c r="Z349" t="n">
        <v>7</v>
      </c>
      <c r="AA349" t="inlineStr">
        <is>
          <t>Jul</t>
        </is>
      </c>
      <c r="AB349" t="inlineStr">
        <is>
          <t>Saturday</t>
        </is>
      </c>
      <c r="AC349" t="n">
        <v>7</v>
      </c>
      <c r="AD349" t="inlineStr">
        <is>
          <t>Profitable</t>
        </is>
      </c>
      <c r="AE349" t="inlineStr">
        <is>
          <t>Low</t>
        </is>
      </c>
      <c r="AF349" t="inlineStr">
        <is>
          <t>Small</t>
        </is>
      </c>
    </row>
    <row r="350">
      <c r="A350" t="inlineStr">
        <is>
          <t>ORD-00349</t>
        </is>
      </c>
      <c r="B350" s="2" t="n">
        <v>45373</v>
      </c>
      <c r="C350" s="2" t="n">
        <v>45375</v>
      </c>
      <c r="D350" t="inlineStr">
        <is>
          <t>CUST-00349</t>
        </is>
      </c>
      <c r="E350" t="inlineStr">
        <is>
          <t>Customer 349</t>
        </is>
      </c>
      <c r="F350" t="inlineStr">
        <is>
          <t>Corporate</t>
        </is>
      </c>
      <c r="G350" t="inlineStr">
        <is>
          <t>P1015</t>
        </is>
      </c>
      <c r="H350" t="inlineStr">
        <is>
          <t>Orbit Wireless Mouse</t>
        </is>
      </c>
      <c r="I350" t="inlineStr">
        <is>
          <t>Technology</t>
        </is>
      </c>
      <c r="J350" t="inlineStr">
        <is>
          <t>Lighting</t>
        </is>
      </c>
      <c r="K350" t="inlineStr">
        <is>
          <t>South</t>
        </is>
      </c>
      <c r="L350" t="inlineStr">
        <is>
          <t>North Carolina</t>
        </is>
      </c>
      <c r="M350" t="inlineStr">
        <is>
          <t>Dallas</t>
        </is>
      </c>
      <c r="N350" t="inlineStr">
        <is>
          <t>Ethan Brooks</t>
        </is>
      </c>
      <c r="O350" t="n">
        <v>3</v>
      </c>
      <c r="P350" s="3" t="n">
        <v>64.02</v>
      </c>
      <c r="Q350" s="4" t="n">
        <v>0.037</v>
      </c>
      <c r="R350" s="3" t="n">
        <v>184.95</v>
      </c>
      <c r="S350" s="3" t="n">
        <v>87</v>
      </c>
      <c r="T350" s="3" t="n">
        <v>89.55</v>
      </c>
      <c r="U350" s="4" t="n">
        <v>0.4842</v>
      </c>
      <c r="V350" s="3" t="n">
        <v>8.4</v>
      </c>
      <c r="W350" t="inlineStr">
        <is>
          <t>Cash on Delivery</t>
        </is>
      </c>
      <c r="X350" t="inlineStr">
        <is>
          <t>Medium</t>
        </is>
      </c>
      <c r="Y350" t="n">
        <v>2024</v>
      </c>
      <c r="Z350" t="n">
        <v>3</v>
      </c>
      <c r="AA350" t="inlineStr">
        <is>
          <t>Mar</t>
        </is>
      </c>
      <c r="AB350" t="inlineStr">
        <is>
          <t>Friday</t>
        </is>
      </c>
      <c r="AC350" t="n">
        <v>2</v>
      </c>
      <c r="AD350" t="inlineStr">
        <is>
          <t>Profitable</t>
        </is>
      </c>
      <c r="AE350" t="inlineStr">
        <is>
          <t>Medium</t>
        </is>
      </c>
      <c r="AF350" t="inlineStr">
        <is>
          <t>Small</t>
        </is>
      </c>
    </row>
    <row r="351">
      <c r="A351" t="inlineStr">
        <is>
          <t>ORD-00350</t>
        </is>
      </c>
      <c r="B351" s="2" t="n">
        <v>45295</v>
      </c>
      <c r="C351" s="2" t="n">
        <v>45297</v>
      </c>
      <c r="D351" t="inlineStr">
        <is>
          <t>CUST-00350</t>
        </is>
      </c>
      <c r="E351" t="inlineStr">
        <is>
          <t>Customer 350</t>
        </is>
      </c>
      <c r="F351" t="inlineStr">
        <is>
          <t>Home Office</t>
        </is>
      </c>
      <c r="G351" t="inlineStr">
        <is>
          <t>P1014</t>
        </is>
      </c>
      <c r="H351" t="inlineStr">
        <is>
          <t>Summit Patio Set</t>
        </is>
      </c>
      <c r="I351" t="inlineStr">
        <is>
          <t>Furniture</t>
        </is>
      </c>
      <c r="J351" t="inlineStr">
        <is>
          <t>Flooring</t>
        </is>
      </c>
      <c r="K351" t="inlineStr">
        <is>
          <t>West</t>
        </is>
      </c>
      <c r="L351" t="inlineStr">
        <is>
          <t>California</t>
        </is>
      </c>
      <c r="M351" t="inlineStr">
        <is>
          <t>Denver</t>
        </is>
      </c>
      <c r="N351" t="inlineStr">
        <is>
          <t>Noah Kim</t>
        </is>
      </c>
      <c r="O351" t="n">
        <v>1</v>
      </c>
      <c r="P351" s="3" t="n">
        <v>43.44</v>
      </c>
      <c r="Q351" s="4" t="n">
        <v>0.025</v>
      </c>
      <c r="R351" s="3" t="n">
        <v>42.35</v>
      </c>
      <c r="S351" s="3" t="n">
        <v>26.25</v>
      </c>
      <c r="T351" s="3" t="n">
        <v>8.300000000000001</v>
      </c>
      <c r="U351" s="4" t="n">
        <v>0.196</v>
      </c>
      <c r="V351" s="3" t="n">
        <v>7.8</v>
      </c>
      <c r="W351" t="inlineStr">
        <is>
          <t>PayPal</t>
        </is>
      </c>
      <c r="X351" t="inlineStr">
        <is>
          <t>Medium</t>
        </is>
      </c>
      <c r="Y351" t="n">
        <v>2024</v>
      </c>
      <c r="Z351" t="n">
        <v>1</v>
      </c>
      <c r="AA351" t="inlineStr">
        <is>
          <t>Jan</t>
        </is>
      </c>
      <c r="AB351" t="inlineStr">
        <is>
          <t>Thursday</t>
        </is>
      </c>
      <c r="AC351" t="n">
        <v>2</v>
      </c>
      <c r="AD351" t="inlineStr">
        <is>
          <t>Profitable</t>
        </is>
      </c>
      <c r="AE351" t="inlineStr">
        <is>
          <t>Medium</t>
        </is>
      </c>
      <c r="AF351" t="inlineStr">
        <is>
          <t>Small</t>
        </is>
      </c>
    </row>
    <row r="352">
      <c r="A352" t="inlineStr">
        <is>
          <t>ORD-00351</t>
        </is>
      </c>
      <c r="B352" s="2" t="n">
        <v>45430</v>
      </c>
      <c r="C352" s="2" t="n">
        <v>45432</v>
      </c>
      <c r="D352" t="inlineStr">
        <is>
          <t>CUST-00351</t>
        </is>
      </c>
      <c r="E352" t="inlineStr">
        <is>
          <t>Customer 351</t>
        </is>
      </c>
      <c r="F352" t="inlineStr">
        <is>
          <t>Consumer</t>
        </is>
      </c>
      <c r="G352" t="inlineStr">
        <is>
          <t>P1001</t>
        </is>
      </c>
      <c r="H352" t="inlineStr">
        <is>
          <t>Summit Patio Set</t>
        </is>
      </c>
      <c r="I352" t="inlineStr">
        <is>
          <t>Home Decor</t>
        </is>
      </c>
      <c r="J352" t="inlineStr">
        <is>
          <t>Furniture</t>
        </is>
      </c>
      <c r="K352" t="inlineStr">
        <is>
          <t>West</t>
        </is>
      </c>
      <c r="L352" t="inlineStr">
        <is>
          <t>California</t>
        </is>
      </c>
      <c r="M352" t="inlineStr">
        <is>
          <t>San Francisco</t>
        </is>
      </c>
      <c r="N352" t="inlineStr">
        <is>
          <t>Olivia Martin</t>
        </is>
      </c>
      <c r="O352" t="n">
        <v>6</v>
      </c>
      <c r="P352" s="3" t="n">
        <v>295.92</v>
      </c>
      <c r="Q352" s="4" t="n">
        <v>0.04799999999999999</v>
      </c>
      <c r="R352" s="3" t="n">
        <v>1690.3</v>
      </c>
      <c r="S352" s="3" t="n">
        <v>985.05</v>
      </c>
      <c r="T352" s="3" t="n">
        <v>693.45</v>
      </c>
      <c r="U352" s="4" t="n">
        <v>0.4103</v>
      </c>
      <c r="V352" s="3" t="n">
        <v>11.8</v>
      </c>
      <c r="W352" t="inlineStr">
        <is>
          <t>Bank Transfer</t>
        </is>
      </c>
      <c r="X352" t="inlineStr">
        <is>
          <t>High</t>
        </is>
      </c>
      <c r="Y352" t="n">
        <v>2024</v>
      </c>
      <c r="Z352" t="n">
        <v>5</v>
      </c>
      <c r="AA352" t="inlineStr">
        <is>
          <t>May</t>
        </is>
      </c>
      <c r="AB352" t="inlineStr">
        <is>
          <t>Saturday</t>
        </is>
      </c>
      <c r="AC352" t="n">
        <v>2</v>
      </c>
      <c r="AD352" t="inlineStr">
        <is>
          <t>Profitable</t>
        </is>
      </c>
      <c r="AE352" t="inlineStr">
        <is>
          <t>Medium</t>
        </is>
      </c>
      <c r="AF352" t="inlineStr">
        <is>
          <t>Large</t>
        </is>
      </c>
    </row>
    <row r="353">
      <c r="A353" t="inlineStr">
        <is>
          <t>ORD-00352</t>
        </is>
      </c>
      <c r="B353" s="2" t="n">
        <v>45937</v>
      </c>
      <c r="C353" s="2" t="n">
        <v>45940</v>
      </c>
      <c r="D353" t="inlineStr">
        <is>
          <t>CUST-00352</t>
        </is>
      </c>
      <c r="E353" t="inlineStr">
        <is>
          <t>Customer 352</t>
        </is>
      </c>
      <c r="F353" t="inlineStr">
        <is>
          <t>Consumer</t>
        </is>
      </c>
      <c r="G353" t="inlineStr">
        <is>
          <t>P1001</t>
        </is>
      </c>
      <c r="H353" t="inlineStr">
        <is>
          <t>SmartInk Pen Set</t>
        </is>
      </c>
      <c r="I353" t="inlineStr">
        <is>
          <t>Outdoor</t>
        </is>
      </c>
      <c r="J353" t="inlineStr">
        <is>
          <t>Storage</t>
        </is>
      </c>
      <c r="K353" t="inlineStr">
        <is>
          <t>West</t>
        </is>
      </c>
      <c r="L353" t="inlineStr">
        <is>
          <t>Washington</t>
        </is>
      </c>
      <c r="M353" t="inlineStr">
        <is>
          <t>San Francisco</t>
        </is>
      </c>
      <c r="N353" t="inlineStr">
        <is>
          <t>Sophia Singh</t>
        </is>
      </c>
      <c r="O353" t="n">
        <v>4</v>
      </c>
      <c r="P353" s="3" t="n">
        <v>336.11</v>
      </c>
      <c r="Q353" s="4" t="n">
        <v>0.014</v>
      </c>
      <c r="R353" s="3" t="n">
        <v>1325.62</v>
      </c>
      <c r="S353" s="3" t="n">
        <v>773.35</v>
      </c>
      <c r="T353" s="3" t="n">
        <v>542.0700000000001</v>
      </c>
      <c r="U353" s="4" t="n">
        <v>0.4089</v>
      </c>
      <c r="V353" s="3" t="n">
        <v>10.2</v>
      </c>
      <c r="W353" t="inlineStr">
        <is>
          <t>Bank Transfer</t>
        </is>
      </c>
      <c r="X353" t="inlineStr">
        <is>
          <t>Medium</t>
        </is>
      </c>
      <c r="Y353" t="n">
        <v>2025</v>
      </c>
      <c r="Z353" t="n">
        <v>10</v>
      </c>
      <c r="AA353" t="inlineStr">
        <is>
          <t>Oct</t>
        </is>
      </c>
      <c r="AB353" t="inlineStr">
        <is>
          <t>Tuesday</t>
        </is>
      </c>
      <c r="AC353" t="n">
        <v>3</v>
      </c>
      <c r="AD353" t="inlineStr">
        <is>
          <t>Profitable</t>
        </is>
      </c>
      <c r="AE353" t="inlineStr">
        <is>
          <t>Low</t>
        </is>
      </c>
      <c r="AF353" t="inlineStr">
        <is>
          <t>Medium</t>
        </is>
      </c>
    </row>
    <row r="354">
      <c r="A354" t="inlineStr">
        <is>
          <t>ORD-00353</t>
        </is>
      </c>
      <c r="B354" s="2" t="n">
        <v>45972</v>
      </c>
      <c r="C354" s="2" t="n">
        <v>45979</v>
      </c>
      <c r="D354" t="inlineStr">
        <is>
          <t>CUST-00353</t>
        </is>
      </c>
      <c r="E354" t="inlineStr">
        <is>
          <t>Customer 353</t>
        </is>
      </c>
      <c r="F354" t="inlineStr">
        <is>
          <t>Consumer</t>
        </is>
      </c>
      <c r="G354" t="inlineStr">
        <is>
          <t>P1006</t>
        </is>
      </c>
      <c r="H354" t="inlineStr">
        <is>
          <t>Nova Laptop Stand</t>
        </is>
      </c>
      <c r="I354" t="inlineStr">
        <is>
          <t>Home Decor</t>
        </is>
      </c>
      <c r="J354" t="inlineStr">
        <is>
          <t>Accessories</t>
        </is>
      </c>
      <c r="K354" t="inlineStr">
        <is>
          <t>South</t>
        </is>
      </c>
      <c r="L354" t="inlineStr">
        <is>
          <t>North Carolina</t>
        </is>
      </c>
      <c r="M354" t="inlineStr">
        <is>
          <t>Houston</t>
        </is>
      </c>
      <c r="N354" t="inlineStr">
        <is>
          <t>Olivia Martin</t>
        </is>
      </c>
      <c r="O354" t="n">
        <v>3</v>
      </c>
      <c r="P354" s="3" t="n">
        <v>18.91</v>
      </c>
      <c r="Q354" s="4" t="n">
        <v>0.004</v>
      </c>
      <c r="R354" s="3" t="n">
        <v>56.5</v>
      </c>
      <c r="S354" s="3" t="n">
        <v>23.88</v>
      </c>
      <c r="T354" s="3" t="n">
        <v>24.22</v>
      </c>
      <c r="U354" s="4" t="n">
        <v>0.4287</v>
      </c>
      <c r="V354" s="3" t="n">
        <v>8.4</v>
      </c>
      <c r="W354" t="inlineStr">
        <is>
          <t>Credit Card</t>
        </is>
      </c>
      <c r="X354" t="inlineStr">
        <is>
          <t>Low</t>
        </is>
      </c>
      <c r="Y354" t="n">
        <v>2025</v>
      </c>
      <c r="Z354" t="n">
        <v>11</v>
      </c>
      <c r="AA354" t="inlineStr">
        <is>
          <t>Nov</t>
        </is>
      </c>
      <c r="AB354" t="inlineStr">
        <is>
          <t>Tuesday</t>
        </is>
      </c>
      <c r="AC354" t="n">
        <v>7</v>
      </c>
      <c r="AD354" t="inlineStr">
        <is>
          <t>Profitable</t>
        </is>
      </c>
      <c r="AE354" t="inlineStr">
        <is>
          <t>Low</t>
        </is>
      </c>
      <c r="AF354" t="inlineStr">
        <is>
          <t>Small</t>
        </is>
      </c>
    </row>
    <row r="355">
      <c r="A355" t="inlineStr">
        <is>
          <t>ORD-00354</t>
        </is>
      </c>
      <c r="B355" s="2" t="n">
        <v>45073</v>
      </c>
      <c r="C355" s="2" t="n">
        <v>45080</v>
      </c>
      <c r="D355" t="inlineStr">
        <is>
          <t>CUST-00354</t>
        </is>
      </c>
      <c r="E355" t="inlineStr">
        <is>
          <t>Customer 354</t>
        </is>
      </c>
      <c r="F355" t="inlineStr">
        <is>
          <t>Consumer</t>
        </is>
      </c>
      <c r="G355" t="inlineStr">
        <is>
          <t>P1003</t>
        </is>
      </c>
      <c r="H355" t="inlineStr">
        <is>
          <t>SmartInk Pen Set</t>
        </is>
      </c>
      <c r="I355" t="inlineStr">
        <is>
          <t>Outdoor</t>
        </is>
      </c>
      <c r="J355" t="inlineStr">
        <is>
          <t>Paper</t>
        </is>
      </c>
      <c r="K355" t="inlineStr">
        <is>
          <t>West</t>
        </is>
      </c>
      <c r="L355" t="inlineStr">
        <is>
          <t>Colorado</t>
        </is>
      </c>
      <c r="M355" t="inlineStr">
        <is>
          <t>Los Angeles</t>
        </is>
      </c>
      <c r="N355" t="inlineStr">
        <is>
          <t>Ethan Brooks</t>
        </is>
      </c>
      <c r="O355" t="n">
        <v>6</v>
      </c>
      <c r="P355" s="3" t="n">
        <v>155.56</v>
      </c>
      <c r="Q355" s="4" t="n">
        <v>0.032</v>
      </c>
      <c r="R355" s="3" t="n">
        <v>903.49</v>
      </c>
      <c r="S355" s="3" t="n">
        <v>470.21</v>
      </c>
      <c r="T355" s="3" t="n">
        <v>421.48</v>
      </c>
      <c r="U355" s="4" t="n">
        <v>0.4665</v>
      </c>
      <c r="V355" s="3" t="n">
        <v>11.8</v>
      </c>
      <c r="W355" t="inlineStr">
        <is>
          <t>Bank Transfer</t>
        </is>
      </c>
      <c r="X355" t="inlineStr">
        <is>
          <t>Medium</t>
        </is>
      </c>
      <c r="Y355" t="n">
        <v>2023</v>
      </c>
      <c r="Z355" t="n">
        <v>5</v>
      </c>
      <c r="AA355" t="inlineStr">
        <is>
          <t>May</t>
        </is>
      </c>
      <c r="AB355" t="inlineStr">
        <is>
          <t>Saturday</t>
        </is>
      </c>
      <c r="AC355" t="n">
        <v>7</v>
      </c>
      <c r="AD355" t="inlineStr">
        <is>
          <t>Profitable</t>
        </is>
      </c>
      <c r="AE355" t="inlineStr">
        <is>
          <t>Medium</t>
        </is>
      </c>
      <c r="AF355" t="inlineStr">
        <is>
          <t>Medium</t>
        </is>
      </c>
    </row>
    <row r="356">
      <c r="A356" t="inlineStr">
        <is>
          <t>ORD-00355</t>
        </is>
      </c>
      <c r="B356" s="2" t="n">
        <v>45111</v>
      </c>
      <c r="C356" s="2" t="n">
        <v>45115</v>
      </c>
      <c r="D356" t="inlineStr">
        <is>
          <t>CUST-00355</t>
        </is>
      </c>
      <c r="E356" t="inlineStr">
        <is>
          <t>Customer 355</t>
        </is>
      </c>
      <c r="F356" t="inlineStr">
        <is>
          <t>Corporate</t>
        </is>
      </c>
      <c r="G356" t="inlineStr">
        <is>
          <t>P1014</t>
        </is>
      </c>
      <c r="H356" t="inlineStr">
        <is>
          <t>Nimbus Monitor Arm</t>
        </is>
      </c>
      <c r="I356" t="inlineStr">
        <is>
          <t>Furniture</t>
        </is>
      </c>
      <c r="J356" t="inlineStr">
        <is>
          <t>Storage</t>
        </is>
      </c>
      <c r="K356" t="inlineStr">
        <is>
          <t>West</t>
        </is>
      </c>
      <c r="L356" t="inlineStr">
        <is>
          <t>Washington</t>
        </is>
      </c>
      <c r="M356" t="inlineStr">
        <is>
          <t>San Francisco</t>
        </is>
      </c>
      <c r="N356" t="inlineStr">
        <is>
          <t>Mia Rodriguez</t>
        </is>
      </c>
      <c r="O356" t="n">
        <v>2</v>
      </c>
      <c r="P356" s="3" t="n">
        <v>43.96</v>
      </c>
      <c r="Q356" s="4" t="n">
        <v>0.03</v>
      </c>
      <c r="R356" s="3" t="n">
        <v>85.28</v>
      </c>
      <c r="S356" s="3" t="n">
        <v>39.37</v>
      </c>
      <c r="T356" s="3" t="n">
        <v>37.31</v>
      </c>
      <c r="U356" s="4" t="n">
        <v>0.4375</v>
      </c>
      <c r="V356" s="3" t="n">
        <v>8.6</v>
      </c>
      <c r="W356" t="inlineStr">
        <is>
          <t>Credit Card</t>
        </is>
      </c>
      <c r="X356" t="inlineStr">
        <is>
          <t>Medium</t>
        </is>
      </c>
      <c r="Y356" t="n">
        <v>2023</v>
      </c>
      <c r="Z356" t="n">
        <v>7</v>
      </c>
      <c r="AA356" t="inlineStr">
        <is>
          <t>Jul</t>
        </is>
      </c>
      <c r="AB356" t="inlineStr">
        <is>
          <t>Tuesday</t>
        </is>
      </c>
      <c r="AC356" t="n">
        <v>4</v>
      </c>
      <c r="AD356" t="inlineStr">
        <is>
          <t>Profitable</t>
        </is>
      </c>
      <c r="AE356" t="inlineStr">
        <is>
          <t>Medium</t>
        </is>
      </c>
      <c r="AF356" t="inlineStr">
        <is>
          <t>Small</t>
        </is>
      </c>
    </row>
    <row r="357">
      <c r="A357" t="inlineStr">
        <is>
          <t>ORD-00356</t>
        </is>
      </c>
      <c r="B357" s="2" t="n">
        <v>45456</v>
      </c>
      <c r="C357" s="2" t="n">
        <v>45458</v>
      </c>
      <c r="D357" t="inlineStr">
        <is>
          <t>CUST-00356</t>
        </is>
      </c>
      <c r="E357" t="inlineStr">
        <is>
          <t>Customer 356</t>
        </is>
      </c>
      <c r="F357" t="inlineStr">
        <is>
          <t>Corporate</t>
        </is>
      </c>
      <c r="G357" t="inlineStr">
        <is>
          <t>P1006</t>
        </is>
      </c>
      <c r="H357" t="inlineStr">
        <is>
          <t>Echo Web Camera</t>
        </is>
      </c>
      <c r="I357" t="inlineStr">
        <is>
          <t>Outdoor</t>
        </is>
      </c>
      <c r="J357" t="inlineStr">
        <is>
          <t>Accessories</t>
        </is>
      </c>
      <c r="K357" t="inlineStr">
        <is>
          <t>West</t>
        </is>
      </c>
      <c r="L357" t="inlineStr">
        <is>
          <t>Colorado</t>
        </is>
      </c>
      <c r="M357" t="inlineStr">
        <is>
          <t>Seattle</t>
        </is>
      </c>
      <c r="N357" t="inlineStr">
        <is>
          <t>Liam Chen</t>
        </is>
      </c>
      <c r="O357" t="n">
        <v>3</v>
      </c>
      <c r="P357" s="3" t="n">
        <v>20.18</v>
      </c>
      <c r="Q357" s="4" t="n">
        <v>0.027</v>
      </c>
      <c r="R357" s="3" t="n">
        <v>58.91</v>
      </c>
      <c r="S357" s="3" t="n">
        <v>23.49</v>
      </c>
      <c r="T357" s="3" t="n">
        <v>26.02</v>
      </c>
      <c r="U357" s="4" t="n">
        <v>0.4417</v>
      </c>
      <c r="V357" s="3" t="n">
        <v>9.4</v>
      </c>
      <c r="W357" t="inlineStr">
        <is>
          <t>Credit Card</t>
        </is>
      </c>
      <c r="X357" t="inlineStr">
        <is>
          <t>Medium</t>
        </is>
      </c>
      <c r="Y357" t="n">
        <v>2024</v>
      </c>
      <c r="Z357" t="n">
        <v>6</v>
      </c>
      <c r="AA357" t="inlineStr">
        <is>
          <t>Jun</t>
        </is>
      </c>
      <c r="AB357" t="inlineStr">
        <is>
          <t>Thursday</t>
        </is>
      </c>
      <c r="AC357" t="n">
        <v>2</v>
      </c>
      <c r="AD357" t="inlineStr">
        <is>
          <t>Profitable</t>
        </is>
      </c>
      <c r="AE357" t="inlineStr">
        <is>
          <t>Medium</t>
        </is>
      </c>
      <c r="AF357" t="inlineStr">
        <is>
          <t>Small</t>
        </is>
      </c>
    </row>
    <row r="358">
      <c r="A358" t="inlineStr">
        <is>
          <t>ORD-00357</t>
        </is>
      </c>
      <c r="B358" s="2" t="n">
        <v>45086</v>
      </c>
      <c r="C358" s="2" t="n">
        <v>45087</v>
      </c>
      <c r="D358" t="inlineStr">
        <is>
          <t>CUST-00357</t>
        </is>
      </c>
      <c r="E358" t="inlineStr">
        <is>
          <t>Customer 357</t>
        </is>
      </c>
      <c r="F358" t="inlineStr">
        <is>
          <t>Corporate</t>
        </is>
      </c>
      <c r="G358" t="inlineStr">
        <is>
          <t>P1008</t>
        </is>
      </c>
      <c r="H358" t="inlineStr">
        <is>
          <t>Aero Standing Desk</t>
        </is>
      </c>
      <c r="I358" t="inlineStr">
        <is>
          <t>Home Decor</t>
        </is>
      </c>
      <c r="J358" t="inlineStr">
        <is>
          <t>Textiles</t>
        </is>
      </c>
      <c r="K358" t="inlineStr">
        <is>
          <t>West</t>
        </is>
      </c>
      <c r="L358" t="inlineStr">
        <is>
          <t>Washington</t>
        </is>
      </c>
      <c r="M358" t="inlineStr">
        <is>
          <t>Seattle</t>
        </is>
      </c>
      <c r="N358" t="inlineStr">
        <is>
          <t>Noah Kim</t>
        </is>
      </c>
      <c r="O358" t="n">
        <v>1</v>
      </c>
      <c r="P358" s="3" t="n">
        <v>39.04</v>
      </c>
      <c r="Q358" s="4" t="n">
        <v>0.028</v>
      </c>
      <c r="R358" s="3" t="n">
        <v>37.95</v>
      </c>
      <c r="S358" s="3" t="n">
        <v>19</v>
      </c>
      <c r="T358" s="3" t="n">
        <v>11.15</v>
      </c>
      <c r="U358" s="4" t="n">
        <v>0.2938</v>
      </c>
      <c r="V358" s="3" t="n">
        <v>7.8</v>
      </c>
      <c r="W358" t="inlineStr">
        <is>
          <t>Credit Card</t>
        </is>
      </c>
      <c r="X358" t="inlineStr">
        <is>
          <t>Low</t>
        </is>
      </c>
      <c r="Y358" t="n">
        <v>2023</v>
      </c>
      <c r="Z358" t="n">
        <v>6</v>
      </c>
      <c r="AA358" t="inlineStr">
        <is>
          <t>Jun</t>
        </is>
      </c>
      <c r="AB358" t="inlineStr">
        <is>
          <t>Friday</t>
        </is>
      </c>
      <c r="AC358" t="n">
        <v>1</v>
      </c>
      <c r="AD358" t="inlineStr">
        <is>
          <t>Profitable</t>
        </is>
      </c>
      <c r="AE358" t="inlineStr">
        <is>
          <t>Medium</t>
        </is>
      </c>
      <c r="AF358" t="inlineStr">
        <is>
          <t>Small</t>
        </is>
      </c>
    </row>
    <row r="359">
      <c r="A359" t="inlineStr">
        <is>
          <t>ORD-00358</t>
        </is>
      </c>
      <c r="B359" s="2" t="n">
        <v>45391</v>
      </c>
      <c r="C359" s="2" t="n">
        <v>45392</v>
      </c>
      <c r="D359" t="inlineStr">
        <is>
          <t>CUST-00358</t>
        </is>
      </c>
      <c r="E359" t="inlineStr">
        <is>
          <t>Customer 358</t>
        </is>
      </c>
      <c r="F359" t="inlineStr">
        <is>
          <t>Corporate</t>
        </is>
      </c>
      <c r="G359" t="inlineStr">
        <is>
          <t>P1020</t>
        </is>
      </c>
      <c r="H359" t="inlineStr">
        <is>
          <t>Summit Patio Set</t>
        </is>
      </c>
      <c r="I359" t="inlineStr">
        <is>
          <t>Home Decor</t>
        </is>
      </c>
      <c r="J359" t="inlineStr">
        <is>
          <t>Textiles</t>
        </is>
      </c>
      <c r="K359" t="inlineStr">
        <is>
          <t>Central</t>
        </is>
      </c>
      <c r="L359" t="inlineStr">
        <is>
          <t>Missouri</t>
        </is>
      </c>
      <c r="M359" t="inlineStr">
        <is>
          <t>Minneapolis</t>
        </is>
      </c>
      <c r="N359" t="inlineStr">
        <is>
          <t>Ethan Brooks</t>
        </is>
      </c>
      <c r="O359" t="n">
        <v>2</v>
      </c>
      <c r="P359" s="3" t="n">
        <v>74.84</v>
      </c>
      <c r="Q359" s="4" t="n">
        <v>0.026</v>
      </c>
      <c r="R359" s="3" t="n">
        <v>145.79</v>
      </c>
      <c r="S359" s="3" t="n">
        <v>70.12</v>
      </c>
      <c r="T359" s="3" t="n">
        <v>68.06999999999999</v>
      </c>
      <c r="U359" s="4" t="n">
        <v>0.4669</v>
      </c>
      <c r="V359" s="3" t="n">
        <v>7.6</v>
      </c>
      <c r="W359" t="inlineStr">
        <is>
          <t>Bank Transfer</t>
        </is>
      </c>
      <c r="X359" t="inlineStr">
        <is>
          <t>Low</t>
        </is>
      </c>
      <c r="Y359" t="n">
        <v>2024</v>
      </c>
      <c r="Z359" t="n">
        <v>4</v>
      </c>
      <c r="AA359" t="inlineStr">
        <is>
          <t>Apr</t>
        </is>
      </c>
      <c r="AB359" t="inlineStr">
        <is>
          <t>Tuesday</t>
        </is>
      </c>
      <c r="AC359" t="n">
        <v>1</v>
      </c>
      <c r="AD359" t="inlineStr">
        <is>
          <t>Profitable</t>
        </is>
      </c>
      <c r="AE359" t="inlineStr">
        <is>
          <t>Medium</t>
        </is>
      </c>
      <c r="AF359" t="inlineStr">
        <is>
          <t>Small</t>
        </is>
      </c>
    </row>
    <row r="360">
      <c r="A360" t="inlineStr">
        <is>
          <t>ORD-00359</t>
        </is>
      </c>
      <c r="B360" s="2" t="n">
        <v>45739</v>
      </c>
      <c r="C360" s="2" t="n">
        <v>45740</v>
      </c>
      <c r="D360" t="inlineStr">
        <is>
          <t>CUST-00359</t>
        </is>
      </c>
      <c r="E360" t="inlineStr">
        <is>
          <t>Customer 359</t>
        </is>
      </c>
      <c r="F360" t="inlineStr">
        <is>
          <t>Home Office</t>
        </is>
      </c>
      <c r="G360" t="inlineStr">
        <is>
          <t>P1015</t>
        </is>
      </c>
      <c r="H360" t="inlineStr">
        <is>
          <t>Nimbus Monitor Arm</t>
        </is>
      </c>
      <c r="I360" t="inlineStr">
        <is>
          <t>Outdoor</t>
        </is>
      </c>
      <c r="J360" t="inlineStr">
        <is>
          <t>Video</t>
        </is>
      </c>
      <c r="K360" t="inlineStr">
        <is>
          <t>East</t>
        </is>
      </c>
      <c r="L360" t="inlineStr">
        <is>
          <t>New Jersey</t>
        </is>
      </c>
      <c r="M360" t="inlineStr">
        <is>
          <t>Philadelphia</t>
        </is>
      </c>
      <c r="N360" t="inlineStr">
        <is>
          <t>Noah Kim</t>
        </is>
      </c>
      <c r="O360" t="n">
        <v>1</v>
      </c>
      <c r="P360" s="3" t="n">
        <v>70.89</v>
      </c>
      <c r="Q360" s="4" t="n">
        <v>0.035</v>
      </c>
      <c r="R360" s="3" t="n">
        <v>68.41</v>
      </c>
      <c r="S360" s="3" t="n">
        <v>36.9</v>
      </c>
      <c r="T360" s="3" t="n">
        <v>23.71</v>
      </c>
      <c r="U360" s="4" t="n">
        <v>0.3466</v>
      </c>
      <c r="V360" s="3" t="n">
        <v>7.8</v>
      </c>
      <c r="W360" t="inlineStr">
        <is>
          <t>Cash on Delivery</t>
        </is>
      </c>
      <c r="X360" t="inlineStr">
        <is>
          <t>Critical</t>
        </is>
      </c>
      <c r="Y360" t="n">
        <v>2025</v>
      </c>
      <c r="Z360" t="n">
        <v>3</v>
      </c>
      <c r="AA360" t="inlineStr">
        <is>
          <t>Mar</t>
        </is>
      </c>
      <c r="AB360" t="inlineStr">
        <is>
          <t>Sunday</t>
        </is>
      </c>
      <c r="AC360" t="n">
        <v>1</v>
      </c>
      <c r="AD360" t="inlineStr">
        <is>
          <t>Profitable</t>
        </is>
      </c>
      <c r="AE360" t="inlineStr">
        <is>
          <t>Medium</t>
        </is>
      </c>
      <c r="AF360" t="inlineStr">
        <is>
          <t>Small</t>
        </is>
      </c>
    </row>
    <row r="361">
      <c r="A361" t="inlineStr">
        <is>
          <t>ORD-00360</t>
        </is>
      </c>
      <c r="B361" s="2" t="n">
        <v>45403</v>
      </c>
      <c r="C361" s="2" t="n">
        <v>45408</v>
      </c>
      <c r="D361" t="inlineStr">
        <is>
          <t>CUST-00360</t>
        </is>
      </c>
      <c r="E361" t="inlineStr">
        <is>
          <t>Customer 360</t>
        </is>
      </c>
      <c r="F361" t="inlineStr">
        <is>
          <t>Home Office</t>
        </is>
      </c>
      <c r="G361" t="inlineStr">
        <is>
          <t>P1017</t>
        </is>
      </c>
      <c r="H361" t="inlineStr">
        <is>
          <t>Pulse Keyboard</t>
        </is>
      </c>
      <c r="I361" t="inlineStr">
        <is>
          <t>Furniture</t>
        </is>
      </c>
      <c r="J361" t="inlineStr">
        <is>
          <t>Peripherals</t>
        </is>
      </c>
      <c r="K361" t="inlineStr">
        <is>
          <t>Central</t>
        </is>
      </c>
      <c r="L361" t="inlineStr">
        <is>
          <t>Kansas</t>
        </is>
      </c>
      <c r="M361" t="inlineStr">
        <is>
          <t>Minneapolis</t>
        </is>
      </c>
      <c r="N361" t="inlineStr">
        <is>
          <t>Noah Kim</t>
        </is>
      </c>
      <c r="O361" t="n">
        <v>2</v>
      </c>
      <c r="P361" s="3" t="n">
        <v>569.9</v>
      </c>
      <c r="Q361" s="4" t="n">
        <v>0.031</v>
      </c>
      <c r="R361" s="3" t="n">
        <v>1104.47</v>
      </c>
      <c r="S361" s="3" t="n">
        <v>737.01</v>
      </c>
      <c r="T361" s="3" t="n">
        <v>359.86</v>
      </c>
      <c r="U361" s="4" t="n">
        <v>0.3258</v>
      </c>
      <c r="V361" s="3" t="n">
        <v>7.6</v>
      </c>
      <c r="W361" t="inlineStr">
        <is>
          <t>Debit Card</t>
        </is>
      </c>
      <c r="X361" t="inlineStr">
        <is>
          <t>High</t>
        </is>
      </c>
      <c r="Y361" t="n">
        <v>2024</v>
      </c>
      <c r="Z361" t="n">
        <v>4</v>
      </c>
      <c r="AA361" t="inlineStr">
        <is>
          <t>Apr</t>
        </is>
      </c>
      <c r="AB361" t="inlineStr">
        <is>
          <t>Sunday</t>
        </is>
      </c>
      <c r="AC361" t="n">
        <v>5</v>
      </c>
      <c r="AD361" t="inlineStr">
        <is>
          <t>Profitable</t>
        </is>
      </c>
      <c r="AE361" t="inlineStr">
        <is>
          <t>Medium</t>
        </is>
      </c>
      <c r="AF361" t="inlineStr">
        <is>
          <t>Medium</t>
        </is>
      </c>
    </row>
    <row r="362">
      <c r="A362" t="inlineStr">
        <is>
          <t>ORD-00361</t>
        </is>
      </c>
      <c r="B362" s="2" t="n">
        <v>45341</v>
      </c>
      <c r="C362" s="2" t="n">
        <v>45346</v>
      </c>
      <c r="D362" t="inlineStr">
        <is>
          <t>CUST-00361</t>
        </is>
      </c>
      <c r="E362" t="inlineStr">
        <is>
          <t>Customer 361</t>
        </is>
      </c>
      <c r="F362" t="inlineStr">
        <is>
          <t>Consumer</t>
        </is>
      </c>
      <c r="G362" t="inlineStr">
        <is>
          <t>P1009</t>
        </is>
      </c>
      <c r="H362" t="inlineStr">
        <is>
          <t>CloudDrive File Box</t>
        </is>
      </c>
      <c r="I362" t="inlineStr">
        <is>
          <t>Furniture</t>
        </is>
      </c>
      <c r="J362" t="inlineStr">
        <is>
          <t>Coolers</t>
        </is>
      </c>
      <c r="K362" t="inlineStr">
        <is>
          <t>Central</t>
        </is>
      </c>
      <c r="L362" t="inlineStr">
        <is>
          <t>Kansas</t>
        </is>
      </c>
      <c r="M362" t="inlineStr">
        <is>
          <t>Chicago</t>
        </is>
      </c>
      <c r="N362" t="inlineStr">
        <is>
          <t>James Carter</t>
        </is>
      </c>
      <c r="O362" t="n">
        <v>2</v>
      </c>
      <c r="P362" s="3" t="n">
        <v>89.31</v>
      </c>
      <c r="Q362" s="4" t="n">
        <v>0.053</v>
      </c>
      <c r="R362" s="3" t="n">
        <v>169.15</v>
      </c>
      <c r="S362" s="3" t="n">
        <v>84.88</v>
      </c>
      <c r="T362" s="3" t="n">
        <v>76.67</v>
      </c>
      <c r="U362" s="4" t="n">
        <v>0.4533</v>
      </c>
      <c r="V362" s="3" t="n">
        <v>7.6</v>
      </c>
      <c r="W362" t="inlineStr">
        <is>
          <t>PayPal</t>
        </is>
      </c>
      <c r="X362" t="inlineStr">
        <is>
          <t>High</t>
        </is>
      </c>
      <c r="Y362" t="n">
        <v>2024</v>
      </c>
      <c r="Z362" t="n">
        <v>2</v>
      </c>
      <c r="AA362" t="inlineStr">
        <is>
          <t>Feb</t>
        </is>
      </c>
      <c r="AB362" t="inlineStr">
        <is>
          <t>Monday</t>
        </is>
      </c>
      <c r="AC362" t="n">
        <v>5</v>
      </c>
      <c r="AD362" t="inlineStr">
        <is>
          <t>Profitable</t>
        </is>
      </c>
      <c r="AE362" t="inlineStr">
        <is>
          <t>High</t>
        </is>
      </c>
      <c r="AF362" t="inlineStr">
        <is>
          <t>Small</t>
        </is>
      </c>
    </row>
    <row r="363">
      <c r="A363" t="inlineStr">
        <is>
          <t>ORD-00362</t>
        </is>
      </c>
      <c r="B363" s="2" t="n">
        <v>45385</v>
      </c>
      <c r="C363" s="2" t="n">
        <v>45388</v>
      </c>
      <c r="D363" t="inlineStr">
        <is>
          <t>CUST-00362</t>
        </is>
      </c>
      <c r="E363" t="inlineStr">
        <is>
          <t>Customer 362</t>
        </is>
      </c>
      <c r="F363" t="inlineStr">
        <is>
          <t>Consumer</t>
        </is>
      </c>
      <c r="G363" t="inlineStr">
        <is>
          <t>P1016</t>
        </is>
      </c>
      <c r="H363" t="inlineStr">
        <is>
          <t>Lumen Desk Lamp</t>
        </is>
      </c>
      <c r="I363" t="inlineStr">
        <is>
          <t>Furniture</t>
        </is>
      </c>
      <c r="J363" t="inlineStr">
        <is>
          <t>Flooring</t>
        </is>
      </c>
      <c r="K363" t="inlineStr">
        <is>
          <t>West</t>
        </is>
      </c>
      <c r="L363" t="inlineStr">
        <is>
          <t>California</t>
        </is>
      </c>
      <c r="M363" t="inlineStr">
        <is>
          <t>San Francisco</t>
        </is>
      </c>
      <c r="N363" t="inlineStr">
        <is>
          <t>Ava Patel</t>
        </is>
      </c>
      <c r="O363" t="n">
        <v>2</v>
      </c>
      <c r="P363" s="3" t="n">
        <v>40.47</v>
      </c>
      <c r="Q363" s="4" t="n">
        <v>0.017</v>
      </c>
      <c r="R363" s="3" t="n">
        <v>79.56</v>
      </c>
      <c r="S363" s="3" t="n">
        <v>32.93</v>
      </c>
      <c r="T363" s="3" t="n">
        <v>38.03</v>
      </c>
      <c r="U363" s="4" t="n">
        <v>0.478</v>
      </c>
      <c r="V363" s="3" t="n">
        <v>8.6</v>
      </c>
      <c r="W363" t="inlineStr">
        <is>
          <t>Debit Card</t>
        </is>
      </c>
      <c r="X363" t="inlineStr">
        <is>
          <t>High</t>
        </is>
      </c>
      <c r="Y363" t="n">
        <v>2024</v>
      </c>
      <c r="Z363" t="n">
        <v>4</v>
      </c>
      <c r="AA363" t="inlineStr">
        <is>
          <t>Apr</t>
        </is>
      </c>
      <c r="AB363" t="inlineStr">
        <is>
          <t>Wednesday</t>
        </is>
      </c>
      <c r="AC363" t="n">
        <v>3</v>
      </c>
      <c r="AD363" t="inlineStr">
        <is>
          <t>Profitable</t>
        </is>
      </c>
      <c r="AE363" t="inlineStr">
        <is>
          <t>Low</t>
        </is>
      </c>
      <c r="AF363" t="inlineStr">
        <is>
          <t>Small</t>
        </is>
      </c>
    </row>
    <row r="364">
      <c r="A364" t="inlineStr">
        <is>
          <t>ORD-00363</t>
        </is>
      </c>
      <c r="B364" s="2" t="n">
        <v>45316</v>
      </c>
      <c r="C364" s="2" t="n">
        <v>45318</v>
      </c>
      <c r="D364" t="inlineStr">
        <is>
          <t>CUST-00363</t>
        </is>
      </c>
      <c r="E364" t="inlineStr">
        <is>
          <t>Customer 363</t>
        </is>
      </c>
      <c r="F364" t="inlineStr">
        <is>
          <t>Consumer</t>
        </is>
      </c>
      <c r="G364" t="inlineStr">
        <is>
          <t>P1001</t>
        </is>
      </c>
      <c r="H364" t="inlineStr">
        <is>
          <t>Cove Wall Clock</t>
        </is>
      </c>
      <c r="I364" t="inlineStr">
        <is>
          <t>Furniture</t>
        </is>
      </c>
      <c r="J364" t="inlineStr">
        <is>
          <t>Accessories</t>
        </is>
      </c>
      <c r="K364" t="inlineStr">
        <is>
          <t>East</t>
        </is>
      </c>
      <c r="L364" t="inlineStr">
        <is>
          <t>Virginia</t>
        </is>
      </c>
      <c r="M364" t="inlineStr">
        <is>
          <t>New York</t>
        </is>
      </c>
      <c r="N364" t="inlineStr">
        <is>
          <t>Ethan Brooks</t>
        </is>
      </c>
      <c r="O364" t="n">
        <v>3</v>
      </c>
      <c r="P364" s="3" t="n">
        <v>308.49</v>
      </c>
      <c r="Q364" s="4" t="n">
        <v>0.048</v>
      </c>
      <c r="R364" s="3" t="n">
        <v>881.05</v>
      </c>
      <c r="S364" s="3" t="n">
        <v>522.71</v>
      </c>
      <c r="T364" s="3" t="n">
        <v>348.94</v>
      </c>
      <c r="U364" s="4" t="n">
        <v>0.3961</v>
      </c>
      <c r="V364" s="3" t="n">
        <v>9.4</v>
      </c>
      <c r="W364" t="inlineStr">
        <is>
          <t>Credit Card</t>
        </is>
      </c>
      <c r="X364" t="inlineStr">
        <is>
          <t>High</t>
        </is>
      </c>
      <c r="Y364" t="n">
        <v>2024</v>
      </c>
      <c r="Z364" t="n">
        <v>1</v>
      </c>
      <c r="AA364" t="inlineStr">
        <is>
          <t>Jan</t>
        </is>
      </c>
      <c r="AB364" t="inlineStr">
        <is>
          <t>Thursday</t>
        </is>
      </c>
      <c r="AC364" t="n">
        <v>2</v>
      </c>
      <c r="AD364" t="inlineStr">
        <is>
          <t>Profitable</t>
        </is>
      </c>
      <c r="AE364" t="inlineStr">
        <is>
          <t>Medium</t>
        </is>
      </c>
      <c r="AF364" t="inlineStr">
        <is>
          <t>Medium</t>
        </is>
      </c>
    </row>
    <row r="365">
      <c r="A365" t="inlineStr">
        <is>
          <t>ORD-00364</t>
        </is>
      </c>
      <c r="B365" s="2" t="n">
        <v>45560</v>
      </c>
      <c r="C365" s="2" t="n">
        <v>45565</v>
      </c>
      <c r="D365" t="inlineStr">
        <is>
          <t>CUST-00364</t>
        </is>
      </c>
      <c r="E365" t="inlineStr">
        <is>
          <t>Customer 364</t>
        </is>
      </c>
      <c r="F365" t="inlineStr">
        <is>
          <t>Consumer</t>
        </is>
      </c>
      <c r="G365" t="inlineStr">
        <is>
          <t>P1016</t>
        </is>
      </c>
      <c r="H365" t="inlineStr">
        <is>
          <t>Aero Standing Desk</t>
        </is>
      </c>
      <c r="I365" t="inlineStr">
        <is>
          <t>Home Decor</t>
        </is>
      </c>
      <c r="J365" t="inlineStr">
        <is>
          <t>Coolers</t>
        </is>
      </c>
      <c r="K365" t="inlineStr">
        <is>
          <t>East</t>
        </is>
      </c>
      <c r="L365" t="inlineStr">
        <is>
          <t>New Jersey</t>
        </is>
      </c>
      <c r="M365" t="inlineStr">
        <is>
          <t>Washington</t>
        </is>
      </c>
      <c r="N365" t="inlineStr">
        <is>
          <t>James Carter</t>
        </is>
      </c>
      <c r="O365" t="n">
        <v>3</v>
      </c>
      <c r="P365" s="3" t="n">
        <v>40.19</v>
      </c>
      <c r="Q365" s="4" t="n">
        <v>0.027</v>
      </c>
      <c r="R365" s="3" t="n">
        <v>117.31</v>
      </c>
      <c r="S365" s="3" t="n">
        <v>48.55</v>
      </c>
      <c r="T365" s="3" t="n">
        <v>59.36</v>
      </c>
      <c r="U365" s="4" t="n">
        <v>0.506</v>
      </c>
      <c r="V365" s="3" t="n">
        <v>9.4</v>
      </c>
      <c r="W365" t="inlineStr">
        <is>
          <t>Bank Transfer</t>
        </is>
      </c>
      <c r="X365" t="inlineStr">
        <is>
          <t>Medium</t>
        </is>
      </c>
      <c r="Y365" t="n">
        <v>2024</v>
      </c>
      <c r="Z365" t="n">
        <v>9</v>
      </c>
      <c r="AA365" t="inlineStr">
        <is>
          <t>Sep</t>
        </is>
      </c>
      <c r="AB365" t="inlineStr">
        <is>
          <t>Wednesday</t>
        </is>
      </c>
      <c r="AC365" t="n">
        <v>5</v>
      </c>
      <c r="AD365" t="inlineStr">
        <is>
          <t>Profitable</t>
        </is>
      </c>
      <c r="AE365" t="inlineStr">
        <is>
          <t>Medium</t>
        </is>
      </c>
      <c r="AF365" t="inlineStr">
        <is>
          <t>Small</t>
        </is>
      </c>
    </row>
    <row r="366">
      <c r="A366" t="inlineStr">
        <is>
          <t>ORD-00365</t>
        </is>
      </c>
      <c r="B366" s="2" t="n">
        <v>45789</v>
      </c>
      <c r="C366" s="2" t="n">
        <v>45790</v>
      </c>
      <c r="D366" t="inlineStr">
        <is>
          <t>CUST-00365</t>
        </is>
      </c>
      <c r="E366" t="inlineStr">
        <is>
          <t>Customer 365</t>
        </is>
      </c>
      <c r="F366" t="inlineStr">
        <is>
          <t>Corporate</t>
        </is>
      </c>
      <c r="G366" t="inlineStr">
        <is>
          <t>P1019</t>
        </is>
      </c>
      <c r="H366" t="inlineStr">
        <is>
          <t>Atlas Throw Pillow</t>
        </is>
      </c>
      <c r="I366" t="inlineStr">
        <is>
          <t>Office Supplies</t>
        </is>
      </c>
      <c r="J366" t="inlineStr">
        <is>
          <t>Peripherals</t>
        </is>
      </c>
      <c r="K366" t="inlineStr">
        <is>
          <t>Central</t>
        </is>
      </c>
      <c r="L366" t="inlineStr">
        <is>
          <t>Missouri</t>
        </is>
      </c>
      <c r="M366" t="inlineStr">
        <is>
          <t>Kansas City</t>
        </is>
      </c>
      <c r="N366" t="inlineStr">
        <is>
          <t>Ethan Brooks</t>
        </is>
      </c>
      <c r="O366" t="n">
        <v>2</v>
      </c>
      <c r="P366" s="3" t="n">
        <v>54.91</v>
      </c>
      <c r="Q366" s="4" t="n">
        <v>0.013</v>
      </c>
      <c r="R366" s="3" t="n">
        <v>108.39</v>
      </c>
      <c r="S366" s="3" t="n">
        <v>53.86</v>
      </c>
      <c r="T366" s="3" t="n">
        <v>46.93</v>
      </c>
      <c r="U366" s="4" t="n">
        <v>0.433</v>
      </c>
      <c r="V366" s="3" t="n">
        <v>7.6</v>
      </c>
      <c r="W366" t="inlineStr">
        <is>
          <t>PayPal</t>
        </is>
      </c>
      <c r="X366" t="inlineStr">
        <is>
          <t>Medium</t>
        </is>
      </c>
      <c r="Y366" t="n">
        <v>2025</v>
      </c>
      <c r="Z366" t="n">
        <v>5</v>
      </c>
      <c r="AA366" t="inlineStr">
        <is>
          <t>May</t>
        </is>
      </c>
      <c r="AB366" t="inlineStr">
        <is>
          <t>Monday</t>
        </is>
      </c>
      <c r="AC366" t="n">
        <v>1</v>
      </c>
      <c r="AD366" t="inlineStr">
        <is>
          <t>Profitable</t>
        </is>
      </c>
      <c r="AE366" t="inlineStr">
        <is>
          <t>Low</t>
        </is>
      </c>
      <c r="AF366" t="inlineStr">
        <is>
          <t>Small</t>
        </is>
      </c>
    </row>
    <row r="367">
      <c r="A367" t="inlineStr">
        <is>
          <t>ORD-00366</t>
        </is>
      </c>
      <c r="B367" s="2" t="n">
        <v>45637</v>
      </c>
      <c r="C367" s="2" t="n">
        <v>45642</v>
      </c>
      <c r="D367" t="inlineStr">
        <is>
          <t>CUST-00366</t>
        </is>
      </c>
      <c r="E367" t="inlineStr">
        <is>
          <t>Customer 366</t>
        </is>
      </c>
      <c r="F367" t="inlineStr">
        <is>
          <t>Corporate</t>
        </is>
      </c>
      <c r="G367" t="inlineStr">
        <is>
          <t>P1009</t>
        </is>
      </c>
      <c r="H367" t="inlineStr">
        <is>
          <t>Cove Wall Clock</t>
        </is>
      </c>
      <c r="I367" t="inlineStr">
        <is>
          <t>Home Decor</t>
        </is>
      </c>
      <c r="J367" t="inlineStr">
        <is>
          <t>Peripherals</t>
        </is>
      </c>
      <c r="K367" t="inlineStr">
        <is>
          <t>Central</t>
        </is>
      </c>
      <c r="L367" t="inlineStr">
        <is>
          <t>Illinois</t>
        </is>
      </c>
      <c r="M367" t="inlineStr">
        <is>
          <t>Chicago</t>
        </is>
      </c>
      <c r="N367" t="inlineStr">
        <is>
          <t>Olivia Martin</t>
        </is>
      </c>
      <c r="O367" t="n">
        <v>2</v>
      </c>
      <c r="P367" s="3" t="n">
        <v>92.37</v>
      </c>
      <c r="Q367" s="4" t="n">
        <v>0.06899999999999999</v>
      </c>
      <c r="R367" s="3" t="n">
        <v>171.99</v>
      </c>
      <c r="S367" s="3" t="n">
        <v>92.59999999999999</v>
      </c>
      <c r="T367" s="3" t="n">
        <v>71.79000000000001</v>
      </c>
      <c r="U367" s="4" t="n">
        <v>0.4174</v>
      </c>
      <c r="V367" s="3" t="n">
        <v>7.6</v>
      </c>
      <c r="W367" t="inlineStr">
        <is>
          <t>PayPal</t>
        </is>
      </c>
      <c r="X367" t="inlineStr">
        <is>
          <t>Critical</t>
        </is>
      </c>
      <c r="Y367" t="n">
        <v>2024</v>
      </c>
      <c r="Z367" t="n">
        <v>12</v>
      </c>
      <c r="AA367" t="inlineStr">
        <is>
          <t>Dec</t>
        </is>
      </c>
      <c r="AB367" t="inlineStr">
        <is>
          <t>Wednesday</t>
        </is>
      </c>
      <c r="AC367" t="n">
        <v>5</v>
      </c>
      <c r="AD367" t="inlineStr">
        <is>
          <t>Profitable</t>
        </is>
      </c>
      <c r="AE367" t="inlineStr">
        <is>
          <t>High</t>
        </is>
      </c>
      <c r="AF367" t="inlineStr">
        <is>
          <t>Small</t>
        </is>
      </c>
    </row>
    <row r="368">
      <c r="A368" t="inlineStr">
        <is>
          <t>ORD-00367</t>
        </is>
      </c>
      <c r="B368" s="2" t="n">
        <v>45767</v>
      </c>
      <c r="C368" s="2" t="n">
        <v>45774</v>
      </c>
      <c r="D368" t="inlineStr">
        <is>
          <t>CUST-00367</t>
        </is>
      </c>
      <c r="E368" t="inlineStr">
        <is>
          <t>Customer 367</t>
        </is>
      </c>
      <c r="F368" t="inlineStr">
        <is>
          <t>Consumer</t>
        </is>
      </c>
      <c r="G368" t="inlineStr">
        <is>
          <t>P1017</t>
        </is>
      </c>
      <c r="H368" t="inlineStr">
        <is>
          <t>SmartInk Pen Set</t>
        </is>
      </c>
      <c r="I368" t="inlineStr">
        <is>
          <t>Home Decor</t>
        </is>
      </c>
      <c r="J368" t="inlineStr">
        <is>
          <t>Paper</t>
        </is>
      </c>
      <c r="K368" t="inlineStr">
        <is>
          <t>West</t>
        </is>
      </c>
      <c r="L368" t="inlineStr">
        <is>
          <t>Colorado</t>
        </is>
      </c>
      <c r="M368" t="inlineStr">
        <is>
          <t>Seattle</t>
        </is>
      </c>
      <c r="N368" t="inlineStr">
        <is>
          <t>Liam Chen</t>
        </is>
      </c>
      <c r="O368" t="n">
        <v>3</v>
      </c>
      <c r="P368" s="3" t="n">
        <v>590.92</v>
      </c>
      <c r="Q368" s="4" t="n">
        <v>0.017</v>
      </c>
      <c r="R368" s="3" t="n">
        <v>1742.62</v>
      </c>
      <c r="S368" s="3" t="n">
        <v>1154.64</v>
      </c>
      <c r="T368" s="3" t="n">
        <v>578.58</v>
      </c>
      <c r="U368" s="4" t="n">
        <v>0.332</v>
      </c>
      <c r="V368" s="3" t="n">
        <v>9.4</v>
      </c>
      <c r="W368" t="inlineStr">
        <is>
          <t>PayPal</t>
        </is>
      </c>
      <c r="X368" t="inlineStr">
        <is>
          <t>Medium</t>
        </is>
      </c>
      <c r="Y368" t="n">
        <v>2025</v>
      </c>
      <c r="Z368" t="n">
        <v>4</v>
      </c>
      <c r="AA368" t="inlineStr">
        <is>
          <t>Apr</t>
        </is>
      </c>
      <c r="AB368" t="inlineStr">
        <is>
          <t>Sunday</t>
        </is>
      </c>
      <c r="AC368" t="n">
        <v>7</v>
      </c>
      <c r="AD368" t="inlineStr">
        <is>
          <t>Profitable</t>
        </is>
      </c>
      <c r="AE368" t="inlineStr">
        <is>
          <t>Low</t>
        </is>
      </c>
      <c r="AF368" t="inlineStr">
        <is>
          <t>Large</t>
        </is>
      </c>
    </row>
    <row r="369">
      <c r="A369" t="inlineStr">
        <is>
          <t>ORD-00368</t>
        </is>
      </c>
      <c r="B369" s="2" t="n">
        <v>45788</v>
      </c>
      <c r="C369" s="2" t="n">
        <v>45789</v>
      </c>
      <c r="D369" t="inlineStr">
        <is>
          <t>CUST-00368</t>
        </is>
      </c>
      <c r="E369" t="inlineStr">
        <is>
          <t>Customer 368</t>
        </is>
      </c>
      <c r="F369" t="inlineStr">
        <is>
          <t>Corporate</t>
        </is>
      </c>
      <c r="G369" t="inlineStr">
        <is>
          <t>P1006</t>
        </is>
      </c>
      <c r="H369" t="inlineStr">
        <is>
          <t>Orbit Wireless Mouse</t>
        </is>
      </c>
      <c r="I369" t="inlineStr">
        <is>
          <t>Home Decor</t>
        </is>
      </c>
      <c r="J369" t="inlineStr">
        <is>
          <t>Accessories</t>
        </is>
      </c>
      <c r="K369" t="inlineStr">
        <is>
          <t>East</t>
        </is>
      </c>
      <c r="L369" t="inlineStr">
        <is>
          <t>New York</t>
        </is>
      </c>
      <c r="M369" t="inlineStr">
        <is>
          <t>Philadelphia</t>
        </is>
      </c>
      <c r="N369" t="inlineStr">
        <is>
          <t>Liam Chen</t>
        </is>
      </c>
      <c r="O369" t="n">
        <v>3</v>
      </c>
      <c r="P369" s="3" t="n">
        <v>17.89</v>
      </c>
      <c r="Q369" s="4" t="n">
        <v>0.022</v>
      </c>
      <c r="R369" s="3" t="n">
        <v>52.49</v>
      </c>
      <c r="S369" s="3" t="n">
        <v>19.79</v>
      </c>
      <c r="T369" s="3" t="n">
        <v>23.3</v>
      </c>
      <c r="U369" s="4" t="n">
        <v>0.4439</v>
      </c>
      <c r="V369" s="3" t="n">
        <v>9.4</v>
      </c>
      <c r="W369" t="inlineStr">
        <is>
          <t>Credit Card</t>
        </is>
      </c>
      <c r="X369" t="inlineStr">
        <is>
          <t>Low</t>
        </is>
      </c>
      <c r="Y369" t="n">
        <v>2025</v>
      </c>
      <c r="Z369" t="n">
        <v>5</v>
      </c>
      <c r="AA369" t="inlineStr">
        <is>
          <t>May</t>
        </is>
      </c>
      <c r="AB369" t="inlineStr">
        <is>
          <t>Sunday</t>
        </is>
      </c>
      <c r="AC369" t="n">
        <v>1</v>
      </c>
      <c r="AD369" t="inlineStr">
        <is>
          <t>Profitable</t>
        </is>
      </c>
      <c r="AE369" t="inlineStr">
        <is>
          <t>Medium</t>
        </is>
      </c>
      <c r="AF369" t="inlineStr">
        <is>
          <t>Small</t>
        </is>
      </c>
    </row>
    <row r="370">
      <c r="A370" t="inlineStr">
        <is>
          <t>ORD-00369</t>
        </is>
      </c>
      <c r="B370" s="2" t="n">
        <v>45094</v>
      </c>
      <c r="C370" s="2" t="n">
        <v>45096</v>
      </c>
      <c r="D370" t="inlineStr">
        <is>
          <t>CUST-00369</t>
        </is>
      </c>
      <c r="E370" t="inlineStr">
        <is>
          <t>Customer 369</t>
        </is>
      </c>
      <c r="F370" t="inlineStr">
        <is>
          <t>Corporate</t>
        </is>
      </c>
      <c r="G370" t="inlineStr">
        <is>
          <t>P1014</t>
        </is>
      </c>
      <c r="H370" t="inlineStr">
        <is>
          <t>Echo Web Camera</t>
        </is>
      </c>
      <c r="I370" t="inlineStr">
        <is>
          <t>Technology</t>
        </is>
      </c>
      <c r="J370" t="inlineStr">
        <is>
          <t>Lighting</t>
        </is>
      </c>
      <c r="K370" t="inlineStr">
        <is>
          <t>Central</t>
        </is>
      </c>
      <c r="L370" t="inlineStr">
        <is>
          <t>Minnesota</t>
        </is>
      </c>
      <c r="M370" t="inlineStr">
        <is>
          <t>Kansas City</t>
        </is>
      </c>
      <c r="N370" t="inlineStr">
        <is>
          <t>Liam Chen</t>
        </is>
      </c>
      <c r="O370" t="n">
        <v>2</v>
      </c>
      <c r="P370" s="3" t="n">
        <v>41.52</v>
      </c>
      <c r="Q370" s="4" t="n">
        <v>0.014</v>
      </c>
      <c r="R370" s="3" t="n">
        <v>81.88</v>
      </c>
      <c r="S370" s="3" t="n">
        <v>36.98</v>
      </c>
      <c r="T370" s="3" t="n">
        <v>37.3</v>
      </c>
      <c r="U370" s="4" t="n">
        <v>0.4555</v>
      </c>
      <c r="V370" s="3" t="n">
        <v>7.6</v>
      </c>
      <c r="W370" t="inlineStr">
        <is>
          <t>Bank Transfer</t>
        </is>
      </c>
      <c r="X370" t="inlineStr">
        <is>
          <t>Low</t>
        </is>
      </c>
      <c r="Y370" t="n">
        <v>2023</v>
      </c>
      <c r="Z370" t="n">
        <v>6</v>
      </c>
      <c r="AA370" t="inlineStr">
        <is>
          <t>Jun</t>
        </is>
      </c>
      <c r="AB370" t="inlineStr">
        <is>
          <t>Saturday</t>
        </is>
      </c>
      <c r="AC370" t="n">
        <v>2</v>
      </c>
      <c r="AD370" t="inlineStr">
        <is>
          <t>Profitable</t>
        </is>
      </c>
      <c r="AE370" t="inlineStr">
        <is>
          <t>Low</t>
        </is>
      </c>
      <c r="AF370" t="inlineStr">
        <is>
          <t>Small</t>
        </is>
      </c>
    </row>
    <row r="371">
      <c r="A371" t="inlineStr">
        <is>
          <t>ORD-00370</t>
        </is>
      </c>
      <c r="B371" s="2" t="n">
        <v>44952</v>
      </c>
      <c r="C371" s="2" t="n">
        <v>44959</v>
      </c>
      <c r="D371" t="inlineStr">
        <is>
          <t>CUST-00370</t>
        </is>
      </c>
      <c r="E371" t="inlineStr">
        <is>
          <t>Customer 370</t>
        </is>
      </c>
      <c r="F371" t="inlineStr">
        <is>
          <t>Consumer</t>
        </is>
      </c>
      <c r="G371" t="inlineStr">
        <is>
          <t>P1018</t>
        </is>
      </c>
      <c r="H371" t="inlineStr">
        <is>
          <t>CloudDrive File Box</t>
        </is>
      </c>
      <c r="I371" t="inlineStr">
        <is>
          <t>Furniture</t>
        </is>
      </c>
      <c r="J371" t="inlineStr">
        <is>
          <t>Plants</t>
        </is>
      </c>
      <c r="K371" t="inlineStr">
        <is>
          <t>West</t>
        </is>
      </c>
      <c r="L371" t="inlineStr">
        <is>
          <t>California</t>
        </is>
      </c>
      <c r="M371" t="inlineStr">
        <is>
          <t>Seattle</t>
        </is>
      </c>
      <c r="N371" t="inlineStr">
        <is>
          <t>Liam Chen</t>
        </is>
      </c>
      <c r="O371" t="n">
        <v>4</v>
      </c>
      <c r="P371" s="3" t="n">
        <v>89.67</v>
      </c>
      <c r="Q371" s="4" t="n">
        <v>0.013</v>
      </c>
      <c r="R371" s="3" t="n">
        <v>354.02</v>
      </c>
      <c r="S371" s="3" t="n">
        <v>157.26</v>
      </c>
      <c r="T371" s="3" t="n">
        <v>186.56</v>
      </c>
      <c r="U371" s="4" t="n">
        <v>0.527</v>
      </c>
      <c r="V371" s="3" t="n">
        <v>10.2</v>
      </c>
      <c r="W371" t="inlineStr">
        <is>
          <t>Credit Card</t>
        </is>
      </c>
      <c r="X371" t="inlineStr">
        <is>
          <t>Medium</t>
        </is>
      </c>
      <c r="Y371" t="n">
        <v>2023</v>
      </c>
      <c r="Z371" t="n">
        <v>1</v>
      </c>
      <c r="AA371" t="inlineStr">
        <is>
          <t>Jan</t>
        </is>
      </c>
      <c r="AB371" t="inlineStr">
        <is>
          <t>Thursday</t>
        </is>
      </c>
      <c r="AC371" t="n">
        <v>7</v>
      </c>
      <c r="AD371" t="inlineStr">
        <is>
          <t>Profitable</t>
        </is>
      </c>
      <c r="AE371" t="inlineStr">
        <is>
          <t>Low</t>
        </is>
      </c>
      <c r="AF371" t="inlineStr">
        <is>
          <t>Small</t>
        </is>
      </c>
    </row>
    <row r="372">
      <c r="A372" t="inlineStr">
        <is>
          <t>ORD-00371</t>
        </is>
      </c>
      <c r="B372" s="2" t="n">
        <v>45251</v>
      </c>
      <c r="C372" s="2" t="n">
        <v>45254</v>
      </c>
      <c r="D372" t="inlineStr">
        <is>
          <t>CUST-00371</t>
        </is>
      </c>
      <c r="E372" t="inlineStr">
        <is>
          <t>Customer 371</t>
        </is>
      </c>
      <c r="F372" t="inlineStr">
        <is>
          <t>Consumer</t>
        </is>
      </c>
      <c r="G372" t="inlineStr">
        <is>
          <t>P1014</t>
        </is>
      </c>
      <c r="H372" t="inlineStr">
        <is>
          <t>Pulse Keyboard</t>
        </is>
      </c>
      <c r="I372" t="inlineStr">
        <is>
          <t>Furniture</t>
        </is>
      </c>
      <c r="J372" t="inlineStr">
        <is>
          <t>Paper</t>
        </is>
      </c>
      <c r="K372" t="inlineStr">
        <is>
          <t>North</t>
        </is>
      </c>
      <c r="L372" t="inlineStr">
        <is>
          <t>British Columbia</t>
        </is>
      </c>
      <c r="M372" t="inlineStr">
        <is>
          <t>Calgary</t>
        </is>
      </c>
      <c r="N372" t="inlineStr">
        <is>
          <t>Sophia Singh</t>
        </is>
      </c>
      <c r="O372" t="n">
        <v>5</v>
      </c>
      <c r="P372" s="3" t="n">
        <v>44.81</v>
      </c>
      <c r="Q372" s="4" t="n">
        <v>0.008999999999999999</v>
      </c>
      <c r="R372" s="3" t="n">
        <v>222.03</v>
      </c>
      <c r="S372" s="3" t="n">
        <v>92.69</v>
      </c>
      <c r="T372" s="3" t="n">
        <v>119.34</v>
      </c>
      <c r="U372" s="4" t="n">
        <v>0.5375</v>
      </c>
      <c r="V372" s="3" t="n">
        <v>10</v>
      </c>
      <c r="W372" t="inlineStr">
        <is>
          <t>PayPal</t>
        </is>
      </c>
      <c r="X372" t="inlineStr">
        <is>
          <t>Low</t>
        </is>
      </c>
      <c r="Y372" t="n">
        <v>2023</v>
      </c>
      <c r="Z372" t="n">
        <v>11</v>
      </c>
      <c r="AA372" t="inlineStr">
        <is>
          <t>Nov</t>
        </is>
      </c>
      <c r="AB372" t="inlineStr">
        <is>
          <t>Tuesday</t>
        </is>
      </c>
      <c r="AC372" t="n">
        <v>3</v>
      </c>
      <c r="AD372" t="inlineStr">
        <is>
          <t>Profitable</t>
        </is>
      </c>
      <c r="AE372" t="inlineStr">
        <is>
          <t>Low</t>
        </is>
      </c>
      <c r="AF372" t="inlineStr">
        <is>
          <t>Small</t>
        </is>
      </c>
    </row>
    <row r="373">
      <c r="A373" t="inlineStr">
        <is>
          <t>ORD-00372</t>
        </is>
      </c>
      <c r="B373" s="2" t="n">
        <v>44940</v>
      </c>
      <c r="C373" s="2" t="n">
        <v>44944</v>
      </c>
      <c r="D373" t="inlineStr">
        <is>
          <t>CUST-00372</t>
        </is>
      </c>
      <c r="E373" t="inlineStr">
        <is>
          <t>Customer 372</t>
        </is>
      </c>
      <c r="F373" t="inlineStr">
        <is>
          <t>Home Office</t>
        </is>
      </c>
      <c r="G373" t="inlineStr">
        <is>
          <t>P1007</t>
        </is>
      </c>
      <c r="H373" t="inlineStr">
        <is>
          <t>Trail Tote</t>
        </is>
      </c>
      <c r="I373" t="inlineStr">
        <is>
          <t>Home Decor</t>
        </is>
      </c>
      <c r="J373" t="inlineStr">
        <is>
          <t>Paper</t>
        </is>
      </c>
      <c r="K373" t="inlineStr">
        <is>
          <t>South</t>
        </is>
      </c>
      <c r="L373" t="inlineStr">
        <is>
          <t>North Carolina</t>
        </is>
      </c>
      <c r="M373" t="inlineStr">
        <is>
          <t>Dallas</t>
        </is>
      </c>
      <c r="N373" t="inlineStr">
        <is>
          <t>Noah Kim</t>
        </is>
      </c>
      <c r="O373" t="n">
        <v>3</v>
      </c>
      <c r="P373" s="3" t="n">
        <v>23.84</v>
      </c>
      <c r="Q373" s="4" t="n">
        <v>0.028</v>
      </c>
      <c r="R373" s="3" t="n">
        <v>69.52</v>
      </c>
      <c r="S373" s="3" t="n">
        <v>30.38</v>
      </c>
      <c r="T373" s="3" t="n">
        <v>30.74</v>
      </c>
      <c r="U373" s="4" t="n">
        <v>0.4422</v>
      </c>
      <c r="V373" s="3" t="n">
        <v>8.4</v>
      </c>
      <c r="W373" t="inlineStr">
        <is>
          <t>Credit Card</t>
        </is>
      </c>
      <c r="X373" t="inlineStr">
        <is>
          <t>High</t>
        </is>
      </c>
      <c r="Y373" t="n">
        <v>2023</v>
      </c>
      <c r="Z373" t="n">
        <v>1</v>
      </c>
      <c r="AA373" t="inlineStr">
        <is>
          <t>Jan</t>
        </is>
      </c>
      <c r="AB373" t="inlineStr">
        <is>
          <t>Saturday</t>
        </is>
      </c>
      <c r="AC373" t="n">
        <v>4</v>
      </c>
      <c r="AD373" t="inlineStr">
        <is>
          <t>Profitable</t>
        </is>
      </c>
      <c r="AE373" t="inlineStr">
        <is>
          <t>Medium</t>
        </is>
      </c>
      <c r="AF373" t="inlineStr">
        <is>
          <t>Small</t>
        </is>
      </c>
    </row>
    <row r="374">
      <c r="A374" t="inlineStr">
        <is>
          <t>ORD-00373</t>
        </is>
      </c>
      <c r="B374" s="2" t="n">
        <v>45276</v>
      </c>
      <c r="C374" s="2" t="n">
        <v>45280</v>
      </c>
      <c r="D374" t="inlineStr">
        <is>
          <t>CUST-00373</t>
        </is>
      </c>
      <c r="E374" t="inlineStr">
        <is>
          <t>Customer 373</t>
        </is>
      </c>
      <c r="F374" t="inlineStr">
        <is>
          <t>Corporate</t>
        </is>
      </c>
      <c r="G374" t="inlineStr">
        <is>
          <t>P1010</t>
        </is>
      </c>
      <c r="H374" t="inlineStr">
        <is>
          <t>Harbor Rug</t>
        </is>
      </c>
      <c r="I374" t="inlineStr">
        <is>
          <t>Furniture</t>
        </is>
      </c>
      <c r="J374" t="inlineStr">
        <is>
          <t>Textiles</t>
        </is>
      </c>
      <c r="K374" t="inlineStr">
        <is>
          <t>Central</t>
        </is>
      </c>
      <c r="L374" t="inlineStr">
        <is>
          <t>Missouri</t>
        </is>
      </c>
      <c r="M374" t="inlineStr">
        <is>
          <t>Kansas City</t>
        </is>
      </c>
      <c r="N374" t="inlineStr">
        <is>
          <t>Noah Kim</t>
        </is>
      </c>
      <c r="O374" t="n">
        <v>3</v>
      </c>
      <c r="P374" s="3" t="n">
        <v>57.82</v>
      </c>
      <c r="Q374" s="4" t="n">
        <v>0.021</v>
      </c>
      <c r="R374" s="3" t="n">
        <v>169.82</v>
      </c>
      <c r="S374" s="3" t="n">
        <v>80.45</v>
      </c>
      <c r="T374" s="3" t="n">
        <v>80.97</v>
      </c>
      <c r="U374" s="4" t="n">
        <v>0.4768</v>
      </c>
      <c r="V374" s="3" t="n">
        <v>8.4</v>
      </c>
      <c r="W374" t="inlineStr">
        <is>
          <t>Debit Card</t>
        </is>
      </c>
      <c r="X374" t="inlineStr">
        <is>
          <t>Medium</t>
        </is>
      </c>
      <c r="Y374" t="n">
        <v>2023</v>
      </c>
      <c r="Z374" t="n">
        <v>12</v>
      </c>
      <c r="AA374" t="inlineStr">
        <is>
          <t>Dec</t>
        </is>
      </c>
      <c r="AB374" t="inlineStr">
        <is>
          <t>Saturday</t>
        </is>
      </c>
      <c r="AC374" t="n">
        <v>4</v>
      </c>
      <c r="AD374" t="inlineStr">
        <is>
          <t>Profitable</t>
        </is>
      </c>
      <c r="AE374" t="inlineStr">
        <is>
          <t>Medium</t>
        </is>
      </c>
      <c r="AF374" t="inlineStr">
        <is>
          <t>Small</t>
        </is>
      </c>
    </row>
    <row r="375">
      <c r="A375" t="inlineStr">
        <is>
          <t>ORD-00374</t>
        </is>
      </c>
      <c r="B375" s="2" t="n">
        <v>46015</v>
      </c>
      <c r="C375" s="2" t="n">
        <v>46022</v>
      </c>
      <c r="D375" t="inlineStr">
        <is>
          <t>CUST-00374</t>
        </is>
      </c>
      <c r="E375" t="inlineStr">
        <is>
          <t>Customer 374</t>
        </is>
      </c>
      <c r="F375" t="inlineStr">
        <is>
          <t>Consumer</t>
        </is>
      </c>
      <c r="G375" t="inlineStr">
        <is>
          <t>P1016</t>
        </is>
      </c>
      <c r="H375" t="inlineStr">
        <is>
          <t>Echo Web Camera</t>
        </is>
      </c>
      <c r="I375" t="inlineStr">
        <is>
          <t>Office Supplies</t>
        </is>
      </c>
      <c r="J375" t="inlineStr">
        <is>
          <t>Furniture</t>
        </is>
      </c>
      <c r="K375" t="inlineStr">
        <is>
          <t>West</t>
        </is>
      </c>
      <c r="L375" t="inlineStr">
        <is>
          <t>Oregon</t>
        </is>
      </c>
      <c r="M375" t="inlineStr">
        <is>
          <t>Denver</t>
        </is>
      </c>
      <c r="N375" t="inlineStr">
        <is>
          <t>Noah Kim</t>
        </is>
      </c>
      <c r="O375" t="n">
        <v>4</v>
      </c>
      <c r="P375" s="3" t="n">
        <v>43.53</v>
      </c>
      <c r="Q375" s="4" t="n">
        <v>0.019</v>
      </c>
      <c r="R375" s="3" t="n">
        <v>170.81</v>
      </c>
      <c r="S375" s="3" t="n">
        <v>70.23</v>
      </c>
      <c r="T375" s="3" t="n">
        <v>90.38</v>
      </c>
      <c r="U375" s="4" t="n">
        <v>0.5291</v>
      </c>
      <c r="V375" s="3" t="n">
        <v>10.2</v>
      </c>
      <c r="W375" t="inlineStr">
        <is>
          <t>Credit Card</t>
        </is>
      </c>
      <c r="X375" t="inlineStr">
        <is>
          <t>Medium</t>
        </is>
      </c>
      <c r="Y375" t="n">
        <v>2025</v>
      </c>
      <c r="Z375" t="n">
        <v>12</v>
      </c>
      <c r="AA375" t="inlineStr">
        <is>
          <t>Dec</t>
        </is>
      </c>
      <c r="AB375" t="inlineStr">
        <is>
          <t>Wednesday</t>
        </is>
      </c>
      <c r="AC375" t="n">
        <v>7</v>
      </c>
      <c r="AD375" t="inlineStr">
        <is>
          <t>Profitable</t>
        </is>
      </c>
      <c r="AE375" t="inlineStr">
        <is>
          <t>Low</t>
        </is>
      </c>
      <c r="AF375" t="inlineStr">
        <is>
          <t>Small</t>
        </is>
      </c>
    </row>
    <row r="376">
      <c r="A376" t="inlineStr">
        <is>
          <t>ORD-00375</t>
        </is>
      </c>
      <c r="B376" s="2" t="n">
        <v>45148</v>
      </c>
      <c r="C376" s="2" t="n">
        <v>45149</v>
      </c>
      <c r="D376" t="inlineStr">
        <is>
          <t>CUST-00375</t>
        </is>
      </c>
      <c r="E376" t="inlineStr">
        <is>
          <t>Customer 375</t>
        </is>
      </c>
      <c r="F376" t="inlineStr">
        <is>
          <t>Consumer</t>
        </is>
      </c>
      <c r="G376" t="inlineStr">
        <is>
          <t>P1007</t>
        </is>
      </c>
      <c r="H376" t="inlineStr">
        <is>
          <t>SmartInk Pen Set</t>
        </is>
      </c>
      <c r="I376" t="inlineStr">
        <is>
          <t>Furniture</t>
        </is>
      </c>
      <c r="J376" t="inlineStr">
        <is>
          <t>Writing</t>
        </is>
      </c>
      <c r="K376" t="inlineStr">
        <is>
          <t>East</t>
        </is>
      </c>
      <c r="L376" t="inlineStr">
        <is>
          <t>New Jersey</t>
        </is>
      </c>
      <c r="M376" t="inlineStr">
        <is>
          <t>Philadelphia</t>
        </is>
      </c>
      <c r="N376" t="inlineStr">
        <is>
          <t>Olivia Martin</t>
        </is>
      </c>
      <c r="O376" t="n">
        <v>5</v>
      </c>
      <c r="P376" s="3" t="n">
        <v>24.49</v>
      </c>
      <c r="Q376" s="4" t="n">
        <v>0.012</v>
      </c>
      <c r="R376" s="3" t="n">
        <v>120.98</v>
      </c>
      <c r="S376" s="3" t="n">
        <v>49.37</v>
      </c>
      <c r="T376" s="3" t="n">
        <v>60.61</v>
      </c>
      <c r="U376" s="4" t="n">
        <v>0.501</v>
      </c>
      <c r="V376" s="3" t="n">
        <v>11</v>
      </c>
      <c r="W376" t="inlineStr">
        <is>
          <t>Cash on Delivery</t>
        </is>
      </c>
      <c r="X376" t="inlineStr">
        <is>
          <t>Low</t>
        </is>
      </c>
      <c r="Y376" t="n">
        <v>2023</v>
      </c>
      <c r="Z376" t="n">
        <v>8</v>
      </c>
      <c r="AA376" t="inlineStr">
        <is>
          <t>Aug</t>
        </is>
      </c>
      <c r="AB376" t="inlineStr">
        <is>
          <t>Thursday</t>
        </is>
      </c>
      <c r="AC376" t="n">
        <v>1</v>
      </c>
      <c r="AD376" t="inlineStr">
        <is>
          <t>Profitable</t>
        </is>
      </c>
      <c r="AE376" t="inlineStr">
        <is>
          <t>Low</t>
        </is>
      </c>
      <c r="AF376" t="inlineStr">
        <is>
          <t>Small</t>
        </is>
      </c>
    </row>
    <row r="377">
      <c r="A377" t="inlineStr">
        <is>
          <t>ORD-00376</t>
        </is>
      </c>
      <c r="B377" s="2" t="n">
        <v>45508</v>
      </c>
      <c r="C377" s="2" t="n">
        <v>45513</v>
      </c>
      <c r="D377" t="inlineStr">
        <is>
          <t>CUST-00376</t>
        </is>
      </c>
      <c r="E377" t="inlineStr">
        <is>
          <t>Customer 376</t>
        </is>
      </c>
      <c r="F377" t="inlineStr">
        <is>
          <t>Consumer</t>
        </is>
      </c>
      <c r="G377" t="inlineStr">
        <is>
          <t>P1020</t>
        </is>
      </c>
      <c r="H377" t="inlineStr">
        <is>
          <t>Echo Web Camera</t>
        </is>
      </c>
      <c r="I377" t="inlineStr">
        <is>
          <t>Home Decor</t>
        </is>
      </c>
      <c r="J377" t="inlineStr">
        <is>
          <t>Lighting</t>
        </is>
      </c>
      <c r="K377" t="inlineStr">
        <is>
          <t>East</t>
        </is>
      </c>
      <c r="L377" t="inlineStr">
        <is>
          <t>New Jersey</t>
        </is>
      </c>
      <c r="M377" t="inlineStr">
        <is>
          <t>New York</t>
        </is>
      </c>
      <c r="N377" t="inlineStr">
        <is>
          <t>Mia Rodriguez</t>
        </is>
      </c>
      <c r="O377" t="n">
        <v>5</v>
      </c>
      <c r="P377" s="3" t="n">
        <v>72.56999999999999</v>
      </c>
      <c r="Q377" s="4" t="n">
        <v>0.027</v>
      </c>
      <c r="R377" s="3" t="n">
        <v>353.05</v>
      </c>
      <c r="S377" s="3" t="n">
        <v>163.93</v>
      </c>
      <c r="T377" s="3" t="n">
        <v>178.12</v>
      </c>
      <c r="U377" s="4" t="n">
        <v>0.5044999999999999</v>
      </c>
      <c r="V377" s="3" t="n">
        <v>11</v>
      </c>
      <c r="W377" t="inlineStr">
        <is>
          <t>Debit Card</t>
        </is>
      </c>
      <c r="X377" t="inlineStr">
        <is>
          <t>Medium</t>
        </is>
      </c>
      <c r="Y377" t="n">
        <v>2024</v>
      </c>
      <c r="Z377" t="n">
        <v>8</v>
      </c>
      <c r="AA377" t="inlineStr">
        <is>
          <t>Aug</t>
        </is>
      </c>
      <c r="AB377" t="inlineStr">
        <is>
          <t>Sunday</t>
        </is>
      </c>
      <c r="AC377" t="n">
        <v>5</v>
      </c>
      <c r="AD377" t="inlineStr">
        <is>
          <t>Profitable</t>
        </is>
      </c>
      <c r="AE377" t="inlineStr">
        <is>
          <t>Medium</t>
        </is>
      </c>
      <c r="AF377" t="inlineStr">
        <is>
          <t>Small</t>
        </is>
      </c>
    </row>
    <row r="378">
      <c r="A378" t="inlineStr">
        <is>
          <t>ORD-00377</t>
        </is>
      </c>
      <c r="B378" s="2" t="n">
        <v>45910</v>
      </c>
      <c r="C378" s="2" t="n">
        <v>45915</v>
      </c>
      <c r="D378" t="inlineStr">
        <is>
          <t>CUST-00377</t>
        </is>
      </c>
      <c r="E378" t="inlineStr">
        <is>
          <t>Customer 377</t>
        </is>
      </c>
      <c r="F378" t="inlineStr">
        <is>
          <t>Consumer</t>
        </is>
      </c>
      <c r="G378" t="inlineStr">
        <is>
          <t>P1006</t>
        </is>
      </c>
      <c r="H378" t="inlineStr">
        <is>
          <t>Orbit Wireless Mouse</t>
        </is>
      </c>
      <c r="I378" t="inlineStr">
        <is>
          <t>Home Decor</t>
        </is>
      </c>
      <c r="J378" t="inlineStr">
        <is>
          <t>Decor</t>
        </is>
      </c>
      <c r="K378" t="inlineStr">
        <is>
          <t>North</t>
        </is>
      </c>
      <c r="L378" t="inlineStr">
        <is>
          <t>Ontario</t>
        </is>
      </c>
      <c r="M378" t="inlineStr">
        <is>
          <t>Toronto</t>
        </is>
      </c>
      <c r="N378" t="inlineStr">
        <is>
          <t>Liam Chen</t>
        </is>
      </c>
      <c r="O378" t="n">
        <v>5</v>
      </c>
      <c r="P378" s="3" t="n">
        <v>18.21</v>
      </c>
      <c r="Q378" s="4" t="n">
        <v>0.031</v>
      </c>
      <c r="R378" s="3" t="n">
        <v>88.23</v>
      </c>
      <c r="S378" s="3" t="n">
        <v>31.16</v>
      </c>
      <c r="T378" s="3" t="n">
        <v>47.07</v>
      </c>
      <c r="U378" s="4" t="n">
        <v>0.5335</v>
      </c>
      <c r="V378" s="3" t="n">
        <v>10</v>
      </c>
      <c r="W378" t="inlineStr">
        <is>
          <t>Bank Transfer</t>
        </is>
      </c>
      <c r="X378" t="inlineStr">
        <is>
          <t>Critical</t>
        </is>
      </c>
      <c r="Y378" t="n">
        <v>2025</v>
      </c>
      <c r="Z378" t="n">
        <v>9</v>
      </c>
      <c r="AA378" t="inlineStr">
        <is>
          <t>Sep</t>
        </is>
      </c>
      <c r="AB378" t="inlineStr">
        <is>
          <t>Wednesday</t>
        </is>
      </c>
      <c r="AC378" t="n">
        <v>5</v>
      </c>
      <c r="AD378" t="inlineStr">
        <is>
          <t>Profitable</t>
        </is>
      </c>
      <c r="AE378" t="inlineStr">
        <is>
          <t>Medium</t>
        </is>
      </c>
      <c r="AF378" t="inlineStr">
        <is>
          <t>Small</t>
        </is>
      </c>
    </row>
    <row r="379">
      <c r="A379" t="inlineStr">
        <is>
          <t>ORD-00378</t>
        </is>
      </c>
      <c r="B379" s="2" t="n">
        <v>45103</v>
      </c>
      <c r="C379" s="2" t="n">
        <v>45104</v>
      </c>
      <c r="D379" t="inlineStr">
        <is>
          <t>CUST-00378</t>
        </is>
      </c>
      <c r="E379" t="inlineStr">
        <is>
          <t>Customer 378</t>
        </is>
      </c>
      <c r="F379" t="inlineStr">
        <is>
          <t>Home Office</t>
        </is>
      </c>
      <c r="G379" t="inlineStr">
        <is>
          <t>P1006</t>
        </is>
      </c>
      <c r="H379" t="inlineStr">
        <is>
          <t>SmartInk Pen Set</t>
        </is>
      </c>
      <c r="I379" t="inlineStr">
        <is>
          <t>Furniture</t>
        </is>
      </c>
      <c r="J379" t="inlineStr">
        <is>
          <t>Coolers</t>
        </is>
      </c>
      <c r="K379" t="inlineStr">
        <is>
          <t>West</t>
        </is>
      </c>
      <c r="L379" t="inlineStr">
        <is>
          <t>Washington</t>
        </is>
      </c>
      <c r="M379" t="inlineStr">
        <is>
          <t>Los Angeles</t>
        </is>
      </c>
      <c r="N379" t="inlineStr">
        <is>
          <t>Sophia Singh</t>
        </is>
      </c>
      <c r="O379" t="n">
        <v>4</v>
      </c>
      <c r="P379" s="3" t="n">
        <v>20.24</v>
      </c>
      <c r="Q379" s="4" t="n">
        <v>0.029</v>
      </c>
      <c r="R379" s="3" t="n">
        <v>78.61</v>
      </c>
      <c r="S379" s="3" t="n">
        <v>28.7</v>
      </c>
      <c r="T379" s="3" t="n">
        <v>39.71</v>
      </c>
      <c r="U379" s="4" t="n">
        <v>0.5052</v>
      </c>
      <c r="V379" s="3" t="n">
        <v>10.2</v>
      </c>
      <c r="W379" t="inlineStr">
        <is>
          <t>Bank Transfer</t>
        </is>
      </c>
      <c r="X379" t="inlineStr">
        <is>
          <t>Medium</t>
        </is>
      </c>
      <c r="Y379" t="n">
        <v>2023</v>
      </c>
      <c r="Z379" t="n">
        <v>6</v>
      </c>
      <c r="AA379" t="inlineStr">
        <is>
          <t>Jun</t>
        </is>
      </c>
      <c r="AB379" t="inlineStr">
        <is>
          <t>Monday</t>
        </is>
      </c>
      <c r="AC379" t="n">
        <v>1</v>
      </c>
      <c r="AD379" t="inlineStr">
        <is>
          <t>Profitable</t>
        </is>
      </c>
      <c r="AE379" t="inlineStr">
        <is>
          <t>Medium</t>
        </is>
      </c>
      <c r="AF379" t="inlineStr">
        <is>
          <t>Small</t>
        </is>
      </c>
    </row>
    <row r="380">
      <c r="A380" t="inlineStr">
        <is>
          <t>ORD-00379</t>
        </is>
      </c>
      <c r="B380" s="2" t="n">
        <v>45920</v>
      </c>
      <c r="C380" s="2" t="n">
        <v>45922</v>
      </c>
      <c r="D380" t="inlineStr">
        <is>
          <t>CUST-00379</t>
        </is>
      </c>
      <c r="E380" t="inlineStr">
        <is>
          <t>Customer 379</t>
        </is>
      </c>
      <c r="F380" t="inlineStr">
        <is>
          <t>Consumer</t>
        </is>
      </c>
      <c r="G380" t="inlineStr">
        <is>
          <t>P1007</t>
        </is>
      </c>
      <c r="H380" t="inlineStr">
        <is>
          <t>Northstar Lantern</t>
        </is>
      </c>
      <c r="I380" t="inlineStr">
        <is>
          <t>Furniture</t>
        </is>
      </c>
      <c r="J380" t="inlineStr">
        <is>
          <t>Video</t>
        </is>
      </c>
      <c r="K380" t="inlineStr">
        <is>
          <t>East</t>
        </is>
      </c>
      <c r="L380" t="inlineStr">
        <is>
          <t>New Jersey</t>
        </is>
      </c>
      <c r="M380" t="inlineStr">
        <is>
          <t>Washington</t>
        </is>
      </c>
      <c r="N380" t="inlineStr">
        <is>
          <t>Sophia Singh</t>
        </is>
      </c>
      <c r="O380" t="n">
        <v>3</v>
      </c>
      <c r="P380" s="3" t="n">
        <v>24.43</v>
      </c>
      <c r="Q380" s="4" t="n">
        <v>0.041</v>
      </c>
      <c r="R380" s="3" t="n">
        <v>70.29000000000001</v>
      </c>
      <c r="S380" s="3" t="n">
        <v>26.83</v>
      </c>
      <c r="T380" s="3" t="n">
        <v>34.06</v>
      </c>
      <c r="U380" s="4" t="n">
        <v>0.4846</v>
      </c>
      <c r="V380" s="3" t="n">
        <v>9.4</v>
      </c>
      <c r="W380" t="inlineStr">
        <is>
          <t>Credit Card</t>
        </is>
      </c>
      <c r="X380" t="inlineStr">
        <is>
          <t>High</t>
        </is>
      </c>
      <c r="Y380" t="n">
        <v>2025</v>
      </c>
      <c r="Z380" t="n">
        <v>9</v>
      </c>
      <c r="AA380" t="inlineStr">
        <is>
          <t>Sep</t>
        </is>
      </c>
      <c r="AB380" t="inlineStr">
        <is>
          <t>Saturday</t>
        </is>
      </c>
      <c r="AC380" t="n">
        <v>2</v>
      </c>
      <c r="AD380" t="inlineStr">
        <is>
          <t>Profitable</t>
        </is>
      </c>
      <c r="AE380" t="inlineStr">
        <is>
          <t>Medium</t>
        </is>
      </c>
      <c r="AF380" t="inlineStr">
        <is>
          <t>Small</t>
        </is>
      </c>
    </row>
    <row r="381">
      <c r="A381" t="inlineStr">
        <is>
          <t>ORD-00380</t>
        </is>
      </c>
      <c r="B381" s="2" t="n">
        <v>44938</v>
      </c>
      <c r="C381" s="2" t="n">
        <v>44945</v>
      </c>
      <c r="D381" t="inlineStr">
        <is>
          <t>CUST-00380</t>
        </is>
      </c>
      <c r="E381" t="inlineStr">
        <is>
          <t>Customer 380</t>
        </is>
      </c>
      <c r="F381" t="inlineStr">
        <is>
          <t>Consumer</t>
        </is>
      </c>
      <c r="G381" t="inlineStr">
        <is>
          <t>P1017</t>
        </is>
      </c>
      <c r="H381" t="inlineStr">
        <is>
          <t>SmartInk Pen Set</t>
        </is>
      </c>
      <c r="I381" t="inlineStr">
        <is>
          <t>Technology</t>
        </is>
      </c>
      <c r="J381" t="inlineStr">
        <is>
          <t>Furniture</t>
        </is>
      </c>
      <c r="K381" t="inlineStr">
        <is>
          <t>Central</t>
        </is>
      </c>
      <c r="L381" t="inlineStr">
        <is>
          <t>Illinois</t>
        </is>
      </c>
      <c r="M381" t="inlineStr">
        <is>
          <t>Minneapolis</t>
        </is>
      </c>
      <c r="N381" t="inlineStr">
        <is>
          <t>Ethan Brooks</t>
        </is>
      </c>
      <c r="O381" t="n">
        <v>3</v>
      </c>
      <c r="P381" s="3" t="n">
        <v>528.3200000000001</v>
      </c>
      <c r="Q381" s="4" t="n">
        <v>0.015</v>
      </c>
      <c r="R381" s="3" t="n">
        <v>1561.19</v>
      </c>
      <c r="S381" s="3" t="n">
        <v>1034.88</v>
      </c>
      <c r="T381" s="3" t="n">
        <v>517.91</v>
      </c>
      <c r="U381" s="4" t="n">
        <v>0.3317</v>
      </c>
      <c r="V381" s="3" t="n">
        <v>8.4</v>
      </c>
      <c r="W381" t="inlineStr">
        <is>
          <t>PayPal</t>
        </is>
      </c>
      <c r="X381" t="inlineStr">
        <is>
          <t>Medium</t>
        </is>
      </c>
      <c r="Y381" t="n">
        <v>2023</v>
      </c>
      <c r="Z381" t="n">
        <v>1</v>
      </c>
      <c r="AA381" t="inlineStr">
        <is>
          <t>Jan</t>
        </is>
      </c>
      <c r="AB381" t="inlineStr">
        <is>
          <t>Thursday</t>
        </is>
      </c>
      <c r="AC381" t="n">
        <v>7</v>
      </c>
      <c r="AD381" t="inlineStr">
        <is>
          <t>Profitable</t>
        </is>
      </c>
      <c r="AE381" t="inlineStr">
        <is>
          <t>Low</t>
        </is>
      </c>
      <c r="AF381" t="inlineStr">
        <is>
          <t>Large</t>
        </is>
      </c>
    </row>
    <row r="382">
      <c r="A382" t="inlineStr">
        <is>
          <t>ORD-00381</t>
        </is>
      </c>
      <c r="B382" s="2" t="n">
        <v>44935</v>
      </c>
      <c r="C382" s="2" t="n">
        <v>44936</v>
      </c>
      <c r="D382" t="inlineStr">
        <is>
          <t>CUST-00381</t>
        </is>
      </c>
      <c r="E382" t="inlineStr">
        <is>
          <t>Customer 381</t>
        </is>
      </c>
      <c r="F382" t="inlineStr">
        <is>
          <t>Consumer</t>
        </is>
      </c>
      <c r="G382" t="inlineStr">
        <is>
          <t>P1008</t>
        </is>
      </c>
      <c r="H382" t="inlineStr">
        <is>
          <t>Tide Cooler</t>
        </is>
      </c>
      <c r="I382" t="inlineStr">
        <is>
          <t>Office Supplies</t>
        </is>
      </c>
      <c r="J382" t="inlineStr">
        <is>
          <t>Binders</t>
        </is>
      </c>
      <c r="K382" t="inlineStr">
        <is>
          <t>Central</t>
        </is>
      </c>
      <c r="L382" t="inlineStr">
        <is>
          <t>Illinois</t>
        </is>
      </c>
      <c r="M382" t="inlineStr">
        <is>
          <t>Chicago</t>
        </is>
      </c>
      <c r="N382" t="inlineStr">
        <is>
          <t>Ethan Brooks</t>
        </is>
      </c>
      <c r="O382" t="n">
        <v>4</v>
      </c>
      <c r="P382" s="3" t="n">
        <v>34.39</v>
      </c>
      <c r="Q382" s="4" t="n">
        <v>0.015</v>
      </c>
      <c r="R382" s="3" t="n">
        <v>135.5</v>
      </c>
      <c r="S382" s="3" t="n">
        <v>56.41</v>
      </c>
      <c r="T382" s="3" t="n">
        <v>69.89</v>
      </c>
      <c r="U382" s="4" t="n">
        <v>0.5158</v>
      </c>
      <c r="V382" s="3" t="n">
        <v>9.199999999999999</v>
      </c>
      <c r="W382" t="inlineStr">
        <is>
          <t>Cash on Delivery</t>
        </is>
      </c>
      <c r="X382" t="inlineStr">
        <is>
          <t>Medium</t>
        </is>
      </c>
      <c r="Y382" t="n">
        <v>2023</v>
      </c>
      <c r="Z382" t="n">
        <v>1</v>
      </c>
      <c r="AA382" t="inlineStr">
        <is>
          <t>Jan</t>
        </is>
      </c>
      <c r="AB382" t="inlineStr">
        <is>
          <t>Monday</t>
        </is>
      </c>
      <c r="AC382" t="n">
        <v>1</v>
      </c>
      <c r="AD382" t="inlineStr">
        <is>
          <t>Profitable</t>
        </is>
      </c>
      <c r="AE382" t="inlineStr">
        <is>
          <t>Low</t>
        </is>
      </c>
      <c r="AF382" t="inlineStr">
        <is>
          <t>Small</t>
        </is>
      </c>
    </row>
    <row r="383">
      <c r="A383" t="inlineStr">
        <is>
          <t>ORD-00382</t>
        </is>
      </c>
      <c r="B383" s="2" t="n">
        <v>45853</v>
      </c>
      <c r="C383" s="2" t="n">
        <v>45855</v>
      </c>
      <c r="D383" t="inlineStr">
        <is>
          <t>CUST-00382</t>
        </is>
      </c>
      <c r="E383" t="inlineStr">
        <is>
          <t>Customer 382</t>
        </is>
      </c>
      <c r="F383" t="inlineStr">
        <is>
          <t>Corporate</t>
        </is>
      </c>
      <c r="G383" t="inlineStr">
        <is>
          <t>P1002</t>
        </is>
      </c>
      <c r="H383" t="inlineStr">
        <is>
          <t>Echo Web Camera</t>
        </is>
      </c>
      <c r="I383" t="inlineStr">
        <is>
          <t>Home Decor</t>
        </is>
      </c>
      <c r="J383" t="inlineStr">
        <is>
          <t>Paper</t>
        </is>
      </c>
      <c r="K383" t="inlineStr">
        <is>
          <t>West</t>
        </is>
      </c>
      <c r="L383" t="inlineStr">
        <is>
          <t>Colorado</t>
        </is>
      </c>
      <c r="M383" t="inlineStr">
        <is>
          <t>Denver</t>
        </is>
      </c>
      <c r="N383" t="inlineStr">
        <is>
          <t>James Carter</t>
        </is>
      </c>
      <c r="O383" t="n">
        <v>1</v>
      </c>
      <c r="P383" s="3" t="n">
        <v>84.37</v>
      </c>
      <c r="Q383" s="4" t="n">
        <v>0.07000000000000001</v>
      </c>
      <c r="R383" s="3" t="n">
        <v>78.45999999999999</v>
      </c>
      <c r="S383" s="3" t="n">
        <v>39.66</v>
      </c>
      <c r="T383" s="3" t="n">
        <v>31</v>
      </c>
      <c r="U383" s="4" t="n">
        <v>0.3951</v>
      </c>
      <c r="V383" s="3" t="n">
        <v>7.8</v>
      </c>
      <c r="W383" t="inlineStr">
        <is>
          <t>Debit Card</t>
        </is>
      </c>
      <c r="X383" t="inlineStr">
        <is>
          <t>Critical</t>
        </is>
      </c>
      <c r="Y383" t="n">
        <v>2025</v>
      </c>
      <c r="Z383" t="n">
        <v>7</v>
      </c>
      <c r="AA383" t="inlineStr">
        <is>
          <t>Jul</t>
        </is>
      </c>
      <c r="AB383" t="inlineStr">
        <is>
          <t>Tuesday</t>
        </is>
      </c>
      <c r="AC383" t="n">
        <v>2</v>
      </c>
      <c r="AD383" t="inlineStr">
        <is>
          <t>Profitable</t>
        </is>
      </c>
      <c r="AE383" t="inlineStr">
        <is>
          <t>High</t>
        </is>
      </c>
      <c r="AF383" t="inlineStr">
        <is>
          <t>Small</t>
        </is>
      </c>
    </row>
    <row r="384">
      <c r="A384" t="inlineStr">
        <is>
          <t>ORD-00383</t>
        </is>
      </c>
      <c r="B384" s="2" t="n">
        <v>45513</v>
      </c>
      <c r="C384" s="2" t="n">
        <v>45516</v>
      </c>
      <c r="D384" t="inlineStr">
        <is>
          <t>CUST-00383</t>
        </is>
      </c>
      <c r="E384" t="inlineStr">
        <is>
          <t>Customer 383</t>
        </is>
      </c>
      <c r="F384" t="inlineStr">
        <is>
          <t>Consumer</t>
        </is>
      </c>
      <c r="G384" t="inlineStr">
        <is>
          <t>P1019</t>
        </is>
      </c>
      <c r="H384" t="inlineStr">
        <is>
          <t>Aero Standing Desk</t>
        </is>
      </c>
      <c r="I384" t="inlineStr">
        <is>
          <t>Office Supplies</t>
        </is>
      </c>
      <c r="J384" t="inlineStr">
        <is>
          <t>Writing</t>
        </is>
      </c>
      <c r="K384" t="inlineStr">
        <is>
          <t>South</t>
        </is>
      </c>
      <c r="L384" t="inlineStr">
        <is>
          <t>Florida</t>
        </is>
      </c>
      <c r="M384" t="inlineStr">
        <is>
          <t>Atlanta</t>
        </is>
      </c>
      <c r="N384" t="inlineStr">
        <is>
          <t>Mia Rodriguez</t>
        </is>
      </c>
      <c r="O384" t="n">
        <v>1</v>
      </c>
      <c r="P384" s="3" t="n">
        <v>57.3</v>
      </c>
      <c r="Q384" s="4" t="n">
        <v>0.028</v>
      </c>
      <c r="R384" s="3" t="n">
        <v>55.7</v>
      </c>
      <c r="S384" s="3" t="n">
        <v>31.78</v>
      </c>
      <c r="T384" s="3" t="n">
        <v>17.12</v>
      </c>
      <c r="U384" s="4" t="n">
        <v>0.3074</v>
      </c>
      <c r="V384" s="3" t="n">
        <v>6.8</v>
      </c>
      <c r="W384" t="inlineStr">
        <is>
          <t>Credit Card</t>
        </is>
      </c>
      <c r="X384" t="inlineStr">
        <is>
          <t>Medium</t>
        </is>
      </c>
      <c r="Y384" t="n">
        <v>2024</v>
      </c>
      <c r="Z384" t="n">
        <v>8</v>
      </c>
      <c r="AA384" t="inlineStr">
        <is>
          <t>Aug</t>
        </is>
      </c>
      <c r="AB384" t="inlineStr">
        <is>
          <t>Friday</t>
        </is>
      </c>
      <c r="AC384" t="n">
        <v>3</v>
      </c>
      <c r="AD384" t="inlineStr">
        <is>
          <t>Profitable</t>
        </is>
      </c>
      <c r="AE384" t="inlineStr">
        <is>
          <t>Medium</t>
        </is>
      </c>
      <c r="AF384" t="inlineStr">
        <is>
          <t>Small</t>
        </is>
      </c>
    </row>
    <row r="385">
      <c r="A385" t="inlineStr">
        <is>
          <t>ORD-00384</t>
        </is>
      </c>
      <c r="B385" s="2" t="n">
        <v>45998</v>
      </c>
      <c r="C385" s="2" t="n">
        <v>46001</v>
      </c>
      <c r="D385" t="inlineStr">
        <is>
          <t>CUST-00384</t>
        </is>
      </c>
      <c r="E385" t="inlineStr">
        <is>
          <t>Customer 384</t>
        </is>
      </c>
      <c r="F385" t="inlineStr">
        <is>
          <t>Consumer</t>
        </is>
      </c>
      <c r="G385" t="inlineStr">
        <is>
          <t>P1007</t>
        </is>
      </c>
      <c r="H385" t="inlineStr">
        <is>
          <t>ErgoMesh Chair</t>
        </is>
      </c>
      <c r="I385" t="inlineStr">
        <is>
          <t>Technology</t>
        </is>
      </c>
      <c r="J385" t="inlineStr">
        <is>
          <t>Coolers</t>
        </is>
      </c>
      <c r="K385" t="inlineStr">
        <is>
          <t>East</t>
        </is>
      </c>
      <c r="L385" t="inlineStr">
        <is>
          <t>Massachusetts</t>
        </is>
      </c>
      <c r="M385" t="inlineStr">
        <is>
          <t>Philadelphia</t>
        </is>
      </c>
      <c r="N385" t="inlineStr">
        <is>
          <t>Olivia Martin</t>
        </is>
      </c>
      <c r="O385" t="n">
        <v>4</v>
      </c>
      <c r="P385" s="3" t="n">
        <v>27.26</v>
      </c>
      <c r="Q385" s="4" t="n">
        <v>0.037</v>
      </c>
      <c r="R385" s="3" t="n">
        <v>105.01</v>
      </c>
      <c r="S385" s="3" t="n">
        <v>38.35</v>
      </c>
      <c r="T385" s="3" t="n">
        <v>56.46</v>
      </c>
      <c r="U385" s="4" t="n">
        <v>0.5377</v>
      </c>
      <c r="V385" s="3" t="n">
        <v>10.2</v>
      </c>
      <c r="W385" t="inlineStr">
        <is>
          <t>Bank Transfer</t>
        </is>
      </c>
      <c r="X385" t="inlineStr">
        <is>
          <t>High</t>
        </is>
      </c>
      <c r="Y385" t="n">
        <v>2025</v>
      </c>
      <c r="Z385" t="n">
        <v>12</v>
      </c>
      <c r="AA385" t="inlineStr">
        <is>
          <t>Dec</t>
        </is>
      </c>
      <c r="AB385" t="inlineStr">
        <is>
          <t>Sunday</t>
        </is>
      </c>
      <c r="AC385" t="n">
        <v>3</v>
      </c>
      <c r="AD385" t="inlineStr">
        <is>
          <t>Profitable</t>
        </is>
      </c>
      <c r="AE385" t="inlineStr">
        <is>
          <t>Medium</t>
        </is>
      </c>
      <c r="AF385" t="inlineStr">
        <is>
          <t>Small</t>
        </is>
      </c>
    </row>
    <row r="386">
      <c r="A386" t="inlineStr">
        <is>
          <t>ORD-00385</t>
        </is>
      </c>
      <c r="B386" s="2" t="n">
        <v>45714</v>
      </c>
      <c r="C386" s="2" t="n">
        <v>45721</v>
      </c>
      <c r="D386" t="inlineStr">
        <is>
          <t>CUST-00385</t>
        </is>
      </c>
      <c r="E386" t="inlineStr">
        <is>
          <t>Customer 385</t>
        </is>
      </c>
      <c r="F386" t="inlineStr">
        <is>
          <t>Corporate</t>
        </is>
      </c>
      <c r="G386" t="inlineStr">
        <is>
          <t>P1012</t>
        </is>
      </c>
      <c r="H386" t="inlineStr">
        <is>
          <t>FlexNote Notebook</t>
        </is>
      </c>
      <c r="I386" t="inlineStr">
        <is>
          <t>Furniture</t>
        </is>
      </c>
      <c r="J386" t="inlineStr">
        <is>
          <t>Bags</t>
        </is>
      </c>
      <c r="K386" t="inlineStr">
        <is>
          <t>Central</t>
        </is>
      </c>
      <c r="L386" t="inlineStr">
        <is>
          <t>Missouri</t>
        </is>
      </c>
      <c r="M386" t="inlineStr">
        <is>
          <t>Minneapolis</t>
        </is>
      </c>
      <c r="N386" t="inlineStr">
        <is>
          <t>Olivia Martin</t>
        </is>
      </c>
      <c r="O386" t="n">
        <v>3</v>
      </c>
      <c r="P386" s="3" t="n">
        <v>127.39</v>
      </c>
      <c r="Q386" s="4" t="n">
        <v>0.028</v>
      </c>
      <c r="R386" s="3" t="n">
        <v>371.47</v>
      </c>
      <c r="S386" s="3" t="n">
        <v>188.08</v>
      </c>
      <c r="T386" s="3" t="n">
        <v>174.99</v>
      </c>
      <c r="U386" s="4" t="n">
        <v>0.4711</v>
      </c>
      <c r="V386" s="3" t="n">
        <v>8.4</v>
      </c>
      <c r="W386" t="inlineStr">
        <is>
          <t>PayPal</t>
        </is>
      </c>
      <c r="X386" t="inlineStr">
        <is>
          <t>Low</t>
        </is>
      </c>
      <c r="Y386" t="n">
        <v>2025</v>
      </c>
      <c r="Z386" t="n">
        <v>2</v>
      </c>
      <c r="AA386" t="inlineStr">
        <is>
          <t>Feb</t>
        </is>
      </c>
      <c r="AB386" t="inlineStr">
        <is>
          <t>Wednesday</t>
        </is>
      </c>
      <c r="AC386" t="n">
        <v>7</v>
      </c>
      <c r="AD386" t="inlineStr">
        <is>
          <t>Profitable</t>
        </is>
      </c>
      <c r="AE386" t="inlineStr">
        <is>
          <t>Medium</t>
        </is>
      </c>
      <c r="AF386" t="inlineStr">
        <is>
          <t>Small</t>
        </is>
      </c>
    </row>
    <row r="387">
      <c r="A387" t="inlineStr">
        <is>
          <t>ORD-00386</t>
        </is>
      </c>
      <c r="B387" s="2" t="n">
        <v>45985</v>
      </c>
      <c r="C387" s="2" t="n">
        <v>45986</v>
      </c>
      <c r="D387" t="inlineStr">
        <is>
          <t>CUST-00386</t>
        </is>
      </c>
      <c r="E387" t="inlineStr">
        <is>
          <t>Customer 386</t>
        </is>
      </c>
      <c r="F387" t="inlineStr">
        <is>
          <t>Consumer</t>
        </is>
      </c>
      <c r="G387" t="inlineStr">
        <is>
          <t>P1020</t>
        </is>
      </c>
      <c r="H387" t="inlineStr">
        <is>
          <t>Orbit Wireless Mouse</t>
        </is>
      </c>
      <c r="I387" t="inlineStr">
        <is>
          <t>Office Supplies</t>
        </is>
      </c>
      <c r="J387" t="inlineStr">
        <is>
          <t>Peripherals</t>
        </is>
      </c>
      <c r="K387" t="inlineStr">
        <is>
          <t>East</t>
        </is>
      </c>
      <c r="L387" t="inlineStr">
        <is>
          <t>Virginia</t>
        </is>
      </c>
      <c r="M387" t="inlineStr">
        <is>
          <t>Philadelphia</t>
        </is>
      </c>
      <c r="N387" t="inlineStr">
        <is>
          <t>Mia Rodriguez</t>
        </is>
      </c>
      <c r="O387" t="n">
        <v>4</v>
      </c>
      <c r="P387" s="3" t="n">
        <v>80.01000000000001</v>
      </c>
      <c r="Q387" s="4" t="n">
        <v>0.005</v>
      </c>
      <c r="R387" s="3" t="n">
        <v>318.44</v>
      </c>
      <c r="S387" s="3" t="n">
        <v>149.44</v>
      </c>
      <c r="T387" s="3" t="n">
        <v>158.8</v>
      </c>
      <c r="U387" s="4" t="n">
        <v>0.4987</v>
      </c>
      <c r="V387" s="3" t="n">
        <v>10.2</v>
      </c>
      <c r="W387" t="inlineStr">
        <is>
          <t>Bank Transfer</t>
        </is>
      </c>
      <c r="X387" t="inlineStr">
        <is>
          <t>Medium</t>
        </is>
      </c>
      <c r="Y387" t="n">
        <v>2025</v>
      </c>
      <c r="Z387" t="n">
        <v>11</v>
      </c>
      <c r="AA387" t="inlineStr">
        <is>
          <t>Nov</t>
        </is>
      </c>
      <c r="AB387" t="inlineStr">
        <is>
          <t>Monday</t>
        </is>
      </c>
      <c r="AC387" t="n">
        <v>1</v>
      </c>
      <c r="AD387" t="inlineStr">
        <is>
          <t>Profitable</t>
        </is>
      </c>
      <c r="AE387" t="inlineStr">
        <is>
          <t>Low</t>
        </is>
      </c>
      <c r="AF387" t="inlineStr">
        <is>
          <t>Small</t>
        </is>
      </c>
    </row>
    <row r="388">
      <c r="A388" t="inlineStr">
        <is>
          <t>ORD-00387</t>
        </is>
      </c>
      <c r="B388" s="2" t="n">
        <v>45028</v>
      </c>
      <c r="C388" s="2" t="n">
        <v>45031</v>
      </c>
      <c r="D388" t="inlineStr">
        <is>
          <t>CUST-00387</t>
        </is>
      </c>
      <c r="E388" t="inlineStr">
        <is>
          <t>Customer 387</t>
        </is>
      </c>
      <c r="F388" t="inlineStr">
        <is>
          <t>Consumer</t>
        </is>
      </c>
      <c r="G388" t="inlineStr">
        <is>
          <t>P1003</t>
        </is>
      </c>
      <c r="H388" t="inlineStr">
        <is>
          <t>SmartInk Pen Set</t>
        </is>
      </c>
      <c r="I388" t="inlineStr">
        <is>
          <t>Office Supplies</t>
        </is>
      </c>
      <c r="J388" t="inlineStr">
        <is>
          <t>Paper</t>
        </is>
      </c>
      <c r="K388" t="inlineStr">
        <is>
          <t>West</t>
        </is>
      </c>
      <c r="L388" t="inlineStr">
        <is>
          <t>Washington</t>
        </is>
      </c>
      <c r="M388" t="inlineStr">
        <is>
          <t>San Francisco</t>
        </is>
      </c>
      <c r="N388" t="inlineStr">
        <is>
          <t>Ethan Brooks</t>
        </is>
      </c>
      <c r="O388" t="n">
        <v>2</v>
      </c>
      <c r="P388" s="3" t="n">
        <v>151.43</v>
      </c>
      <c r="Q388" s="4" t="n">
        <v>0.029</v>
      </c>
      <c r="R388" s="3" t="n">
        <v>294.08</v>
      </c>
      <c r="S388" s="3" t="n">
        <v>156.49</v>
      </c>
      <c r="T388" s="3" t="n">
        <v>128.99</v>
      </c>
      <c r="U388" s="4" t="n">
        <v>0.4386</v>
      </c>
      <c r="V388" s="3" t="n">
        <v>8.6</v>
      </c>
      <c r="W388" t="inlineStr">
        <is>
          <t>Debit Card</t>
        </is>
      </c>
      <c r="X388" t="inlineStr">
        <is>
          <t>Medium</t>
        </is>
      </c>
      <c r="Y388" t="n">
        <v>2023</v>
      </c>
      <c r="Z388" t="n">
        <v>4</v>
      </c>
      <c r="AA388" t="inlineStr">
        <is>
          <t>Apr</t>
        </is>
      </c>
      <c r="AB388" t="inlineStr">
        <is>
          <t>Wednesday</t>
        </is>
      </c>
      <c r="AC388" t="n">
        <v>3</v>
      </c>
      <c r="AD388" t="inlineStr">
        <is>
          <t>Profitable</t>
        </is>
      </c>
      <c r="AE388" t="inlineStr">
        <is>
          <t>Medium</t>
        </is>
      </c>
      <c r="AF388" t="inlineStr">
        <is>
          <t>Small</t>
        </is>
      </c>
    </row>
    <row r="389">
      <c r="A389" t="inlineStr">
        <is>
          <t>ORD-00388</t>
        </is>
      </c>
      <c r="B389" s="2" t="n">
        <v>45105</v>
      </c>
      <c r="C389" s="2" t="n">
        <v>45110</v>
      </c>
      <c r="D389" t="inlineStr">
        <is>
          <t>CUST-00388</t>
        </is>
      </c>
      <c r="E389" t="inlineStr">
        <is>
          <t>Customer 388</t>
        </is>
      </c>
      <c r="F389" t="inlineStr">
        <is>
          <t>Consumer</t>
        </is>
      </c>
      <c r="G389" t="inlineStr">
        <is>
          <t>P1004</t>
        </is>
      </c>
      <c r="H389" t="inlineStr">
        <is>
          <t>Trail Tote</t>
        </is>
      </c>
      <c r="I389" t="inlineStr">
        <is>
          <t>Office Supplies</t>
        </is>
      </c>
      <c r="J389" t="inlineStr">
        <is>
          <t>Binders</t>
        </is>
      </c>
      <c r="K389" t="inlineStr">
        <is>
          <t>West</t>
        </is>
      </c>
      <c r="L389" t="inlineStr">
        <is>
          <t>Oregon</t>
        </is>
      </c>
      <c r="M389" t="inlineStr">
        <is>
          <t>San Francisco</t>
        </is>
      </c>
      <c r="N389" t="inlineStr">
        <is>
          <t>Ethan Brooks</t>
        </is>
      </c>
      <c r="O389" t="n">
        <v>5</v>
      </c>
      <c r="P389" s="3" t="n">
        <v>669.6</v>
      </c>
      <c r="Q389" s="4" t="n">
        <v>0.063</v>
      </c>
      <c r="R389" s="3" t="n">
        <v>3137.08</v>
      </c>
      <c r="S389" s="3" t="n">
        <v>1987.64</v>
      </c>
      <c r="T389" s="3" t="n">
        <v>1138.44</v>
      </c>
      <c r="U389" s="4" t="n">
        <v>0.3629</v>
      </c>
      <c r="V389" s="3" t="n">
        <v>11</v>
      </c>
      <c r="W389" t="inlineStr">
        <is>
          <t>Credit Card</t>
        </is>
      </c>
      <c r="X389" t="inlineStr">
        <is>
          <t>High</t>
        </is>
      </c>
      <c r="Y389" t="n">
        <v>2023</v>
      </c>
      <c r="Z389" t="n">
        <v>6</v>
      </c>
      <c r="AA389" t="inlineStr">
        <is>
          <t>Jun</t>
        </is>
      </c>
      <c r="AB389" t="inlineStr">
        <is>
          <t>Wednesday</t>
        </is>
      </c>
      <c r="AC389" t="n">
        <v>5</v>
      </c>
      <c r="AD389" t="inlineStr">
        <is>
          <t>Profitable</t>
        </is>
      </c>
      <c r="AE389" t="inlineStr">
        <is>
          <t>High</t>
        </is>
      </c>
      <c r="AF389" t="inlineStr">
        <is>
          <t>Large</t>
        </is>
      </c>
    </row>
    <row r="390">
      <c r="A390" t="inlineStr">
        <is>
          <t>ORD-00389</t>
        </is>
      </c>
      <c r="B390" s="2" t="n">
        <v>45797</v>
      </c>
      <c r="C390" s="2" t="n">
        <v>45799</v>
      </c>
      <c r="D390" t="inlineStr">
        <is>
          <t>CUST-00389</t>
        </is>
      </c>
      <c r="E390" t="inlineStr">
        <is>
          <t>Customer 389</t>
        </is>
      </c>
      <c r="F390" t="inlineStr">
        <is>
          <t>Corporate</t>
        </is>
      </c>
      <c r="G390" t="inlineStr">
        <is>
          <t>P1011</t>
        </is>
      </c>
      <c r="H390" t="inlineStr">
        <is>
          <t>SmartInk Pen Set</t>
        </is>
      </c>
      <c r="I390" t="inlineStr">
        <is>
          <t>Home Decor</t>
        </is>
      </c>
      <c r="J390" t="inlineStr">
        <is>
          <t>Writing</t>
        </is>
      </c>
      <c r="K390" t="inlineStr">
        <is>
          <t>South</t>
        </is>
      </c>
      <c r="L390" t="inlineStr">
        <is>
          <t>Florida</t>
        </is>
      </c>
      <c r="M390" t="inlineStr">
        <is>
          <t>Miami</t>
        </is>
      </c>
      <c r="N390" t="inlineStr">
        <is>
          <t>Olivia Martin</t>
        </is>
      </c>
      <c r="O390" t="n">
        <v>2</v>
      </c>
      <c r="P390" s="3" t="n">
        <v>88.62</v>
      </c>
      <c r="Q390" s="4" t="n">
        <v>0.062</v>
      </c>
      <c r="R390" s="3" t="n">
        <v>166.25</v>
      </c>
      <c r="S390" s="3" t="n">
        <v>80.70999999999999</v>
      </c>
      <c r="T390" s="3" t="n">
        <v>77.94</v>
      </c>
      <c r="U390" s="4" t="n">
        <v>0.4688</v>
      </c>
      <c r="V390" s="3" t="n">
        <v>7.6</v>
      </c>
      <c r="W390" t="inlineStr">
        <is>
          <t>Debit Card</t>
        </is>
      </c>
      <c r="X390" t="inlineStr">
        <is>
          <t>High</t>
        </is>
      </c>
      <c r="Y390" t="n">
        <v>2025</v>
      </c>
      <c r="Z390" t="n">
        <v>5</v>
      </c>
      <c r="AA390" t="inlineStr">
        <is>
          <t>May</t>
        </is>
      </c>
      <c r="AB390" t="inlineStr">
        <is>
          <t>Tuesday</t>
        </is>
      </c>
      <c r="AC390" t="n">
        <v>2</v>
      </c>
      <c r="AD390" t="inlineStr">
        <is>
          <t>Profitable</t>
        </is>
      </c>
      <c r="AE390" t="inlineStr">
        <is>
          <t>High</t>
        </is>
      </c>
      <c r="AF390" t="inlineStr">
        <is>
          <t>Small</t>
        </is>
      </c>
    </row>
    <row r="391">
      <c r="A391" t="inlineStr">
        <is>
          <t>ORD-00390</t>
        </is>
      </c>
      <c r="B391" s="2" t="n">
        <v>45832</v>
      </c>
      <c r="C391" s="2" t="n">
        <v>45836</v>
      </c>
      <c r="D391" t="inlineStr">
        <is>
          <t>CUST-00390</t>
        </is>
      </c>
      <c r="E391" t="inlineStr">
        <is>
          <t>Customer 390</t>
        </is>
      </c>
      <c r="F391" t="inlineStr">
        <is>
          <t>Home Office</t>
        </is>
      </c>
      <c r="G391" t="inlineStr">
        <is>
          <t>P1012</t>
        </is>
      </c>
      <c r="H391" t="inlineStr">
        <is>
          <t>Harbor Rug</t>
        </is>
      </c>
      <c r="I391" t="inlineStr">
        <is>
          <t>Technology</t>
        </is>
      </c>
      <c r="J391" t="inlineStr">
        <is>
          <t>Accessories</t>
        </is>
      </c>
      <c r="K391" t="inlineStr">
        <is>
          <t>East</t>
        </is>
      </c>
      <c r="L391" t="inlineStr">
        <is>
          <t>New York</t>
        </is>
      </c>
      <c r="M391" t="inlineStr">
        <is>
          <t>Boston</t>
        </is>
      </c>
      <c r="N391" t="inlineStr">
        <is>
          <t>Noah Kim</t>
        </is>
      </c>
      <c r="O391" t="n">
        <v>1</v>
      </c>
      <c r="P391" s="3" t="n">
        <v>137.31</v>
      </c>
      <c r="Q391" s="4" t="n">
        <v>0.031</v>
      </c>
      <c r="R391" s="3" t="n">
        <v>133.05</v>
      </c>
      <c r="S391" s="3" t="n">
        <v>77.16</v>
      </c>
      <c r="T391" s="3" t="n">
        <v>48.09</v>
      </c>
      <c r="U391" s="4" t="n">
        <v>0.3614</v>
      </c>
      <c r="V391" s="3" t="n">
        <v>7.8</v>
      </c>
      <c r="W391" t="inlineStr">
        <is>
          <t>PayPal</t>
        </is>
      </c>
      <c r="X391" t="inlineStr">
        <is>
          <t>Critical</t>
        </is>
      </c>
      <c r="Y391" t="n">
        <v>2025</v>
      </c>
      <c r="Z391" t="n">
        <v>6</v>
      </c>
      <c r="AA391" t="inlineStr">
        <is>
          <t>Jun</t>
        </is>
      </c>
      <c r="AB391" t="inlineStr">
        <is>
          <t>Tuesday</t>
        </is>
      </c>
      <c r="AC391" t="n">
        <v>4</v>
      </c>
      <c r="AD391" t="inlineStr">
        <is>
          <t>Profitable</t>
        </is>
      </c>
      <c r="AE391" t="inlineStr">
        <is>
          <t>Medium</t>
        </is>
      </c>
      <c r="AF391" t="inlineStr">
        <is>
          <t>Small</t>
        </is>
      </c>
    </row>
    <row r="392">
      <c r="A392" t="inlineStr">
        <is>
          <t>ORD-00391</t>
        </is>
      </c>
      <c r="B392" s="2" t="n">
        <v>45730</v>
      </c>
      <c r="C392" s="2" t="n">
        <v>45734</v>
      </c>
      <c r="D392" t="inlineStr">
        <is>
          <t>CUST-00391</t>
        </is>
      </c>
      <c r="E392" t="inlineStr">
        <is>
          <t>Customer 391</t>
        </is>
      </c>
      <c r="F392" t="inlineStr">
        <is>
          <t>Consumer</t>
        </is>
      </c>
      <c r="G392" t="inlineStr">
        <is>
          <t>P1019</t>
        </is>
      </c>
      <c r="H392" t="inlineStr">
        <is>
          <t>Cove Wall Clock</t>
        </is>
      </c>
      <c r="I392" t="inlineStr">
        <is>
          <t>Furniture</t>
        </is>
      </c>
      <c r="J392" t="inlineStr">
        <is>
          <t>Accessories</t>
        </is>
      </c>
      <c r="K392" t="inlineStr">
        <is>
          <t>West</t>
        </is>
      </c>
      <c r="L392" t="inlineStr">
        <is>
          <t>California</t>
        </is>
      </c>
      <c r="M392" t="inlineStr">
        <is>
          <t>San Francisco</t>
        </is>
      </c>
      <c r="N392" t="inlineStr">
        <is>
          <t>Noah Kim</t>
        </is>
      </c>
      <c r="O392" t="n">
        <v>2</v>
      </c>
      <c r="P392" s="3" t="n">
        <v>56.96</v>
      </c>
      <c r="Q392" s="4" t="n">
        <v>0.035</v>
      </c>
      <c r="R392" s="3" t="n">
        <v>109.93</v>
      </c>
      <c r="S392" s="3" t="n">
        <v>52.18</v>
      </c>
      <c r="T392" s="3" t="n">
        <v>49.15</v>
      </c>
      <c r="U392" s="4" t="n">
        <v>0.4471</v>
      </c>
      <c r="V392" s="3" t="n">
        <v>8.6</v>
      </c>
      <c r="W392" t="inlineStr">
        <is>
          <t>Credit Card</t>
        </is>
      </c>
      <c r="X392" t="inlineStr">
        <is>
          <t>Critical</t>
        </is>
      </c>
      <c r="Y392" t="n">
        <v>2025</v>
      </c>
      <c r="Z392" t="n">
        <v>3</v>
      </c>
      <c r="AA392" t="inlineStr">
        <is>
          <t>Mar</t>
        </is>
      </c>
      <c r="AB392" t="inlineStr">
        <is>
          <t>Friday</t>
        </is>
      </c>
      <c r="AC392" t="n">
        <v>4</v>
      </c>
      <c r="AD392" t="inlineStr">
        <is>
          <t>Profitable</t>
        </is>
      </c>
      <c r="AE392" t="inlineStr">
        <is>
          <t>Medium</t>
        </is>
      </c>
      <c r="AF392" t="inlineStr">
        <is>
          <t>Small</t>
        </is>
      </c>
    </row>
    <row r="393">
      <c r="A393" t="inlineStr">
        <is>
          <t>ORD-00392</t>
        </is>
      </c>
      <c r="B393" s="2" t="n">
        <v>45495</v>
      </c>
      <c r="C393" s="2" t="n">
        <v>45498</v>
      </c>
      <c r="D393" t="inlineStr">
        <is>
          <t>CUST-00392</t>
        </is>
      </c>
      <c r="E393" t="inlineStr">
        <is>
          <t>Customer 392</t>
        </is>
      </c>
      <c r="F393" t="inlineStr">
        <is>
          <t>Consumer</t>
        </is>
      </c>
      <c r="G393" t="inlineStr">
        <is>
          <t>P1019</t>
        </is>
      </c>
      <c r="H393" t="inlineStr">
        <is>
          <t>FlexNote Notebook</t>
        </is>
      </c>
      <c r="I393" t="inlineStr">
        <is>
          <t>Outdoor</t>
        </is>
      </c>
      <c r="J393" t="inlineStr">
        <is>
          <t>Lighting</t>
        </is>
      </c>
      <c r="K393" t="inlineStr">
        <is>
          <t>South</t>
        </is>
      </c>
      <c r="L393" t="inlineStr">
        <is>
          <t>Texas</t>
        </is>
      </c>
      <c r="M393" t="inlineStr">
        <is>
          <t>Dallas</t>
        </is>
      </c>
      <c r="N393" t="inlineStr">
        <is>
          <t>Noah Kim</t>
        </is>
      </c>
      <c r="O393" t="n">
        <v>4</v>
      </c>
      <c r="P393" s="3" t="n">
        <v>57.19</v>
      </c>
      <c r="Q393" s="4" t="n">
        <v>0.022</v>
      </c>
      <c r="R393" s="3" t="n">
        <v>223.73</v>
      </c>
      <c r="S393" s="3" t="n">
        <v>101.08</v>
      </c>
      <c r="T393" s="3" t="n">
        <v>113.45</v>
      </c>
      <c r="U393" s="4" t="n">
        <v>0.5071</v>
      </c>
      <c r="V393" s="3" t="n">
        <v>9.199999999999999</v>
      </c>
      <c r="W393" t="inlineStr">
        <is>
          <t>Bank Transfer</t>
        </is>
      </c>
      <c r="X393" t="inlineStr">
        <is>
          <t>Medium</t>
        </is>
      </c>
      <c r="Y393" t="n">
        <v>2024</v>
      </c>
      <c r="Z393" t="n">
        <v>7</v>
      </c>
      <c r="AA393" t="inlineStr">
        <is>
          <t>Jul</t>
        </is>
      </c>
      <c r="AB393" t="inlineStr">
        <is>
          <t>Monday</t>
        </is>
      </c>
      <c r="AC393" t="n">
        <v>3</v>
      </c>
      <c r="AD393" t="inlineStr">
        <is>
          <t>Profitable</t>
        </is>
      </c>
      <c r="AE393" t="inlineStr">
        <is>
          <t>Medium</t>
        </is>
      </c>
      <c r="AF393" t="inlineStr">
        <is>
          <t>Small</t>
        </is>
      </c>
    </row>
    <row r="394">
      <c r="A394" t="inlineStr">
        <is>
          <t>ORD-00393</t>
        </is>
      </c>
      <c r="B394" s="2" t="n">
        <v>45612</v>
      </c>
      <c r="C394" s="2" t="n">
        <v>45614</v>
      </c>
      <c r="D394" t="inlineStr">
        <is>
          <t>CUST-00393</t>
        </is>
      </c>
      <c r="E394" t="inlineStr">
        <is>
          <t>Customer 393</t>
        </is>
      </c>
      <c r="F394" t="inlineStr">
        <is>
          <t>Consumer</t>
        </is>
      </c>
      <c r="G394" t="inlineStr">
        <is>
          <t>P1011</t>
        </is>
      </c>
      <c r="H394" t="inlineStr">
        <is>
          <t>Lumen Desk Lamp</t>
        </is>
      </c>
      <c r="I394" t="inlineStr">
        <is>
          <t>Technology</t>
        </is>
      </c>
      <c r="J394" t="inlineStr">
        <is>
          <t>Bags</t>
        </is>
      </c>
      <c r="K394" t="inlineStr">
        <is>
          <t>Central</t>
        </is>
      </c>
      <c r="L394" t="inlineStr">
        <is>
          <t>Missouri</t>
        </is>
      </c>
      <c r="M394" t="inlineStr">
        <is>
          <t>Kansas City</t>
        </is>
      </c>
      <c r="N394" t="inlineStr">
        <is>
          <t>Olivia Martin</t>
        </is>
      </c>
      <c r="O394" t="n">
        <v>1</v>
      </c>
      <c r="P394" s="3" t="n">
        <v>98.43000000000001</v>
      </c>
      <c r="Q394" s="4" t="n">
        <v>0.03</v>
      </c>
      <c r="R394" s="3" t="n">
        <v>95.48</v>
      </c>
      <c r="S394" s="3" t="n">
        <v>52.63</v>
      </c>
      <c r="T394" s="3" t="n">
        <v>36.05</v>
      </c>
      <c r="U394" s="4" t="n">
        <v>0.3776</v>
      </c>
      <c r="V394" s="3" t="n">
        <v>6.8</v>
      </c>
      <c r="W394" t="inlineStr">
        <is>
          <t>Debit Card</t>
        </is>
      </c>
      <c r="X394" t="inlineStr">
        <is>
          <t>Medium</t>
        </is>
      </c>
      <c r="Y394" t="n">
        <v>2024</v>
      </c>
      <c r="Z394" t="n">
        <v>11</v>
      </c>
      <c r="AA394" t="inlineStr">
        <is>
          <t>Nov</t>
        </is>
      </c>
      <c r="AB394" t="inlineStr">
        <is>
          <t>Saturday</t>
        </is>
      </c>
      <c r="AC394" t="n">
        <v>2</v>
      </c>
      <c r="AD394" t="inlineStr">
        <is>
          <t>Profitable</t>
        </is>
      </c>
      <c r="AE394" t="inlineStr">
        <is>
          <t>Medium</t>
        </is>
      </c>
      <c r="AF394" t="inlineStr">
        <is>
          <t>Small</t>
        </is>
      </c>
    </row>
    <row r="395">
      <c r="A395" t="inlineStr">
        <is>
          <t>ORD-00394</t>
        </is>
      </c>
      <c r="B395" s="2" t="n">
        <v>45827</v>
      </c>
      <c r="C395" s="2" t="n">
        <v>45832</v>
      </c>
      <c r="D395" t="inlineStr">
        <is>
          <t>CUST-00394</t>
        </is>
      </c>
      <c r="E395" t="inlineStr">
        <is>
          <t>Customer 394</t>
        </is>
      </c>
      <c r="F395" t="inlineStr">
        <is>
          <t>Corporate</t>
        </is>
      </c>
      <c r="G395" t="inlineStr">
        <is>
          <t>P1013</t>
        </is>
      </c>
      <c r="H395" t="inlineStr">
        <is>
          <t>Cove Wall Clock</t>
        </is>
      </c>
      <c r="I395" t="inlineStr">
        <is>
          <t>Outdoor</t>
        </is>
      </c>
      <c r="J395" t="inlineStr">
        <is>
          <t>Desks</t>
        </is>
      </c>
      <c r="K395" t="inlineStr">
        <is>
          <t>South</t>
        </is>
      </c>
      <c r="L395" t="inlineStr">
        <is>
          <t>Florida</t>
        </is>
      </c>
      <c r="M395" t="inlineStr">
        <is>
          <t>Houston</t>
        </is>
      </c>
      <c r="N395" t="inlineStr">
        <is>
          <t>Noah Kim</t>
        </is>
      </c>
      <c r="O395" t="n">
        <v>2</v>
      </c>
      <c r="P395" s="3" t="n">
        <v>167.77</v>
      </c>
      <c r="Q395" s="4" t="n">
        <v>0.011</v>
      </c>
      <c r="R395" s="3" t="n">
        <v>331.85</v>
      </c>
      <c r="S395" s="3" t="n">
        <v>193.36</v>
      </c>
      <c r="T395" s="3" t="n">
        <v>130.89</v>
      </c>
      <c r="U395" s="4" t="n">
        <v>0.3944</v>
      </c>
      <c r="V395" s="3" t="n">
        <v>7.6</v>
      </c>
      <c r="W395" t="inlineStr">
        <is>
          <t>Bank Transfer</t>
        </is>
      </c>
      <c r="X395" t="inlineStr">
        <is>
          <t>Low</t>
        </is>
      </c>
      <c r="Y395" t="n">
        <v>2025</v>
      </c>
      <c r="Z395" t="n">
        <v>6</v>
      </c>
      <c r="AA395" t="inlineStr">
        <is>
          <t>Jun</t>
        </is>
      </c>
      <c r="AB395" t="inlineStr">
        <is>
          <t>Thursday</t>
        </is>
      </c>
      <c r="AC395" t="n">
        <v>5</v>
      </c>
      <c r="AD395" t="inlineStr">
        <is>
          <t>Profitable</t>
        </is>
      </c>
      <c r="AE395" t="inlineStr">
        <is>
          <t>Low</t>
        </is>
      </c>
      <c r="AF395" t="inlineStr">
        <is>
          <t>Small</t>
        </is>
      </c>
    </row>
    <row r="396">
      <c r="A396" t="inlineStr">
        <is>
          <t>ORD-00395</t>
        </is>
      </c>
      <c r="B396" s="2" t="n">
        <v>45496</v>
      </c>
      <c r="C396" s="2" t="n">
        <v>45500</v>
      </c>
      <c r="D396" t="inlineStr">
        <is>
          <t>CUST-00395</t>
        </is>
      </c>
      <c r="E396" t="inlineStr">
        <is>
          <t>Customer 395</t>
        </is>
      </c>
      <c r="F396" t="inlineStr">
        <is>
          <t>Corporate</t>
        </is>
      </c>
      <c r="G396" t="inlineStr">
        <is>
          <t>P1001</t>
        </is>
      </c>
      <c r="H396" t="inlineStr">
        <is>
          <t>CloudDrive File Box</t>
        </is>
      </c>
      <c r="I396" t="inlineStr">
        <is>
          <t>Furniture</t>
        </is>
      </c>
      <c r="J396" t="inlineStr">
        <is>
          <t>Paper</t>
        </is>
      </c>
      <c r="K396" t="inlineStr">
        <is>
          <t>East</t>
        </is>
      </c>
      <c r="L396" t="inlineStr">
        <is>
          <t>Virginia</t>
        </is>
      </c>
      <c r="M396" t="inlineStr">
        <is>
          <t>Washington</t>
        </is>
      </c>
      <c r="N396" t="inlineStr">
        <is>
          <t>Ethan Brooks</t>
        </is>
      </c>
      <c r="O396" t="n">
        <v>5</v>
      </c>
      <c r="P396" s="3" t="n">
        <v>321.33</v>
      </c>
      <c r="Q396" s="4" t="n">
        <v>0.031</v>
      </c>
      <c r="R396" s="3" t="n">
        <v>1556.84</v>
      </c>
      <c r="S396" s="3" t="n">
        <v>908.8200000000001</v>
      </c>
      <c r="T396" s="3" t="n">
        <v>637.02</v>
      </c>
      <c r="U396" s="4" t="n">
        <v>0.4092</v>
      </c>
      <c r="V396" s="3" t="n">
        <v>11</v>
      </c>
      <c r="W396" t="inlineStr">
        <is>
          <t>Cash on Delivery</t>
        </is>
      </c>
      <c r="X396" t="inlineStr">
        <is>
          <t>Medium</t>
        </is>
      </c>
      <c r="Y396" t="n">
        <v>2024</v>
      </c>
      <c r="Z396" t="n">
        <v>7</v>
      </c>
      <c r="AA396" t="inlineStr">
        <is>
          <t>Jul</t>
        </is>
      </c>
      <c r="AB396" t="inlineStr">
        <is>
          <t>Tuesday</t>
        </is>
      </c>
      <c r="AC396" t="n">
        <v>4</v>
      </c>
      <c r="AD396" t="inlineStr">
        <is>
          <t>Profitable</t>
        </is>
      </c>
      <c r="AE396" t="inlineStr">
        <is>
          <t>Medium</t>
        </is>
      </c>
      <c r="AF396" t="inlineStr">
        <is>
          <t>Large</t>
        </is>
      </c>
    </row>
    <row r="397">
      <c r="A397" t="inlineStr">
        <is>
          <t>ORD-00396</t>
        </is>
      </c>
      <c r="B397" s="2" t="n">
        <v>45964</v>
      </c>
      <c r="C397" s="2" t="n">
        <v>45969</v>
      </c>
      <c r="D397" t="inlineStr">
        <is>
          <t>CUST-00396</t>
        </is>
      </c>
      <c r="E397" t="inlineStr">
        <is>
          <t>Customer 396</t>
        </is>
      </c>
      <c r="F397" t="inlineStr">
        <is>
          <t>Corporate</t>
        </is>
      </c>
      <c r="G397" t="inlineStr">
        <is>
          <t>P1006</t>
        </is>
      </c>
      <c r="H397" t="inlineStr">
        <is>
          <t>Trail Tote</t>
        </is>
      </c>
      <c r="I397" t="inlineStr">
        <is>
          <t>Technology</t>
        </is>
      </c>
      <c r="J397" t="inlineStr">
        <is>
          <t>Lighting</t>
        </is>
      </c>
      <c r="K397" t="inlineStr">
        <is>
          <t>East</t>
        </is>
      </c>
      <c r="L397" t="inlineStr">
        <is>
          <t>New York</t>
        </is>
      </c>
      <c r="M397" t="inlineStr">
        <is>
          <t>Boston</t>
        </is>
      </c>
      <c r="N397" t="inlineStr">
        <is>
          <t>Olivia Martin</t>
        </is>
      </c>
      <c r="O397" t="n">
        <v>1</v>
      </c>
      <c r="P397" s="3" t="n">
        <v>20.14</v>
      </c>
      <c r="Q397" s="4" t="n">
        <v>0.027</v>
      </c>
      <c r="R397" s="3" t="n">
        <v>19.6</v>
      </c>
      <c r="S397" s="3" t="n">
        <v>15.25</v>
      </c>
      <c r="T397" s="3" t="n">
        <v>-3.45</v>
      </c>
      <c r="U397" s="4" t="n">
        <v>-0.176</v>
      </c>
      <c r="V397" s="3" t="n">
        <v>7.8</v>
      </c>
      <c r="W397" t="inlineStr">
        <is>
          <t>Debit Card</t>
        </is>
      </c>
      <c r="X397" t="inlineStr">
        <is>
          <t>Low</t>
        </is>
      </c>
      <c r="Y397" t="n">
        <v>2025</v>
      </c>
      <c r="Z397" t="n">
        <v>11</v>
      </c>
      <c r="AA397" t="inlineStr">
        <is>
          <t>Nov</t>
        </is>
      </c>
      <c r="AB397" t="inlineStr">
        <is>
          <t>Monday</t>
        </is>
      </c>
      <c r="AC397" t="n">
        <v>5</v>
      </c>
      <c r="AD397" t="inlineStr">
        <is>
          <t>Unprofitable</t>
        </is>
      </c>
      <c r="AE397" t="inlineStr">
        <is>
          <t>Medium</t>
        </is>
      </c>
      <c r="AF397" t="inlineStr">
        <is>
          <t>Small</t>
        </is>
      </c>
    </row>
    <row r="398">
      <c r="A398" t="inlineStr">
        <is>
          <t>ORD-00397</t>
        </is>
      </c>
      <c r="B398" s="2" t="n">
        <v>45941</v>
      </c>
      <c r="C398" s="2" t="n">
        <v>45946</v>
      </c>
      <c r="D398" t="inlineStr">
        <is>
          <t>CUST-00397</t>
        </is>
      </c>
      <c r="E398" t="inlineStr">
        <is>
          <t>Customer 397</t>
        </is>
      </c>
      <c r="F398" t="inlineStr">
        <is>
          <t>Corporate</t>
        </is>
      </c>
      <c r="G398" t="inlineStr">
        <is>
          <t>P1016</t>
        </is>
      </c>
      <c r="H398" t="inlineStr">
        <is>
          <t>Lumen Desk Lamp</t>
        </is>
      </c>
      <c r="I398" t="inlineStr">
        <is>
          <t>Technology</t>
        </is>
      </c>
      <c r="J398" t="inlineStr">
        <is>
          <t>Textiles</t>
        </is>
      </c>
      <c r="K398" t="inlineStr">
        <is>
          <t>North</t>
        </is>
      </c>
      <c r="L398" t="inlineStr">
        <is>
          <t>Alberta</t>
        </is>
      </c>
      <c r="M398" t="inlineStr">
        <is>
          <t>Vancouver</t>
        </is>
      </c>
      <c r="N398" t="inlineStr">
        <is>
          <t>Noah Kim</t>
        </is>
      </c>
      <c r="O398" t="n">
        <v>2</v>
      </c>
      <c r="P398" s="3" t="n">
        <v>39.86</v>
      </c>
      <c r="Q398" s="4" t="n">
        <v>0.024</v>
      </c>
      <c r="R398" s="3" t="n">
        <v>77.81</v>
      </c>
      <c r="S398" s="3" t="n">
        <v>33.64</v>
      </c>
      <c r="T398" s="3" t="n">
        <v>36.57</v>
      </c>
      <c r="U398" s="4" t="n">
        <v>0.47</v>
      </c>
      <c r="V398" s="3" t="n">
        <v>7.6</v>
      </c>
      <c r="W398" t="inlineStr">
        <is>
          <t>Debit Card</t>
        </is>
      </c>
      <c r="X398" t="inlineStr">
        <is>
          <t>Low</t>
        </is>
      </c>
      <c r="Y398" t="n">
        <v>2025</v>
      </c>
      <c r="Z398" t="n">
        <v>10</v>
      </c>
      <c r="AA398" t="inlineStr">
        <is>
          <t>Oct</t>
        </is>
      </c>
      <c r="AB398" t="inlineStr">
        <is>
          <t>Saturday</t>
        </is>
      </c>
      <c r="AC398" t="n">
        <v>5</v>
      </c>
      <c r="AD398" t="inlineStr">
        <is>
          <t>Profitable</t>
        </is>
      </c>
      <c r="AE398" t="inlineStr">
        <is>
          <t>Medium</t>
        </is>
      </c>
      <c r="AF398" t="inlineStr">
        <is>
          <t>Small</t>
        </is>
      </c>
    </row>
    <row r="399">
      <c r="A399" t="inlineStr">
        <is>
          <t>ORD-00398</t>
        </is>
      </c>
      <c r="B399" s="2" t="n">
        <v>45496</v>
      </c>
      <c r="C399" s="2" t="n">
        <v>45500</v>
      </c>
      <c r="D399" t="inlineStr">
        <is>
          <t>CUST-00398</t>
        </is>
      </c>
      <c r="E399" t="inlineStr">
        <is>
          <t>Customer 398</t>
        </is>
      </c>
      <c r="F399" t="inlineStr">
        <is>
          <t>Home Office</t>
        </is>
      </c>
      <c r="G399" t="inlineStr">
        <is>
          <t>P1002</t>
        </is>
      </c>
      <c r="H399" t="inlineStr">
        <is>
          <t>CloudDrive File Box</t>
        </is>
      </c>
      <c r="I399" t="inlineStr">
        <is>
          <t>Outdoor</t>
        </is>
      </c>
      <c r="J399" t="inlineStr">
        <is>
          <t>Video</t>
        </is>
      </c>
      <c r="K399" t="inlineStr">
        <is>
          <t>North</t>
        </is>
      </c>
      <c r="L399" t="inlineStr">
        <is>
          <t>British Columbia</t>
        </is>
      </c>
      <c r="M399" t="inlineStr">
        <is>
          <t>Montreal</t>
        </is>
      </c>
      <c r="N399" t="inlineStr">
        <is>
          <t>Ethan Brooks</t>
        </is>
      </c>
      <c r="O399" t="n">
        <v>2</v>
      </c>
      <c r="P399" s="3" t="n">
        <v>81.26000000000001</v>
      </c>
      <c r="Q399" s="4" t="n">
        <v>0.01</v>
      </c>
      <c r="R399" s="3" t="n">
        <v>160.89</v>
      </c>
      <c r="S399" s="3" t="n">
        <v>82.73</v>
      </c>
      <c r="T399" s="3" t="n">
        <v>70.56</v>
      </c>
      <c r="U399" s="4" t="n">
        <v>0.4386</v>
      </c>
      <c r="V399" s="3" t="n">
        <v>7.6</v>
      </c>
      <c r="W399" t="inlineStr">
        <is>
          <t>Credit Card</t>
        </is>
      </c>
      <c r="X399" t="inlineStr">
        <is>
          <t>Medium</t>
        </is>
      </c>
      <c r="Y399" t="n">
        <v>2024</v>
      </c>
      <c r="Z399" t="n">
        <v>7</v>
      </c>
      <c r="AA399" t="inlineStr">
        <is>
          <t>Jul</t>
        </is>
      </c>
      <c r="AB399" t="inlineStr">
        <is>
          <t>Tuesday</t>
        </is>
      </c>
      <c r="AC399" t="n">
        <v>4</v>
      </c>
      <c r="AD399" t="inlineStr">
        <is>
          <t>Profitable</t>
        </is>
      </c>
      <c r="AE399" t="inlineStr">
        <is>
          <t>Low</t>
        </is>
      </c>
      <c r="AF399" t="inlineStr">
        <is>
          <t>Small</t>
        </is>
      </c>
    </row>
    <row r="400">
      <c r="A400" t="inlineStr">
        <is>
          <t>ORD-00399</t>
        </is>
      </c>
      <c r="B400" s="2" t="n">
        <v>45768</v>
      </c>
      <c r="C400" s="2" t="n">
        <v>45772</v>
      </c>
      <c r="D400" t="inlineStr">
        <is>
          <t>CUST-00399</t>
        </is>
      </c>
      <c r="E400" t="inlineStr">
        <is>
          <t>Customer 399</t>
        </is>
      </c>
      <c r="F400" t="inlineStr">
        <is>
          <t>Home Office</t>
        </is>
      </c>
      <c r="G400" t="inlineStr">
        <is>
          <t>P1014</t>
        </is>
      </c>
      <c r="H400" t="inlineStr">
        <is>
          <t>Trail Tote</t>
        </is>
      </c>
      <c r="I400" t="inlineStr">
        <is>
          <t>Office Supplies</t>
        </is>
      </c>
      <c r="J400" t="inlineStr">
        <is>
          <t>Plants</t>
        </is>
      </c>
      <c r="K400" t="inlineStr">
        <is>
          <t>East</t>
        </is>
      </c>
      <c r="L400" t="inlineStr">
        <is>
          <t>New York</t>
        </is>
      </c>
      <c r="M400" t="inlineStr">
        <is>
          <t>Boston</t>
        </is>
      </c>
      <c r="N400" t="inlineStr">
        <is>
          <t>Olivia Martin</t>
        </is>
      </c>
      <c r="O400" t="n">
        <v>5</v>
      </c>
      <c r="P400" s="3" t="n">
        <v>44.94</v>
      </c>
      <c r="Q400" s="4" t="n">
        <v>0.049</v>
      </c>
      <c r="R400" s="3" t="n">
        <v>213.69</v>
      </c>
      <c r="S400" s="3" t="n">
        <v>91.29000000000001</v>
      </c>
      <c r="T400" s="3" t="n">
        <v>111.4</v>
      </c>
      <c r="U400" s="4" t="n">
        <v>0.5213</v>
      </c>
      <c r="V400" s="3" t="n">
        <v>11</v>
      </c>
      <c r="W400" t="inlineStr">
        <is>
          <t>Debit Card</t>
        </is>
      </c>
      <c r="X400" t="inlineStr">
        <is>
          <t>High</t>
        </is>
      </c>
      <c r="Y400" t="n">
        <v>2025</v>
      </c>
      <c r="Z400" t="n">
        <v>4</v>
      </c>
      <c r="AA400" t="inlineStr">
        <is>
          <t>Apr</t>
        </is>
      </c>
      <c r="AB400" t="inlineStr">
        <is>
          <t>Monday</t>
        </is>
      </c>
      <c r="AC400" t="n">
        <v>4</v>
      </c>
      <c r="AD400" t="inlineStr">
        <is>
          <t>Profitable</t>
        </is>
      </c>
      <c r="AE400" t="inlineStr">
        <is>
          <t>Medium</t>
        </is>
      </c>
      <c r="AF400" t="inlineStr">
        <is>
          <t>Small</t>
        </is>
      </c>
    </row>
    <row r="401">
      <c r="A401" t="inlineStr">
        <is>
          <t>ORD-00400</t>
        </is>
      </c>
      <c r="B401" s="2" t="n">
        <v>46011</v>
      </c>
      <c r="C401" s="2" t="n">
        <v>46014</v>
      </c>
      <c r="D401" t="inlineStr">
        <is>
          <t>CUST-00400</t>
        </is>
      </c>
      <c r="E401" t="inlineStr">
        <is>
          <t>Customer 400</t>
        </is>
      </c>
      <c r="F401" t="inlineStr">
        <is>
          <t>Corporate</t>
        </is>
      </c>
      <c r="G401" t="inlineStr">
        <is>
          <t>P1018</t>
        </is>
      </c>
      <c r="H401" t="inlineStr">
        <is>
          <t>FlexNote Notebook</t>
        </is>
      </c>
      <c r="I401" t="inlineStr">
        <is>
          <t>Outdoor</t>
        </is>
      </c>
      <c r="J401" t="inlineStr">
        <is>
          <t>Desks</t>
        </is>
      </c>
      <c r="K401" t="inlineStr">
        <is>
          <t>Central</t>
        </is>
      </c>
      <c r="L401" t="inlineStr">
        <is>
          <t>Minnesota</t>
        </is>
      </c>
      <c r="M401" t="inlineStr">
        <is>
          <t>Chicago</t>
        </is>
      </c>
      <c r="N401" t="inlineStr">
        <is>
          <t>Liam Chen</t>
        </is>
      </c>
      <c r="O401" t="n">
        <v>4</v>
      </c>
      <c r="P401" s="3" t="n">
        <v>92.42</v>
      </c>
      <c r="Q401" s="4" t="n">
        <v>0.044</v>
      </c>
      <c r="R401" s="3" t="n">
        <v>353.41</v>
      </c>
      <c r="S401" s="3" t="n">
        <v>162.86</v>
      </c>
      <c r="T401" s="3" t="n">
        <v>181.35</v>
      </c>
      <c r="U401" s="4" t="n">
        <v>0.5131</v>
      </c>
      <c r="V401" s="3" t="n">
        <v>9.199999999999999</v>
      </c>
      <c r="W401" t="inlineStr">
        <is>
          <t>Debit Card</t>
        </is>
      </c>
      <c r="X401" t="inlineStr">
        <is>
          <t>Critical</t>
        </is>
      </c>
      <c r="Y401" t="n">
        <v>2025</v>
      </c>
      <c r="Z401" t="n">
        <v>12</v>
      </c>
      <c r="AA401" t="inlineStr">
        <is>
          <t>Dec</t>
        </is>
      </c>
      <c r="AB401" t="inlineStr">
        <is>
          <t>Saturday</t>
        </is>
      </c>
      <c r="AC401" t="n">
        <v>3</v>
      </c>
      <c r="AD401" t="inlineStr">
        <is>
          <t>Profitable</t>
        </is>
      </c>
      <c r="AE401" t="inlineStr">
        <is>
          <t>Medium</t>
        </is>
      </c>
      <c r="AF401" t="inlineStr">
        <is>
          <t>Small</t>
        </is>
      </c>
    </row>
    <row r="402">
      <c r="A402" t="inlineStr">
        <is>
          <t>ORD-00401</t>
        </is>
      </c>
      <c r="B402" s="2" t="n">
        <v>45157</v>
      </c>
      <c r="C402" s="2" t="n">
        <v>45164</v>
      </c>
      <c r="D402" t="inlineStr">
        <is>
          <t>CUST-00401</t>
        </is>
      </c>
      <c r="E402" t="inlineStr">
        <is>
          <t>Customer 401</t>
        </is>
      </c>
      <c r="F402" t="inlineStr">
        <is>
          <t>Consumer</t>
        </is>
      </c>
      <c r="G402" t="inlineStr">
        <is>
          <t>P1017</t>
        </is>
      </c>
      <c r="H402" t="inlineStr">
        <is>
          <t>Echo Web Camera</t>
        </is>
      </c>
      <c r="I402" t="inlineStr">
        <is>
          <t>Office Supplies</t>
        </is>
      </c>
      <c r="J402" t="inlineStr">
        <is>
          <t>Accessories</t>
        </is>
      </c>
      <c r="K402" t="inlineStr">
        <is>
          <t>West</t>
        </is>
      </c>
      <c r="L402" t="inlineStr">
        <is>
          <t>Colorado</t>
        </is>
      </c>
      <c r="M402" t="inlineStr">
        <is>
          <t>Los Angeles</t>
        </is>
      </c>
      <c r="N402" t="inlineStr">
        <is>
          <t>James Carter</t>
        </is>
      </c>
      <c r="O402" t="n">
        <v>3</v>
      </c>
      <c r="P402" s="3" t="n">
        <v>596.58</v>
      </c>
      <c r="Q402" s="4" t="n">
        <v>0.046</v>
      </c>
      <c r="R402" s="3" t="n">
        <v>1707.41</v>
      </c>
      <c r="S402" s="3" t="n">
        <v>1131.34</v>
      </c>
      <c r="T402" s="3" t="n">
        <v>566.67</v>
      </c>
      <c r="U402" s="4" t="n">
        <v>0.3319</v>
      </c>
      <c r="V402" s="3" t="n">
        <v>9.4</v>
      </c>
      <c r="W402" t="inlineStr">
        <is>
          <t>Credit Card</t>
        </is>
      </c>
      <c r="X402" t="inlineStr">
        <is>
          <t>High</t>
        </is>
      </c>
      <c r="Y402" t="n">
        <v>2023</v>
      </c>
      <c r="Z402" t="n">
        <v>8</v>
      </c>
      <c r="AA402" t="inlineStr">
        <is>
          <t>Aug</t>
        </is>
      </c>
      <c r="AB402" t="inlineStr">
        <is>
          <t>Saturday</t>
        </is>
      </c>
      <c r="AC402" t="n">
        <v>7</v>
      </c>
      <c r="AD402" t="inlineStr">
        <is>
          <t>Profitable</t>
        </is>
      </c>
      <c r="AE402" t="inlineStr">
        <is>
          <t>Medium</t>
        </is>
      </c>
      <c r="AF402" t="inlineStr">
        <is>
          <t>Large</t>
        </is>
      </c>
    </row>
    <row r="403">
      <c r="A403" t="inlineStr">
        <is>
          <t>ORD-00402</t>
        </is>
      </c>
      <c r="B403" s="2" t="n">
        <v>45755</v>
      </c>
      <c r="C403" s="2" t="n">
        <v>45757</v>
      </c>
      <c r="D403" t="inlineStr">
        <is>
          <t>CUST-00402</t>
        </is>
      </c>
      <c r="E403" t="inlineStr">
        <is>
          <t>Customer 402</t>
        </is>
      </c>
      <c r="F403" t="inlineStr">
        <is>
          <t>Consumer</t>
        </is>
      </c>
      <c r="G403" t="inlineStr">
        <is>
          <t>P1020</t>
        </is>
      </c>
      <c r="H403" t="inlineStr">
        <is>
          <t>SmartInk Pen Set</t>
        </is>
      </c>
      <c r="I403" t="inlineStr">
        <is>
          <t>Technology</t>
        </is>
      </c>
      <c r="J403" t="inlineStr">
        <is>
          <t>Decor</t>
        </is>
      </c>
      <c r="K403" t="inlineStr">
        <is>
          <t>Central</t>
        </is>
      </c>
      <c r="L403" t="inlineStr">
        <is>
          <t>Minnesota</t>
        </is>
      </c>
      <c r="M403" t="inlineStr">
        <is>
          <t>St. Louis</t>
        </is>
      </c>
      <c r="N403" t="inlineStr">
        <is>
          <t>Sophia Singh</t>
        </is>
      </c>
      <c r="O403" t="n">
        <v>2</v>
      </c>
      <c r="P403" s="3" t="n">
        <v>68.52</v>
      </c>
      <c r="Q403" s="4" t="n">
        <v>0.047</v>
      </c>
      <c r="R403" s="3" t="n">
        <v>130.6</v>
      </c>
      <c r="S403" s="3" t="n">
        <v>62.95</v>
      </c>
      <c r="T403" s="3" t="n">
        <v>60.05</v>
      </c>
      <c r="U403" s="4" t="n">
        <v>0.4598</v>
      </c>
      <c r="V403" s="3" t="n">
        <v>7.6</v>
      </c>
      <c r="W403" t="inlineStr">
        <is>
          <t>Credit Card</t>
        </is>
      </c>
      <c r="X403" t="inlineStr">
        <is>
          <t>High</t>
        </is>
      </c>
      <c r="Y403" t="n">
        <v>2025</v>
      </c>
      <c r="Z403" t="n">
        <v>4</v>
      </c>
      <c r="AA403" t="inlineStr">
        <is>
          <t>Apr</t>
        </is>
      </c>
      <c r="AB403" t="inlineStr">
        <is>
          <t>Tuesday</t>
        </is>
      </c>
      <c r="AC403" t="n">
        <v>2</v>
      </c>
      <c r="AD403" t="inlineStr">
        <is>
          <t>Profitable</t>
        </is>
      </c>
      <c r="AE403" t="inlineStr">
        <is>
          <t>Medium</t>
        </is>
      </c>
      <c r="AF403" t="inlineStr">
        <is>
          <t>Small</t>
        </is>
      </c>
    </row>
    <row r="404">
      <c r="A404" t="inlineStr">
        <is>
          <t>ORD-00403</t>
        </is>
      </c>
      <c r="B404" s="2" t="n">
        <v>45432</v>
      </c>
      <c r="C404" s="2" t="n">
        <v>45433</v>
      </c>
      <c r="D404" t="inlineStr">
        <is>
          <t>CUST-00403</t>
        </is>
      </c>
      <c r="E404" t="inlineStr">
        <is>
          <t>Customer 403</t>
        </is>
      </c>
      <c r="F404" t="inlineStr">
        <is>
          <t>Corporate</t>
        </is>
      </c>
      <c r="G404" t="inlineStr">
        <is>
          <t>P1018</t>
        </is>
      </c>
      <c r="H404" t="inlineStr">
        <is>
          <t>Harbor Rug</t>
        </is>
      </c>
      <c r="I404" t="inlineStr">
        <is>
          <t>Office Supplies</t>
        </is>
      </c>
      <c r="J404" t="inlineStr">
        <is>
          <t>Flooring</t>
        </is>
      </c>
      <c r="K404" t="inlineStr">
        <is>
          <t>East</t>
        </is>
      </c>
      <c r="L404" t="inlineStr">
        <is>
          <t>New York</t>
        </is>
      </c>
      <c r="M404" t="inlineStr">
        <is>
          <t>Washington</t>
        </is>
      </c>
      <c r="N404" t="inlineStr">
        <is>
          <t>James Carter</t>
        </is>
      </c>
      <c r="O404" t="n">
        <v>5</v>
      </c>
      <c r="P404" s="3" t="n">
        <v>87.06999999999999</v>
      </c>
      <c r="Q404" s="4" t="n">
        <v>0.034</v>
      </c>
      <c r="R404" s="3" t="n">
        <v>420.55</v>
      </c>
      <c r="S404" s="3" t="n">
        <v>187.37</v>
      </c>
      <c r="T404" s="3" t="n">
        <v>222.18</v>
      </c>
      <c r="U404" s="4" t="n">
        <v>0.5283</v>
      </c>
      <c r="V404" s="3" t="n">
        <v>11</v>
      </c>
      <c r="W404" t="inlineStr">
        <is>
          <t>Credit Card</t>
        </is>
      </c>
      <c r="X404" t="inlineStr">
        <is>
          <t>Medium</t>
        </is>
      </c>
      <c r="Y404" t="n">
        <v>2024</v>
      </c>
      <c r="Z404" t="n">
        <v>5</v>
      </c>
      <c r="AA404" t="inlineStr">
        <is>
          <t>May</t>
        </is>
      </c>
      <c r="AB404" t="inlineStr">
        <is>
          <t>Monday</t>
        </is>
      </c>
      <c r="AC404" t="n">
        <v>1</v>
      </c>
      <c r="AD404" t="inlineStr">
        <is>
          <t>Profitable</t>
        </is>
      </c>
      <c r="AE404" t="inlineStr">
        <is>
          <t>Medium</t>
        </is>
      </c>
      <c r="AF404" t="inlineStr">
        <is>
          <t>Small</t>
        </is>
      </c>
    </row>
    <row r="405">
      <c r="A405" t="inlineStr">
        <is>
          <t>ORD-00404</t>
        </is>
      </c>
      <c r="B405" s="2" t="n">
        <v>45969</v>
      </c>
      <c r="C405" s="2" t="n">
        <v>45971</v>
      </c>
      <c r="D405" t="inlineStr">
        <is>
          <t>CUST-00404</t>
        </is>
      </c>
      <c r="E405" t="inlineStr">
        <is>
          <t>Customer 404</t>
        </is>
      </c>
      <c r="F405" t="inlineStr">
        <is>
          <t>Corporate</t>
        </is>
      </c>
      <c r="G405" t="inlineStr">
        <is>
          <t>P1019</t>
        </is>
      </c>
      <c r="H405" t="inlineStr">
        <is>
          <t>Halo Planter</t>
        </is>
      </c>
      <c r="I405" t="inlineStr">
        <is>
          <t>Technology</t>
        </is>
      </c>
      <c r="J405" t="inlineStr">
        <is>
          <t>Binders</t>
        </is>
      </c>
      <c r="K405" t="inlineStr">
        <is>
          <t>West</t>
        </is>
      </c>
      <c r="L405" t="inlineStr">
        <is>
          <t>Oregon</t>
        </is>
      </c>
      <c r="M405" t="inlineStr">
        <is>
          <t>San Francisco</t>
        </is>
      </c>
      <c r="N405" t="inlineStr">
        <is>
          <t>Liam Chen</t>
        </is>
      </c>
      <c r="O405" t="n">
        <v>2</v>
      </c>
      <c r="P405" s="3" t="n">
        <v>65.02</v>
      </c>
      <c r="Q405" s="4" t="n">
        <v>0.021</v>
      </c>
      <c r="R405" s="3" t="n">
        <v>127.31</v>
      </c>
      <c r="S405" s="3" t="n">
        <v>62</v>
      </c>
      <c r="T405" s="3" t="n">
        <v>56.71</v>
      </c>
      <c r="U405" s="4" t="n">
        <v>0.4454</v>
      </c>
      <c r="V405" s="3" t="n">
        <v>8.6</v>
      </c>
      <c r="W405" t="inlineStr">
        <is>
          <t>PayPal</t>
        </is>
      </c>
      <c r="X405" t="inlineStr">
        <is>
          <t>Medium</t>
        </is>
      </c>
      <c r="Y405" t="n">
        <v>2025</v>
      </c>
      <c r="Z405" t="n">
        <v>11</v>
      </c>
      <c r="AA405" t="inlineStr">
        <is>
          <t>Nov</t>
        </is>
      </c>
      <c r="AB405" t="inlineStr">
        <is>
          <t>Saturday</t>
        </is>
      </c>
      <c r="AC405" t="n">
        <v>2</v>
      </c>
      <c r="AD405" t="inlineStr">
        <is>
          <t>Profitable</t>
        </is>
      </c>
      <c r="AE405" t="inlineStr">
        <is>
          <t>Medium</t>
        </is>
      </c>
      <c r="AF405" t="inlineStr">
        <is>
          <t>Small</t>
        </is>
      </c>
    </row>
    <row r="406">
      <c r="A406" t="inlineStr">
        <is>
          <t>ORD-00405</t>
        </is>
      </c>
      <c r="B406" s="2" t="n">
        <v>45317</v>
      </c>
      <c r="C406" s="2" t="n">
        <v>45318</v>
      </c>
      <c r="D406" t="inlineStr">
        <is>
          <t>CUST-00405</t>
        </is>
      </c>
      <c r="E406" t="inlineStr">
        <is>
          <t>Customer 405</t>
        </is>
      </c>
      <c r="F406" t="inlineStr">
        <is>
          <t>Corporate</t>
        </is>
      </c>
      <c r="G406" t="inlineStr">
        <is>
          <t>P1015</t>
        </is>
      </c>
      <c r="H406" t="inlineStr">
        <is>
          <t>Orbit Wireless Mouse</t>
        </is>
      </c>
      <c r="I406" t="inlineStr">
        <is>
          <t>Furniture</t>
        </is>
      </c>
      <c r="J406" t="inlineStr">
        <is>
          <t>Desks</t>
        </is>
      </c>
      <c r="K406" t="inlineStr">
        <is>
          <t>South</t>
        </is>
      </c>
      <c r="L406" t="inlineStr">
        <is>
          <t>Florida</t>
        </is>
      </c>
      <c r="M406" t="inlineStr">
        <is>
          <t>Miami</t>
        </is>
      </c>
      <c r="N406" t="inlineStr">
        <is>
          <t>Sophia Singh</t>
        </is>
      </c>
      <c r="O406" t="n">
        <v>3</v>
      </c>
      <c r="P406" s="3" t="n">
        <v>66.45</v>
      </c>
      <c r="Q406" s="4" t="n">
        <v>0.035</v>
      </c>
      <c r="R406" s="3" t="n">
        <v>192.37</v>
      </c>
      <c r="S406" s="3" t="n">
        <v>85.83</v>
      </c>
      <c r="T406" s="3" t="n">
        <v>98.14</v>
      </c>
      <c r="U406" s="4" t="n">
        <v>0.5102</v>
      </c>
      <c r="V406" s="3" t="n">
        <v>8.4</v>
      </c>
      <c r="W406" t="inlineStr">
        <is>
          <t>Bank Transfer</t>
        </is>
      </c>
      <c r="X406" t="inlineStr">
        <is>
          <t>Medium</t>
        </is>
      </c>
      <c r="Y406" t="n">
        <v>2024</v>
      </c>
      <c r="Z406" t="n">
        <v>1</v>
      </c>
      <c r="AA406" t="inlineStr">
        <is>
          <t>Jan</t>
        </is>
      </c>
      <c r="AB406" t="inlineStr">
        <is>
          <t>Friday</t>
        </is>
      </c>
      <c r="AC406" t="n">
        <v>1</v>
      </c>
      <c r="AD406" t="inlineStr">
        <is>
          <t>Profitable</t>
        </is>
      </c>
      <c r="AE406" t="inlineStr">
        <is>
          <t>Medium</t>
        </is>
      </c>
      <c r="AF406" t="inlineStr">
        <is>
          <t>Small</t>
        </is>
      </c>
    </row>
    <row r="407">
      <c r="A407" t="inlineStr">
        <is>
          <t>ORD-00406</t>
        </is>
      </c>
      <c r="B407" s="2" t="n">
        <v>45994</v>
      </c>
      <c r="C407" s="2" t="n">
        <v>45998</v>
      </c>
      <c r="D407" t="inlineStr">
        <is>
          <t>CUST-00406</t>
        </is>
      </c>
      <c r="E407" t="inlineStr">
        <is>
          <t>Customer 406</t>
        </is>
      </c>
      <c r="F407" t="inlineStr">
        <is>
          <t>Consumer</t>
        </is>
      </c>
      <c r="G407" t="inlineStr">
        <is>
          <t>P1002</t>
        </is>
      </c>
      <c r="H407" t="inlineStr">
        <is>
          <t>Aero Standing Desk</t>
        </is>
      </c>
      <c r="I407" t="inlineStr">
        <is>
          <t>Office Supplies</t>
        </is>
      </c>
      <c r="J407" t="inlineStr">
        <is>
          <t>Chairs</t>
        </is>
      </c>
      <c r="K407" t="inlineStr">
        <is>
          <t>Central</t>
        </is>
      </c>
      <c r="L407" t="inlineStr">
        <is>
          <t>Illinois</t>
        </is>
      </c>
      <c r="M407" t="inlineStr">
        <is>
          <t>St. Louis</t>
        </is>
      </c>
      <c r="N407" t="inlineStr">
        <is>
          <t>Ava Patel</t>
        </is>
      </c>
      <c r="O407" t="n">
        <v>3</v>
      </c>
      <c r="P407" s="3" t="n">
        <v>88.64</v>
      </c>
      <c r="Q407" s="4" t="n">
        <v>0.006</v>
      </c>
      <c r="R407" s="3" t="n">
        <v>264.32</v>
      </c>
      <c r="S407" s="3" t="n">
        <v>125.62</v>
      </c>
      <c r="T407" s="3" t="n">
        <v>130.3</v>
      </c>
      <c r="U407" s="4" t="n">
        <v>0.493</v>
      </c>
      <c r="V407" s="3" t="n">
        <v>8.4</v>
      </c>
      <c r="W407" t="inlineStr">
        <is>
          <t>Credit Card</t>
        </is>
      </c>
      <c r="X407" t="inlineStr">
        <is>
          <t>Low</t>
        </is>
      </c>
      <c r="Y407" t="n">
        <v>2025</v>
      </c>
      <c r="Z407" t="n">
        <v>12</v>
      </c>
      <c r="AA407" t="inlineStr">
        <is>
          <t>Dec</t>
        </is>
      </c>
      <c r="AB407" t="inlineStr">
        <is>
          <t>Wednesday</t>
        </is>
      </c>
      <c r="AC407" t="n">
        <v>4</v>
      </c>
      <c r="AD407" t="inlineStr">
        <is>
          <t>Profitable</t>
        </is>
      </c>
      <c r="AE407" t="inlineStr">
        <is>
          <t>Low</t>
        </is>
      </c>
      <c r="AF407" t="inlineStr">
        <is>
          <t>Small</t>
        </is>
      </c>
    </row>
    <row r="408">
      <c r="A408" t="inlineStr">
        <is>
          <t>ORD-00407</t>
        </is>
      </c>
      <c r="B408" s="2" t="n">
        <v>45361</v>
      </c>
      <c r="C408" s="2" t="n">
        <v>45366</v>
      </c>
      <c r="D408" t="inlineStr">
        <is>
          <t>CUST-00407</t>
        </is>
      </c>
      <c r="E408" t="inlineStr">
        <is>
          <t>Customer 407</t>
        </is>
      </c>
      <c r="F408" t="inlineStr">
        <is>
          <t>Corporate</t>
        </is>
      </c>
      <c r="G408" t="inlineStr">
        <is>
          <t>P1004</t>
        </is>
      </c>
      <c r="H408" t="inlineStr">
        <is>
          <t>Atlas Throw Pillow</t>
        </is>
      </c>
      <c r="I408" t="inlineStr">
        <is>
          <t>Furniture</t>
        </is>
      </c>
      <c r="J408" t="inlineStr">
        <is>
          <t>Accessories</t>
        </is>
      </c>
      <c r="K408" t="inlineStr">
        <is>
          <t>Central</t>
        </is>
      </c>
      <c r="L408" t="inlineStr">
        <is>
          <t>Illinois</t>
        </is>
      </c>
      <c r="M408" t="inlineStr">
        <is>
          <t>Minneapolis</t>
        </is>
      </c>
      <c r="N408" t="inlineStr">
        <is>
          <t>Olivia Martin</t>
        </is>
      </c>
      <c r="O408" t="n">
        <v>5</v>
      </c>
      <c r="P408" s="3" t="n">
        <v>575.66</v>
      </c>
      <c r="Q408" s="4" t="n">
        <v>0.018</v>
      </c>
      <c r="R408" s="3" t="n">
        <v>2826.49</v>
      </c>
      <c r="S408" s="3" t="n">
        <v>1790.5</v>
      </c>
      <c r="T408" s="3" t="n">
        <v>1025.99</v>
      </c>
      <c r="U408" s="4" t="n">
        <v>0.363</v>
      </c>
      <c r="V408" s="3" t="n">
        <v>10</v>
      </c>
      <c r="W408" t="inlineStr">
        <is>
          <t>PayPal</t>
        </is>
      </c>
      <c r="X408" t="inlineStr">
        <is>
          <t>Low</t>
        </is>
      </c>
      <c r="Y408" t="n">
        <v>2024</v>
      </c>
      <c r="Z408" t="n">
        <v>3</v>
      </c>
      <c r="AA408" t="inlineStr">
        <is>
          <t>Mar</t>
        </is>
      </c>
      <c r="AB408" t="inlineStr">
        <is>
          <t>Sunday</t>
        </is>
      </c>
      <c r="AC408" t="n">
        <v>5</v>
      </c>
      <c r="AD408" t="inlineStr">
        <is>
          <t>Profitable</t>
        </is>
      </c>
      <c r="AE408" t="inlineStr">
        <is>
          <t>Low</t>
        </is>
      </c>
      <c r="AF408" t="inlineStr">
        <is>
          <t>Large</t>
        </is>
      </c>
    </row>
    <row r="409">
      <c r="A409" t="inlineStr">
        <is>
          <t>ORD-00408</t>
        </is>
      </c>
      <c r="B409" s="2" t="n">
        <v>45243</v>
      </c>
      <c r="C409" s="2" t="n">
        <v>45245</v>
      </c>
      <c r="D409" t="inlineStr">
        <is>
          <t>CUST-00408</t>
        </is>
      </c>
      <c r="E409" t="inlineStr">
        <is>
          <t>Customer 408</t>
        </is>
      </c>
      <c r="F409" t="inlineStr">
        <is>
          <t>Consumer</t>
        </is>
      </c>
      <c r="G409" t="inlineStr">
        <is>
          <t>P1001</t>
        </is>
      </c>
      <c r="H409" t="inlineStr">
        <is>
          <t>SmartInk Pen Set</t>
        </is>
      </c>
      <c r="I409" t="inlineStr">
        <is>
          <t>Office Supplies</t>
        </is>
      </c>
      <c r="J409" t="inlineStr">
        <is>
          <t>Video</t>
        </is>
      </c>
      <c r="K409" t="inlineStr">
        <is>
          <t>East</t>
        </is>
      </c>
      <c r="L409" t="inlineStr">
        <is>
          <t>Virginia</t>
        </is>
      </c>
      <c r="M409" t="inlineStr">
        <is>
          <t>Philadelphia</t>
        </is>
      </c>
      <c r="N409" t="inlineStr">
        <is>
          <t>Ava Patel</t>
        </is>
      </c>
      <c r="O409" t="n">
        <v>4</v>
      </c>
      <c r="P409" s="3" t="n">
        <v>326.27</v>
      </c>
      <c r="Q409" s="4" t="n">
        <v>0.018</v>
      </c>
      <c r="R409" s="3" t="n">
        <v>1281.59</v>
      </c>
      <c r="S409" s="3" t="n">
        <v>753.6799999999999</v>
      </c>
      <c r="T409" s="3" t="n">
        <v>517.71</v>
      </c>
      <c r="U409" s="4" t="n">
        <v>0.404</v>
      </c>
      <c r="V409" s="3" t="n">
        <v>10.2</v>
      </c>
      <c r="W409" t="inlineStr">
        <is>
          <t>Credit Card</t>
        </is>
      </c>
      <c r="X409" t="inlineStr">
        <is>
          <t>Low</t>
        </is>
      </c>
      <c r="Y409" t="n">
        <v>2023</v>
      </c>
      <c r="Z409" t="n">
        <v>11</v>
      </c>
      <c r="AA409" t="inlineStr">
        <is>
          <t>Nov</t>
        </is>
      </c>
      <c r="AB409" t="inlineStr">
        <is>
          <t>Monday</t>
        </is>
      </c>
      <c r="AC409" t="n">
        <v>2</v>
      </c>
      <c r="AD409" t="inlineStr">
        <is>
          <t>Profitable</t>
        </is>
      </c>
      <c r="AE409" t="inlineStr">
        <is>
          <t>Low</t>
        </is>
      </c>
      <c r="AF409" t="inlineStr">
        <is>
          <t>Medium</t>
        </is>
      </c>
    </row>
    <row r="410">
      <c r="A410" t="inlineStr">
        <is>
          <t>ORD-00409</t>
        </is>
      </c>
      <c r="B410" s="2" t="n">
        <v>45817</v>
      </c>
      <c r="C410" s="2" t="n">
        <v>45822</v>
      </c>
      <c r="D410" t="inlineStr">
        <is>
          <t>CUST-00409</t>
        </is>
      </c>
      <c r="E410" t="inlineStr">
        <is>
          <t>Customer 409</t>
        </is>
      </c>
      <c r="F410" t="inlineStr">
        <is>
          <t>Corporate</t>
        </is>
      </c>
      <c r="G410" t="inlineStr">
        <is>
          <t>P1008</t>
        </is>
      </c>
      <c r="H410" t="inlineStr">
        <is>
          <t>Harbor Rug</t>
        </is>
      </c>
      <c r="I410" t="inlineStr">
        <is>
          <t>Outdoor</t>
        </is>
      </c>
      <c r="J410" t="inlineStr">
        <is>
          <t>Accessories</t>
        </is>
      </c>
      <c r="K410" t="inlineStr">
        <is>
          <t>North</t>
        </is>
      </c>
      <c r="L410" t="inlineStr">
        <is>
          <t>British Columbia</t>
        </is>
      </c>
      <c r="M410" t="inlineStr">
        <is>
          <t>Toronto</t>
        </is>
      </c>
      <c r="N410" t="inlineStr">
        <is>
          <t>Olivia Martin</t>
        </is>
      </c>
      <c r="O410" t="n">
        <v>3</v>
      </c>
      <c r="P410" s="3" t="n">
        <v>38.01</v>
      </c>
      <c r="Q410" s="4" t="n">
        <v>0.055</v>
      </c>
      <c r="R410" s="3" t="n">
        <v>107.76</v>
      </c>
      <c r="S410" s="3" t="n">
        <v>50.93</v>
      </c>
      <c r="T410" s="3" t="n">
        <v>48.43</v>
      </c>
      <c r="U410" s="4" t="n">
        <v>0.4494</v>
      </c>
      <c r="V410" s="3" t="n">
        <v>8.4</v>
      </c>
      <c r="W410" t="inlineStr">
        <is>
          <t>Credit Card</t>
        </is>
      </c>
      <c r="X410" t="inlineStr">
        <is>
          <t>High</t>
        </is>
      </c>
      <c r="Y410" t="n">
        <v>2025</v>
      </c>
      <c r="Z410" t="n">
        <v>6</v>
      </c>
      <c r="AA410" t="inlineStr">
        <is>
          <t>Jun</t>
        </is>
      </c>
      <c r="AB410" t="inlineStr">
        <is>
          <t>Monday</t>
        </is>
      </c>
      <c r="AC410" t="n">
        <v>5</v>
      </c>
      <c r="AD410" t="inlineStr">
        <is>
          <t>Profitable</t>
        </is>
      </c>
      <c r="AE410" t="inlineStr">
        <is>
          <t>High</t>
        </is>
      </c>
      <c r="AF410" t="inlineStr">
        <is>
          <t>Small</t>
        </is>
      </c>
    </row>
    <row r="411">
      <c r="A411" t="inlineStr">
        <is>
          <t>ORD-00410</t>
        </is>
      </c>
      <c r="B411" s="2" t="n">
        <v>45113</v>
      </c>
      <c r="C411" s="2" t="n">
        <v>45115</v>
      </c>
      <c r="D411" t="inlineStr">
        <is>
          <t>CUST-00410</t>
        </is>
      </c>
      <c r="E411" t="inlineStr">
        <is>
          <t>Customer 410</t>
        </is>
      </c>
      <c r="F411" t="inlineStr">
        <is>
          <t>Consumer</t>
        </is>
      </c>
      <c r="G411" t="inlineStr">
        <is>
          <t>P1020</t>
        </is>
      </c>
      <c r="H411" t="inlineStr">
        <is>
          <t>Aero Standing Desk</t>
        </is>
      </c>
      <c r="I411" t="inlineStr">
        <is>
          <t>Home Decor</t>
        </is>
      </c>
      <c r="J411" t="inlineStr">
        <is>
          <t>Coolers</t>
        </is>
      </c>
      <c r="K411" t="inlineStr">
        <is>
          <t>South</t>
        </is>
      </c>
      <c r="L411" t="inlineStr">
        <is>
          <t>Georgia</t>
        </is>
      </c>
      <c r="M411" t="inlineStr">
        <is>
          <t>Houston</t>
        </is>
      </c>
      <c r="N411" t="inlineStr">
        <is>
          <t>Ava Patel</t>
        </is>
      </c>
      <c r="O411" t="n">
        <v>3</v>
      </c>
      <c r="P411" s="3" t="n">
        <v>73.01000000000001</v>
      </c>
      <c r="Q411" s="4" t="n">
        <v>0.027</v>
      </c>
      <c r="R411" s="3" t="n">
        <v>213.12</v>
      </c>
      <c r="S411" s="3" t="n">
        <v>100.9</v>
      </c>
      <c r="T411" s="3" t="n">
        <v>103.82</v>
      </c>
      <c r="U411" s="4" t="n">
        <v>0.4871</v>
      </c>
      <c r="V411" s="3" t="n">
        <v>8.4</v>
      </c>
      <c r="W411" t="inlineStr">
        <is>
          <t>Debit Card</t>
        </is>
      </c>
      <c r="X411" t="inlineStr">
        <is>
          <t>Medium</t>
        </is>
      </c>
      <c r="Y411" t="n">
        <v>2023</v>
      </c>
      <c r="Z411" t="n">
        <v>7</v>
      </c>
      <c r="AA411" t="inlineStr">
        <is>
          <t>Jul</t>
        </is>
      </c>
      <c r="AB411" t="inlineStr">
        <is>
          <t>Thursday</t>
        </is>
      </c>
      <c r="AC411" t="n">
        <v>2</v>
      </c>
      <c r="AD411" t="inlineStr">
        <is>
          <t>Profitable</t>
        </is>
      </c>
      <c r="AE411" t="inlineStr">
        <is>
          <t>Medium</t>
        </is>
      </c>
      <c r="AF411" t="inlineStr">
        <is>
          <t>Small</t>
        </is>
      </c>
    </row>
    <row r="412">
      <c r="A412" t="inlineStr">
        <is>
          <t>ORD-00411</t>
        </is>
      </c>
      <c r="B412" s="2" t="n">
        <v>45611</v>
      </c>
      <c r="C412" s="2" t="n">
        <v>45618</v>
      </c>
      <c r="D412" t="inlineStr">
        <is>
          <t>CUST-00411</t>
        </is>
      </c>
      <c r="E412" t="inlineStr">
        <is>
          <t>Customer 411</t>
        </is>
      </c>
      <c r="F412" t="inlineStr">
        <is>
          <t>Consumer</t>
        </is>
      </c>
      <c r="G412" t="inlineStr">
        <is>
          <t>P1014</t>
        </is>
      </c>
      <c r="H412" t="inlineStr">
        <is>
          <t>Echo Web Camera</t>
        </is>
      </c>
      <c r="I412" t="inlineStr">
        <is>
          <t>Furniture</t>
        </is>
      </c>
      <c r="J412" t="inlineStr">
        <is>
          <t>Decor</t>
        </is>
      </c>
      <c r="K412" t="inlineStr">
        <is>
          <t>South</t>
        </is>
      </c>
      <c r="L412" t="inlineStr">
        <is>
          <t>Florida</t>
        </is>
      </c>
      <c r="M412" t="inlineStr">
        <is>
          <t>Dallas</t>
        </is>
      </c>
      <c r="N412" t="inlineStr">
        <is>
          <t>Sophia Singh</t>
        </is>
      </c>
      <c r="O412" t="n">
        <v>5</v>
      </c>
      <c r="P412" s="3" t="n">
        <v>42.26</v>
      </c>
      <c r="Q412" s="4" t="n">
        <v>0.023</v>
      </c>
      <c r="R412" s="3" t="n">
        <v>206.44</v>
      </c>
      <c r="S412" s="3" t="n">
        <v>86</v>
      </c>
      <c r="T412" s="3" t="n">
        <v>110.44</v>
      </c>
      <c r="U412" s="4" t="n">
        <v>0.535</v>
      </c>
      <c r="V412" s="3" t="n">
        <v>10</v>
      </c>
      <c r="W412" t="inlineStr">
        <is>
          <t>Bank Transfer</t>
        </is>
      </c>
      <c r="X412" t="inlineStr">
        <is>
          <t>Medium</t>
        </is>
      </c>
      <c r="Y412" t="n">
        <v>2024</v>
      </c>
      <c r="Z412" t="n">
        <v>11</v>
      </c>
      <c r="AA412" t="inlineStr">
        <is>
          <t>Nov</t>
        </is>
      </c>
      <c r="AB412" t="inlineStr">
        <is>
          <t>Friday</t>
        </is>
      </c>
      <c r="AC412" t="n">
        <v>7</v>
      </c>
      <c r="AD412" t="inlineStr">
        <is>
          <t>Profitable</t>
        </is>
      </c>
      <c r="AE412" t="inlineStr">
        <is>
          <t>Medium</t>
        </is>
      </c>
      <c r="AF412" t="inlineStr">
        <is>
          <t>Small</t>
        </is>
      </c>
    </row>
    <row r="413">
      <c r="A413" t="inlineStr">
        <is>
          <t>ORD-00412</t>
        </is>
      </c>
      <c r="B413" s="2" t="n">
        <v>45824</v>
      </c>
      <c r="C413" s="2" t="n">
        <v>45830</v>
      </c>
      <c r="D413" t="inlineStr">
        <is>
          <t>CUST-00412</t>
        </is>
      </c>
      <c r="E413" t="inlineStr">
        <is>
          <t>Customer 412</t>
        </is>
      </c>
      <c r="F413" t="inlineStr">
        <is>
          <t>Consumer</t>
        </is>
      </c>
      <c r="G413" t="inlineStr">
        <is>
          <t>P1011</t>
        </is>
      </c>
      <c r="H413" t="inlineStr">
        <is>
          <t>Trail Tote</t>
        </is>
      </c>
      <c r="I413" t="inlineStr">
        <is>
          <t>Outdoor</t>
        </is>
      </c>
      <c r="J413" t="inlineStr">
        <is>
          <t>Paper</t>
        </is>
      </c>
      <c r="K413" t="inlineStr">
        <is>
          <t>Central</t>
        </is>
      </c>
      <c r="L413" t="inlineStr">
        <is>
          <t>Minnesota</t>
        </is>
      </c>
      <c r="M413" t="inlineStr">
        <is>
          <t>Chicago</t>
        </is>
      </c>
      <c r="N413" t="inlineStr">
        <is>
          <t>Mia Rodriguez</t>
        </is>
      </c>
      <c r="O413" t="n">
        <v>4</v>
      </c>
      <c r="P413" s="3" t="n">
        <v>90.47</v>
      </c>
      <c r="Q413" s="4" t="n">
        <v>0.015</v>
      </c>
      <c r="R413" s="3" t="n">
        <v>356.45</v>
      </c>
      <c r="S413" s="3" t="n">
        <v>173.32</v>
      </c>
      <c r="T413" s="3" t="n">
        <v>173.93</v>
      </c>
      <c r="U413" s="4" t="n">
        <v>0.488</v>
      </c>
      <c r="V413" s="3" t="n">
        <v>9.199999999999999</v>
      </c>
      <c r="W413" t="inlineStr">
        <is>
          <t>PayPal</t>
        </is>
      </c>
      <c r="X413" t="inlineStr">
        <is>
          <t>Medium</t>
        </is>
      </c>
      <c r="Y413" t="n">
        <v>2025</v>
      </c>
      <c r="Z413" t="n">
        <v>6</v>
      </c>
      <c r="AA413" t="inlineStr">
        <is>
          <t>Jun</t>
        </is>
      </c>
      <c r="AB413" t="inlineStr">
        <is>
          <t>Monday</t>
        </is>
      </c>
      <c r="AC413" t="n">
        <v>6</v>
      </c>
      <c r="AD413" t="inlineStr">
        <is>
          <t>Profitable</t>
        </is>
      </c>
      <c r="AE413" t="inlineStr">
        <is>
          <t>Low</t>
        </is>
      </c>
      <c r="AF413" t="inlineStr">
        <is>
          <t>Small</t>
        </is>
      </c>
    </row>
    <row r="414">
      <c r="A414" t="inlineStr">
        <is>
          <t>ORD-00413</t>
        </is>
      </c>
      <c r="B414" s="2" t="n">
        <v>45874</v>
      </c>
      <c r="C414" s="2" t="n">
        <v>45876</v>
      </c>
      <c r="D414" t="inlineStr">
        <is>
          <t>CUST-00413</t>
        </is>
      </c>
      <c r="E414" t="inlineStr">
        <is>
          <t>Customer 413</t>
        </is>
      </c>
      <c r="F414" t="inlineStr">
        <is>
          <t>Home Office</t>
        </is>
      </c>
      <c r="G414" t="inlineStr">
        <is>
          <t>P1014</t>
        </is>
      </c>
      <c r="H414" t="inlineStr">
        <is>
          <t>Lumen Desk Lamp</t>
        </is>
      </c>
      <c r="I414" t="inlineStr">
        <is>
          <t>Home Decor</t>
        </is>
      </c>
      <c r="J414" t="inlineStr">
        <is>
          <t>Chairs</t>
        </is>
      </c>
      <c r="K414" t="inlineStr">
        <is>
          <t>West</t>
        </is>
      </c>
      <c r="L414" t="inlineStr">
        <is>
          <t>Oregon</t>
        </is>
      </c>
      <c r="M414" t="inlineStr">
        <is>
          <t>Los Angeles</t>
        </is>
      </c>
      <c r="N414" t="inlineStr">
        <is>
          <t>Liam Chen</t>
        </is>
      </c>
      <c r="O414" t="n">
        <v>3</v>
      </c>
      <c r="P414" s="3" t="n">
        <v>43.71</v>
      </c>
      <c r="Q414" s="4" t="n">
        <v>0.025</v>
      </c>
      <c r="R414" s="3" t="n">
        <v>127.85</v>
      </c>
      <c r="S414" s="3" t="n">
        <v>59.59</v>
      </c>
      <c r="T414" s="3" t="n">
        <v>58.86</v>
      </c>
      <c r="U414" s="4" t="n">
        <v>0.4604</v>
      </c>
      <c r="V414" s="3" t="n">
        <v>9.4</v>
      </c>
      <c r="W414" t="inlineStr">
        <is>
          <t>PayPal</t>
        </is>
      </c>
      <c r="X414" t="inlineStr">
        <is>
          <t>High</t>
        </is>
      </c>
      <c r="Y414" t="n">
        <v>2025</v>
      </c>
      <c r="Z414" t="n">
        <v>8</v>
      </c>
      <c r="AA414" t="inlineStr">
        <is>
          <t>Aug</t>
        </is>
      </c>
      <c r="AB414" t="inlineStr">
        <is>
          <t>Tuesday</t>
        </is>
      </c>
      <c r="AC414" t="n">
        <v>2</v>
      </c>
      <c r="AD414" t="inlineStr">
        <is>
          <t>Profitable</t>
        </is>
      </c>
      <c r="AE414" t="inlineStr">
        <is>
          <t>Medium</t>
        </is>
      </c>
      <c r="AF414" t="inlineStr">
        <is>
          <t>Small</t>
        </is>
      </c>
    </row>
    <row r="415">
      <c r="A415" t="inlineStr">
        <is>
          <t>ORD-00414</t>
        </is>
      </c>
      <c r="B415" s="2" t="n">
        <v>45312</v>
      </c>
      <c r="C415" s="2" t="n">
        <v>45317</v>
      </c>
      <c r="D415" t="inlineStr">
        <is>
          <t>CUST-00414</t>
        </is>
      </c>
      <c r="E415" t="inlineStr">
        <is>
          <t>Customer 414</t>
        </is>
      </c>
      <c r="F415" t="inlineStr">
        <is>
          <t>Consumer</t>
        </is>
      </c>
      <c r="G415" t="inlineStr">
        <is>
          <t>P1016</t>
        </is>
      </c>
      <c r="H415" t="inlineStr">
        <is>
          <t>FlexNote Notebook</t>
        </is>
      </c>
      <c r="I415" t="inlineStr">
        <is>
          <t>Home Decor</t>
        </is>
      </c>
      <c r="J415" t="inlineStr">
        <is>
          <t>Decor</t>
        </is>
      </c>
      <c r="K415" t="inlineStr">
        <is>
          <t>West</t>
        </is>
      </c>
      <c r="L415" t="inlineStr">
        <is>
          <t>Oregon</t>
        </is>
      </c>
      <c r="M415" t="inlineStr">
        <is>
          <t>Los Angeles</t>
        </is>
      </c>
      <c r="N415" t="inlineStr">
        <is>
          <t>Mia Rodriguez</t>
        </is>
      </c>
      <c r="O415" t="n">
        <v>5</v>
      </c>
      <c r="P415" s="3" t="n">
        <v>40.96</v>
      </c>
      <c r="Q415" s="4" t="n">
        <v>0.08400000000000001</v>
      </c>
      <c r="R415" s="3" t="n">
        <v>187.6</v>
      </c>
      <c r="S415" s="3" t="n">
        <v>72.53</v>
      </c>
      <c r="T415" s="3" t="n">
        <v>104.07</v>
      </c>
      <c r="U415" s="4" t="n">
        <v>0.5547</v>
      </c>
      <c r="V415" s="3" t="n">
        <v>11</v>
      </c>
      <c r="W415" t="inlineStr">
        <is>
          <t>Credit Card</t>
        </is>
      </c>
      <c r="X415" t="inlineStr">
        <is>
          <t>Critical</t>
        </is>
      </c>
      <c r="Y415" t="n">
        <v>2024</v>
      </c>
      <c r="Z415" t="n">
        <v>1</v>
      </c>
      <c r="AA415" t="inlineStr">
        <is>
          <t>Jan</t>
        </is>
      </c>
      <c r="AB415" t="inlineStr">
        <is>
          <t>Sunday</t>
        </is>
      </c>
      <c r="AC415" t="n">
        <v>5</v>
      </c>
      <c r="AD415" t="inlineStr">
        <is>
          <t>Profitable</t>
        </is>
      </c>
      <c r="AE415" t="inlineStr">
        <is>
          <t>High</t>
        </is>
      </c>
      <c r="AF415" t="inlineStr">
        <is>
          <t>Small</t>
        </is>
      </c>
    </row>
    <row r="416">
      <c r="A416" t="inlineStr">
        <is>
          <t>ORD-00415</t>
        </is>
      </c>
      <c r="B416" s="2" t="n">
        <v>45304</v>
      </c>
      <c r="C416" s="2" t="n">
        <v>45310</v>
      </c>
      <c r="D416" t="inlineStr">
        <is>
          <t>CUST-00415</t>
        </is>
      </c>
      <c r="E416" t="inlineStr">
        <is>
          <t>Customer 415</t>
        </is>
      </c>
      <c r="F416" t="inlineStr">
        <is>
          <t>Consumer</t>
        </is>
      </c>
      <c r="G416" t="inlineStr">
        <is>
          <t>P1010</t>
        </is>
      </c>
      <c r="H416" t="inlineStr">
        <is>
          <t>CloudDrive File Box</t>
        </is>
      </c>
      <c r="I416" t="inlineStr">
        <is>
          <t>Furniture</t>
        </is>
      </c>
      <c r="J416" t="inlineStr">
        <is>
          <t>Video</t>
        </is>
      </c>
      <c r="K416" t="inlineStr">
        <is>
          <t>North</t>
        </is>
      </c>
      <c r="L416" t="inlineStr">
        <is>
          <t>Quebec</t>
        </is>
      </c>
      <c r="M416" t="inlineStr">
        <is>
          <t>Montreal</t>
        </is>
      </c>
      <c r="N416" t="inlineStr">
        <is>
          <t>Sophia Singh</t>
        </is>
      </c>
      <c r="O416" t="n">
        <v>2</v>
      </c>
      <c r="P416" s="3" t="n">
        <v>53.85</v>
      </c>
      <c r="Q416" s="4" t="n">
        <v>0.017</v>
      </c>
      <c r="R416" s="3" t="n">
        <v>105.87</v>
      </c>
      <c r="S416" s="3" t="n">
        <v>55.22</v>
      </c>
      <c r="T416" s="3" t="n">
        <v>43.05</v>
      </c>
      <c r="U416" s="4" t="n">
        <v>0.4066</v>
      </c>
      <c r="V416" s="3" t="n">
        <v>7.6</v>
      </c>
      <c r="W416" t="inlineStr">
        <is>
          <t>Credit Card</t>
        </is>
      </c>
      <c r="X416" t="inlineStr">
        <is>
          <t>Medium</t>
        </is>
      </c>
      <c r="Y416" t="n">
        <v>2024</v>
      </c>
      <c r="Z416" t="n">
        <v>1</v>
      </c>
      <c r="AA416" t="inlineStr">
        <is>
          <t>Jan</t>
        </is>
      </c>
      <c r="AB416" t="inlineStr">
        <is>
          <t>Saturday</t>
        </is>
      </c>
      <c r="AC416" t="n">
        <v>6</v>
      </c>
      <c r="AD416" t="inlineStr">
        <is>
          <t>Profitable</t>
        </is>
      </c>
      <c r="AE416" t="inlineStr">
        <is>
          <t>Low</t>
        </is>
      </c>
      <c r="AF416" t="inlineStr">
        <is>
          <t>Small</t>
        </is>
      </c>
    </row>
    <row r="417">
      <c r="A417" t="inlineStr">
        <is>
          <t>ORD-00416</t>
        </is>
      </c>
      <c r="B417" s="2" t="n">
        <v>45401</v>
      </c>
      <c r="C417" s="2" t="n">
        <v>45404</v>
      </c>
      <c r="D417" t="inlineStr">
        <is>
          <t>CUST-00416</t>
        </is>
      </c>
      <c r="E417" t="inlineStr">
        <is>
          <t>Customer 416</t>
        </is>
      </c>
      <c r="F417" t="inlineStr">
        <is>
          <t>Consumer</t>
        </is>
      </c>
      <c r="G417" t="inlineStr">
        <is>
          <t>P1007</t>
        </is>
      </c>
      <c r="H417" t="inlineStr">
        <is>
          <t>Aero Standing Desk</t>
        </is>
      </c>
      <c r="I417" t="inlineStr">
        <is>
          <t>Outdoor</t>
        </is>
      </c>
      <c r="J417" t="inlineStr">
        <is>
          <t>Chairs</t>
        </is>
      </c>
      <c r="K417" t="inlineStr">
        <is>
          <t>East</t>
        </is>
      </c>
      <c r="L417" t="inlineStr">
        <is>
          <t>New York</t>
        </is>
      </c>
      <c r="M417" t="inlineStr">
        <is>
          <t>Philadelphia</t>
        </is>
      </c>
      <c r="N417" t="inlineStr">
        <is>
          <t>Noah Kim</t>
        </is>
      </c>
      <c r="O417" t="n">
        <v>4</v>
      </c>
      <c r="P417" s="3" t="n">
        <v>24.03</v>
      </c>
      <c r="Q417" s="4" t="n">
        <v>0.024</v>
      </c>
      <c r="R417" s="3" t="n">
        <v>93.81</v>
      </c>
      <c r="S417" s="3" t="n">
        <v>38.72</v>
      </c>
      <c r="T417" s="3" t="n">
        <v>44.89</v>
      </c>
      <c r="U417" s="4" t="n">
        <v>0.4785</v>
      </c>
      <c r="V417" s="3" t="n">
        <v>10.2</v>
      </c>
      <c r="W417" t="inlineStr">
        <is>
          <t>Debit Card</t>
        </is>
      </c>
      <c r="X417" t="inlineStr">
        <is>
          <t>Medium</t>
        </is>
      </c>
      <c r="Y417" t="n">
        <v>2024</v>
      </c>
      <c r="Z417" t="n">
        <v>4</v>
      </c>
      <c r="AA417" t="inlineStr">
        <is>
          <t>Apr</t>
        </is>
      </c>
      <c r="AB417" t="inlineStr">
        <is>
          <t>Friday</t>
        </is>
      </c>
      <c r="AC417" t="n">
        <v>3</v>
      </c>
      <c r="AD417" t="inlineStr">
        <is>
          <t>Profitable</t>
        </is>
      </c>
      <c r="AE417" t="inlineStr">
        <is>
          <t>Medium</t>
        </is>
      </c>
      <c r="AF417" t="inlineStr">
        <is>
          <t>Small</t>
        </is>
      </c>
    </row>
    <row r="418">
      <c r="A418" t="inlineStr">
        <is>
          <t>ORD-00417</t>
        </is>
      </c>
      <c r="B418" s="2" t="n">
        <v>45171</v>
      </c>
      <c r="C418" s="2" t="n">
        <v>45178</v>
      </c>
      <c r="D418" t="inlineStr">
        <is>
          <t>CUST-00417</t>
        </is>
      </c>
      <c r="E418" t="inlineStr">
        <is>
          <t>Customer 417</t>
        </is>
      </c>
      <c r="F418" t="inlineStr">
        <is>
          <t>Corporate</t>
        </is>
      </c>
      <c r="G418" t="inlineStr">
        <is>
          <t>P1016</t>
        </is>
      </c>
      <c r="H418" t="inlineStr">
        <is>
          <t>Lumen Desk Lamp</t>
        </is>
      </c>
      <c r="I418" t="inlineStr">
        <is>
          <t>Office Supplies</t>
        </is>
      </c>
      <c r="J418" t="inlineStr">
        <is>
          <t>Lighting</t>
        </is>
      </c>
      <c r="K418" t="inlineStr">
        <is>
          <t>Central</t>
        </is>
      </c>
      <c r="L418" t="inlineStr">
        <is>
          <t>Illinois</t>
        </is>
      </c>
      <c r="M418" t="inlineStr">
        <is>
          <t>Minneapolis</t>
        </is>
      </c>
      <c r="N418" t="inlineStr">
        <is>
          <t>Mia Rodriguez</t>
        </is>
      </c>
      <c r="O418" t="n">
        <v>1</v>
      </c>
      <c r="P418" s="3" t="n">
        <v>37.94</v>
      </c>
      <c r="Q418" s="4" t="n">
        <v>0.038</v>
      </c>
      <c r="R418" s="3" t="n">
        <v>36.5</v>
      </c>
      <c r="S418" s="3" t="n">
        <v>21.52</v>
      </c>
      <c r="T418" s="3" t="n">
        <v>8.18</v>
      </c>
      <c r="U418" s="4" t="n">
        <v>0.2241</v>
      </c>
      <c r="V418" s="3" t="n">
        <v>6.8</v>
      </c>
      <c r="W418" t="inlineStr">
        <is>
          <t>Bank Transfer</t>
        </is>
      </c>
      <c r="X418" t="inlineStr">
        <is>
          <t>Medium</t>
        </is>
      </c>
      <c r="Y418" t="n">
        <v>2023</v>
      </c>
      <c r="Z418" t="n">
        <v>9</v>
      </c>
      <c r="AA418" t="inlineStr">
        <is>
          <t>Sep</t>
        </is>
      </c>
      <c r="AB418" t="inlineStr">
        <is>
          <t>Saturday</t>
        </is>
      </c>
      <c r="AC418" t="n">
        <v>7</v>
      </c>
      <c r="AD418" t="inlineStr">
        <is>
          <t>Profitable</t>
        </is>
      </c>
      <c r="AE418" t="inlineStr">
        <is>
          <t>Medium</t>
        </is>
      </c>
      <c r="AF418" t="inlineStr">
        <is>
          <t>Small</t>
        </is>
      </c>
    </row>
    <row r="419">
      <c r="A419" t="inlineStr">
        <is>
          <t>ORD-00418</t>
        </is>
      </c>
      <c r="B419" s="2" t="n">
        <v>45357</v>
      </c>
      <c r="C419" s="2" t="n">
        <v>45361</v>
      </c>
      <c r="D419" t="inlineStr">
        <is>
          <t>CUST-00418</t>
        </is>
      </c>
      <c r="E419" t="inlineStr">
        <is>
          <t>Customer 418</t>
        </is>
      </c>
      <c r="F419" t="inlineStr">
        <is>
          <t>Consumer</t>
        </is>
      </c>
      <c r="G419" t="inlineStr">
        <is>
          <t>P1004</t>
        </is>
      </c>
      <c r="H419" t="inlineStr">
        <is>
          <t>ProClip Binder</t>
        </is>
      </c>
      <c r="I419" t="inlineStr">
        <is>
          <t>Outdoor</t>
        </is>
      </c>
      <c r="J419" t="inlineStr">
        <is>
          <t>Video</t>
        </is>
      </c>
      <c r="K419" t="inlineStr">
        <is>
          <t>Central</t>
        </is>
      </c>
      <c r="L419" t="inlineStr">
        <is>
          <t>Kansas</t>
        </is>
      </c>
      <c r="M419" t="inlineStr">
        <is>
          <t>Minneapolis</t>
        </is>
      </c>
      <c r="N419" t="inlineStr">
        <is>
          <t>Olivia Martin</t>
        </is>
      </c>
      <c r="O419" t="n">
        <v>3</v>
      </c>
      <c r="P419" s="3" t="n">
        <v>598.27</v>
      </c>
      <c r="Q419" s="4" t="n">
        <v>0.055</v>
      </c>
      <c r="R419" s="3" t="n">
        <v>1696.1</v>
      </c>
      <c r="S419" s="3" t="n">
        <v>1074.91</v>
      </c>
      <c r="T419" s="3" t="n">
        <v>612.79</v>
      </c>
      <c r="U419" s="4" t="n">
        <v>0.3613</v>
      </c>
      <c r="V419" s="3" t="n">
        <v>8.4</v>
      </c>
      <c r="W419" t="inlineStr">
        <is>
          <t>Credit Card</t>
        </is>
      </c>
      <c r="X419" t="inlineStr">
        <is>
          <t>Critical</t>
        </is>
      </c>
      <c r="Y419" t="n">
        <v>2024</v>
      </c>
      <c r="Z419" t="n">
        <v>3</v>
      </c>
      <c r="AA419" t="inlineStr">
        <is>
          <t>Mar</t>
        </is>
      </c>
      <c r="AB419" t="inlineStr">
        <is>
          <t>Wednesday</t>
        </is>
      </c>
      <c r="AC419" t="n">
        <v>4</v>
      </c>
      <c r="AD419" t="inlineStr">
        <is>
          <t>Profitable</t>
        </is>
      </c>
      <c r="AE419" t="inlineStr">
        <is>
          <t>High</t>
        </is>
      </c>
      <c r="AF419" t="inlineStr">
        <is>
          <t>Large</t>
        </is>
      </c>
    </row>
    <row r="420">
      <c r="A420" t="inlineStr">
        <is>
          <t>ORD-00419</t>
        </is>
      </c>
      <c r="B420" s="2" t="n">
        <v>45715</v>
      </c>
      <c r="C420" s="2" t="n">
        <v>45718</v>
      </c>
      <c r="D420" t="inlineStr">
        <is>
          <t>CUST-00419</t>
        </is>
      </c>
      <c r="E420" t="inlineStr">
        <is>
          <t>Customer 419</t>
        </is>
      </c>
      <c r="F420" t="inlineStr">
        <is>
          <t>Home Office</t>
        </is>
      </c>
      <c r="G420" t="inlineStr">
        <is>
          <t>P1012</t>
        </is>
      </c>
      <c r="H420" t="inlineStr">
        <is>
          <t>Nimbus Monitor Arm</t>
        </is>
      </c>
      <c r="I420" t="inlineStr">
        <is>
          <t>Outdoor</t>
        </is>
      </c>
      <c r="J420" t="inlineStr">
        <is>
          <t>Flooring</t>
        </is>
      </c>
      <c r="K420" t="inlineStr">
        <is>
          <t>West</t>
        </is>
      </c>
      <c r="L420" t="inlineStr">
        <is>
          <t>Washington</t>
        </is>
      </c>
      <c r="M420" t="inlineStr">
        <is>
          <t>Seattle</t>
        </is>
      </c>
      <c r="N420" t="inlineStr">
        <is>
          <t>Sophia Singh</t>
        </is>
      </c>
      <c r="O420" t="n">
        <v>1</v>
      </c>
      <c r="P420" s="3" t="n">
        <v>133.99</v>
      </c>
      <c r="Q420" s="4" t="n">
        <v>0.012</v>
      </c>
      <c r="R420" s="3" t="n">
        <v>132.38</v>
      </c>
      <c r="S420" s="3" t="n">
        <v>76.15000000000001</v>
      </c>
      <c r="T420" s="3" t="n">
        <v>48.43</v>
      </c>
      <c r="U420" s="4" t="n">
        <v>0.3658</v>
      </c>
      <c r="V420" s="3" t="n">
        <v>7.8</v>
      </c>
      <c r="W420" t="inlineStr">
        <is>
          <t>Debit Card</t>
        </is>
      </c>
      <c r="X420" t="inlineStr">
        <is>
          <t>Medium</t>
        </is>
      </c>
      <c r="Y420" t="n">
        <v>2025</v>
      </c>
      <c r="Z420" t="n">
        <v>2</v>
      </c>
      <c r="AA420" t="inlineStr">
        <is>
          <t>Feb</t>
        </is>
      </c>
      <c r="AB420" t="inlineStr">
        <is>
          <t>Thursday</t>
        </is>
      </c>
      <c r="AC420" t="n">
        <v>3</v>
      </c>
      <c r="AD420" t="inlineStr">
        <is>
          <t>Profitable</t>
        </is>
      </c>
      <c r="AE420" t="inlineStr">
        <is>
          <t>Low</t>
        </is>
      </c>
      <c r="AF420" t="inlineStr">
        <is>
          <t>Small</t>
        </is>
      </c>
    </row>
    <row r="421">
      <c r="A421" t="inlineStr">
        <is>
          <t>ORD-00420</t>
        </is>
      </c>
      <c r="B421" s="2" t="n">
        <v>45809</v>
      </c>
      <c r="C421" s="2" t="n">
        <v>45812</v>
      </c>
      <c r="D421" t="inlineStr">
        <is>
          <t>CUST-00420</t>
        </is>
      </c>
      <c r="E421" t="inlineStr">
        <is>
          <t>Customer 420</t>
        </is>
      </c>
      <c r="F421" t="inlineStr">
        <is>
          <t>Corporate</t>
        </is>
      </c>
      <c r="G421" t="inlineStr">
        <is>
          <t>P1012</t>
        </is>
      </c>
      <c r="H421" t="inlineStr">
        <is>
          <t>Cove Wall Clock</t>
        </is>
      </c>
      <c r="I421" t="inlineStr">
        <is>
          <t>Furniture</t>
        </is>
      </c>
      <c r="J421" t="inlineStr">
        <is>
          <t>Bags</t>
        </is>
      </c>
      <c r="K421" t="inlineStr">
        <is>
          <t>Central</t>
        </is>
      </c>
      <c r="L421" t="inlineStr">
        <is>
          <t>Missouri</t>
        </is>
      </c>
      <c r="M421" t="inlineStr">
        <is>
          <t>Kansas City</t>
        </is>
      </c>
      <c r="N421" t="inlineStr">
        <is>
          <t>Ava Patel</t>
        </is>
      </c>
      <c r="O421" t="n">
        <v>3</v>
      </c>
      <c r="P421" s="3" t="n">
        <v>130.67</v>
      </c>
      <c r="Q421" s="4" t="n">
        <v>0.034</v>
      </c>
      <c r="R421" s="3" t="n">
        <v>378.68</v>
      </c>
      <c r="S421" s="3" t="n">
        <v>190.37</v>
      </c>
      <c r="T421" s="3" t="n">
        <v>179.91</v>
      </c>
      <c r="U421" s="4" t="n">
        <v>0.4751</v>
      </c>
      <c r="V421" s="3" t="n">
        <v>8.4</v>
      </c>
      <c r="W421" t="inlineStr">
        <is>
          <t>Cash on Delivery</t>
        </is>
      </c>
      <c r="X421" t="inlineStr">
        <is>
          <t>Medium</t>
        </is>
      </c>
      <c r="Y421" t="n">
        <v>2025</v>
      </c>
      <c r="Z421" t="n">
        <v>6</v>
      </c>
      <c r="AA421" t="inlineStr">
        <is>
          <t>Jun</t>
        </is>
      </c>
      <c r="AB421" t="inlineStr">
        <is>
          <t>Sunday</t>
        </is>
      </c>
      <c r="AC421" t="n">
        <v>3</v>
      </c>
      <c r="AD421" t="inlineStr">
        <is>
          <t>Profitable</t>
        </is>
      </c>
      <c r="AE421" t="inlineStr">
        <is>
          <t>Medium</t>
        </is>
      </c>
      <c r="AF421" t="inlineStr">
        <is>
          <t>Small</t>
        </is>
      </c>
    </row>
    <row r="422">
      <c r="A422" t="inlineStr">
        <is>
          <t>ORD-00421</t>
        </is>
      </c>
      <c r="B422" s="2" t="n">
        <v>45915</v>
      </c>
      <c r="C422" s="2" t="n">
        <v>45917</v>
      </c>
      <c r="D422" t="inlineStr">
        <is>
          <t>CUST-00421</t>
        </is>
      </c>
      <c r="E422" t="inlineStr">
        <is>
          <t>Customer 421</t>
        </is>
      </c>
      <c r="F422" t="inlineStr">
        <is>
          <t>Consumer</t>
        </is>
      </c>
      <c r="G422" t="inlineStr">
        <is>
          <t>P1002</t>
        </is>
      </c>
      <c r="H422" t="inlineStr">
        <is>
          <t>Orbit Wireless Mouse</t>
        </is>
      </c>
      <c r="I422" t="inlineStr">
        <is>
          <t>Office Supplies</t>
        </is>
      </c>
      <c r="J422" t="inlineStr">
        <is>
          <t>Plants</t>
        </is>
      </c>
      <c r="K422" t="inlineStr">
        <is>
          <t>West</t>
        </is>
      </c>
      <c r="L422" t="inlineStr">
        <is>
          <t>Washington</t>
        </is>
      </c>
      <c r="M422" t="inlineStr">
        <is>
          <t>Denver</t>
        </is>
      </c>
      <c r="N422" t="inlineStr">
        <is>
          <t>Noah Kim</t>
        </is>
      </c>
      <c r="O422" t="n">
        <v>2</v>
      </c>
      <c r="P422" s="3" t="n">
        <v>83.59999999999999</v>
      </c>
      <c r="Q422" s="4" t="n">
        <v>0.019</v>
      </c>
      <c r="R422" s="3" t="n">
        <v>164.02</v>
      </c>
      <c r="S422" s="3" t="n">
        <v>83.13</v>
      </c>
      <c r="T422" s="3" t="n">
        <v>72.29000000000001</v>
      </c>
      <c r="U422" s="4" t="n">
        <v>0.4407</v>
      </c>
      <c r="V422" s="3" t="n">
        <v>8.6</v>
      </c>
      <c r="W422" t="inlineStr">
        <is>
          <t>Debit Card</t>
        </is>
      </c>
      <c r="X422" t="inlineStr">
        <is>
          <t>Medium</t>
        </is>
      </c>
      <c r="Y422" t="n">
        <v>2025</v>
      </c>
      <c r="Z422" t="n">
        <v>9</v>
      </c>
      <c r="AA422" t="inlineStr">
        <is>
          <t>Sep</t>
        </is>
      </c>
      <c r="AB422" t="inlineStr">
        <is>
          <t>Monday</t>
        </is>
      </c>
      <c r="AC422" t="n">
        <v>2</v>
      </c>
      <c r="AD422" t="inlineStr">
        <is>
          <t>Profitable</t>
        </is>
      </c>
      <c r="AE422" t="inlineStr">
        <is>
          <t>Low</t>
        </is>
      </c>
      <c r="AF422" t="inlineStr">
        <is>
          <t>Small</t>
        </is>
      </c>
    </row>
    <row r="423">
      <c r="A423" t="inlineStr">
        <is>
          <t>ORD-00422</t>
        </is>
      </c>
      <c r="B423" s="2" t="n">
        <v>45945</v>
      </c>
      <c r="C423" s="2" t="n">
        <v>45949</v>
      </c>
      <c r="D423" t="inlineStr">
        <is>
          <t>CUST-00422</t>
        </is>
      </c>
      <c r="E423" t="inlineStr">
        <is>
          <t>Customer 422</t>
        </is>
      </c>
      <c r="F423" t="inlineStr">
        <is>
          <t>Corporate</t>
        </is>
      </c>
      <c r="G423" t="inlineStr">
        <is>
          <t>P1006</t>
        </is>
      </c>
      <c r="H423" t="inlineStr">
        <is>
          <t>Pulse Keyboard</t>
        </is>
      </c>
      <c r="I423" t="inlineStr">
        <is>
          <t>Furniture</t>
        </is>
      </c>
      <c r="J423" t="inlineStr">
        <is>
          <t>Textiles</t>
        </is>
      </c>
      <c r="K423" t="inlineStr">
        <is>
          <t>South</t>
        </is>
      </c>
      <c r="L423" t="inlineStr">
        <is>
          <t>Georgia</t>
        </is>
      </c>
      <c r="M423" t="inlineStr">
        <is>
          <t>Miami</t>
        </is>
      </c>
      <c r="N423" t="inlineStr">
        <is>
          <t>Ava Patel</t>
        </is>
      </c>
      <c r="O423" t="n">
        <v>2</v>
      </c>
      <c r="P423" s="3" t="n">
        <v>18.62</v>
      </c>
      <c r="Q423" s="4" t="n">
        <v>0.047</v>
      </c>
      <c r="R423" s="3" t="n">
        <v>35.49</v>
      </c>
      <c r="S423" s="3" t="n">
        <v>18.75</v>
      </c>
      <c r="T423" s="3" t="n">
        <v>9.140000000000001</v>
      </c>
      <c r="U423" s="4" t="n">
        <v>0.2575</v>
      </c>
      <c r="V423" s="3" t="n">
        <v>7.6</v>
      </c>
      <c r="W423" t="inlineStr">
        <is>
          <t>Debit Card</t>
        </is>
      </c>
      <c r="X423" t="inlineStr">
        <is>
          <t>High</t>
        </is>
      </c>
      <c r="Y423" t="n">
        <v>2025</v>
      </c>
      <c r="Z423" t="n">
        <v>10</v>
      </c>
      <c r="AA423" t="inlineStr">
        <is>
          <t>Oct</t>
        </is>
      </c>
      <c r="AB423" t="inlineStr">
        <is>
          <t>Wednesday</t>
        </is>
      </c>
      <c r="AC423" t="n">
        <v>4</v>
      </c>
      <c r="AD423" t="inlineStr">
        <is>
          <t>Profitable</t>
        </is>
      </c>
      <c r="AE423" t="inlineStr">
        <is>
          <t>Medium</t>
        </is>
      </c>
      <c r="AF423" t="inlineStr">
        <is>
          <t>Small</t>
        </is>
      </c>
    </row>
    <row r="424">
      <c r="A424" t="inlineStr">
        <is>
          <t>ORD-00423</t>
        </is>
      </c>
      <c r="B424" s="2" t="n">
        <v>44999</v>
      </c>
      <c r="C424" s="2" t="n">
        <v>45006</v>
      </c>
      <c r="D424" t="inlineStr">
        <is>
          <t>CUST-00423</t>
        </is>
      </c>
      <c r="E424" t="inlineStr">
        <is>
          <t>Customer 423</t>
        </is>
      </c>
      <c r="F424" t="inlineStr">
        <is>
          <t>Consumer</t>
        </is>
      </c>
      <c r="G424" t="inlineStr">
        <is>
          <t>P1020</t>
        </is>
      </c>
      <c r="H424" t="inlineStr">
        <is>
          <t>FlexNote Notebook</t>
        </is>
      </c>
      <c r="I424" t="inlineStr">
        <is>
          <t>Furniture</t>
        </is>
      </c>
      <c r="J424" t="inlineStr">
        <is>
          <t>Lighting</t>
        </is>
      </c>
      <c r="K424" t="inlineStr">
        <is>
          <t>West</t>
        </is>
      </c>
      <c r="L424" t="inlineStr">
        <is>
          <t>Oregon</t>
        </is>
      </c>
      <c r="M424" t="inlineStr">
        <is>
          <t>Seattle</t>
        </is>
      </c>
      <c r="N424" t="inlineStr">
        <is>
          <t>Olivia Martin</t>
        </is>
      </c>
      <c r="O424" t="n">
        <v>4</v>
      </c>
      <c r="P424" s="3" t="n">
        <v>77.76000000000001</v>
      </c>
      <c r="Q424" s="4" t="n">
        <v>0.012</v>
      </c>
      <c r="R424" s="3" t="n">
        <v>307.31</v>
      </c>
      <c r="S424" s="3" t="n">
        <v>143.3</v>
      </c>
      <c r="T424" s="3" t="n">
        <v>153.81</v>
      </c>
      <c r="U424" s="4" t="n">
        <v>0.5004999999999999</v>
      </c>
      <c r="V424" s="3" t="n">
        <v>10.2</v>
      </c>
      <c r="W424" t="inlineStr">
        <is>
          <t>PayPal</t>
        </is>
      </c>
      <c r="X424" t="inlineStr">
        <is>
          <t>Low</t>
        </is>
      </c>
      <c r="Y424" t="n">
        <v>2023</v>
      </c>
      <c r="Z424" t="n">
        <v>3</v>
      </c>
      <c r="AA424" t="inlineStr">
        <is>
          <t>Mar</t>
        </is>
      </c>
      <c r="AB424" t="inlineStr">
        <is>
          <t>Tuesday</t>
        </is>
      </c>
      <c r="AC424" t="n">
        <v>7</v>
      </c>
      <c r="AD424" t="inlineStr">
        <is>
          <t>Profitable</t>
        </is>
      </c>
      <c r="AE424" t="inlineStr">
        <is>
          <t>Low</t>
        </is>
      </c>
      <c r="AF424" t="inlineStr">
        <is>
          <t>Small</t>
        </is>
      </c>
    </row>
    <row r="425">
      <c r="A425" t="inlineStr">
        <is>
          <t>ORD-00424</t>
        </is>
      </c>
      <c r="B425" s="2" t="n">
        <v>45329</v>
      </c>
      <c r="C425" s="2" t="n">
        <v>45335</v>
      </c>
      <c r="D425" t="inlineStr">
        <is>
          <t>CUST-00424</t>
        </is>
      </c>
      <c r="E425" t="inlineStr">
        <is>
          <t>Customer 424</t>
        </is>
      </c>
      <c r="F425" t="inlineStr">
        <is>
          <t>Home Office</t>
        </is>
      </c>
      <c r="G425" t="inlineStr">
        <is>
          <t>P1015</t>
        </is>
      </c>
      <c r="H425" t="inlineStr">
        <is>
          <t>Atlas Throw Pillow</t>
        </is>
      </c>
      <c r="I425" t="inlineStr">
        <is>
          <t>Outdoor</t>
        </is>
      </c>
      <c r="J425" t="inlineStr">
        <is>
          <t>Paper</t>
        </is>
      </c>
      <c r="K425" t="inlineStr">
        <is>
          <t>East</t>
        </is>
      </c>
      <c r="L425" t="inlineStr">
        <is>
          <t>Virginia</t>
        </is>
      </c>
      <c r="M425" t="inlineStr">
        <is>
          <t>Washington</t>
        </is>
      </c>
      <c r="N425" t="inlineStr">
        <is>
          <t>Mia Rodriguez</t>
        </is>
      </c>
      <c r="O425" t="n">
        <v>1</v>
      </c>
      <c r="P425" s="3" t="n">
        <v>68.79000000000001</v>
      </c>
      <c r="Q425" s="4" t="n">
        <v>0.011</v>
      </c>
      <c r="R425" s="3" t="n">
        <v>68.03</v>
      </c>
      <c r="S425" s="3" t="n">
        <v>35.11</v>
      </c>
      <c r="T425" s="3" t="n">
        <v>25.12</v>
      </c>
      <c r="U425" s="4" t="n">
        <v>0.3692</v>
      </c>
      <c r="V425" s="3" t="n">
        <v>7.8</v>
      </c>
      <c r="W425" t="inlineStr">
        <is>
          <t>PayPal</t>
        </is>
      </c>
      <c r="X425" t="inlineStr">
        <is>
          <t>Medium</t>
        </is>
      </c>
      <c r="Y425" t="n">
        <v>2024</v>
      </c>
      <c r="Z425" t="n">
        <v>2</v>
      </c>
      <c r="AA425" t="inlineStr">
        <is>
          <t>Feb</t>
        </is>
      </c>
      <c r="AB425" t="inlineStr">
        <is>
          <t>Wednesday</t>
        </is>
      </c>
      <c r="AC425" t="n">
        <v>6</v>
      </c>
      <c r="AD425" t="inlineStr">
        <is>
          <t>Profitable</t>
        </is>
      </c>
      <c r="AE425" t="inlineStr">
        <is>
          <t>Low</t>
        </is>
      </c>
      <c r="AF425" t="inlineStr">
        <is>
          <t>Small</t>
        </is>
      </c>
    </row>
    <row r="426">
      <c r="A426" t="inlineStr">
        <is>
          <t>ORD-00425</t>
        </is>
      </c>
      <c r="B426" s="2" t="n">
        <v>45265</v>
      </c>
      <c r="C426" s="2" t="n">
        <v>45267</v>
      </c>
      <c r="D426" t="inlineStr">
        <is>
          <t>CUST-00425</t>
        </is>
      </c>
      <c r="E426" t="inlineStr">
        <is>
          <t>Customer 425</t>
        </is>
      </c>
      <c r="F426" t="inlineStr">
        <is>
          <t>Consumer</t>
        </is>
      </c>
      <c r="G426" t="inlineStr">
        <is>
          <t>P1015</t>
        </is>
      </c>
      <c r="H426" t="inlineStr">
        <is>
          <t>Nova Laptop Stand</t>
        </is>
      </c>
      <c r="I426" t="inlineStr">
        <is>
          <t>Technology</t>
        </is>
      </c>
      <c r="J426" t="inlineStr">
        <is>
          <t>Lighting</t>
        </is>
      </c>
      <c r="K426" t="inlineStr">
        <is>
          <t>Central</t>
        </is>
      </c>
      <c r="L426" t="inlineStr">
        <is>
          <t>Illinois</t>
        </is>
      </c>
      <c r="M426" t="inlineStr">
        <is>
          <t>Chicago</t>
        </is>
      </c>
      <c r="N426" t="inlineStr">
        <is>
          <t>Mia Rodriguez</t>
        </is>
      </c>
      <c r="O426" t="n">
        <v>3</v>
      </c>
      <c r="P426" s="3" t="n">
        <v>74.48</v>
      </c>
      <c r="Q426" s="4" t="n">
        <v>0.005</v>
      </c>
      <c r="R426" s="3" t="n">
        <v>222.32</v>
      </c>
      <c r="S426" s="3" t="n">
        <v>98.31999999999999</v>
      </c>
      <c r="T426" s="3" t="n">
        <v>115.6</v>
      </c>
      <c r="U426" s="4" t="n">
        <v>0.52</v>
      </c>
      <c r="V426" s="3" t="n">
        <v>8.4</v>
      </c>
      <c r="W426" t="inlineStr">
        <is>
          <t>Credit Card</t>
        </is>
      </c>
      <c r="X426" t="inlineStr">
        <is>
          <t>Medium</t>
        </is>
      </c>
      <c r="Y426" t="n">
        <v>2023</v>
      </c>
      <c r="Z426" t="n">
        <v>12</v>
      </c>
      <c r="AA426" t="inlineStr">
        <is>
          <t>Dec</t>
        </is>
      </c>
      <c r="AB426" t="inlineStr">
        <is>
          <t>Tuesday</t>
        </is>
      </c>
      <c r="AC426" t="n">
        <v>2</v>
      </c>
      <c r="AD426" t="inlineStr">
        <is>
          <t>Profitable</t>
        </is>
      </c>
      <c r="AE426" t="inlineStr">
        <is>
          <t>Low</t>
        </is>
      </c>
      <c r="AF426" t="inlineStr">
        <is>
          <t>Small</t>
        </is>
      </c>
    </row>
    <row r="427">
      <c r="A427" t="inlineStr">
        <is>
          <t>ORD-00426</t>
        </is>
      </c>
      <c r="B427" s="2" t="n">
        <v>45402</v>
      </c>
      <c r="C427" s="2" t="n">
        <v>45403</v>
      </c>
      <c r="D427" t="inlineStr">
        <is>
          <t>CUST-00426</t>
        </is>
      </c>
      <c r="E427" t="inlineStr">
        <is>
          <t>Customer 426</t>
        </is>
      </c>
      <c r="F427" t="inlineStr">
        <is>
          <t>Home Office</t>
        </is>
      </c>
      <c r="G427" t="inlineStr">
        <is>
          <t>P1016</t>
        </is>
      </c>
      <c r="H427" t="inlineStr">
        <is>
          <t>Atlas Throw Pillow</t>
        </is>
      </c>
      <c r="I427" t="inlineStr">
        <is>
          <t>Furniture</t>
        </is>
      </c>
      <c r="J427" t="inlineStr">
        <is>
          <t>Binders</t>
        </is>
      </c>
      <c r="K427" t="inlineStr">
        <is>
          <t>South</t>
        </is>
      </c>
      <c r="L427" t="inlineStr">
        <is>
          <t>Georgia</t>
        </is>
      </c>
      <c r="M427" t="inlineStr">
        <is>
          <t>Houston</t>
        </is>
      </c>
      <c r="N427" t="inlineStr">
        <is>
          <t>Liam Chen</t>
        </is>
      </c>
      <c r="O427" t="n">
        <v>1</v>
      </c>
      <c r="P427" s="3" t="n">
        <v>38.4</v>
      </c>
      <c r="Q427" s="4" t="n">
        <v>0.005</v>
      </c>
      <c r="R427" s="3" t="n">
        <v>38.21</v>
      </c>
      <c r="S427" s="3" t="n">
        <v>22.22</v>
      </c>
      <c r="T427" s="3" t="n">
        <v>9.19</v>
      </c>
      <c r="U427" s="4" t="n">
        <v>0.2405</v>
      </c>
      <c r="V427" s="3" t="n">
        <v>6.8</v>
      </c>
      <c r="W427" t="inlineStr">
        <is>
          <t>Credit Card</t>
        </is>
      </c>
      <c r="X427" t="inlineStr">
        <is>
          <t>Medium</t>
        </is>
      </c>
      <c r="Y427" t="n">
        <v>2024</v>
      </c>
      <c r="Z427" t="n">
        <v>4</v>
      </c>
      <c r="AA427" t="inlineStr">
        <is>
          <t>Apr</t>
        </is>
      </c>
      <c r="AB427" t="inlineStr">
        <is>
          <t>Saturday</t>
        </is>
      </c>
      <c r="AC427" t="n">
        <v>1</v>
      </c>
      <c r="AD427" t="inlineStr">
        <is>
          <t>Profitable</t>
        </is>
      </c>
      <c r="AE427" t="inlineStr">
        <is>
          <t>Low</t>
        </is>
      </c>
      <c r="AF427" t="inlineStr">
        <is>
          <t>Small</t>
        </is>
      </c>
    </row>
    <row r="428">
      <c r="A428" t="inlineStr">
        <is>
          <t>ORD-00427</t>
        </is>
      </c>
      <c r="B428" s="2" t="n">
        <v>45621</v>
      </c>
      <c r="C428" s="2" t="n">
        <v>45623</v>
      </c>
      <c r="D428" t="inlineStr">
        <is>
          <t>CUST-00427</t>
        </is>
      </c>
      <c r="E428" t="inlineStr">
        <is>
          <t>Customer 427</t>
        </is>
      </c>
      <c r="F428" t="inlineStr">
        <is>
          <t>Corporate</t>
        </is>
      </c>
      <c r="G428" t="inlineStr">
        <is>
          <t>P1003</t>
        </is>
      </c>
      <c r="H428" t="inlineStr">
        <is>
          <t>Nova Laptop Stand</t>
        </is>
      </c>
      <c r="I428" t="inlineStr">
        <is>
          <t>Furniture</t>
        </is>
      </c>
      <c r="J428" t="inlineStr">
        <is>
          <t>Storage</t>
        </is>
      </c>
      <c r="K428" t="inlineStr">
        <is>
          <t>West</t>
        </is>
      </c>
      <c r="L428" t="inlineStr">
        <is>
          <t>Washington</t>
        </is>
      </c>
      <c r="M428" t="inlineStr">
        <is>
          <t>Seattle</t>
        </is>
      </c>
      <c r="N428" t="inlineStr">
        <is>
          <t>Olivia Martin</t>
        </is>
      </c>
      <c r="O428" t="n">
        <v>3</v>
      </c>
      <c r="P428" s="3" t="n">
        <v>173.6</v>
      </c>
      <c r="Q428" s="4" t="n">
        <v>0.025</v>
      </c>
      <c r="R428" s="3" t="n">
        <v>507.78</v>
      </c>
      <c r="S428" s="3" t="n">
        <v>263.48</v>
      </c>
      <c r="T428" s="3" t="n">
        <v>234.9</v>
      </c>
      <c r="U428" s="4" t="n">
        <v>0.4626</v>
      </c>
      <c r="V428" s="3" t="n">
        <v>9.4</v>
      </c>
      <c r="W428" t="inlineStr">
        <is>
          <t>Credit Card</t>
        </is>
      </c>
      <c r="X428" t="inlineStr">
        <is>
          <t>Medium</t>
        </is>
      </c>
      <c r="Y428" t="n">
        <v>2024</v>
      </c>
      <c r="Z428" t="n">
        <v>11</v>
      </c>
      <c r="AA428" t="inlineStr">
        <is>
          <t>Nov</t>
        </is>
      </c>
      <c r="AB428" t="inlineStr">
        <is>
          <t>Monday</t>
        </is>
      </c>
      <c r="AC428" t="n">
        <v>2</v>
      </c>
      <c r="AD428" t="inlineStr">
        <is>
          <t>Profitable</t>
        </is>
      </c>
      <c r="AE428" t="inlineStr">
        <is>
          <t>Medium</t>
        </is>
      </c>
      <c r="AF428" t="inlineStr">
        <is>
          <t>Medium</t>
        </is>
      </c>
    </row>
    <row r="429">
      <c r="A429" t="inlineStr">
        <is>
          <t>ORD-00428</t>
        </is>
      </c>
      <c r="B429" s="2" t="n">
        <v>45987</v>
      </c>
      <c r="C429" s="2" t="n">
        <v>45993</v>
      </c>
      <c r="D429" t="inlineStr">
        <is>
          <t>CUST-00428</t>
        </is>
      </c>
      <c r="E429" t="inlineStr">
        <is>
          <t>Customer 428</t>
        </is>
      </c>
      <c r="F429" t="inlineStr">
        <is>
          <t>Home Office</t>
        </is>
      </c>
      <c r="G429" t="inlineStr">
        <is>
          <t>P1001</t>
        </is>
      </c>
      <c r="H429" t="inlineStr">
        <is>
          <t>Summit Patio Set</t>
        </is>
      </c>
      <c r="I429" t="inlineStr">
        <is>
          <t>Office Supplies</t>
        </is>
      </c>
      <c r="J429" t="inlineStr">
        <is>
          <t>Writing</t>
        </is>
      </c>
      <c r="K429" t="inlineStr">
        <is>
          <t>Central</t>
        </is>
      </c>
      <c r="L429" t="inlineStr">
        <is>
          <t>Kansas</t>
        </is>
      </c>
      <c r="M429" t="inlineStr">
        <is>
          <t>Chicago</t>
        </is>
      </c>
      <c r="N429" t="inlineStr">
        <is>
          <t>Liam Chen</t>
        </is>
      </c>
      <c r="O429" t="n">
        <v>3</v>
      </c>
      <c r="P429" s="3" t="n">
        <v>303.13</v>
      </c>
      <c r="Q429" s="4" t="n">
        <v>0.008999999999999999</v>
      </c>
      <c r="R429" s="3" t="n">
        <v>901.21</v>
      </c>
      <c r="S429" s="3" t="n">
        <v>530.73</v>
      </c>
      <c r="T429" s="3" t="n">
        <v>362.08</v>
      </c>
      <c r="U429" s="4" t="n">
        <v>0.4018</v>
      </c>
      <c r="V429" s="3" t="n">
        <v>8.4</v>
      </c>
      <c r="W429" t="inlineStr">
        <is>
          <t>Cash on Delivery</t>
        </is>
      </c>
      <c r="X429" t="inlineStr">
        <is>
          <t>Low</t>
        </is>
      </c>
      <c r="Y429" t="n">
        <v>2025</v>
      </c>
      <c r="Z429" t="n">
        <v>11</v>
      </c>
      <c r="AA429" t="inlineStr">
        <is>
          <t>Nov</t>
        </is>
      </c>
      <c r="AB429" t="inlineStr">
        <is>
          <t>Wednesday</t>
        </is>
      </c>
      <c r="AC429" t="n">
        <v>6</v>
      </c>
      <c r="AD429" t="inlineStr">
        <is>
          <t>Profitable</t>
        </is>
      </c>
      <c r="AE429" t="inlineStr">
        <is>
          <t>Low</t>
        </is>
      </c>
      <c r="AF429" t="inlineStr">
        <is>
          <t>Medium</t>
        </is>
      </c>
    </row>
    <row r="430">
      <c r="A430" t="inlineStr">
        <is>
          <t>ORD-00429</t>
        </is>
      </c>
      <c r="B430" s="2" t="n">
        <v>45581</v>
      </c>
      <c r="C430" s="2" t="n">
        <v>45586</v>
      </c>
      <c r="D430" t="inlineStr">
        <is>
          <t>CUST-00429</t>
        </is>
      </c>
      <c r="E430" t="inlineStr">
        <is>
          <t>Customer 429</t>
        </is>
      </c>
      <c r="F430" t="inlineStr">
        <is>
          <t>Consumer</t>
        </is>
      </c>
      <c r="G430" t="inlineStr">
        <is>
          <t>P1012</t>
        </is>
      </c>
      <c r="H430" t="inlineStr">
        <is>
          <t>Echo Web Camera</t>
        </is>
      </c>
      <c r="I430" t="inlineStr">
        <is>
          <t>Outdoor</t>
        </is>
      </c>
      <c r="J430" t="inlineStr">
        <is>
          <t>Flooring</t>
        </is>
      </c>
      <c r="K430" t="inlineStr">
        <is>
          <t>West</t>
        </is>
      </c>
      <c r="L430" t="inlineStr">
        <is>
          <t>Oregon</t>
        </is>
      </c>
      <c r="M430" t="inlineStr">
        <is>
          <t>Seattle</t>
        </is>
      </c>
      <c r="N430" t="inlineStr">
        <is>
          <t>Sophia Singh</t>
        </is>
      </c>
      <c r="O430" t="n">
        <v>2</v>
      </c>
      <c r="P430" s="3" t="n">
        <v>143.64</v>
      </c>
      <c r="Q430" s="4" t="n">
        <v>0.054</v>
      </c>
      <c r="R430" s="3" t="n">
        <v>271.77</v>
      </c>
      <c r="S430" s="3" t="n">
        <v>137.51</v>
      </c>
      <c r="T430" s="3" t="n">
        <v>125.66</v>
      </c>
      <c r="U430" s="4" t="n">
        <v>0.4624</v>
      </c>
      <c r="V430" s="3" t="n">
        <v>8.6</v>
      </c>
      <c r="W430" t="inlineStr">
        <is>
          <t>Credit Card</t>
        </is>
      </c>
      <c r="X430" t="inlineStr">
        <is>
          <t>High</t>
        </is>
      </c>
      <c r="Y430" t="n">
        <v>2024</v>
      </c>
      <c r="Z430" t="n">
        <v>10</v>
      </c>
      <c r="AA430" t="inlineStr">
        <is>
          <t>Oct</t>
        </is>
      </c>
      <c r="AB430" t="inlineStr">
        <is>
          <t>Wednesday</t>
        </is>
      </c>
      <c r="AC430" t="n">
        <v>5</v>
      </c>
      <c r="AD430" t="inlineStr">
        <is>
          <t>Profitable</t>
        </is>
      </c>
      <c r="AE430" t="inlineStr">
        <is>
          <t>High</t>
        </is>
      </c>
      <c r="AF430" t="inlineStr">
        <is>
          <t>Small</t>
        </is>
      </c>
    </row>
    <row r="431">
      <c r="A431" t="inlineStr">
        <is>
          <t>ORD-00430</t>
        </is>
      </c>
      <c r="B431" s="2" t="n">
        <v>45002</v>
      </c>
      <c r="C431" s="2" t="n">
        <v>45009</v>
      </c>
      <c r="D431" t="inlineStr">
        <is>
          <t>CUST-00430</t>
        </is>
      </c>
      <c r="E431" t="inlineStr">
        <is>
          <t>Customer 430</t>
        </is>
      </c>
      <c r="F431" t="inlineStr">
        <is>
          <t>Consumer</t>
        </is>
      </c>
      <c r="G431" t="inlineStr">
        <is>
          <t>P1015</t>
        </is>
      </c>
      <c r="H431" t="inlineStr">
        <is>
          <t>Halo Planter</t>
        </is>
      </c>
      <c r="I431" t="inlineStr">
        <is>
          <t>Office Supplies</t>
        </is>
      </c>
      <c r="J431" t="inlineStr">
        <is>
          <t>Binders</t>
        </is>
      </c>
      <c r="K431" t="inlineStr">
        <is>
          <t>South</t>
        </is>
      </c>
      <c r="L431" t="inlineStr">
        <is>
          <t>Texas</t>
        </is>
      </c>
      <c r="M431" t="inlineStr">
        <is>
          <t>Houston</t>
        </is>
      </c>
      <c r="N431" t="inlineStr">
        <is>
          <t>Ethan Brooks</t>
        </is>
      </c>
      <c r="O431" t="n">
        <v>1</v>
      </c>
      <c r="P431" s="3" t="n">
        <v>68.8</v>
      </c>
      <c r="Q431" s="4" t="n">
        <v>0.015</v>
      </c>
      <c r="R431" s="3" t="n">
        <v>67.77</v>
      </c>
      <c r="S431" s="3" t="n">
        <v>39.92</v>
      </c>
      <c r="T431" s="3" t="n">
        <v>21.05</v>
      </c>
      <c r="U431" s="4" t="n">
        <v>0.3106</v>
      </c>
      <c r="V431" s="3" t="n">
        <v>6.8</v>
      </c>
      <c r="W431" t="inlineStr">
        <is>
          <t>Debit Card</t>
        </is>
      </c>
      <c r="X431" t="inlineStr">
        <is>
          <t>Low</t>
        </is>
      </c>
      <c r="Y431" t="n">
        <v>2023</v>
      </c>
      <c r="Z431" t="n">
        <v>3</v>
      </c>
      <c r="AA431" t="inlineStr">
        <is>
          <t>Mar</t>
        </is>
      </c>
      <c r="AB431" t="inlineStr">
        <is>
          <t>Friday</t>
        </is>
      </c>
      <c r="AC431" t="n">
        <v>7</v>
      </c>
      <c r="AD431" t="inlineStr">
        <is>
          <t>Profitable</t>
        </is>
      </c>
      <c r="AE431" t="inlineStr">
        <is>
          <t>Low</t>
        </is>
      </c>
      <c r="AF431" t="inlineStr">
        <is>
          <t>Small</t>
        </is>
      </c>
    </row>
    <row r="432">
      <c r="A432" t="inlineStr">
        <is>
          <t>ORD-00431</t>
        </is>
      </c>
      <c r="B432" s="2" t="n">
        <v>45241</v>
      </c>
      <c r="C432" s="2" t="n">
        <v>45248</v>
      </c>
      <c r="D432" t="inlineStr">
        <is>
          <t>CUST-00431</t>
        </is>
      </c>
      <c r="E432" t="inlineStr">
        <is>
          <t>Customer 431</t>
        </is>
      </c>
      <c r="F432" t="inlineStr">
        <is>
          <t>Corporate</t>
        </is>
      </c>
      <c r="G432" t="inlineStr">
        <is>
          <t>P1019</t>
        </is>
      </c>
      <c r="H432" t="inlineStr">
        <is>
          <t>Orbit Wireless Mouse</t>
        </is>
      </c>
      <c r="I432" t="inlineStr">
        <is>
          <t>Home Decor</t>
        </is>
      </c>
      <c r="J432" t="inlineStr">
        <is>
          <t>Accessories</t>
        </is>
      </c>
      <c r="K432" t="inlineStr">
        <is>
          <t>Central</t>
        </is>
      </c>
      <c r="L432" t="inlineStr">
        <is>
          <t>Kansas</t>
        </is>
      </c>
      <c r="M432" t="inlineStr">
        <is>
          <t>Chicago</t>
        </is>
      </c>
      <c r="N432" t="inlineStr">
        <is>
          <t>Mia Rodriguez</t>
        </is>
      </c>
      <c r="O432" t="n">
        <v>1</v>
      </c>
      <c r="P432" s="3" t="n">
        <v>60.59</v>
      </c>
      <c r="Q432" s="4" t="n">
        <v>0.018</v>
      </c>
      <c r="R432" s="3" t="n">
        <v>59.5</v>
      </c>
      <c r="S432" s="3" t="n">
        <v>29.98</v>
      </c>
      <c r="T432" s="3" t="n">
        <v>22.72</v>
      </c>
      <c r="U432" s="4" t="n">
        <v>0.3818</v>
      </c>
      <c r="V432" s="3" t="n">
        <v>6.8</v>
      </c>
      <c r="W432" t="inlineStr">
        <is>
          <t>PayPal</t>
        </is>
      </c>
      <c r="X432" t="inlineStr">
        <is>
          <t>Low</t>
        </is>
      </c>
      <c r="Y432" t="n">
        <v>2023</v>
      </c>
      <c r="Z432" t="n">
        <v>11</v>
      </c>
      <c r="AA432" t="inlineStr">
        <is>
          <t>Nov</t>
        </is>
      </c>
      <c r="AB432" t="inlineStr">
        <is>
          <t>Saturday</t>
        </is>
      </c>
      <c r="AC432" t="n">
        <v>7</v>
      </c>
      <c r="AD432" t="inlineStr">
        <is>
          <t>Profitable</t>
        </is>
      </c>
      <c r="AE432" t="inlineStr">
        <is>
          <t>Low</t>
        </is>
      </c>
      <c r="AF432" t="inlineStr">
        <is>
          <t>Small</t>
        </is>
      </c>
    </row>
    <row r="433">
      <c r="A433" t="inlineStr">
        <is>
          <t>ORD-00432</t>
        </is>
      </c>
      <c r="B433" s="2" t="n">
        <v>45945</v>
      </c>
      <c r="C433" s="2" t="n">
        <v>45947</v>
      </c>
      <c r="D433" t="inlineStr">
        <is>
          <t>CUST-00432</t>
        </is>
      </c>
      <c r="E433" t="inlineStr">
        <is>
          <t>Customer 432</t>
        </is>
      </c>
      <c r="F433" t="inlineStr">
        <is>
          <t>Corporate</t>
        </is>
      </c>
      <c r="G433" t="inlineStr">
        <is>
          <t>P1006</t>
        </is>
      </c>
      <c r="H433" t="inlineStr">
        <is>
          <t>Aero Standing Desk</t>
        </is>
      </c>
      <c r="I433" t="inlineStr">
        <is>
          <t>Home Decor</t>
        </is>
      </c>
      <c r="J433" t="inlineStr">
        <is>
          <t>Video</t>
        </is>
      </c>
      <c r="K433" t="inlineStr">
        <is>
          <t>West</t>
        </is>
      </c>
      <c r="L433" t="inlineStr">
        <is>
          <t>Oregon</t>
        </is>
      </c>
      <c r="M433" t="inlineStr">
        <is>
          <t>Seattle</t>
        </is>
      </c>
      <c r="N433" t="inlineStr">
        <is>
          <t>Ava Patel</t>
        </is>
      </c>
      <c r="O433" t="n">
        <v>3</v>
      </c>
      <c r="P433" s="3" t="n">
        <v>20.94</v>
      </c>
      <c r="Q433" s="4" t="n">
        <v>0.037</v>
      </c>
      <c r="R433" s="3" t="n">
        <v>60.5</v>
      </c>
      <c r="S433" s="3" t="n">
        <v>26.07</v>
      </c>
      <c r="T433" s="3" t="n">
        <v>25.03</v>
      </c>
      <c r="U433" s="4" t="n">
        <v>0.4137</v>
      </c>
      <c r="V433" s="3" t="n">
        <v>9.4</v>
      </c>
      <c r="W433" t="inlineStr">
        <is>
          <t>Bank Transfer</t>
        </is>
      </c>
      <c r="X433" t="inlineStr">
        <is>
          <t>Medium</t>
        </is>
      </c>
      <c r="Y433" t="n">
        <v>2025</v>
      </c>
      <c r="Z433" t="n">
        <v>10</v>
      </c>
      <c r="AA433" t="inlineStr">
        <is>
          <t>Oct</t>
        </is>
      </c>
      <c r="AB433" t="inlineStr">
        <is>
          <t>Wednesday</t>
        </is>
      </c>
      <c r="AC433" t="n">
        <v>2</v>
      </c>
      <c r="AD433" t="inlineStr">
        <is>
          <t>Profitable</t>
        </is>
      </c>
      <c r="AE433" t="inlineStr">
        <is>
          <t>Medium</t>
        </is>
      </c>
      <c r="AF433" t="inlineStr">
        <is>
          <t>Small</t>
        </is>
      </c>
    </row>
    <row r="434">
      <c r="A434" t="inlineStr">
        <is>
          <t>ORD-00433</t>
        </is>
      </c>
      <c r="B434" s="2" t="n">
        <v>45524</v>
      </c>
      <c r="C434" s="2" t="n">
        <v>45525</v>
      </c>
      <c r="D434" t="inlineStr">
        <is>
          <t>CUST-00433</t>
        </is>
      </c>
      <c r="E434" t="inlineStr">
        <is>
          <t>Customer 433</t>
        </is>
      </c>
      <c r="F434" t="inlineStr">
        <is>
          <t>Consumer</t>
        </is>
      </c>
      <c r="G434" t="inlineStr">
        <is>
          <t>P1019</t>
        </is>
      </c>
      <c r="H434" t="inlineStr">
        <is>
          <t>Summit Patio Set</t>
        </is>
      </c>
      <c r="I434" t="inlineStr">
        <is>
          <t>Home Decor</t>
        </is>
      </c>
      <c r="J434" t="inlineStr">
        <is>
          <t>Peripherals</t>
        </is>
      </c>
      <c r="K434" t="inlineStr">
        <is>
          <t>Central</t>
        </is>
      </c>
      <c r="L434" t="inlineStr">
        <is>
          <t>Illinois</t>
        </is>
      </c>
      <c r="M434" t="inlineStr">
        <is>
          <t>Chicago</t>
        </is>
      </c>
      <c r="N434" t="inlineStr">
        <is>
          <t>Liam Chen</t>
        </is>
      </c>
      <c r="O434" t="n">
        <v>2</v>
      </c>
      <c r="P434" s="3" t="n">
        <v>60.38</v>
      </c>
      <c r="Q434" s="4" t="n">
        <v>0.038</v>
      </c>
      <c r="R434" s="3" t="n">
        <v>116.17</v>
      </c>
      <c r="S434" s="3" t="n">
        <v>57.83</v>
      </c>
      <c r="T434" s="3" t="n">
        <v>50.74</v>
      </c>
      <c r="U434" s="4" t="n">
        <v>0.4368</v>
      </c>
      <c r="V434" s="3" t="n">
        <v>7.6</v>
      </c>
      <c r="W434" t="inlineStr">
        <is>
          <t>PayPal</t>
        </is>
      </c>
      <c r="X434" t="inlineStr">
        <is>
          <t>High</t>
        </is>
      </c>
      <c r="Y434" t="n">
        <v>2024</v>
      </c>
      <c r="Z434" t="n">
        <v>8</v>
      </c>
      <c r="AA434" t="inlineStr">
        <is>
          <t>Aug</t>
        </is>
      </c>
      <c r="AB434" t="inlineStr">
        <is>
          <t>Tuesday</t>
        </is>
      </c>
      <c r="AC434" t="n">
        <v>1</v>
      </c>
      <c r="AD434" t="inlineStr">
        <is>
          <t>Profitable</t>
        </is>
      </c>
      <c r="AE434" t="inlineStr">
        <is>
          <t>Medium</t>
        </is>
      </c>
      <c r="AF434" t="inlineStr">
        <is>
          <t>Small</t>
        </is>
      </c>
    </row>
    <row r="435">
      <c r="A435" t="inlineStr">
        <is>
          <t>ORD-00434</t>
        </is>
      </c>
      <c r="B435" s="2" t="n">
        <v>45062</v>
      </c>
      <c r="C435" s="2" t="n">
        <v>45064</v>
      </c>
      <c r="D435" t="inlineStr">
        <is>
          <t>CUST-00434</t>
        </is>
      </c>
      <c r="E435" t="inlineStr">
        <is>
          <t>Customer 434</t>
        </is>
      </c>
      <c r="F435" t="inlineStr">
        <is>
          <t>Consumer</t>
        </is>
      </c>
      <c r="G435" t="inlineStr">
        <is>
          <t>P1017</t>
        </is>
      </c>
      <c r="H435" t="inlineStr">
        <is>
          <t>Tide Cooler</t>
        </is>
      </c>
      <c r="I435" t="inlineStr">
        <is>
          <t>Outdoor</t>
        </is>
      </c>
      <c r="J435" t="inlineStr">
        <is>
          <t>Peripherals</t>
        </is>
      </c>
      <c r="K435" t="inlineStr">
        <is>
          <t>South</t>
        </is>
      </c>
      <c r="L435" t="inlineStr">
        <is>
          <t>Georgia</t>
        </is>
      </c>
      <c r="M435" t="inlineStr">
        <is>
          <t>Houston</t>
        </is>
      </c>
      <c r="N435" t="inlineStr">
        <is>
          <t>Ava Patel</t>
        </is>
      </c>
      <c r="O435" t="n">
        <v>2</v>
      </c>
      <c r="P435" s="3" t="n">
        <v>556.1799999999999</v>
      </c>
      <c r="Q435" s="4" t="n">
        <v>0.015</v>
      </c>
      <c r="R435" s="3" t="n">
        <v>1095.67</v>
      </c>
      <c r="S435" s="3" t="n">
        <v>733.59</v>
      </c>
      <c r="T435" s="3" t="n">
        <v>354.48</v>
      </c>
      <c r="U435" s="4" t="n">
        <v>0.3235</v>
      </c>
      <c r="V435" s="3" t="n">
        <v>7.6</v>
      </c>
      <c r="W435" t="inlineStr">
        <is>
          <t>Credit Card</t>
        </is>
      </c>
      <c r="X435" t="inlineStr">
        <is>
          <t>Medium</t>
        </is>
      </c>
      <c r="Y435" t="n">
        <v>2023</v>
      </c>
      <c r="Z435" t="n">
        <v>5</v>
      </c>
      <c r="AA435" t="inlineStr">
        <is>
          <t>May</t>
        </is>
      </c>
      <c r="AB435" t="inlineStr">
        <is>
          <t>Tuesday</t>
        </is>
      </c>
      <c r="AC435" t="n">
        <v>2</v>
      </c>
      <c r="AD435" t="inlineStr">
        <is>
          <t>Profitable</t>
        </is>
      </c>
      <c r="AE435" t="inlineStr">
        <is>
          <t>Low</t>
        </is>
      </c>
      <c r="AF435" t="inlineStr">
        <is>
          <t>Medium</t>
        </is>
      </c>
    </row>
    <row r="436">
      <c r="A436" t="inlineStr">
        <is>
          <t>ORD-00435</t>
        </is>
      </c>
      <c r="B436" s="2" t="n">
        <v>45019</v>
      </c>
      <c r="C436" s="2" t="n">
        <v>45025</v>
      </c>
      <c r="D436" t="inlineStr">
        <is>
          <t>CUST-00435</t>
        </is>
      </c>
      <c r="E436" t="inlineStr">
        <is>
          <t>Customer 435</t>
        </is>
      </c>
      <c r="F436" t="inlineStr">
        <is>
          <t>Consumer</t>
        </is>
      </c>
      <c r="G436" t="inlineStr">
        <is>
          <t>P1009</t>
        </is>
      </c>
      <c r="H436" t="inlineStr">
        <is>
          <t>Tide Cooler</t>
        </is>
      </c>
      <c r="I436" t="inlineStr">
        <is>
          <t>Home Decor</t>
        </is>
      </c>
      <c r="J436" t="inlineStr">
        <is>
          <t>Chairs</t>
        </is>
      </c>
      <c r="K436" t="inlineStr">
        <is>
          <t>East</t>
        </is>
      </c>
      <c r="L436" t="inlineStr">
        <is>
          <t>New Jersey</t>
        </is>
      </c>
      <c r="M436" t="inlineStr">
        <is>
          <t>Washington</t>
        </is>
      </c>
      <c r="N436" t="inlineStr">
        <is>
          <t>Sophia Singh</t>
        </is>
      </c>
      <c r="O436" t="n">
        <v>3</v>
      </c>
      <c r="P436" s="3" t="n">
        <v>91.43000000000001</v>
      </c>
      <c r="Q436" s="4" t="n">
        <v>0.006</v>
      </c>
      <c r="R436" s="3" t="n">
        <v>272.64</v>
      </c>
      <c r="S436" s="3" t="n">
        <v>137.09</v>
      </c>
      <c r="T436" s="3" t="n">
        <v>126.15</v>
      </c>
      <c r="U436" s="4" t="n">
        <v>0.4627</v>
      </c>
      <c r="V436" s="3" t="n">
        <v>9.4</v>
      </c>
      <c r="W436" t="inlineStr">
        <is>
          <t>Credit Card</t>
        </is>
      </c>
      <c r="X436" t="inlineStr">
        <is>
          <t>Medium</t>
        </is>
      </c>
      <c r="Y436" t="n">
        <v>2023</v>
      </c>
      <c r="Z436" t="n">
        <v>4</v>
      </c>
      <c r="AA436" t="inlineStr">
        <is>
          <t>Apr</t>
        </is>
      </c>
      <c r="AB436" t="inlineStr">
        <is>
          <t>Monday</t>
        </is>
      </c>
      <c r="AC436" t="n">
        <v>6</v>
      </c>
      <c r="AD436" t="inlineStr">
        <is>
          <t>Profitable</t>
        </is>
      </c>
      <c r="AE436" t="inlineStr">
        <is>
          <t>Low</t>
        </is>
      </c>
      <c r="AF436" t="inlineStr">
        <is>
          <t>Small</t>
        </is>
      </c>
    </row>
    <row r="437">
      <c r="A437" t="inlineStr">
        <is>
          <t>ORD-00436</t>
        </is>
      </c>
      <c r="B437" s="2" t="n">
        <v>45722</v>
      </c>
      <c r="C437" s="2" t="n">
        <v>45729</v>
      </c>
      <c r="D437" t="inlineStr">
        <is>
          <t>CUST-00436</t>
        </is>
      </c>
      <c r="E437" t="inlineStr">
        <is>
          <t>Customer 436</t>
        </is>
      </c>
      <c r="F437" t="inlineStr">
        <is>
          <t>Corporate</t>
        </is>
      </c>
      <c r="G437" t="inlineStr">
        <is>
          <t>P1013</t>
        </is>
      </c>
      <c r="H437" t="inlineStr">
        <is>
          <t>Orbit Wireless Mouse</t>
        </is>
      </c>
      <c r="I437" t="inlineStr">
        <is>
          <t>Technology</t>
        </is>
      </c>
      <c r="J437" t="inlineStr">
        <is>
          <t>Peripherals</t>
        </is>
      </c>
      <c r="K437" t="inlineStr">
        <is>
          <t>East</t>
        </is>
      </c>
      <c r="L437" t="inlineStr">
        <is>
          <t>New Jersey</t>
        </is>
      </c>
      <c r="M437" t="inlineStr">
        <is>
          <t>Washington</t>
        </is>
      </c>
      <c r="N437" t="inlineStr">
        <is>
          <t>Ethan Brooks</t>
        </is>
      </c>
      <c r="O437" t="n">
        <v>3</v>
      </c>
      <c r="P437" s="3" t="n">
        <v>167.66</v>
      </c>
      <c r="Q437" s="4" t="n">
        <v>0.058</v>
      </c>
      <c r="R437" s="3" t="n">
        <v>473.81</v>
      </c>
      <c r="S437" s="3" t="n">
        <v>269.42</v>
      </c>
      <c r="T437" s="3" t="n">
        <v>194.99</v>
      </c>
      <c r="U437" s="4" t="n">
        <v>0.4115</v>
      </c>
      <c r="V437" s="3" t="n">
        <v>9.4</v>
      </c>
      <c r="W437" t="inlineStr">
        <is>
          <t>Cash on Delivery</t>
        </is>
      </c>
      <c r="X437" t="inlineStr">
        <is>
          <t>High</t>
        </is>
      </c>
      <c r="Y437" t="n">
        <v>2025</v>
      </c>
      <c r="Z437" t="n">
        <v>3</v>
      </c>
      <c r="AA437" t="inlineStr">
        <is>
          <t>Mar</t>
        </is>
      </c>
      <c r="AB437" t="inlineStr">
        <is>
          <t>Thursday</t>
        </is>
      </c>
      <c r="AC437" t="n">
        <v>7</v>
      </c>
      <c r="AD437" t="inlineStr">
        <is>
          <t>Profitable</t>
        </is>
      </c>
      <c r="AE437" t="inlineStr">
        <is>
          <t>High</t>
        </is>
      </c>
      <c r="AF437" t="inlineStr">
        <is>
          <t>Small</t>
        </is>
      </c>
    </row>
    <row r="438">
      <c r="A438" t="inlineStr">
        <is>
          <t>ORD-00437</t>
        </is>
      </c>
      <c r="B438" s="2" t="n">
        <v>45128</v>
      </c>
      <c r="C438" s="2" t="n">
        <v>45129</v>
      </c>
      <c r="D438" t="inlineStr">
        <is>
          <t>CUST-00437</t>
        </is>
      </c>
      <c r="E438" t="inlineStr">
        <is>
          <t>Customer 437</t>
        </is>
      </c>
      <c r="F438" t="inlineStr">
        <is>
          <t>Consumer</t>
        </is>
      </c>
      <c r="G438" t="inlineStr">
        <is>
          <t>P1015</t>
        </is>
      </c>
      <c r="H438" t="inlineStr">
        <is>
          <t>Pulse Keyboard</t>
        </is>
      </c>
      <c r="I438" t="inlineStr">
        <is>
          <t>Home Decor</t>
        </is>
      </c>
      <c r="J438" t="inlineStr">
        <is>
          <t>Textiles</t>
        </is>
      </c>
      <c r="K438" t="inlineStr">
        <is>
          <t>Central</t>
        </is>
      </c>
      <c r="L438" t="inlineStr">
        <is>
          <t>Missouri</t>
        </is>
      </c>
      <c r="M438" t="inlineStr">
        <is>
          <t>Minneapolis</t>
        </is>
      </c>
      <c r="N438" t="inlineStr">
        <is>
          <t>Ava Patel</t>
        </is>
      </c>
      <c r="O438" t="n">
        <v>3</v>
      </c>
      <c r="P438" s="3" t="n">
        <v>66.59999999999999</v>
      </c>
      <c r="Q438" s="4" t="n">
        <v>0.045</v>
      </c>
      <c r="R438" s="3" t="n">
        <v>190.81</v>
      </c>
      <c r="S438" s="3" t="n">
        <v>90.72</v>
      </c>
      <c r="T438" s="3" t="n">
        <v>91.69</v>
      </c>
      <c r="U438" s="4" t="n">
        <v>0.4805</v>
      </c>
      <c r="V438" s="3" t="n">
        <v>8.4</v>
      </c>
      <c r="W438" t="inlineStr">
        <is>
          <t>Credit Card</t>
        </is>
      </c>
      <c r="X438" t="inlineStr">
        <is>
          <t>High</t>
        </is>
      </c>
      <c r="Y438" t="n">
        <v>2023</v>
      </c>
      <c r="Z438" t="n">
        <v>7</v>
      </c>
      <c r="AA438" t="inlineStr">
        <is>
          <t>Jul</t>
        </is>
      </c>
      <c r="AB438" t="inlineStr">
        <is>
          <t>Friday</t>
        </is>
      </c>
      <c r="AC438" t="n">
        <v>1</v>
      </c>
      <c r="AD438" t="inlineStr">
        <is>
          <t>Profitable</t>
        </is>
      </c>
      <c r="AE438" t="inlineStr">
        <is>
          <t>Medium</t>
        </is>
      </c>
      <c r="AF438" t="inlineStr">
        <is>
          <t>Small</t>
        </is>
      </c>
    </row>
    <row r="439">
      <c r="A439" t="inlineStr">
        <is>
          <t>ORD-00438</t>
        </is>
      </c>
      <c r="B439" s="2" t="n">
        <v>45892</v>
      </c>
      <c r="C439" s="2" t="n">
        <v>45896</v>
      </c>
      <c r="D439" t="inlineStr">
        <is>
          <t>CUST-00438</t>
        </is>
      </c>
      <c r="E439" t="inlineStr">
        <is>
          <t>Customer 438</t>
        </is>
      </c>
      <c r="F439" t="inlineStr">
        <is>
          <t>Consumer</t>
        </is>
      </c>
      <c r="G439" t="inlineStr">
        <is>
          <t>P1016</t>
        </is>
      </c>
      <c r="H439" t="inlineStr">
        <is>
          <t>ErgoMesh Chair</t>
        </is>
      </c>
      <c r="I439" t="inlineStr">
        <is>
          <t>Outdoor</t>
        </is>
      </c>
      <c r="J439" t="inlineStr">
        <is>
          <t>Lighting</t>
        </is>
      </c>
      <c r="K439" t="inlineStr">
        <is>
          <t>West</t>
        </is>
      </c>
      <c r="L439" t="inlineStr">
        <is>
          <t>California</t>
        </is>
      </c>
      <c r="M439" t="inlineStr">
        <is>
          <t>San Francisco</t>
        </is>
      </c>
      <c r="N439" t="inlineStr">
        <is>
          <t>Ava Patel</t>
        </is>
      </c>
      <c r="O439" t="n">
        <v>5</v>
      </c>
      <c r="P439" s="3" t="n">
        <v>42.62</v>
      </c>
      <c r="Q439" s="4" t="n">
        <v>0.026</v>
      </c>
      <c r="R439" s="3" t="n">
        <v>207.56</v>
      </c>
      <c r="S439" s="3" t="n">
        <v>79.42</v>
      </c>
      <c r="T439" s="3" t="n">
        <v>117.14</v>
      </c>
      <c r="U439" s="4" t="n">
        <v>0.5644</v>
      </c>
      <c r="V439" s="3" t="n">
        <v>11</v>
      </c>
      <c r="W439" t="inlineStr">
        <is>
          <t>Cash on Delivery</t>
        </is>
      </c>
      <c r="X439" t="inlineStr">
        <is>
          <t>High</t>
        </is>
      </c>
      <c r="Y439" t="n">
        <v>2025</v>
      </c>
      <c r="Z439" t="n">
        <v>8</v>
      </c>
      <c r="AA439" t="inlineStr">
        <is>
          <t>Aug</t>
        </is>
      </c>
      <c r="AB439" t="inlineStr">
        <is>
          <t>Saturday</t>
        </is>
      </c>
      <c r="AC439" t="n">
        <v>4</v>
      </c>
      <c r="AD439" t="inlineStr">
        <is>
          <t>Profitable</t>
        </is>
      </c>
      <c r="AE439" t="inlineStr">
        <is>
          <t>Medium</t>
        </is>
      </c>
      <c r="AF439" t="inlineStr">
        <is>
          <t>Small</t>
        </is>
      </c>
    </row>
    <row r="440">
      <c r="A440" t="inlineStr">
        <is>
          <t>ORD-00439</t>
        </is>
      </c>
      <c r="B440" s="2" t="n">
        <v>45821</v>
      </c>
      <c r="C440" s="2" t="n">
        <v>45827</v>
      </c>
      <c r="D440" t="inlineStr">
        <is>
          <t>CUST-00439</t>
        </is>
      </c>
      <c r="E440" t="inlineStr">
        <is>
          <t>Customer 439</t>
        </is>
      </c>
      <c r="F440" t="inlineStr">
        <is>
          <t>Consumer</t>
        </is>
      </c>
      <c r="G440" t="inlineStr">
        <is>
          <t>P1013</t>
        </is>
      </c>
      <c r="H440" t="inlineStr">
        <is>
          <t>Orbit Wireless Mouse</t>
        </is>
      </c>
      <c r="I440" t="inlineStr">
        <is>
          <t>Outdoor</t>
        </is>
      </c>
      <c r="J440" t="inlineStr">
        <is>
          <t>Peripherals</t>
        </is>
      </c>
      <c r="K440" t="inlineStr">
        <is>
          <t>Central</t>
        </is>
      </c>
      <c r="L440" t="inlineStr">
        <is>
          <t>Illinois</t>
        </is>
      </c>
      <c r="M440" t="inlineStr">
        <is>
          <t>Kansas City</t>
        </is>
      </c>
      <c r="N440" t="inlineStr">
        <is>
          <t>Olivia Martin</t>
        </is>
      </c>
      <c r="O440" t="n">
        <v>3</v>
      </c>
      <c r="P440" s="3" t="n">
        <v>167.54</v>
      </c>
      <c r="Q440" s="4" t="n">
        <v>0.025</v>
      </c>
      <c r="R440" s="3" t="n">
        <v>490.05</v>
      </c>
      <c r="S440" s="3" t="n">
        <v>281.25</v>
      </c>
      <c r="T440" s="3" t="n">
        <v>200.4</v>
      </c>
      <c r="U440" s="4" t="n">
        <v>0.4089</v>
      </c>
      <c r="V440" s="3" t="n">
        <v>8.4</v>
      </c>
      <c r="W440" t="inlineStr">
        <is>
          <t>Credit Card</t>
        </is>
      </c>
      <c r="X440" t="inlineStr">
        <is>
          <t>Medium</t>
        </is>
      </c>
      <c r="Y440" t="n">
        <v>2025</v>
      </c>
      <c r="Z440" t="n">
        <v>6</v>
      </c>
      <c r="AA440" t="inlineStr">
        <is>
          <t>Jun</t>
        </is>
      </c>
      <c r="AB440" t="inlineStr">
        <is>
          <t>Friday</t>
        </is>
      </c>
      <c r="AC440" t="n">
        <v>6</v>
      </c>
      <c r="AD440" t="inlineStr">
        <is>
          <t>Profitable</t>
        </is>
      </c>
      <c r="AE440" t="inlineStr">
        <is>
          <t>Medium</t>
        </is>
      </c>
      <c r="AF440" t="inlineStr">
        <is>
          <t>Small</t>
        </is>
      </c>
    </row>
    <row r="441">
      <c r="A441" t="inlineStr">
        <is>
          <t>ORD-00440</t>
        </is>
      </c>
      <c r="B441" s="2" t="n">
        <v>45108</v>
      </c>
      <c r="C441" s="2" t="n">
        <v>45115</v>
      </c>
      <c r="D441" t="inlineStr">
        <is>
          <t>CUST-00440</t>
        </is>
      </c>
      <c r="E441" t="inlineStr">
        <is>
          <t>Customer 440</t>
        </is>
      </c>
      <c r="F441" t="inlineStr">
        <is>
          <t>Consumer</t>
        </is>
      </c>
      <c r="G441" t="inlineStr">
        <is>
          <t>P1002</t>
        </is>
      </c>
      <c r="H441" t="inlineStr">
        <is>
          <t>Nimbus Monitor Arm</t>
        </is>
      </c>
      <c r="I441" t="inlineStr">
        <is>
          <t>Office Supplies</t>
        </is>
      </c>
      <c r="J441" t="inlineStr">
        <is>
          <t>Plants</t>
        </is>
      </c>
      <c r="K441" t="inlineStr">
        <is>
          <t>East</t>
        </is>
      </c>
      <c r="L441" t="inlineStr">
        <is>
          <t>Massachusetts</t>
        </is>
      </c>
      <c r="M441" t="inlineStr">
        <is>
          <t>Boston</t>
        </is>
      </c>
      <c r="N441" t="inlineStr">
        <is>
          <t>James Carter</t>
        </is>
      </c>
      <c r="O441" t="n">
        <v>3</v>
      </c>
      <c r="P441" s="3" t="n">
        <v>83.81999999999999</v>
      </c>
      <c r="Q441" s="4" t="n">
        <v>0.049</v>
      </c>
      <c r="R441" s="3" t="n">
        <v>239.14</v>
      </c>
      <c r="S441" s="3" t="n">
        <v>111.04</v>
      </c>
      <c r="T441" s="3" t="n">
        <v>118.7</v>
      </c>
      <c r="U441" s="4" t="n">
        <v>0.4964</v>
      </c>
      <c r="V441" s="3" t="n">
        <v>9.4</v>
      </c>
      <c r="W441" t="inlineStr">
        <is>
          <t>Credit Card</t>
        </is>
      </c>
      <c r="X441" t="inlineStr">
        <is>
          <t>High</t>
        </is>
      </c>
      <c r="Y441" t="n">
        <v>2023</v>
      </c>
      <c r="Z441" t="n">
        <v>7</v>
      </c>
      <c r="AA441" t="inlineStr">
        <is>
          <t>Jul</t>
        </is>
      </c>
      <c r="AB441" t="inlineStr">
        <is>
          <t>Saturday</t>
        </is>
      </c>
      <c r="AC441" t="n">
        <v>7</v>
      </c>
      <c r="AD441" t="inlineStr">
        <is>
          <t>Profitable</t>
        </is>
      </c>
      <c r="AE441" t="inlineStr">
        <is>
          <t>Medium</t>
        </is>
      </c>
      <c r="AF441" t="inlineStr">
        <is>
          <t>Small</t>
        </is>
      </c>
    </row>
    <row r="442">
      <c r="A442" t="inlineStr">
        <is>
          <t>ORD-00441</t>
        </is>
      </c>
      <c r="B442" s="2" t="n">
        <v>45098</v>
      </c>
      <c r="C442" s="2" t="n">
        <v>45100</v>
      </c>
      <c r="D442" t="inlineStr">
        <is>
          <t>CUST-00441</t>
        </is>
      </c>
      <c r="E442" t="inlineStr">
        <is>
          <t>Customer 441</t>
        </is>
      </c>
      <c r="F442" t="inlineStr">
        <is>
          <t>Consumer</t>
        </is>
      </c>
      <c r="G442" t="inlineStr">
        <is>
          <t>P1002</t>
        </is>
      </c>
      <c r="H442" t="inlineStr">
        <is>
          <t>ProClip Binder</t>
        </is>
      </c>
      <c r="I442" t="inlineStr">
        <is>
          <t>Home Decor</t>
        </is>
      </c>
      <c r="J442" t="inlineStr">
        <is>
          <t>Decor</t>
        </is>
      </c>
      <c r="K442" t="inlineStr">
        <is>
          <t>South</t>
        </is>
      </c>
      <c r="L442" t="inlineStr">
        <is>
          <t>Texas</t>
        </is>
      </c>
      <c r="M442" t="inlineStr">
        <is>
          <t>Atlanta</t>
        </is>
      </c>
      <c r="N442" t="inlineStr">
        <is>
          <t>Noah Kim</t>
        </is>
      </c>
      <c r="O442" t="n">
        <v>3</v>
      </c>
      <c r="P442" s="3" t="n">
        <v>78.2</v>
      </c>
      <c r="Q442" s="4" t="n">
        <v>0.002</v>
      </c>
      <c r="R442" s="3" t="n">
        <v>234.13</v>
      </c>
      <c r="S442" s="3" t="n">
        <v>113.3</v>
      </c>
      <c r="T442" s="3" t="n">
        <v>112.43</v>
      </c>
      <c r="U442" s="4" t="n">
        <v>0.4802</v>
      </c>
      <c r="V442" s="3" t="n">
        <v>8.4</v>
      </c>
      <c r="W442" t="inlineStr">
        <is>
          <t>Credit Card</t>
        </is>
      </c>
      <c r="X442" t="inlineStr">
        <is>
          <t>Medium</t>
        </is>
      </c>
      <c r="Y442" t="n">
        <v>2023</v>
      </c>
      <c r="Z442" t="n">
        <v>6</v>
      </c>
      <c r="AA442" t="inlineStr">
        <is>
          <t>Jun</t>
        </is>
      </c>
      <c r="AB442" t="inlineStr">
        <is>
          <t>Wednesday</t>
        </is>
      </c>
      <c r="AC442" t="n">
        <v>2</v>
      </c>
      <c r="AD442" t="inlineStr">
        <is>
          <t>Profitable</t>
        </is>
      </c>
      <c r="AE442" t="inlineStr">
        <is>
          <t>Low</t>
        </is>
      </c>
      <c r="AF442" t="inlineStr">
        <is>
          <t>Small</t>
        </is>
      </c>
    </row>
    <row r="443">
      <c r="A443" t="inlineStr">
        <is>
          <t>ORD-00442</t>
        </is>
      </c>
      <c r="B443" s="2" t="n">
        <v>45914</v>
      </c>
      <c r="C443" s="2" t="n">
        <v>45921</v>
      </c>
      <c r="D443" t="inlineStr">
        <is>
          <t>CUST-00442</t>
        </is>
      </c>
      <c r="E443" t="inlineStr">
        <is>
          <t>Customer 442</t>
        </is>
      </c>
      <c r="F443" t="inlineStr">
        <is>
          <t>Home Office</t>
        </is>
      </c>
      <c r="G443" t="inlineStr">
        <is>
          <t>P1011</t>
        </is>
      </c>
      <c r="H443" t="inlineStr">
        <is>
          <t>Summit Patio Set</t>
        </is>
      </c>
      <c r="I443" t="inlineStr">
        <is>
          <t>Home Decor</t>
        </is>
      </c>
      <c r="J443" t="inlineStr">
        <is>
          <t>Accessories</t>
        </is>
      </c>
      <c r="K443" t="inlineStr">
        <is>
          <t>East</t>
        </is>
      </c>
      <c r="L443" t="inlineStr">
        <is>
          <t>Massachusetts</t>
        </is>
      </c>
      <c r="M443" t="inlineStr">
        <is>
          <t>Washington</t>
        </is>
      </c>
      <c r="N443" t="inlineStr">
        <is>
          <t>Sophia Singh</t>
        </is>
      </c>
      <c r="O443" t="n">
        <v>3</v>
      </c>
      <c r="P443" s="3" t="n">
        <v>85.28</v>
      </c>
      <c r="Q443" s="4" t="n">
        <v>0.013</v>
      </c>
      <c r="R443" s="3" t="n">
        <v>252.51</v>
      </c>
      <c r="S443" s="3" t="n">
        <v>120.4</v>
      </c>
      <c r="T443" s="3" t="n">
        <v>122.71</v>
      </c>
      <c r="U443" s="4" t="n">
        <v>0.486</v>
      </c>
      <c r="V443" s="3" t="n">
        <v>9.4</v>
      </c>
      <c r="W443" t="inlineStr">
        <is>
          <t>Debit Card</t>
        </is>
      </c>
      <c r="X443" t="inlineStr">
        <is>
          <t>Medium</t>
        </is>
      </c>
      <c r="Y443" t="n">
        <v>2025</v>
      </c>
      <c r="Z443" t="n">
        <v>9</v>
      </c>
      <c r="AA443" t="inlineStr">
        <is>
          <t>Sep</t>
        </is>
      </c>
      <c r="AB443" t="inlineStr">
        <is>
          <t>Sunday</t>
        </is>
      </c>
      <c r="AC443" t="n">
        <v>7</v>
      </c>
      <c r="AD443" t="inlineStr">
        <is>
          <t>Profitable</t>
        </is>
      </c>
      <c r="AE443" t="inlineStr">
        <is>
          <t>Low</t>
        </is>
      </c>
      <c r="AF443" t="inlineStr">
        <is>
          <t>Small</t>
        </is>
      </c>
    </row>
    <row r="444">
      <c r="A444" t="inlineStr">
        <is>
          <t>ORD-00443</t>
        </is>
      </c>
      <c r="B444" s="2" t="n">
        <v>45628</v>
      </c>
      <c r="C444" s="2" t="n">
        <v>45629</v>
      </c>
      <c r="D444" t="inlineStr">
        <is>
          <t>CUST-00443</t>
        </is>
      </c>
      <c r="E444" t="inlineStr">
        <is>
          <t>Customer 443</t>
        </is>
      </c>
      <c r="F444" t="inlineStr">
        <is>
          <t>Consumer</t>
        </is>
      </c>
      <c r="G444" t="inlineStr">
        <is>
          <t>P1016</t>
        </is>
      </c>
      <c r="H444" t="inlineStr">
        <is>
          <t>Echo Web Camera</t>
        </is>
      </c>
      <c r="I444" t="inlineStr">
        <is>
          <t>Furniture</t>
        </is>
      </c>
      <c r="J444" t="inlineStr">
        <is>
          <t>Desks</t>
        </is>
      </c>
      <c r="K444" t="inlineStr">
        <is>
          <t>Central</t>
        </is>
      </c>
      <c r="L444" t="inlineStr">
        <is>
          <t>Kansas</t>
        </is>
      </c>
      <c r="M444" t="inlineStr">
        <is>
          <t>St. Louis</t>
        </is>
      </c>
      <c r="N444" t="inlineStr">
        <is>
          <t>Ethan Brooks</t>
        </is>
      </c>
      <c r="O444" t="n">
        <v>3</v>
      </c>
      <c r="P444" s="3" t="n">
        <v>42.18</v>
      </c>
      <c r="Q444" s="4" t="n">
        <v>0.044</v>
      </c>
      <c r="R444" s="3" t="n">
        <v>120.97</v>
      </c>
      <c r="S444" s="3" t="n">
        <v>51.76</v>
      </c>
      <c r="T444" s="3" t="n">
        <v>60.81</v>
      </c>
      <c r="U444" s="4" t="n">
        <v>0.5027</v>
      </c>
      <c r="V444" s="3" t="n">
        <v>8.4</v>
      </c>
      <c r="W444" t="inlineStr">
        <is>
          <t>Credit Card</t>
        </is>
      </c>
      <c r="X444" t="inlineStr">
        <is>
          <t>High</t>
        </is>
      </c>
      <c r="Y444" t="n">
        <v>2024</v>
      </c>
      <c r="Z444" t="n">
        <v>12</v>
      </c>
      <c r="AA444" t="inlineStr">
        <is>
          <t>Dec</t>
        </is>
      </c>
      <c r="AB444" t="inlineStr">
        <is>
          <t>Monday</t>
        </is>
      </c>
      <c r="AC444" t="n">
        <v>1</v>
      </c>
      <c r="AD444" t="inlineStr">
        <is>
          <t>Profitable</t>
        </is>
      </c>
      <c r="AE444" t="inlineStr">
        <is>
          <t>Medium</t>
        </is>
      </c>
      <c r="AF444" t="inlineStr">
        <is>
          <t>Small</t>
        </is>
      </c>
    </row>
    <row r="445">
      <c r="A445" t="inlineStr">
        <is>
          <t>ORD-00444</t>
        </is>
      </c>
      <c r="B445" s="2" t="n">
        <v>45353</v>
      </c>
      <c r="C445" s="2" t="n">
        <v>45359</v>
      </c>
      <c r="D445" t="inlineStr">
        <is>
          <t>CUST-00444</t>
        </is>
      </c>
      <c r="E445" t="inlineStr">
        <is>
          <t>Customer 444</t>
        </is>
      </c>
      <c r="F445" t="inlineStr">
        <is>
          <t>Home Office</t>
        </is>
      </c>
      <c r="G445" t="inlineStr">
        <is>
          <t>P1017</t>
        </is>
      </c>
      <c r="H445" t="inlineStr">
        <is>
          <t>Pulse Keyboard</t>
        </is>
      </c>
      <c r="I445" t="inlineStr">
        <is>
          <t>Outdoor</t>
        </is>
      </c>
      <c r="J445" t="inlineStr">
        <is>
          <t>Storage</t>
        </is>
      </c>
      <c r="K445" t="inlineStr">
        <is>
          <t>Central</t>
        </is>
      </c>
      <c r="L445" t="inlineStr">
        <is>
          <t>Minnesota</t>
        </is>
      </c>
      <c r="M445" t="inlineStr">
        <is>
          <t>Kansas City</t>
        </is>
      </c>
      <c r="N445" t="inlineStr">
        <is>
          <t>James Carter</t>
        </is>
      </c>
      <c r="O445" t="n">
        <v>4</v>
      </c>
      <c r="P445" s="3" t="n">
        <v>575.76</v>
      </c>
      <c r="Q445" s="4" t="n">
        <v>0.023</v>
      </c>
      <c r="R445" s="3" t="n">
        <v>2250.07</v>
      </c>
      <c r="S445" s="3" t="n">
        <v>1495.75</v>
      </c>
      <c r="T445" s="3" t="n">
        <v>745.12</v>
      </c>
      <c r="U445" s="4" t="n">
        <v>0.3312</v>
      </c>
      <c r="V445" s="3" t="n">
        <v>9.199999999999999</v>
      </c>
      <c r="W445" t="inlineStr">
        <is>
          <t>Debit Card</t>
        </is>
      </c>
      <c r="X445" t="inlineStr">
        <is>
          <t>High</t>
        </is>
      </c>
      <c r="Y445" t="n">
        <v>2024</v>
      </c>
      <c r="Z445" t="n">
        <v>3</v>
      </c>
      <c r="AA445" t="inlineStr">
        <is>
          <t>Mar</t>
        </is>
      </c>
      <c r="AB445" t="inlineStr">
        <is>
          <t>Saturday</t>
        </is>
      </c>
      <c r="AC445" t="n">
        <v>6</v>
      </c>
      <c r="AD445" t="inlineStr">
        <is>
          <t>Profitable</t>
        </is>
      </c>
      <c r="AE445" t="inlineStr">
        <is>
          <t>Medium</t>
        </is>
      </c>
      <c r="AF445" t="inlineStr">
        <is>
          <t>Large</t>
        </is>
      </c>
    </row>
    <row r="446">
      <c r="A446" t="inlineStr">
        <is>
          <t>ORD-00445</t>
        </is>
      </c>
      <c r="B446" s="2" t="n">
        <v>45835</v>
      </c>
      <c r="C446" s="2" t="n">
        <v>45839</v>
      </c>
      <c r="D446" t="inlineStr">
        <is>
          <t>CUST-00445</t>
        </is>
      </c>
      <c r="E446" t="inlineStr">
        <is>
          <t>Customer 445</t>
        </is>
      </c>
      <c r="F446" t="inlineStr">
        <is>
          <t>Consumer</t>
        </is>
      </c>
      <c r="G446" t="inlineStr">
        <is>
          <t>P1003</t>
        </is>
      </c>
      <c r="H446" t="inlineStr">
        <is>
          <t>Summit Patio Set</t>
        </is>
      </c>
      <c r="I446" t="inlineStr">
        <is>
          <t>Office Supplies</t>
        </is>
      </c>
      <c r="J446" t="inlineStr">
        <is>
          <t>Chairs</t>
        </is>
      </c>
      <c r="K446" t="inlineStr">
        <is>
          <t>North</t>
        </is>
      </c>
      <c r="L446" t="inlineStr">
        <is>
          <t>Ontario</t>
        </is>
      </c>
      <c r="M446" t="inlineStr">
        <is>
          <t>Toronto</t>
        </is>
      </c>
      <c r="N446" t="inlineStr">
        <is>
          <t>Liam Chen</t>
        </is>
      </c>
      <c r="O446" t="n">
        <v>4</v>
      </c>
      <c r="P446" s="3" t="n">
        <v>151.67</v>
      </c>
      <c r="Q446" s="4" t="n">
        <v>0.044</v>
      </c>
      <c r="R446" s="3" t="n">
        <v>579.99</v>
      </c>
      <c r="S446" s="3" t="n">
        <v>300.13</v>
      </c>
      <c r="T446" s="3" t="n">
        <v>270.66</v>
      </c>
      <c r="U446" s="4" t="n">
        <v>0.4667</v>
      </c>
      <c r="V446" s="3" t="n">
        <v>9.199999999999999</v>
      </c>
      <c r="W446" t="inlineStr">
        <is>
          <t>Debit Card</t>
        </is>
      </c>
      <c r="X446" t="inlineStr">
        <is>
          <t>High</t>
        </is>
      </c>
      <c r="Y446" t="n">
        <v>2025</v>
      </c>
      <c r="Z446" t="n">
        <v>6</v>
      </c>
      <c r="AA446" t="inlineStr">
        <is>
          <t>Jun</t>
        </is>
      </c>
      <c r="AB446" t="inlineStr">
        <is>
          <t>Friday</t>
        </is>
      </c>
      <c r="AC446" t="n">
        <v>4</v>
      </c>
      <c r="AD446" t="inlineStr">
        <is>
          <t>Profitable</t>
        </is>
      </c>
      <c r="AE446" t="inlineStr">
        <is>
          <t>Medium</t>
        </is>
      </c>
      <c r="AF446" t="inlineStr">
        <is>
          <t>Medium</t>
        </is>
      </c>
    </row>
    <row r="447">
      <c r="A447" t="inlineStr">
        <is>
          <t>ORD-00446</t>
        </is>
      </c>
      <c r="B447" s="2" t="n">
        <v>45731</v>
      </c>
      <c r="C447" s="2" t="n">
        <v>45736</v>
      </c>
      <c r="D447" t="inlineStr">
        <is>
          <t>CUST-00446</t>
        </is>
      </c>
      <c r="E447" t="inlineStr">
        <is>
          <t>Customer 446</t>
        </is>
      </c>
      <c r="F447" t="inlineStr">
        <is>
          <t>Consumer</t>
        </is>
      </c>
      <c r="G447" t="inlineStr">
        <is>
          <t>P1001</t>
        </is>
      </c>
      <c r="H447" t="inlineStr">
        <is>
          <t>Nimbus Monitor Arm</t>
        </is>
      </c>
      <c r="I447" t="inlineStr">
        <is>
          <t>Office Supplies</t>
        </is>
      </c>
      <c r="J447" t="inlineStr">
        <is>
          <t>Bags</t>
        </is>
      </c>
      <c r="K447" t="inlineStr">
        <is>
          <t>South</t>
        </is>
      </c>
      <c r="L447" t="inlineStr">
        <is>
          <t>Texas</t>
        </is>
      </c>
      <c r="M447" t="inlineStr">
        <is>
          <t>Dallas</t>
        </is>
      </c>
      <c r="N447" t="inlineStr">
        <is>
          <t>Noah Kim</t>
        </is>
      </c>
      <c r="O447" t="n">
        <v>1</v>
      </c>
      <c r="P447" s="3" t="n">
        <v>286.49</v>
      </c>
      <c r="Q447" s="4" t="n">
        <v>0.044</v>
      </c>
      <c r="R447" s="3" t="n">
        <v>273.88</v>
      </c>
      <c r="S447" s="3" t="n">
        <v>168.52</v>
      </c>
      <c r="T447" s="3" t="n">
        <v>98.56</v>
      </c>
      <c r="U447" s="4" t="n">
        <v>0.3599</v>
      </c>
      <c r="V447" s="3" t="n">
        <v>6.8</v>
      </c>
      <c r="W447" t="inlineStr">
        <is>
          <t>Bank Transfer</t>
        </is>
      </c>
      <c r="X447" t="inlineStr">
        <is>
          <t>High</t>
        </is>
      </c>
      <c r="Y447" t="n">
        <v>2025</v>
      </c>
      <c r="Z447" t="n">
        <v>3</v>
      </c>
      <c r="AA447" t="inlineStr">
        <is>
          <t>Mar</t>
        </is>
      </c>
      <c r="AB447" t="inlineStr">
        <is>
          <t>Saturday</t>
        </is>
      </c>
      <c r="AC447" t="n">
        <v>5</v>
      </c>
      <c r="AD447" t="inlineStr">
        <is>
          <t>Profitable</t>
        </is>
      </c>
      <c r="AE447" t="inlineStr">
        <is>
          <t>Medium</t>
        </is>
      </c>
      <c r="AF447" t="inlineStr">
        <is>
          <t>Small</t>
        </is>
      </c>
    </row>
    <row r="448">
      <c r="A448" t="inlineStr">
        <is>
          <t>ORD-00447</t>
        </is>
      </c>
      <c r="B448" s="2" t="n">
        <v>45927</v>
      </c>
      <c r="C448" s="2" t="n">
        <v>45930</v>
      </c>
      <c r="D448" t="inlineStr">
        <is>
          <t>CUST-00447</t>
        </is>
      </c>
      <c r="E448" t="inlineStr">
        <is>
          <t>Customer 447</t>
        </is>
      </c>
      <c r="F448" t="inlineStr">
        <is>
          <t>Consumer</t>
        </is>
      </c>
      <c r="G448" t="inlineStr">
        <is>
          <t>P1018</t>
        </is>
      </c>
      <c r="H448" t="inlineStr">
        <is>
          <t>Nova Laptop Stand</t>
        </is>
      </c>
      <c r="I448" t="inlineStr">
        <is>
          <t>Outdoor</t>
        </is>
      </c>
      <c r="J448" t="inlineStr">
        <is>
          <t>Plants</t>
        </is>
      </c>
      <c r="K448" t="inlineStr">
        <is>
          <t>East</t>
        </is>
      </c>
      <c r="L448" t="inlineStr">
        <is>
          <t>Massachusetts</t>
        </is>
      </c>
      <c r="M448" t="inlineStr">
        <is>
          <t>New York</t>
        </is>
      </c>
      <c r="N448" t="inlineStr">
        <is>
          <t>Mia Rodriguez</t>
        </is>
      </c>
      <c r="O448" t="n">
        <v>5</v>
      </c>
      <c r="P448" s="3" t="n">
        <v>88.12</v>
      </c>
      <c r="Q448" s="4" t="n">
        <v>0.003</v>
      </c>
      <c r="R448" s="3" t="n">
        <v>439.28</v>
      </c>
      <c r="S448" s="3" t="n">
        <v>196.07</v>
      </c>
      <c r="T448" s="3" t="n">
        <v>232.21</v>
      </c>
      <c r="U448" s="4" t="n">
        <v>0.5286</v>
      </c>
      <c r="V448" s="3" t="n">
        <v>11</v>
      </c>
      <c r="W448" t="inlineStr">
        <is>
          <t>PayPal</t>
        </is>
      </c>
      <c r="X448" t="inlineStr">
        <is>
          <t>Medium</t>
        </is>
      </c>
      <c r="Y448" t="n">
        <v>2025</v>
      </c>
      <c r="Z448" t="n">
        <v>9</v>
      </c>
      <c r="AA448" t="inlineStr">
        <is>
          <t>Sep</t>
        </is>
      </c>
      <c r="AB448" t="inlineStr">
        <is>
          <t>Saturday</t>
        </is>
      </c>
      <c r="AC448" t="n">
        <v>3</v>
      </c>
      <c r="AD448" t="inlineStr">
        <is>
          <t>Profitable</t>
        </is>
      </c>
      <c r="AE448" t="inlineStr">
        <is>
          <t>Low</t>
        </is>
      </c>
      <c r="AF448" t="inlineStr">
        <is>
          <t>Small</t>
        </is>
      </c>
    </row>
    <row r="449">
      <c r="A449" t="inlineStr">
        <is>
          <t>ORD-00448</t>
        </is>
      </c>
      <c r="B449" s="2" t="n">
        <v>45948</v>
      </c>
      <c r="C449" s="2" t="n">
        <v>45949</v>
      </c>
      <c r="D449" t="inlineStr">
        <is>
          <t>CUST-00448</t>
        </is>
      </c>
      <c r="E449" t="inlineStr">
        <is>
          <t>Customer 448</t>
        </is>
      </c>
      <c r="F449" t="inlineStr">
        <is>
          <t>Corporate</t>
        </is>
      </c>
      <c r="G449" t="inlineStr">
        <is>
          <t>P1014</t>
        </is>
      </c>
      <c r="H449" t="inlineStr">
        <is>
          <t>Tide Cooler</t>
        </is>
      </c>
      <c r="I449" t="inlineStr">
        <is>
          <t>Technology</t>
        </is>
      </c>
      <c r="J449" t="inlineStr">
        <is>
          <t>Writing</t>
        </is>
      </c>
      <c r="K449" t="inlineStr">
        <is>
          <t>Central</t>
        </is>
      </c>
      <c r="L449" t="inlineStr">
        <is>
          <t>Minnesota</t>
        </is>
      </c>
      <c r="M449" t="inlineStr">
        <is>
          <t>Chicago</t>
        </is>
      </c>
      <c r="N449" t="inlineStr">
        <is>
          <t>Mia Rodriguez</t>
        </is>
      </c>
      <c r="O449" t="n">
        <v>4</v>
      </c>
      <c r="P449" s="3" t="n">
        <v>47.44</v>
      </c>
      <c r="Q449" s="4" t="n">
        <v>0.042</v>
      </c>
      <c r="R449" s="3" t="n">
        <v>181.79</v>
      </c>
      <c r="S449" s="3" t="n">
        <v>80.5</v>
      </c>
      <c r="T449" s="3" t="n">
        <v>92.09</v>
      </c>
      <c r="U449" s="4" t="n">
        <v>0.5066000000000001</v>
      </c>
      <c r="V449" s="3" t="n">
        <v>9.199999999999999</v>
      </c>
      <c r="W449" t="inlineStr">
        <is>
          <t>PayPal</t>
        </is>
      </c>
      <c r="X449" t="inlineStr">
        <is>
          <t>Critical</t>
        </is>
      </c>
      <c r="Y449" t="n">
        <v>2025</v>
      </c>
      <c r="Z449" t="n">
        <v>10</v>
      </c>
      <c r="AA449" t="inlineStr">
        <is>
          <t>Oct</t>
        </is>
      </c>
      <c r="AB449" t="inlineStr">
        <is>
          <t>Saturday</t>
        </is>
      </c>
      <c r="AC449" t="n">
        <v>1</v>
      </c>
      <c r="AD449" t="inlineStr">
        <is>
          <t>Profitable</t>
        </is>
      </c>
      <c r="AE449" t="inlineStr">
        <is>
          <t>Medium</t>
        </is>
      </c>
      <c r="AF449" t="inlineStr">
        <is>
          <t>Small</t>
        </is>
      </c>
    </row>
    <row r="450">
      <c r="A450" t="inlineStr">
        <is>
          <t>ORD-00449</t>
        </is>
      </c>
      <c r="B450" s="2" t="n">
        <v>45635</v>
      </c>
      <c r="C450" s="2" t="n">
        <v>45640</v>
      </c>
      <c r="D450" t="inlineStr">
        <is>
          <t>CUST-00449</t>
        </is>
      </c>
      <c r="E450" t="inlineStr">
        <is>
          <t>Customer 449</t>
        </is>
      </c>
      <c r="F450" t="inlineStr">
        <is>
          <t>Corporate</t>
        </is>
      </c>
      <c r="G450" t="inlineStr">
        <is>
          <t>P1009</t>
        </is>
      </c>
      <c r="H450" t="inlineStr">
        <is>
          <t>ProClip Binder</t>
        </is>
      </c>
      <c r="I450" t="inlineStr">
        <is>
          <t>Technology</t>
        </is>
      </c>
      <c r="J450" t="inlineStr">
        <is>
          <t>Video</t>
        </is>
      </c>
      <c r="K450" t="inlineStr">
        <is>
          <t>West</t>
        </is>
      </c>
      <c r="L450" t="inlineStr">
        <is>
          <t>Oregon</t>
        </is>
      </c>
      <c r="M450" t="inlineStr">
        <is>
          <t>Seattle</t>
        </is>
      </c>
      <c r="N450" t="inlineStr">
        <is>
          <t>Liam Chen</t>
        </is>
      </c>
      <c r="O450" t="n">
        <v>6</v>
      </c>
      <c r="P450" s="3" t="n">
        <v>102.64</v>
      </c>
      <c r="Q450" s="4" t="n">
        <v>0.039</v>
      </c>
      <c r="R450" s="3" t="n">
        <v>591.8200000000001</v>
      </c>
      <c r="S450" s="3" t="n">
        <v>289.56</v>
      </c>
      <c r="T450" s="3" t="n">
        <v>290.46</v>
      </c>
      <c r="U450" s="4" t="n">
        <v>0.4908</v>
      </c>
      <c r="V450" s="3" t="n">
        <v>11.8</v>
      </c>
      <c r="W450" t="inlineStr">
        <is>
          <t>PayPal</t>
        </is>
      </c>
      <c r="X450" t="inlineStr">
        <is>
          <t>Critical</t>
        </is>
      </c>
      <c r="Y450" t="n">
        <v>2024</v>
      </c>
      <c r="Z450" t="n">
        <v>12</v>
      </c>
      <c r="AA450" t="inlineStr">
        <is>
          <t>Dec</t>
        </is>
      </c>
      <c r="AB450" t="inlineStr">
        <is>
          <t>Monday</t>
        </is>
      </c>
      <c r="AC450" t="n">
        <v>5</v>
      </c>
      <c r="AD450" t="inlineStr">
        <is>
          <t>Profitable</t>
        </is>
      </c>
      <c r="AE450" t="inlineStr">
        <is>
          <t>Medium</t>
        </is>
      </c>
      <c r="AF450" t="inlineStr">
        <is>
          <t>Medium</t>
        </is>
      </c>
    </row>
    <row r="451">
      <c r="A451" t="inlineStr">
        <is>
          <t>ORD-00450</t>
        </is>
      </c>
      <c r="B451" s="2" t="n">
        <v>45072</v>
      </c>
      <c r="C451" s="2" t="n">
        <v>45076</v>
      </c>
      <c r="D451" t="inlineStr">
        <is>
          <t>CUST-00450</t>
        </is>
      </c>
      <c r="E451" t="inlineStr">
        <is>
          <t>Customer 450</t>
        </is>
      </c>
      <c r="F451" t="inlineStr">
        <is>
          <t>Consumer</t>
        </is>
      </c>
      <c r="G451" t="inlineStr">
        <is>
          <t>P1009</t>
        </is>
      </c>
      <c r="H451" t="inlineStr">
        <is>
          <t>Nimbus Monitor Arm</t>
        </is>
      </c>
      <c r="I451" t="inlineStr">
        <is>
          <t>Furniture</t>
        </is>
      </c>
      <c r="J451" t="inlineStr">
        <is>
          <t>Accessories</t>
        </is>
      </c>
      <c r="K451" t="inlineStr">
        <is>
          <t>Central</t>
        </is>
      </c>
      <c r="L451" t="inlineStr">
        <is>
          <t>Missouri</t>
        </is>
      </c>
      <c r="M451" t="inlineStr">
        <is>
          <t>St. Louis</t>
        </is>
      </c>
      <c r="N451" t="inlineStr">
        <is>
          <t>Ethan Brooks</t>
        </is>
      </c>
      <c r="O451" t="n">
        <v>2</v>
      </c>
      <c r="P451" s="3" t="n">
        <v>86.33</v>
      </c>
      <c r="Q451" s="4" t="n">
        <v>0.022</v>
      </c>
      <c r="R451" s="3" t="n">
        <v>168.86</v>
      </c>
      <c r="S451" s="3" t="n">
        <v>87.31</v>
      </c>
      <c r="T451" s="3" t="n">
        <v>73.95</v>
      </c>
      <c r="U451" s="4" t="n">
        <v>0.4379</v>
      </c>
      <c r="V451" s="3" t="n">
        <v>7.6</v>
      </c>
      <c r="W451" t="inlineStr">
        <is>
          <t>Credit Card</t>
        </is>
      </c>
      <c r="X451" t="inlineStr">
        <is>
          <t>Medium</t>
        </is>
      </c>
      <c r="Y451" t="n">
        <v>2023</v>
      </c>
      <c r="Z451" t="n">
        <v>5</v>
      </c>
      <c r="AA451" t="inlineStr">
        <is>
          <t>May</t>
        </is>
      </c>
      <c r="AB451" t="inlineStr">
        <is>
          <t>Friday</t>
        </is>
      </c>
      <c r="AC451" t="n">
        <v>4</v>
      </c>
      <c r="AD451" t="inlineStr">
        <is>
          <t>Profitable</t>
        </is>
      </c>
      <c r="AE451" t="inlineStr">
        <is>
          <t>Medium</t>
        </is>
      </c>
      <c r="AF451" t="inlineStr">
        <is>
          <t>Small</t>
        </is>
      </c>
    </row>
    <row r="452">
      <c r="A452" t="inlineStr">
        <is>
          <t>ORD-00451</t>
        </is>
      </c>
      <c r="B452" s="2" t="n">
        <v>45994</v>
      </c>
      <c r="C452" s="2" t="n">
        <v>45999</v>
      </c>
      <c r="D452" t="inlineStr">
        <is>
          <t>CUST-00451</t>
        </is>
      </c>
      <c r="E452" t="inlineStr">
        <is>
          <t>Unknown Customer</t>
        </is>
      </c>
      <c r="F452" t="inlineStr">
        <is>
          <t>Consumer</t>
        </is>
      </c>
      <c r="G452" t="inlineStr">
        <is>
          <t>P1012</t>
        </is>
      </c>
      <c r="H452" t="inlineStr">
        <is>
          <t>ProClip Binder</t>
        </is>
      </c>
      <c r="I452" t="inlineStr">
        <is>
          <t>Technology</t>
        </is>
      </c>
      <c r="J452" t="inlineStr">
        <is>
          <t>Paper</t>
        </is>
      </c>
      <c r="K452" t="inlineStr">
        <is>
          <t>North</t>
        </is>
      </c>
      <c r="L452" t="inlineStr">
        <is>
          <t>British Columbia</t>
        </is>
      </c>
      <c r="M452" t="inlineStr">
        <is>
          <t>Montreal</t>
        </is>
      </c>
      <c r="N452" t="inlineStr">
        <is>
          <t>Olivia Martin</t>
        </is>
      </c>
      <c r="O452" t="n">
        <v>3</v>
      </c>
      <c r="P452" s="3" t="n">
        <v>135.99</v>
      </c>
      <c r="Q452" s="4" t="n">
        <v>0.026</v>
      </c>
      <c r="R452" s="3" t="n">
        <v>397.36</v>
      </c>
      <c r="S452" s="3" t="n">
        <v>201.14</v>
      </c>
      <c r="T452" s="3" t="n">
        <v>187.82</v>
      </c>
      <c r="U452" s="4" t="n">
        <v>0.4727</v>
      </c>
      <c r="V452" s="3" t="n">
        <v>8.4</v>
      </c>
      <c r="W452" t="inlineStr">
        <is>
          <t>Bank Transfer</t>
        </is>
      </c>
      <c r="X452" t="inlineStr">
        <is>
          <t>Medium</t>
        </is>
      </c>
      <c r="Y452" t="n">
        <v>2025</v>
      </c>
      <c r="Z452" t="n">
        <v>12</v>
      </c>
      <c r="AA452" t="inlineStr">
        <is>
          <t>Dec</t>
        </is>
      </c>
      <c r="AB452" t="inlineStr">
        <is>
          <t>Wednesday</t>
        </is>
      </c>
      <c r="AC452" t="n">
        <v>5</v>
      </c>
      <c r="AD452" t="inlineStr">
        <is>
          <t>Profitable</t>
        </is>
      </c>
      <c r="AE452" t="inlineStr">
        <is>
          <t>Medium</t>
        </is>
      </c>
      <c r="AF452" t="inlineStr">
        <is>
          <t>Small</t>
        </is>
      </c>
    </row>
    <row r="453">
      <c r="A453" t="inlineStr">
        <is>
          <t>ORD-00452</t>
        </is>
      </c>
      <c r="B453" s="2" t="n">
        <v>45326</v>
      </c>
      <c r="C453" s="2" t="n">
        <v>45328</v>
      </c>
      <c r="D453" t="inlineStr">
        <is>
          <t>CUST-00452</t>
        </is>
      </c>
      <c r="E453" t="inlineStr">
        <is>
          <t>Customer 452</t>
        </is>
      </c>
      <c r="F453" t="inlineStr">
        <is>
          <t>Home Office</t>
        </is>
      </c>
      <c r="G453" t="inlineStr">
        <is>
          <t>P1003</t>
        </is>
      </c>
      <c r="H453" t="inlineStr">
        <is>
          <t>Pulse Keyboard</t>
        </is>
      </c>
      <c r="I453" t="inlineStr">
        <is>
          <t>Home Decor</t>
        </is>
      </c>
      <c r="J453" t="inlineStr">
        <is>
          <t>Storage</t>
        </is>
      </c>
      <c r="K453" t="inlineStr">
        <is>
          <t>East</t>
        </is>
      </c>
      <c r="L453" t="inlineStr">
        <is>
          <t>Virginia</t>
        </is>
      </c>
      <c r="M453" t="inlineStr">
        <is>
          <t>Boston</t>
        </is>
      </c>
      <c r="N453" t="inlineStr">
        <is>
          <t>Ethan Brooks</t>
        </is>
      </c>
      <c r="O453" t="n">
        <v>3</v>
      </c>
      <c r="P453" s="3" t="n">
        <v>146.11</v>
      </c>
      <c r="Q453" s="4" t="n">
        <v>0.011</v>
      </c>
      <c r="R453" s="3" t="n">
        <v>433.51</v>
      </c>
      <c r="S453" s="3" t="n">
        <v>227.97</v>
      </c>
      <c r="T453" s="3" t="n">
        <v>196.14</v>
      </c>
      <c r="U453" s="4" t="n">
        <v>0.4524</v>
      </c>
      <c r="V453" s="3" t="n">
        <v>9.4</v>
      </c>
      <c r="W453" t="inlineStr">
        <is>
          <t>Debit Card</t>
        </is>
      </c>
      <c r="X453" t="inlineStr">
        <is>
          <t>Medium</t>
        </is>
      </c>
      <c r="Y453" t="n">
        <v>2024</v>
      </c>
      <c r="Z453" t="n">
        <v>2</v>
      </c>
      <c r="AA453" t="inlineStr">
        <is>
          <t>Feb</t>
        </is>
      </c>
      <c r="AB453" t="inlineStr">
        <is>
          <t>Sunday</t>
        </is>
      </c>
      <c r="AC453" t="n">
        <v>2</v>
      </c>
      <c r="AD453" t="inlineStr">
        <is>
          <t>Profitable</t>
        </is>
      </c>
      <c r="AE453" t="inlineStr">
        <is>
          <t>Low</t>
        </is>
      </c>
      <c r="AF453" t="inlineStr">
        <is>
          <t>Small</t>
        </is>
      </c>
    </row>
    <row r="454">
      <c r="A454" t="inlineStr">
        <is>
          <t>ORD-00453</t>
        </is>
      </c>
      <c r="B454" s="2" t="n">
        <v>45519</v>
      </c>
      <c r="C454" s="2" t="n">
        <v>45522</v>
      </c>
      <c r="D454" t="inlineStr">
        <is>
          <t>CUST-00453</t>
        </is>
      </c>
      <c r="E454" t="inlineStr">
        <is>
          <t>Customer 453</t>
        </is>
      </c>
      <c r="F454" t="inlineStr">
        <is>
          <t>Home Office</t>
        </is>
      </c>
      <c r="G454" t="inlineStr">
        <is>
          <t>P1002</t>
        </is>
      </c>
      <c r="H454" t="inlineStr">
        <is>
          <t>Pulse Keyboard</t>
        </is>
      </c>
      <c r="I454" t="inlineStr">
        <is>
          <t>Technology</t>
        </is>
      </c>
      <c r="J454" t="inlineStr">
        <is>
          <t>Peripherals</t>
        </is>
      </c>
      <c r="K454" t="inlineStr">
        <is>
          <t>East</t>
        </is>
      </c>
      <c r="L454" t="inlineStr">
        <is>
          <t>Massachusetts</t>
        </is>
      </c>
      <c r="M454" t="inlineStr">
        <is>
          <t>Boston</t>
        </is>
      </c>
      <c r="N454" t="inlineStr">
        <is>
          <t>Sophia Singh</t>
        </is>
      </c>
      <c r="O454" t="n">
        <v>2</v>
      </c>
      <c r="P454" s="3" t="n">
        <v>86.58</v>
      </c>
      <c r="Q454" s="4" t="n">
        <v>0.013</v>
      </c>
      <c r="R454" s="3" t="n">
        <v>170.91</v>
      </c>
      <c r="S454" s="3" t="n">
        <v>81.48999999999999</v>
      </c>
      <c r="T454" s="3" t="n">
        <v>80.81999999999999</v>
      </c>
      <c r="U454" s="4" t="n">
        <v>0.4729</v>
      </c>
      <c r="V454" s="3" t="n">
        <v>8.6</v>
      </c>
      <c r="W454" t="inlineStr">
        <is>
          <t>Bank Transfer</t>
        </is>
      </c>
      <c r="X454" t="inlineStr">
        <is>
          <t>High</t>
        </is>
      </c>
      <c r="Y454" t="n">
        <v>2024</v>
      </c>
      <c r="Z454" t="n">
        <v>8</v>
      </c>
      <c r="AA454" t="inlineStr">
        <is>
          <t>Aug</t>
        </is>
      </c>
      <c r="AB454" t="inlineStr">
        <is>
          <t>Thursday</t>
        </is>
      </c>
      <c r="AC454" t="n">
        <v>3</v>
      </c>
      <c r="AD454" t="inlineStr">
        <is>
          <t>Profitable</t>
        </is>
      </c>
      <c r="AE454" t="inlineStr">
        <is>
          <t>Low</t>
        </is>
      </c>
      <c r="AF454" t="inlineStr">
        <is>
          <t>Small</t>
        </is>
      </c>
    </row>
    <row r="455">
      <c r="A455" t="inlineStr">
        <is>
          <t>ORD-00454</t>
        </is>
      </c>
      <c r="B455" s="2" t="n">
        <v>45693</v>
      </c>
      <c r="C455" s="2" t="n">
        <v>45694</v>
      </c>
      <c r="D455" t="inlineStr">
        <is>
          <t>CUST-00454</t>
        </is>
      </c>
      <c r="E455" t="inlineStr">
        <is>
          <t>Customer 454</t>
        </is>
      </c>
      <c r="F455" t="inlineStr">
        <is>
          <t>Consumer</t>
        </is>
      </c>
      <c r="G455" t="inlineStr">
        <is>
          <t>P1001</t>
        </is>
      </c>
      <c r="H455" t="inlineStr">
        <is>
          <t>SmartInk Pen Set</t>
        </is>
      </c>
      <c r="I455" t="inlineStr">
        <is>
          <t>Furniture</t>
        </is>
      </c>
      <c r="J455" t="inlineStr">
        <is>
          <t>Lighting</t>
        </is>
      </c>
      <c r="K455" t="inlineStr">
        <is>
          <t>Central</t>
        </is>
      </c>
      <c r="L455" t="inlineStr">
        <is>
          <t>Minnesota</t>
        </is>
      </c>
      <c r="M455" t="inlineStr">
        <is>
          <t>Kansas City</t>
        </is>
      </c>
      <c r="N455" t="inlineStr">
        <is>
          <t>Mia Rodriguez</t>
        </is>
      </c>
      <c r="O455" t="n">
        <v>3</v>
      </c>
      <c r="P455" s="3" t="n">
        <v>283.77</v>
      </c>
      <c r="Q455" s="4" t="n">
        <v>0</v>
      </c>
      <c r="R455" s="3" t="n">
        <v>851.3099999999999</v>
      </c>
      <c r="S455" s="3" t="n">
        <v>504.02</v>
      </c>
      <c r="T455" s="3" t="n">
        <v>338.89</v>
      </c>
      <c r="U455" s="4" t="n">
        <v>0.3981</v>
      </c>
      <c r="V455" s="3" t="n">
        <v>8.4</v>
      </c>
      <c r="W455" t="inlineStr">
        <is>
          <t>Credit Card</t>
        </is>
      </c>
      <c r="X455" t="inlineStr">
        <is>
          <t>Medium</t>
        </is>
      </c>
      <c r="Y455" t="n">
        <v>2025</v>
      </c>
      <c r="Z455" t="n">
        <v>2</v>
      </c>
      <c r="AA455" t="inlineStr">
        <is>
          <t>Feb</t>
        </is>
      </c>
      <c r="AB455" t="inlineStr">
        <is>
          <t>Wednesday</t>
        </is>
      </c>
      <c r="AC455" t="n">
        <v>1</v>
      </c>
      <c r="AD455" t="inlineStr">
        <is>
          <t>Profitable</t>
        </is>
      </c>
      <c r="AE455" t="inlineStr">
        <is>
          <t>Low</t>
        </is>
      </c>
      <c r="AF455" t="inlineStr">
        <is>
          <t>Medium</t>
        </is>
      </c>
    </row>
    <row r="456">
      <c r="A456" t="inlineStr">
        <is>
          <t>ORD-00455</t>
        </is>
      </c>
      <c r="B456" s="2" t="n">
        <v>45280</v>
      </c>
      <c r="C456" s="2" t="n">
        <v>45286</v>
      </c>
      <c r="D456" t="inlineStr">
        <is>
          <t>CUST-00455</t>
        </is>
      </c>
      <c r="E456" t="inlineStr">
        <is>
          <t>Customer 455</t>
        </is>
      </c>
      <c r="F456" t="inlineStr">
        <is>
          <t>Corporate</t>
        </is>
      </c>
      <c r="G456" t="inlineStr">
        <is>
          <t>P1009</t>
        </is>
      </c>
      <c r="H456" t="inlineStr">
        <is>
          <t>Harbor Rug</t>
        </is>
      </c>
      <c r="I456" t="inlineStr">
        <is>
          <t>Office Supplies</t>
        </is>
      </c>
      <c r="J456" t="inlineStr">
        <is>
          <t>Video</t>
        </is>
      </c>
      <c r="K456" t="inlineStr">
        <is>
          <t>Central</t>
        </is>
      </c>
      <c r="L456" t="inlineStr">
        <is>
          <t>Minnesota</t>
        </is>
      </c>
      <c r="M456" t="inlineStr">
        <is>
          <t>Chicago</t>
        </is>
      </c>
      <c r="N456" t="inlineStr">
        <is>
          <t>Mia Rodriguez</t>
        </is>
      </c>
      <c r="O456" t="n">
        <v>5</v>
      </c>
      <c r="P456" s="3" t="n">
        <v>93.26000000000001</v>
      </c>
      <c r="Q456" s="4" t="n">
        <v>0.053</v>
      </c>
      <c r="R456" s="3" t="n">
        <v>441.59</v>
      </c>
      <c r="S456" s="3" t="n">
        <v>216.59</v>
      </c>
      <c r="T456" s="3" t="n">
        <v>215</v>
      </c>
      <c r="U456" s="4" t="n">
        <v>0.4869</v>
      </c>
      <c r="V456" s="3" t="n">
        <v>10</v>
      </c>
      <c r="W456" t="inlineStr">
        <is>
          <t>PayPal</t>
        </is>
      </c>
      <c r="X456" t="inlineStr">
        <is>
          <t>High</t>
        </is>
      </c>
      <c r="Y456" t="n">
        <v>2023</v>
      </c>
      <c r="Z456" t="n">
        <v>12</v>
      </c>
      <c r="AA456" t="inlineStr">
        <is>
          <t>Dec</t>
        </is>
      </c>
      <c r="AB456" t="inlineStr">
        <is>
          <t>Wednesday</t>
        </is>
      </c>
      <c r="AC456" t="n">
        <v>6</v>
      </c>
      <c r="AD456" t="inlineStr">
        <is>
          <t>Profitable</t>
        </is>
      </c>
      <c r="AE456" t="inlineStr">
        <is>
          <t>High</t>
        </is>
      </c>
      <c r="AF456" t="inlineStr">
        <is>
          <t>Small</t>
        </is>
      </c>
    </row>
    <row r="457">
      <c r="A457" t="inlineStr">
        <is>
          <t>ORD-00456</t>
        </is>
      </c>
      <c r="B457" s="2" t="n">
        <v>45524</v>
      </c>
      <c r="C457" s="2" t="n">
        <v>45531</v>
      </c>
      <c r="D457" t="inlineStr">
        <is>
          <t>CUST-00456</t>
        </is>
      </c>
      <c r="E457" t="inlineStr">
        <is>
          <t>Customer 456</t>
        </is>
      </c>
      <c r="F457" t="inlineStr">
        <is>
          <t>Consumer</t>
        </is>
      </c>
      <c r="G457" t="inlineStr">
        <is>
          <t>P1013</t>
        </is>
      </c>
      <c r="H457" t="inlineStr">
        <is>
          <t>Harbor Rug</t>
        </is>
      </c>
      <c r="I457" t="inlineStr">
        <is>
          <t>Office Supplies</t>
        </is>
      </c>
      <c r="J457" t="inlineStr">
        <is>
          <t>Bags</t>
        </is>
      </c>
      <c r="K457" t="inlineStr">
        <is>
          <t>South</t>
        </is>
      </c>
      <c r="L457" t="inlineStr">
        <is>
          <t>Georgia</t>
        </is>
      </c>
      <c r="M457" t="inlineStr">
        <is>
          <t>Dallas</t>
        </is>
      </c>
      <c r="N457" t="inlineStr">
        <is>
          <t>Olivia Martin</t>
        </is>
      </c>
      <c r="O457" t="n">
        <v>3</v>
      </c>
      <c r="P457" s="3" t="n">
        <v>156.17</v>
      </c>
      <c r="Q457" s="4" t="n">
        <v>0.004</v>
      </c>
      <c r="R457" s="3" t="n">
        <v>466.64</v>
      </c>
      <c r="S457" s="3" t="n">
        <v>272.33</v>
      </c>
      <c r="T457" s="3" t="n">
        <v>185.91</v>
      </c>
      <c r="U457" s="4" t="n">
        <v>0.3984</v>
      </c>
      <c r="V457" s="3" t="n">
        <v>8.4</v>
      </c>
      <c r="W457" t="inlineStr">
        <is>
          <t>PayPal</t>
        </is>
      </c>
      <c r="X457" t="inlineStr">
        <is>
          <t>Low</t>
        </is>
      </c>
      <c r="Y457" t="n">
        <v>2024</v>
      </c>
      <c r="Z457" t="n">
        <v>8</v>
      </c>
      <c r="AA457" t="inlineStr">
        <is>
          <t>Aug</t>
        </is>
      </c>
      <c r="AB457" t="inlineStr">
        <is>
          <t>Tuesday</t>
        </is>
      </c>
      <c r="AC457" t="n">
        <v>7</v>
      </c>
      <c r="AD457" t="inlineStr">
        <is>
          <t>Profitable</t>
        </is>
      </c>
      <c r="AE457" t="inlineStr">
        <is>
          <t>Low</t>
        </is>
      </c>
      <c r="AF457" t="inlineStr">
        <is>
          <t>Small</t>
        </is>
      </c>
    </row>
    <row r="458">
      <c r="A458" t="inlineStr">
        <is>
          <t>ORD-00457</t>
        </is>
      </c>
      <c r="B458" s="2" t="n">
        <v>45174</v>
      </c>
      <c r="C458" s="2" t="n">
        <v>45178</v>
      </c>
      <c r="D458" t="inlineStr">
        <is>
          <t>CUST-00457</t>
        </is>
      </c>
      <c r="E458" t="inlineStr">
        <is>
          <t>Customer 457</t>
        </is>
      </c>
      <c r="F458" t="inlineStr">
        <is>
          <t>Consumer</t>
        </is>
      </c>
      <c r="G458" t="inlineStr">
        <is>
          <t>P1016</t>
        </is>
      </c>
      <c r="H458" t="inlineStr">
        <is>
          <t>SmartInk Pen Set</t>
        </is>
      </c>
      <c r="I458" t="inlineStr">
        <is>
          <t>Furniture</t>
        </is>
      </c>
      <c r="J458" t="inlineStr">
        <is>
          <t>Writing</t>
        </is>
      </c>
      <c r="K458" t="inlineStr">
        <is>
          <t>Central</t>
        </is>
      </c>
      <c r="L458" t="inlineStr">
        <is>
          <t>Minnesota</t>
        </is>
      </c>
      <c r="M458" t="inlineStr">
        <is>
          <t>Minneapolis</t>
        </is>
      </c>
      <c r="N458" t="inlineStr">
        <is>
          <t>Mia Rodriguez</t>
        </is>
      </c>
      <c r="O458" t="n">
        <v>2</v>
      </c>
      <c r="P458" s="3" t="n">
        <v>36.4</v>
      </c>
      <c r="Q458" s="4" t="n">
        <v>0.026</v>
      </c>
      <c r="R458" s="3" t="n">
        <v>70.91</v>
      </c>
      <c r="S458" s="3" t="n">
        <v>33.79</v>
      </c>
      <c r="T458" s="3" t="n">
        <v>29.52</v>
      </c>
      <c r="U458" s="4" t="n">
        <v>0.4163</v>
      </c>
      <c r="V458" s="3" t="n">
        <v>7.6</v>
      </c>
      <c r="W458" t="inlineStr">
        <is>
          <t>Credit Card</t>
        </is>
      </c>
      <c r="X458" t="inlineStr">
        <is>
          <t>Critical</t>
        </is>
      </c>
      <c r="Y458" t="n">
        <v>2023</v>
      </c>
      <c r="Z458" t="n">
        <v>9</v>
      </c>
      <c r="AA458" t="inlineStr">
        <is>
          <t>Sep</t>
        </is>
      </c>
      <c r="AB458" t="inlineStr">
        <is>
          <t>Tuesday</t>
        </is>
      </c>
      <c r="AC458" t="n">
        <v>4</v>
      </c>
      <c r="AD458" t="inlineStr">
        <is>
          <t>Profitable</t>
        </is>
      </c>
      <c r="AE458" t="inlineStr">
        <is>
          <t>Medium</t>
        </is>
      </c>
      <c r="AF458" t="inlineStr">
        <is>
          <t>Small</t>
        </is>
      </c>
    </row>
    <row r="459">
      <c r="A459" t="inlineStr">
        <is>
          <t>ORD-00458</t>
        </is>
      </c>
      <c r="B459" s="2" t="n">
        <v>45606</v>
      </c>
      <c r="C459" s="2" t="n">
        <v>45609</v>
      </c>
      <c r="D459" t="inlineStr">
        <is>
          <t>CUST-00458</t>
        </is>
      </c>
      <c r="E459" t="inlineStr">
        <is>
          <t>Customer 458</t>
        </is>
      </c>
      <c r="F459" t="inlineStr">
        <is>
          <t>Consumer</t>
        </is>
      </c>
      <c r="G459" t="inlineStr">
        <is>
          <t>P1019</t>
        </is>
      </c>
      <c r="H459" t="inlineStr">
        <is>
          <t>Cove Wall Clock</t>
        </is>
      </c>
      <c r="I459" t="inlineStr">
        <is>
          <t>Office Supplies</t>
        </is>
      </c>
      <c r="J459" t="inlineStr">
        <is>
          <t>Decor</t>
        </is>
      </c>
      <c r="K459" t="inlineStr">
        <is>
          <t>North</t>
        </is>
      </c>
      <c r="L459" t="inlineStr">
        <is>
          <t>British Columbia</t>
        </is>
      </c>
      <c r="M459" t="inlineStr">
        <is>
          <t>Vancouver</t>
        </is>
      </c>
      <c r="N459" t="inlineStr">
        <is>
          <t>Sophia Singh</t>
        </is>
      </c>
      <c r="O459" t="n">
        <v>2</v>
      </c>
      <c r="P459" s="3" t="n">
        <v>61.96</v>
      </c>
      <c r="Q459" s="4" t="n">
        <v>0.044</v>
      </c>
      <c r="R459" s="3" t="n">
        <v>118.47</v>
      </c>
      <c r="S459" s="3" t="n">
        <v>55.96</v>
      </c>
      <c r="T459" s="3" t="n">
        <v>54.91</v>
      </c>
      <c r="U459" s="4" t="n">
        <v>0.4635</v>
      </c>
      <c r="V459" s="3" t="n">
        <v>7.6</v>
      </c>
      <c r="W459" t="inlineStr">
        <is>
          <t>Credit Card</t>
        </is>
      </c>
      <c r="X459" t="inlineStr">
        <is>
          <t>High</t>
        </is>
      </c>
      <c r="Y459" t="n">
        <v>2024</v>
      </c>
      <c r="Z459" t="n">
        <v>11</v>
      </c>
      <c r="AA459" t="inlineStr">
        <is>
          <t>Nov</t>
        </is>
      </c>
      <c r="AB459" t="inlineStr">
        <is>
          <t>Sunday</t>
        </is>
      </c>
      <c r="AC459" t="n">
        <v>3</v>
      </c>
      <c r="AD459" t="inlineStr">
        <is>
          <t>Profitable</t>
        </is>
      </c>
      <c r="AE459" t="inlineStr">
        <is>
          <t>Medium</t>
        </is>
      </c>
      <c r="AF459" t="inlineStr">
        <is>
          <t>Small</t>
        </is>
      </c>
    </row>
    <row r="460">
      <c r="A460" t="inlineStr">
        <is>
          <t>ORD-00459</t>
        </is>
      </c>
      <c r="B460" s="2" t="n">
        <v>45001</v>
      </c>
      <c r="C460" s="2" t="n">
        <v>45005</v>
      </c>
      <c r="D460" t="inlineStr">
        <is>
          <t>CUST-00459</t>
        </is>
      </c>
      <c r="E460" t="inlineStr">
        <is>
          <t>Customer 459</t>
        </is>
      </c>
      <c r="F460" t="inlineStr">
        <is>
          <t>Consumer</t>
        </is>
      </c>
      <c r="G460" t="inlineStr">
        <is>
          <t>P1010</t>
        </is>
      </c>
      <c r="H460" t="inlineStr">
        <is>
          <t>Lumen Desk Lamp</t>
        </is>
      </c>
      <c r="I460" t="inlineStr">
        <is>
          <t>Home Decor</t>
        </is>
      </c>
      <c r="J460" t="inlineStr">
        <is>
          <t>Lighting</t>
        </is>
      </c>
      <c r="K460" t="inlineStr">
        <is>
          <t>South</t>
        </is>
      </c>
      <c r="L460" t="inlineStr">
        <is>
          <t>Georgia</t>
        </is>
      </c>
      <c r="M460" t="inlineStr">
        <is>
          <t>Atlanta</t>
        </is>
      </c>
      <c r="N460" t="inlineStr">
        <is>
          <t>Mia Rodriguez</t>
        </is>
      </c>
      <c r="O460" t="n">
        <v>3</v>
      </c>
      <c r="P460" s="3" t="n">
        <v>55.02</v>
      </c>
      <c r="Q460" s="4" t="n">
        <v>0.04</v>
      </c>
      <c r="R460" s="3" t="n">
        <v>158.46</v>
      </c>
      <c r="S460" s="3" t="n">
        <v>74.81999999999999</v>
      </c>
      <c r="T460" s="3" t="n">
        <v>75.23999999999999</v>
      </c>
      <c r="U460" s="4" t="n">
        <v>0.4748</v>
      </c>
      <c r="V460" s="3" t="n">
        <v>8.4</v>
      </c>
      <c r="W460" t="inlineStr">
        <is>
          <t>Cash on Delivery</t>
        </is>
      </c>
      <c r="X460" t="inlineStr">
        <is>
          <t>High</t>
        </is>
      </c>
      <c r="Y460" t="n">
        <v>2023</v>
      </c>
      <c r="Z460" t="n">
        <v>3</v>
      </c>
      <c r="AA460" t="inlineStr">
        <is>
          <t>Mar</t>
        </is>
      </c>
      <c r="AB460" t="inlineStr">
        <is>
          <t>Thursday</t>
        </is>
      </c>
      <c r="AC460" t="n">
        <v>4</v>
      </c>
      <c r="AD460" t="inlineStr">
        <is>
          <t>Profitable</t>
        </is>
      </c>
      <c r="AE460" t="inlineStr">
        <is>
          <t>Medium</t>
        </is>
      </c>
      <c r="AF460" t="inlineStr">
        <is>
          <t>Small</t>
        </is>
      </c>
    </row>
    <row r="461">
      <c r="A461" t="inlineStr">
        <is>
          <t>ORD-00460</t>
        </is>
      </c>
      <c r="B461" s="2" t="n">
        <v>44951</v>
      </c>
      <c r="C461" s="2" t="n">
        <v>44958</v>
      </c>
      <c r="D461" t="inlineStr">
        <is>
          <t>CUST-00460</t>
        </is>
      </c>
      <c r="E461" t="inlineStr">
        <is>
          <t>Customer 460</t>
        </is>
      </c>
      <c r="F461" t="inlineStr">
        <is>
          <t>Home Office</t>
        </is>
      </c>
      <c r="G461" t="inlineStr">
        <is>
          <t>P1005</t>
        </is>
      </c>
      <c r="H461" t="inlineStr">
        <is>
          <t>Nimbus Monitor Arm</t>
        </is>
      </c>
      <c r="I461" t="inlineStr">
        <is>
          <t>Office Supplies</t>
        </is>
      </c>
      <c r="J461" t="inlineStr">
        <is>
          <t>Video</t>
        </is>
      </c>
      <c r="K461" t="inlineStr">
        <is>
          <t>South</t>
        </is>
      </c>
      <c r="L461" t="inlineStr">
        <is>
          <t>Georgia</t>
        </is>
      </c>
      <c r="M461" t="inlineStr">
        <is>
          <t>Miami</t>
        </is>
      </c>
      <c r="N461" t="inlineStr">
        <is>
          <t>Olivia Martin</t>
        </is>
      </c>
      <c r="O461" t="n">
        <v>2</v>
      </c>
      <c r="P461" s="3" t="n">
        <v>11.97</v>
      </c>
      <c r="Q461" s="4" t="n">
        <v>0.042</v>
      </c>
      <c r="R461" s="3" t="n">
        <v>22.93</v>
      </c>
      <c r="S461" s="3" t="n">
        <v>18.32</v>
      </c>
      <c r="T461" s="3" t="n">
        <v>-2.99</v>
      </c>
      <c r="U461" s="4" t="n">
        <v>-0.1304</v>
      </c>
      <c r="V461" s="3" t="n">
        <v>7.6</v>
      </c>
      <c r="W461" t="inlineStr">
        <is>
          <t>Credit Card</t>
        </is>
      </c>
      <c r="X461" t="inlineStr">
        <is>
          <t>High</t>
        </is>
      </c>
      <c r="Y461" t="n">
        <v>2023</v>
      </c>
      <c r="Z461" t="n">
        <v>1</v>
      </c>
      <c r="AA461" t="inlineStr">
        <is>
          <t>Jan</t>
        </is>
      </c>
      <c r="AB461" t="inlineStr">
        <is>
          <t>Wednesday</t>
        </is>
      </c>
      <c r="AC461" t="n">
        <v>7</v>
      </c>
      <c r="AD461" t="inlineStr">
        <is>
          <t>Unprofitable</t>
        </is>
      </c>
      <c r="AE461" t="inlineStr">
        <is>
          <t>Medium</t>
        </is>
      </c>
      <c r="AF461" t="inlineStr">
        <is>
          <t>Small</t>
        </is>
      </c>
    </row>
    <row r="462">
      <c r="A462" t="inlineStr">
        <is>
          <t>ORD-00461</t>
        </is>
      </c>
      <c r="B462" s="2" t="n">
        <v>45242</v>
      </c>
      <c r="C462" s="2" t="n">
        <v>45247</v>
      </c>
      <c r="D462" t="inlineStr">
        <is>
          <t>CUST-00461</t>
        </is>
      </c>
      <c r="E462" t="inlineStr">
        <is>
          <t>Customer 461</t>
        </is>
      </c>
      <c r="F462" t="inlineStr">
        <is>
          <t>Consumer</t>
        </is>
      </c>
      <c r="G462" t="inlineStr">
        <is>
          <t>P1014</t>
        </is>
      </c>
      <c r="H462" t="inlineStr">
        <is>
          <t>Aero Standing Desk</t>
        </is>
      </c>
      <c r="I462" t="inlineStr">
        <is>
          <t>Furniture</t>
        </is>
      </c>
      <c r="J462" t="inlineStr">
        <is>
          <t>Accessories</t>
        </is>
      </c>
      <c r="K462" t="inlineStr">
        <is>
          <t>South</t>
        </is>
      </c>
      <c r="L462" t="inlineStr">
        <is>
          <t>Texas</t>
        </is>
      </c>
      <c r="M462" t="inlineStr">
        <is>
          <t>Dallas</t>
        </is>
      </c>
      <c r="N462" t="inlineStr">
        <is>
          <t>Liam Chen</t>
        </is>
      </c>
      <c r="O462" t="n">
        <v>2</v>
      </c>
      <c r="P462" s="3" t="n">
        <v>45.01</v>
      </c>
      <c r="Q462" s="4" t="n">
        <v>0.012</v>
      </c>
      <c r="R462" s="3" t="n">
        <v>88.94</v>
      </c>
      <c r="S462" s="3" t="n">
        <v>46.04</v>
      </c>
      <c r="T462" s="3" t="n">
        <v>35.3</v>
      </c>
      <c r="U462" s="4" t="n">
        <v>0.3969</v>
      </c>
      <c r="V462" s="3" t="n">
        <v>7.6</v>
      </c>
      <c r="W462" t="inlineStr">
        <is>
          <t>Debit Card</t>
        </is>
      </c>
      <c r="X462" t="inlineStr">
        <is>
          <t>Low</t>
        </is>
      </c>
      <c r="Y462" t="n">
        <v>2023</v>
      </c>
      <c r="Z462" t="n">
        <v>11</v>
      </c>
      <c r="AA462" t="inlineStr">
        <is>
          <t>Nov</t>
        </is>
      </c>
      <c r="AB462" t="inlineStr">
        <is>
          <t>Sunday</t>
        </is>
      </c>
      <c r="AC462" t="n">
        <v>5</v>
      </c>
      <c r="AD462" t="inlineStr">
        <is>
          <t>Profitable</t>
        </is>
      </c>
      <c r="AE462" t="inlineStr">
        <is>
          <t>Low</t>
        </is>
      </c>
      <c r="AF462" t="inlineStr">
        <is>
          <t>Small</t>
        </is>
      </c>
    </row>
    <row r="463">
      <c r="A463" t="inlineStr">
        <is>
          <t>ORD-00462</t>
        </is>
      </c>
      <c r="B463" s="2" t="n">
        <v>45437</v>
      </c>
      <c r="C463" s="2" t="n">
        <v>45441</v>
      </c>
      <c r="D463" t="inlineStr">
        <is>
          <t>CUST-00462</t>
        </is>
      </c>
      <c r="E463" t="inlineStr">
        <is>
          <t>Customer 462</t>
        </is>
      </c>
      <c r="F463" t="inlineStr">
        <is>
          <t>Corporate</t>
        </is>
      </c>
      <c r="G463" t="inlineStr">
        <is>
          <t>P1015</t>
        </is>
      </c>
      <c r="H463" t="inlineStr">
        <is>
          <t>CloudDrive File Box</t>
        </is>
      </c>
      <c r="I463" t="inlineStr">
        <is>
          <t>Home Decor</t>
        </is>
      </c>
      <c r="J463" t="inlineStr">
        <is>
          <t>Video</t>
        </is>
      </c>
      <c r="K463" t="inlineStr">
        <is>
          <t>East</t>
        </is>
      </c>
      <c r="L463" t="inlineStr">
        <is>
          <t>New York</t>
        </is>
      </c>
      <c r="M463" t="inlineStr">
        <is>
          <t>Boston</t>
        </is>
      </c>
      <c r="N463" t="inlineStr">
        <is>
          <t>Olivia Martin</t>
        </is>
      </c>
      <c r="O463" t="n">
        <v>3</v>
      </c>
      <c r="P463" s="3" t="n">
        <v>70.47</v>
      </c>
      <c r="Q463" s="4" t="n">
        <v>0.021</v>
      </c>
      <c r="R463" s="3" t="n">
        <v>206.97</v>
      </c>
      <c r="S463" s="3" t="n">
        <v>96.75</v>
      </c>
      <c r="T463" s="3" t="n">
        <v>100.82</v>
      </c>
      <c r="U463" s="4" t="n">
        <v>0.4871</v>
      </c>
      <c r="V463" s="3" t="n">
        <v>9.4</v>
      </c>
      <c r="W463" t="inlineStr">
        <is>
          <t>Bank Transfer</t>
        </is>
      </c>
      <c r="X463" t="inlineStr">
        <is>
          <t>Low</t>
        </is>
      </c>
      <c r="Y463" t="n">
        <v>2024</v>
      </c>
      <c r="Z463" t="n">
        <v>5</v>
      </c>
      <c r="AA463" t="inlineStr">
        <is>
          <t>May</t>
        </is>
      </c>
      <c r="AB463" t="inlineStr">
        <is>
          <t>Saturday</t>
        </is>
      </c>
      <c r="AC463" t="n">
        <v>4</v>
      </c>
      <c r="AD463" t="inlineStr">
        <is>
          <t>Profitable</t>
        </is>
      </c>
      <c r="AE463" t="inlineStr">
        <is>
          <t>Medium</t>
        </is>
      </c>
      <c r="AF463" t="inlineStr">
        <is>
          <t>Small</t>
        </is>
      </c>
    </row>
    <row r="464">
      <c r="A464" t="inlineStr">
        <is>
          <t>ORD-00463</t>
        </is>
      </c>
      <c r="B464" s="2" t="n">
        <v>45730</v>
      </c>
      <c r="C464" s="2" t="n">
        <v>45734</v>
      </c>
      <c r="D464" t="inlineStr">
        <is>
          <t>CUST-00463</t>
        </is>
      </c>
      <c r="E464" t="inlineStr">
        <is>
          <t>Customer 463</t>
        </is>
      </c>
      <c r="F464" t="inlineStr">
        <is>
          <t>Home Office</t>
        </is>
      </c>
      <c r="G464" t="inlineStr">
        <is>
          <t>P1003</t>
        </is>
      </c>
      <c r="H464" t="inlineStr">
        <is>
          <t>ErgoMesh Chair</t>
        </is>
      </c>
      <c r="I464" t="inlineStr">
        <is>
          <t>Office Supplies</t>
        </is>
      </c>
      <c r="J464" t="inlineStr">
        <is>
          <t>Binders</t>
        </is>
      </c>
      <c r="K464" t="inlineStr">
        <is>
          <t>West</t>
        </is>
      </c>
      <c r="L464" t="inlineStr">
        <is>
          <t>Oregon</t>
        </is>
      </c>
      <c r="M464" t="inlineStr">
        <is>
          <t>Los Angeles</t>
        </is>
      </c>
      <c r="N464" t="inlineStr">
        <is>
          <t>James Carter</t>
        </is>
      </c>
      <c r="O464" t="n">
        <v>1</v>
      </c>
      <c r="P464" s="3" t="n">
        <v>157.7</v>
      </c>
      <c r="Q464" s="4" t="n">
        <v>0.025</v>
      </c>
      <c r="R464" s="3" t="n">
        <v>153.76</v>
      </c>
      <c r="S464" s="3" t="n">
        <v>89.09</v>
      </c>
      <c r="T464" s="3" t="n">
        <v>56.87</v>
      </c>
      <c r="U464" s="4" t="n">
        <v>0.3699</v>
      </c>
      <c r="V464" s="3" t="n">
        <v>7.8</v>
      </c>
      <c r="W464" t="inlineStr">
        <is>
          <t>PayPal</t>
        </is>
      </c>
      <c r="X464" t="inlineStr">
        <is>
          <t>Medium</t>
        </is>
      </c>
      <c r="Y464" t="n">
        <v>2025</v>
      </c>
      <c r="Z464" t="n">
        <v>3</v>
      </c>
      <c r="AA464" t="inlineStr">
        <is>
          <t>Mar</t>
        </is>
      </c>
      <c r="AB464" t="inlineStr">
        <is>
          <t>Friday</t>
        </is>
      </c>
      <c r="AC464" t="n">
        <v>4</v>
      </c>
      <c r="AD464" t="inlineStr">
        <is>
          <t>Profitable</t>
        </is>
      </c>
      <c r="AE464" t="inlineStr">
        <is>
          <t>Medium</t>
        </is>
      </c>
      <c r="AF464" t="inlineStr">
        <is>
          <t>Small</t>
        </is>
      </c>
    </row>
    <row r="465">
      <c r="A465" t="inlineStr">
        <is>
          <t>ORD-00464</t>
        </is>
      </c>
      <c r="B465" s="2" t="n">
        <v>45495</v>
      </c>
      <c r="C465" s="2" t="n">
        <v>45500</v>
      </c>
      <c r="D465" t="inlineStr">
        <is>
          <t>CUST-00464</t>
        </is>
      </c>
      <c r="E465" t="inlineStr">
        <is>
          <t>Customer 464</t>
        </is>
      </c>
      <c r="F465" t="inlineStr">
        <is>
          <t>Consumer</t>
        </is>
      </c>
      <c r="G465" t="inlineStr">
        <is>
          <t>P1009</t>
        </is>
      </c>
      <c r="H465" t="inlineStr">
        <is>
          <t>Nova Laptop Stand</t>
        </is>
      </c>
      <c r="I465" t="inlineStr">
        <is>
          <t>Home Decor</t>
        </is>
      </c>
      <c r="J465" t="inlineStr">
        <is>
          <t>Binders</t>
        </is>
      </c>
      <c r="K465" t="inlineStr">
        <is>
          <t>South</t>
        </is>
      </c>
      <c r="L465" t="inlineStr">
        <is>
          <t>Florida</t>
        </is>
      </c>
      <c r="M465" t="inlineStr">
        <is>
          <t>Dallas</t>
        </is>
      </c>
      <c r="N465" t="inlineStr">
        <is>
          <t>Liam Chen</t>
        </is>
      </c>
      <c r="O465" t="n">
        <v>4</v>
      </c>
      <c r="P465" s="3" t="n">
        <v>89.14</v>
      </c>
      <c r="Q465" s="4" t="n">
        <v>0.05</v>
      </c>
      <c r="R465" s="3" t="n">
        <v>338.73</v>
      </c>
      <c r="S465" s="3" t="n">
        <v>166.68</v>
      </c>
      <c r="T465" s="3" t="n">
        <v>162.85</v>
      </c>
      <c r="U465" s="4" t="n">
        <v>0.4808</v>
      </c>
      <c r="V465" s="3" t="n">
        <v>9.199999999999999</v>
      </c>
      <c r="W465" t="inlineStr">
        <is>
          <t>PayPal</t>
        </is>
      </c>
      <c r="X465" t="inlineStr">
        <is>
          <t>High</t>
        </is>
      </c>
      <c r="Y465" t="n">
        <v>2024</v>
      </c>
      <c r="Z465" t="n">
        <v>7</v>
      </c>
      <c r="AA465" t="inlineStr">
        <is>
          <t>Jul</t>
        </is>
      </c>
      <c r="AB465" t="inlineStr">
        <is>
          <t>Monday</t>
        </is>
      </c>
      <c r="AC465" t="n">
        <v>5</v>
      </c>
      <c r="AD465" t="inlineStr">
        <is>
          <t>Profitable</t>
        </is>
      </c>
      <c r="AE465" t="inlineStr">
        <is>
          <t>High</t>
        </is>
      </c>
      <c r="AF465" t="inlineStr">
        <is>
          <t>Small</t>
        </is>
      </c>
    </row>
    <row r="466">
      <c r="A466" t="inlineStr">
        <is>
          <t>ORD-00465</t>
        </is>
      </c>
      <c r="B466" s="2" t="n">
        <v>45880</v>
      </c>
      <c r="C466" s="2" t="n">
        <v>45885</v>
      </c>
      <c r="D466" t="inlineStr">
        <is>
          <t>CUST-00465</t>
        </is>
      </c>
      <c r="E466" t="inlineStr">
        <is>
          <t>Customer 465</t>
        </is>
      </c>
      <c r="F466" t="inlineStr">
        <is>
          <t>Consumer</t>
        </is>
      </c>
      <c r="G466" t="inlineStr">
        <is>
          <t>P1001</t>
        </is>
      </c>
      <c r="H466" t="inlineStr">
        <is>
          <t>Summit Patio Set</t>
        </is>
      </c>
      <c r="I466" t="inlineStr">
        <is>
          <t>Office Supplies</t>
        </is>
      </c>
      <c r="J466" t="inlineStr">
        <is>
          <t>Lighting</t>
        </is>
      </c>
      <c r="K466" t="inlineStr">
        <is>
          <t>South</t>
        </is>
      </c>
      <c r="L466" t="inlineStr">
        <is>
          <t>Georgia</t>
        </is>
      </c>
      <c r="M466" t="inlineStr">
        <is>
          <t>Miami</t>
        </is>
      </c>
      <c r="N466" t="inlineStr">
        <is>
          <t>Liam Chen</t>
        </is>
      </c>
      <c r="O466" t="n">
        <v>4</v>
      </c>
      <c r="P466" s="3" t="n">
        <v>298.06</v>
      </c>
      <c r="Q466" s="4" t="n">
        <v>0.046</v>
      </c>
      <c r="R466" s="3" t="n">
        <v>1137.4</v>
      </c>
      <c r="S466" s="3" t="n">
        <v>666</v>
      </c>
      <c r="T466" s="3" t="n">
        <v>462.2</v>
      </c>
      <c r="U466" s="4" t="n">
        <v>0.4064</v>
      </c>
      <c r="V466" s="3" t="n">
        <v>9.199999999999999</v>
      </c>
      <c r="W466" t="inlineStr">
        <is>
          <t>PayPal</t>
        </is>
      </c>
      <c r="X466" t="inlineStr">
        <is>
          <t>High</t>
        </is>
      </c>
      <c r="Y466" t="n">
        <v>2025</v>
      </c>
      <c r="Z466" t="n">
        <v>8</v>
      </c>
      <c r="AA466" t="inlineStr">
        <is>
          <t>Aug</t>
        </is>
      </c>
      <c r="AB466" t="inlineStr">
        <is>
          <t>Monday</t>
        </is>
      </c>
      <c r="AC466" t="n">
        <v>5</v>
      </c>
      <c r="AD466" t="inlineStr">
        <is>
          <t>Profitable</t>
        </is>
      </c>
      <c r="AE466" t="inlineStr">
        <is>
          <t>Medium</t>
        </is>
      </c>
      <c r="AF466" t="inlineStr">
        <is>
          <t>Medium</t>
        </is>
      </c>
    </row>
    <row r="467">
      <c r="A467" t="inlineStr">
        <is>
          <t>ORD-00466</t>
        </is>
      </c>
      <c r="B467" s="2" t="n">
        <v>45319</v>
      </c>
      <c r="C467" s="2" t="n">
        <v>45326</v>
      </c>
      <c r="D467" t="inlineStr">
        <is>
          <t>CUST-00466</t>
        </is>
      </c>
      <c r="E467" t="inlineStr">
        <is>
          <t>Customer 466</t>
        </is>
      </c>
      <c r="F467" t="inlineStr">
        <is>
          <t>Corporate</t>
        </is>
      </c>
      <c r="G467" t="inlineStr">
        <is>
          <t>P1001</t>
        </is>
      </c>
      <c r="H467" t="inlineStr">
        <is>
          <t>Tide Cooler</t>
        </is>
      </c>
      <c r="I467" t="inlineStr">
        <is>
          <t>Office Supplies</t>
        </is>
      </c>
      <c r="J467" t="inlineStr">
        <is>
          <t>Bags</t>
        </is>
      </c>
      <c r="K467" t="inlineStr">
        <is>
          <t>East</t>
        </is>
      </c>
      <c r="L467" t="inlineStr">
        <is>
          <t>Massachusetts</t>
        </is>
      </c>
      <c r="M467" t="inlineStr">
        <is>
          <t>Washington</t>
        </is>
      </c>
      <c r="N467" t="inlineStr">
        <is>
          <t>Noah Kim</t>
        </is>
      </c>
      <c r="O467" t="n">
        <v>4</v>
      </c>
      <c r="P467" s="3" t="n">
        <v>290.78</v>
      </c>
      <c r="Q467" s="4" t="n">
        <v>0.018</v>
      </c>
      <c r="R467" s="3" t="n">
        <v>1142.18</v>
      </c>
      <c r="S467" s="3" t="n">
        <v>672.0599999999999</v>
      </c>
      <c r="T467" s="3" t="n">
        <v>459.92</v>
      </c>
      <c r="U467" s="4" t="n">
        <v>0.4027</v>
      </c>
      <c r="V467" s="3" t="n">
        <v>10.2</v>
      </c>
      <c r="W467" t="inlineStr">
        <is>
          <t>Credit Card</t>
        </is>
      </c>
      <c r="X467" t="inlineStr">
        <is>
          <t>Medium</t>
        </is>
      </c>
      <c r="Y467" t="n">
        <v>2024</v>
      </c>
      <c r="Z467" t="n">
        <v>1</v>
      </c>
      <c r="AA467" t="inlineStr">
        <is>
          <t>Jan</t>
        </is>
      </c>
      <c r="AB467" t="inlineStr">
        <is>
          <t>Sunday</t>
        </is>
      </c>
      <c r="AC467" t="n">
        <v>7</v>
      </c>
      <c r="AD467" t="inlineStr">
        <is>
          <t>Profitable</t>
        </is>
      </c>
      <c r="AE467" t="inlineStr">
        <is>
          <t>Low</t>
        </is>
      </c>
      <c r="AF467" t="inlineStr">
        <is>
          <t>Medium</t>
        </is>
      </c>
    </row>
    <row r="468">
      <c r="A468" t="inlineStr">
        <is>
          <t>ORD-00467</t>
        </is>
      </c>
      <c r="B468" s="2" t="n">
        <v>45065</v>
      </c>
      <c r="C468" s="2" t="n">
        <v>45068</v>
      </c>
      <c r="D468" t="inlineStr">
        <is>
          <t>CUST-00467</t>
        </is>
      </c>
      <c r="E468" t="inlineStr">
        <is>
          <t>Customer 467</t>
        </is>
      </c>
      <c r="F468" t="inlineStr">
        <is>
          <t>Consumer</t>
        </is>
      </c>
      <c r="G468" t="inlineStr">
        <is>
          <t>P1019</t>
        </is>
      </c>
      <c r="H468" t="inlineStr">
        <is>
          <t>SmartInk Pen Set</t>
        </is>
      </c>
      <c r="I468" t="inlineStr">
        <is>
          <t>Technology</t>
        </is>
      </c>
      <c r="J468" t="inlineStr">
        <is>
          <t>Binders</t>
        </is>
      </c>
      <c r="K468" t="inlineStr">
        <is>
          <t>North</t>
        </is>
      </c>
      <c r="L468" t="inlineStr">
        <is>
          <t>Ontario</t>
        </is>
      </c>
      <c r="M468" t="inlineStr">
        <is>
          <t>Vancouver</t>
        </is>
      </c>
      <c r="N468" t="inlineStr">
        <is>
          <t>Liam Chen</t>
        </is>
      </c>
      <c r="O468" t="n">
        <v>3</v>
      </c>
      <c r="P468" s="3" t="n">
        <v>56.6</v>
      </c>
      <c r="Q468" s="4" t="n">
        <v>0.01</v>
      </c>
      <c r="R468" s="3" t="n">
        <v>168.1</v>
      </c>
      <c r="S468" s="3" t="n">
        <v>78.06999999999999</v>
      </c>
      <c r="T468" s="3" t="n">
        <v>81.63</v>
      </c>
      <c r="U468" s="4" t="n">
        <v>0.4856</v>
      </c>
      <c r="V468" s="3" t="n">
        <v>8.4</v>
      </c>
      <c r="W468" t="inlineStr">
        <is>
          <t>Bank Transfer</t>
        </is>
      </c>
      <c r="X468" t="inlineStr">
        <is>
          <t>Medium</t>
        </is>
      </c>
      <c r="Y468" t="n">
        <v>2023</v>
      </c>
      <c r="Z468" t="n">
        <v>5</v>
      </c>
      <c r="AA468" t="inlineStr">
        <is>
          <t>May</t>
        </is>
      </c>
      <c r="AB468" t="inlineStr">
        <is>
          <t>Friday</t>
        </is>
      </c>
      <c r="AC468" t="n">
        <v>3</v>
      </c>
      <c r="AD468" t="inlineStr">
        <is>
          <t>Profitable</t>
        </is>
      </c>
      <c r="AE468" t="inlineStr">
        <is>
          <t>Low</t>
        </is>
      </c>
      <c r="AF468" t="inlineStr">
        <is>
          <t>Small</t>
        </is>
      </c>
    </row>
    <row r="469">
      <c r="A469" t="inlineStr">
        <is>
          <t>ORD-00468</t>
        </is>
      </c>
      <c r="B469" s="2" t="n">
        <v>45663</v>
      </c>
      <c r="C469" s="2" t="n">
        <v>45664</v>
      </c>
      <c r="D469" t="inlineStr">
        <is>
          <t>CUST-00468</t>
        </is>
      </c>
      <c r="E469" t="inlineStr">
        <is>
          <t>Customer 468</t>
        </is>
      </c>
      <c r="F469" t="inlineStr">
        <is>
          <t>Consumer</t>
        </is>
      </c>
      <c r="G469" t="inlineStr">
        <is>
          <t>P1006</t>
        </is>
      </c>
      <c r="H469" t="inlineStr">
        <is>
          <t>Nimbus Monitor Arm</t>
        </is>
      </c>
      <c r="I469" t="inlineStr">
        <is>
          <t>Home Decor</t>
        </is>
      </c>
      <c r="J469" t="inlineStr">
        <is>
          <t>Furniture</t>
        </is>
      </c>
      <c r="K469" t="inlineStr">
        <is>
          <t>Central</t>
        </is>
      </c>
      <c r="L469" t="inlineStr">
        <is>
          <t>Kansas</t>
        </is>
      </c>
      <c r="M469" t="inlineStr">
        <is>
          <t>Minneapolis</t>
        </is>
      </c>
      <c r="N469" t="inlineStr">
        <is>
          <t>Ava Patel</t>
        </is>
      </c>
      <c r="O469" t="n">
        <v>3</v>
      </c>
      <c r="P469" s="3" t="n">
        <v>17.22</v>
      </c>
      <c r="Q469" s="4" t="n">
        <v>0.001</v>
      </c>
      <c r="R469" s="3" t="n">
        <v>51.61</v>
      </c>
      <c r="S469" s="3" t="n">
        <v>21.89</v>
      </c>
      <c r="T469" s="3" t="n">
        <v>21.32</v>
      </c>
      <c r="U469" s="4" t="n">
        <v>0.4131</v>
      </c>
      <c r="V469" s="3" t="n">
        <v>8.4</v>
      </c>
      <c r="W469" t="inlineStr">
        <is>
          <t>Credit Card</t>
        </is>
      </c>
      <c r="X469" t="inlineStr">
        <is>
          <t>Low</t>
        </is>
      </c>
      <c r="Y469" t="n">
        <v>2025</v>
      </c>
      <c r="Z469" t="n">
        <v>1</v>
      </c>
      <c r="AA469" t="inlineStr">
        <is>
          <t>Jan</t>
        </is>
      </c>
      <c r="AB469" t="inlineStr">
        <is>
          <t>Monday</t>
        </is>
      </c>
      <c r="AC469" t="n">
        <v>1</v>
      </c>
      <c r="AD469" t="inlineStr">
        <is>
          <t>Profitable</t>
        </is>
      </c>
      <c r="AE469" t="inlineStr">
        <is>
          <t>Low</t>
        </is>
      </c>
      <c r="AF469" t="inlineStr">
        <is>
          <t>Small</t>
        </is>
      </c>
    </row>
    <row r="470">
      <c r="A470" t="inlineStr">
        <is>
          <t>ORD-00469</t>
        </is>
      </c>
      <c r="B470" s="2" t="n">
        <v>45087</v>
      </c>
      <c r="C470" s="2" t="n">
        <v>45092</v>
      </c>
      <c r="D470" t="inlineStr">
        <is>
          <t>CUST-00469</t>
        </is>
      </c>
      <c r="E470" t="inlineStr">
        <is>
          <t>Customer 469</t>
        </is>
      </c>
      <c r="F470" t="inlineStr">
        <is>
          <t>Consumer</t>
        </is>
      </c>
      <c r="G470" t="inlineStr">
        <is>
          <t>P1011</t>
        </is>
      </c>
      <c r="H470" t="inlineStr">
        <is>
          <t>Atlas Throw Pillow</t>
        </is>
      </c>
      <c r="I470" t="inlineStr">
        <is>
          <t>Technology</t>
        </is>
      </c>
      <c r="J470" t="inlineStr">
        <is>
          <t>Furniture</t>
        </is>
      </c>
      <c r="K470" t="inlineStr">
        <is>
          <t>East</t>
        </is>
      </c>
      <c r="L470" t="inlineStr">
        <is>
          <t>Massachusetts</t>
        </is>
      </c>
      <c r="M470" t="inlineStr">
        <is>
          <t>Boston</t>
        </is>
      </c>
      <c r="N470" t="inlineStr">
        <is>
          <t>Mia Rodriguez</t>
        </is>
      </c>
      <c r="O470" t="n">
        <v>4</v>
      </c>
      <c r="P470" s="3" t="n">
        <v>88.02</v>
      </c>
      <c r="Q470" s="4" t="n">
        <v>0.07099999999999999</v>
      </c>
      <c r="R470" s="3" t="n">
        <v>327.08</v>
      </c>
      <c r="S470" s="3" t="n">
        <v>158.51</v>
      </c>
      <c r="T470" s="3" t="n">
        <v>158.37</v>
      </c>
      <c r="U470" s="4" t="n">
        <v>0.4842</v>
      </c>
      <c r="V470" s="3" t="n">
        <v>10.2</v>
      </c>
      <c r="W470" t="inlineStr">
        <is>
          <t>Debit Card</t>
        </is>
      </c>
      <c r="X470" t="inlineStr">
        <is>
          <t>Critical</t>
        </is>
      </c>
      <c r="Y470" t="n">
        <v>2023</v>
      </c>
      <c r="Z470" t="n">
        <v>6</v>
      </c>
      <c r="AA470" t="inlineStr">
        <is>
          <t>Jun</t>
        </is>
      </c>
      <c r="AB470" t="inlineStr">
        <is>
          <t>Saturday</t>
        </is>
      </c>
      <c r="AC470" t="n">
        <v>5</v>
      </c>
      <c r="AD470" t="inlineStr">
        <is>
          <t>Profitable</t>
        </is>
      </c>
      <c r="AE470" t="inlineStr">
        <is>
          <t>High</t>
        </is>
      </c>
      <c r="AF470" t="inlineStr">
        <is>
          <t>Small</t>
        </is>
      </c>
    </row>
    <row r="471">
      <c r="A471" t="inlineStr">
        <is>
          <t>ORD-00470</t>
        </is>
      </c>
      <c r="B471" s="2" t="n">
        <v>46011</v>
      </c>
      <c r="C471" s="2" t="n">
        <v>46014</v>
      </c>
      <c r="D471" t="inlineStr">
        <is>
          <t>CUST-00470</t>
        </is>
      </c>
      <c r="E471" t="inlineStr">
        <is>
          <t>Customer 470</t>
        </is>
      </c>
      <c r="F471" t="inlineStr">
        <is>
          <t>Consumer</t>
        </is>
      </c>
      <c r="G471" t="inlineStr">
        <is>
          <t>P1018</t>
        </is>
      </c>
      <c r="H471" t="inlineStr">
        <is>
          <t>CloudDrive File Box</t>
        </is>
      </c>
      <c r="I471" t="inlineStr">
        <is>
          <t>Furniture</t>
        </is>
      </c>
      <c r="J471" t="inlineStr">
        <is>
          <t>Furniture</t>
        </is>
      </c>
      <c r="K471" t="inlineStr">
        <is>
          <t>West</t>
        </is>
      </c>
      <c r="L471" t="inlineStr">
        <is>
          <t>California</t>
        </is>
      </c>
      <c r="M471" t="inlineStr">
        <is>
          <t>Los Angeles</t>
        </is>
      </c>
      <c r="N471" t="inlineStr">
        <is>
          <t>Olivia Martin</t>
        </is>
      </c>
      <c r="O471" t="n">
        <v>2</v>
      </c>
      <c r="P471" s="3" t="n">
        <v>101.31</v>
      </c>
      <c r="Q471" s="4" t="n">
        <v>0.012</v>
      </c>
      <c r="R471" s="3" t="n">
        <v>200.19</v>
      </c>
      <c r="S471" s="3" t="n">
        <v>94.27</v>
      </c>
      <c r="T471" s="3" t="n">
        <v>97.31999999999999</v>
      </c>
      <c r="U471" s="4" t="n">
        <v>0.4861</v>
      </c>
      <c r="V471" s="3" t="n">
        <v>8.6</v>
      </c>
      <c r="W471" t="inlineStr">
        <is>
          <t>Cash on Delivery</t>
        </is>
      </c>
      <c r="X471" t="inlineStr">
        <is>
          <t>Medium</t>
        </is>
      </c>
      <c r="Y471" t="n">
        <v>2025</v>
      </c>
      <c r="Z471" t="n">
        <v>12</v>
      </c>
      <c r="AA471" t="inlineStr">
        <is>
          <t>Dec</t>
        </is>
      </c>
      <c r="AB471" t="inlineStr">
        <is>
          <t>Saturday</t>
        </is>
      </c>
      <c r="AC471" t="n">
        <v>3</v>
      </c>
      <c r="AD471" t="inlineStr">
        <is>
          <t>Profitable</t>
        </is>
      </c>
      <c r="AE471" t="inlineStr">
        <is>
          <t>Low</t>
        </is>
      </c>
      <c r="AF471" t="inlineStr">
        <is>
          <t>Small</t>
        </is>
      </c>
    </row>
    <row r="472">
      <c r="A472" t="inlineStr">
        <is>
          <t>ORD-00471</t>
        </is>
      </c>
      <c r="B472" s="2" t="n">
        <v>45263</v>
      </c>
      <c r="C472" s="2" t="n">
        <v>45270</v>
      </c>
      <c r="D472" t="inlineStr">
        <is>
          <t>CUST-00471</t>
        </is>
      </c>
      <c r="E472" t="inlineStr">
        <is>
          <t>Customer 471</t>
        </is>
      </c>
      <c r="F472" t="inlineStr">
        <is>
          <t>Home Office</t>
        </is>
      </c>
      <c r="G472" t="inlineStr">
        <is>
          <t>P1014</t>
        </is>
      </c>
      <c r="H472" t="inlineStr">
        <is>
          <t>FlexNote Notebook</t>
        </is>
      </c>
      <c r="I472" t="inlineStr">
        <is>
          <t>Outdoor</t>
        </is>
      </c>
      <c r="J472" t="inlineStr">
        <is>
          <t>Peripherals</t>
        </is>
      </c>
      <c r="K472" t="inlineStr">
        <is>
          <t>North</t>
        </is>
      </c>
      <c r="L472" t="inlineStr">
        <is>
          <t>Alberta</t>
        </is>
      </c>
      <c r="M472" t="inlineStr">
        <is>
          <t>Toronto</t>
        </is>
      </c>
      <c r="N472" t="inlineStr">
        <is>
          <t>Liam Chen</t>
        </is>
      </c>
      <c r="O472" t="n">
        <v>3</v>
      </c>
      <c r="P472" s="3" t="n">
        <v>45.43</v>
      </c>
      <c r="Q472" s="4" t="n">
        <v>0.019</v>
      </c>
      <c r="R472" s="3" t="n">
        <v>133.7</v>
      </c>
      <c r="S472" s="3" t="n">
        <v>58.03</v>
      </c>
      <c r="T472" s="3" t="n">
        <v>67.27</v>
      </c>
      <c r="U472" s="4" t="n">
        <v>0.5031</v>
      </c>
      <c r="V472" s="3" t="n">
        <v>8.4</v>
      </c>
      <c r="W472" t="inlineStr">
        <is>
          <t>Debit Card</t>
        </is>
      </c>
      <c r="X472" t="inlineStr">
        <is>
          <t>Medium</t>
        </is>
      </c>
      <c r="Y472" t="n">
        <v>2023</v>
      </c>
      <c r="Z472" t="n">
        <v>12</v>
      </c>
      <c r="AA472" t="inlineStr">
        <is>
          <t>Dec</t>
        </is>
      </c>
      <c r="AB472" t="inlineStr">
        <is>
          <t>Sunday</t>
        </is>
      </c>
      <c r="AC472" t="n">
        <v>7</v>
      </c>
      <c r="AD472" t="inlineStr">
        <is>
          <t>Profitable</t>
        </is>
      </c>
      <c r="AE472" t="inlineStr">
        <is>
          <t>Low</t>
        </is>
      </c>
      <c r="AF472" t="inlineStr">
        <is>
          <t>Small</t>
        </is>
      </c>
    </row>
    <row r="473">
      <c r="A473" t="inlineStr">
        <is>
          <t>ORD-00472</t>
        </is>
      </c>
      <c r="B473" s="2" t="n">
        <v>45922</v>
      </c>
      <c r="C473" s="2" t="n">
        <v>45926</v>
      </c>
      <c r="D473" t="inlineStr">
        <is>
          <t>CUST-00472</t>
        </is>
      </c>
      <c r="E473" t="inlineStr">
        <is>
          <t>Customer 472</t>
        </is>
      </c>
      <c r="F473" t="inlineStr">
        <is>
          <t>Corporate</t>
        </is>
      </c>
      <c r="G473" t="inlineStr">
        <is>
          <t>P1016</t>
        </is>
      </c>
      <c r="H473" t="inlineStr">
        <is>
          <t>Summit Patio Set</t>
        </is>
      </c>
      <c r="I473" t="inlineStr">
        <is>
          <t>Technology</t>
        </is>
      </c>
      <c r="J473" t="inlineStr">
        <is>
          <t>Peripherals</t>
        </is>
      </c>
      <c r="K473" t="inlineStr">
        <is>
          <t>West</t>
        </is>
      </c>
      <c r="L473" t="inlineStr">
        <is>
          <t>California</t>
        </is>
      </c>
      <c r="M473" t="inlineStr">
        <is>
          <t>Seattle</t>
        </is>
      </c>
      <c r="N473" t="inlineStr">
        <is>
          <t>Olivia Martin</t>
        </is>
      </c>
      <c r="O473" t="n">
        <v>3</v>
      </c>
      <c r="P473" s="3" t="n">
        <v>39.08</v>
      </c>
      <c r="Q473" s="4" t="n">
        <v>0.024</v>
      </c>
      <c r="R473" s="3" t="n">
        <v>114.43</v>
      </c>
      <c r="S473" s="3" t="n">
        <v>52.56</v>
      </c>
      <c r="T473" s="3" t="n">
        <v>52.47</v>
      </c>
      <c r="U473" s="4" t="n">
        <v>0.4585</v>
      </c>
      <c r="V473" s="3" t="n">
        <v>9.4</v>
      </c>
      <c r="W473" t="inlineStr">
        <is>
          <t>Credit Card</t>
        </is>
      </c>
      <c r="X473" t="inlineStr">
        <is>
          <t>Medium</t>
        </is>
      </c>
      <c r="Y473" t="n">
        <v>2025</v>
      </c>
      <c r="Z473" t="n">
        <v>9</v>
      </c>
      <c r="AA473" t="inlineStr">
        <is>
          <t>Sep</t>
        </is>
      </c>
      <c r="AB473" t="inlineStr">
        <is>
          <t>Monday</t>
        </is>
      </c>
      <c r="AC473" t="n">
        <v>4</v>
      </c>
      <c r="AD473" t="inlineStr">
        <is>
          <t>Profitable</t>
        </is>
      </c>
      <c r="AE473" t="inlineStr">
        <is>
          <t>Medium</t>
        </is>
      </c>
      <c r="AF473" t="inlineStr">
        <is>
          <t>Small</t>
        </is>
      </c>
    </row>
    <row r="474">
      <c r="A474" t="inlineStr">
        <is>
          <t>ORD-00473</t>
        </is>
      </c>
      <c r="B474" s="2" t="n">
        <v>45000</v>
      </c>
      <c r="C474" s="2" t="n">
        <v>45004</v>
      </c>
      <c r="D474" t="inlineStr">
        <is>
          <t>CUST-00473</t>
        </is>
      </c>
      <c r="E474" t="inlineStr">
        <is>
          <t>Customer 473</t>
        </is>
      </c>
      <c r="F474" t="inlineStr">
        <is>
          <t>Consumer</t>
        </is>
      </c>
      <c r="G474" t="inlineStr">
        <is>
          <t>P1001</t>
        </is>
      </c>
      <c r="H474" t="inlineStr">
        <is>
          <t>Northstar Lantern</t>
        </is>
      </c>
      <c r="I474" t="inlineStr">
        <is>
          <t>Furniture</t>
        </is>
      </c>
      <c r="J474" t="inlineStr">
        <is>
          <t>Storage</t>
        </is>
      </c>
      <c r="K474" t="inlineStr">
        <is>
          <t>South</t>
        </is>
      </c>
      <c r="L474" t="inlineStr">
        <is>
          <t>Texas</t>
        </is>
      </c>
      <c r="M474" t="inlineStr">
        <is>
          <t>Houston</t>
        </is>
      </c>
      <c r="N474" t="inlineStr">
        <is>
          <t>Ethan Brooks</t>
        </is>
      </c>
      <c r="O474" t="n">
        <v>2</v>
      </c>
      <c r="P474" s="3" t="n">
        <v>272.93</v>
      </c>
      <c r="Q474" s="4" t="n">
        <v>0.008999999999999999</v>
      </c>
      <c r="R474" s="3" t="n">
        <v>540.95</v>
      </c>
      <c r="S474" s="3" t="n">
        <v>320.46</v>
      </c>
      <c r="T474" s="3" t="n">
        <v>212.89</v>
      </c>
      <c r="U474" s="4" t="n">
        <v>0.3935</v>
      </c>
      <c r="V474" s="3" t="n">
        <v>7.6</v>
      </c>
      <c r="W474" t="inlineStr">
        <is>
          <t>Credit Card</t>
        </is>
      </c>
      <c r="X474" t="inlineStr">
        <is>
          <t>Low</t>
        </is>
      </c>
      <c r="Y474" t="n">
        <v>2023</v>
      </c>
      <c r="Z474" t="n">
        <v>3</v>
      </c>
      <c r="AA474" t="inlineStr">
        <is>
          <t>Mar</t>
        </is>
      </c>
      <c r="AB474" t="inlineStr">
        <is>
          <t>Wednesday</t>
        </is>
      </c>
      <c r="AC474" t="n">
        <v>4</v>
      </c>
      <c r="AD474" t="inlineStr">
        <is>
          <t>Profitable</t>
        </is>
      </c>
      <c r="AE474" t="inlineStr">
        <is>
          <t>Low</t>
        </is>
      </c>
      <c r="AF474" t="inlineStr">
        <is>
          <t>Medium</t>
        </is>
      </c>
    </row>
    <row r="475">
      <c r="A475" t="inlineStr">
        <is>
          <t>ORD-00474</t>
        </is>
      </c>
      <c r="B475" s="2" t="n">
        <v>46002</v>
      </c>
      <c r="C475" s="2" t="n">
        <v>46008</v>
      </c>
      <c r="D475" t="inlineStr">
        <is>
          <t>CUST-00474</t>
        </is>
      </c>
      <c r="E475" t="inlineStr">
        <is>
          <t>Customer 474</t>
        </is>
      </c>
      <c r="F475" t="inlineStr">
        <is>
          <t>Corporate</t>
        </is>
      </c>
      <c r="G475" t="inlineStr">
        <is>
          <t>P1010</t>
        </is>
      </c>
      <c r="H475" t="inlineStr">
        <is>
          <t>Tide Cooler</t>
        </is>
      </c>
      <c r="I475" t="inlineStr">
        <is>
          <t>Furniture</t>
        </is>
      </c>
      <c r="J475" t="inlineStr">
        <is>
          <t>Decor</t>
        </is>
      </c>
      <c r="K475" t="inlineStr">
        <is>
          <t>East</t>
        </is>
      </c>
      <c r="L475" t="inlineStr">
        <is>
          <t>Virginia</t>
        </is>
      </c>
      <c r="M475" t="inlineStr">
        <is>
          <t>Washington</t>
        </is>
      </c>
      <c r="N475" t="inlineStr">
        <is>
          <t>Olivia Martin</t>
        </is>
      </c>
      <c r="O475" t="n">
        <v>4</v>
      </c>
      <c r="P475" s="3" t="n">
        <v>60.16</v>
      </c>
      <c r="Q475" s="4" t="n">
        <v>0.05</v>
      </c>
      <c r="R475" s="3" t="n">
        <v>228.61</v>
      </c>
      <c r="S475" s="3" t="n">
        <v>103.42</v>
      </c>
      <c r="T475" s="3" t="n">
        <v>114.99</v>
      </c>
      <c r="U475" s="4" t="n">
        <v>0.503</v>
      </c>
      <c r="V475" s="3" t="n">
        <v>10.2</v>
      </c>
      <c r="W475" t="inlineStr">
        <is>
          <t>Cash on Delivery</t>
        </is>
      </c>
      <c r="X475" t="inlineStr">
        <is>
          <t>Critical</t>
        </is>
      </c>
      <c r="Y475" t="n">
        <v>2025</v>
      </c>
      <c r="Z475" t="n">
        <v>12</v>
      </c>
      <c r="AA475" t="inlineStr">
        <is>
          <t>Dec</t>
        </is>
      </c>
      <c r="AB475" t="inlineStr">
        <is>
          <t>Thursday</t>
        </is>
      </c>
      <c r="AC475" t="n">
        <v>6</v>
      </c>
      <c r="AD475" t="inlineStr">
        <is>
          <t>Profitable</t>
        </is>
      </c>
      <c r="AE475" t="inlineStr">
        <is>
          <t>High</t>
        </is>
      </c>
      <c r="AF475" t="inlineStr">
        <is>
          <t>Small</t>
        </is>
      </c>
    </row>
    <row r="476">
      <c r="A476" t="inlineStr">
        <is>
          <t>ORD-00475</t>
        </is>
      </c>
      <c r="B476" s="2" t="n">
        <v>45495</v>
      </c>
      <c r="C476" s="2" t="n">
        <v>45497</v>
      </c>
      <c r="D476" t="inlineStr">
        <is>
          <t>CUST-00475</t>
        </is>
      </c>
      <c r="E476" t="inlineStr">
        <is>
          <t>Customer 475</t>
        </is>
      </c>
      <c r="F476" t="inlineStr">
        <is>
          <t>Home Office</t>
        </is>
      </c>
      <c r="G476" t="inlineStr">
        <is>
          <t>P1010</t>
        </is>
      </c>
      <c r="H476" t="inlineStr">
        <is>
          <t>FlexNote Notebook</t>
        </is>
      </c>
      <c r="I476" t="inlineStr">
        <is>
          <t>Office Supplies</t>
        </is>
      </c>
      <c r="J476" t="inlineStr">
        <is>
          <t>Lighting</t>
        </is>
      </c>
      <c r="K476" t="inlineStr">
        <is>
          <t>West</t>
        </is>
      </c>
      <c r="L476" t="inlineStr">
        <is>
          <t>California</t>
        </is>
      </c>
      <c r="M476" t="inlineStr">
        <is>
          <t>Los Angeles</t>
        </is>
      </c>
      <c r="N476" t="inlineStr">
        <is>
          <t>Ethan Brooks</t>
        </is>
      </c>
      <c r="O476" t="n">
        <v>3</v>
      </c>
      <c r="P476" s="3" t="n">
        <v>60.96</v>
      </c>
      <c r="Q476" s="4" t="n">
        <v>0.034</v>
      </c>
      <c r="R476" s="3" t="n">
        <v>176.66</v>
      </c>
      <c r="S476" s="3" t="n">
        <v>76.54000000000001</v>
      </c>
      <c r="T476" s="3" t="n">
        <v>90.72</v>
      </c>
      <c r="U476" s="4" t="n">
        <v>0.5135</v>
      </c>
      <c r="V476" s="3" t="n">
        <v>9.4</v>
      </c>
      <c r="W476" t="inlineStr">
        <is>
          <t>Bank Transfer</t>
        </is>
      </c>
      <c r="X476" t="inlineStr">
        <is>
          <t>Medium</t>
        </is>
      </c>
      <c r="Y476" t="n">
        <v>2024</v>
      </c>
      <c r="Z476" t="n">
        <v>7</v>
      </c>
      <c r="AA476" t="inlineStr">
        <is>
          <t>Jul</t>
        </is>
      </c>
      <c r="AB476" t="inlineStr">
        <is>
          <t>Monday</t>
        </is>
      </c>
      <c r="AC476" t="n">
        <v>2</v>
      </c>
      <c r="AD476" t="inlineStr">
        <is>
          <t>Profitable</t>
        </is>
      </c>
      <c r="AE476" t="inlineStr">
        <is>
          <t>Medium</t>
        </is>
      </c>
      <c r="AF476" t="inlineStr">
        <is>
          <t>Small</t>
        </is>
      </c>
    </row>
    <row r="477">
      <c r="A477" t="inlineStr">
        <is>
          <t>ORD-00476</t>
        </is>
      </c>
      <c r="B477" s="2" t="n">
        <v>45718</v>
      </c>
      <c r="C477" s="2" t="n">
        <v>45723</v>
      </c>
      <c r="D477" t="inlineStr">
        <is>
          <t>CUST-00476</t>
        </is>
      </c>
      <c r="E477" t="inlineStr">
        <is>
          <t>Customer 476</t>
        </is>
      </c>
      <c r="F477" t="inlineStr">
        <is>
          <t>Consumer</t>
        </is>
      </c>
      <c r="G477" t="inlineStr">
        <is>
          <t>P1013</t>
        </is>
      </c>
      <c r="H477" t="inlineStr">
        <is>
          <t>SmartInk Pen Set</t>
        </is>
      </c>
      <c r="I477" t="inlineStr">
        <is>
          <t>Home Decor</t>
        </is>
      </c>
      <c r="J477" t="inlineStr">
        <is>
          <t>Coolers</t>
        </is>
      </c>
      <c r="K477" t="inlineStr">
        <is>
          <t>Central</t>
        </is>
      </c>
      <c r="L477" t="inlineStr">
        <is>
          <t>Illinois</t>
        </is>
      </c>
      <c r="M477" t="inlineStr">
        <is>
          <t>Chicago</t>
        </is>
      </c>
      <c r="N477" t="inlineStr">
        <is>
          <t>Ethan Brooks</t>
        </is>
      </c>
      <c r="O477" t="n">
        <v>3</v>
      </c>
      <c r="P477" s="3" t="n">
        <v>159.16</v>
      </c>
      <c r="Q477" s="4" t="n">
        <v>0.019</v>
      </c>
      <c r="R477" s="3" t="n">
        <v>468.41</v>
      </c>
      <c r="S477" s="3" t="n">
        <v>273.59</v>
      </c>
      <c r="T477" s="3" t="n">
        <v>186.42</v>
      </c>
      <c r="U477" s="4" t="n">
        <v>0.398</v>
      </c>
      <c r="V477" s="3" t="n">
        <v>8.4</v>
      </c>
      <c r="W477" t="inlineStr">
        <is>
          <t>Credit Card</t>
        </is>
      </c>
      <c r="X477" t="inlineStr">
        <is>
          <t>Medium</t>
        </is>
      </c>
      <c r="Y477" t="n">
        <v>2025</v>
      </c>
      <c r="Z477" t="n">
        <v>3</v>
      </c>
      <c r="AA477" t="inlineStr">
        <is>
          <t>Mar</t>
        </is>
      </c>
      <c r="AB477" t="inlineStr">
        <is>
          <t>Sunday</t>
        </is>
      </c>
      <c r="AC477" t="n">
        <v>5</v>
      </c>
      <c r="AD477" t="inlineStr">
        <is>
          <t>Profitable</t>
        </is>
      </c>
      <c r="AE477" t="inlineStr">
        <is>
          <t>Low</t>
        </is>
      </c>
      <c r="AF477" t="inlineStr">
        <is>
          <t>Small</t>
        </is>
      </c>
    </row>
    <row r="478">
      <c r="A478" t="inlineStr">
        <is>
          <t>ORD-00477</t>
        </is>
      </c>
      <c r="B478" s="2" t="n">
        <v>45285</v>
      </c>
      <c r="C478" s="2" t="n">
        <v>45292</v>
      </c>
      <c r="D478" t="inlineStr">
        <is>
          <t>CUST-00477</t>
        </is>
      </c>
      <c r="E478" t="inlineStr">
        <is>
          <t>Customer 477</t>
        </is>
      </c>
      <c r="F478" t="inlineStr">
        <is>
          <t>Consumer</t>
        </is>
      </c>
      <c r="G478" t="inlineStr">
        <is>
          <t>P1001</t>
        </is>
      </c>
      <c r="H478" t="inlineStr">
        <is>
          <t>Tide Cooler</t>
        </is>
      </c>
      <c r="I478" t="inlineStr">
        <is>
          <t>Office Supplies</t>
        </is>
      </c>
      <c r="J478" t="inlineStr">
        <is>
          <t>Plants</t>
        </is>
      </c>
      <c r="K478" t="inlineStr">
        <is>
          <t>South</t>
        </is>
      </c>
      <c r="L478" t="inlineStr">
        <is>
          <t>Texas</t>
        </is>
      </c>
      <c r="M478" t="inlineStr">
        <is>
          <t>Miami</t>
        </is>
      </c>
      <c r="N478" t="inlineStr">
        <is>
          <t>Ethan Brooks</t>
        </is>
      </c>
      <c r="O478" t="n">
        <v>2</v>
      </c>
      <c r="P478" s="3" t="n">
        <v>317.02</v>
      </c>
      <c r="Q478" s="4" t="n">
        <v>0.01</v>
      </c>
      <c r="R478" s="3" t="n">
        <v>627.7</v>
      </c>
      <c r="S478" s="3" t="n">
        <v>373.58</v>
      </c>
      <c r="T478" s="3" t="n">
        <v>246.52</v>
      </c>
      <c r="U478" s="4" t="n">
        <v>0.3927</v>
      </c>
      <c r="V478" s="3" t="n">
        <v>7.6</v>
      </c>
      <c r="W478" t="inlineStr">
        <is>
          <t>Cash on Delivery</t>
        </is>
      </c>
      <c r="X478" t="inlineStr">
        <is>
          <t>Low</t>
        </is>
      </c>
      <c r="Y478" t="n">
        <v>2023</v>
      </c>
      <c r="Z478" t="n">
        <v>12</v>
      </c>
      <c r="AA478" t="inlineStr">
        <is>
          <t>Dec</t>
        </is>
      </c>
      <c r="AB478" t="inlineStr">
        <is>
          <t>Monday</t>
        </is>
      </c>
      <c r="AC478" t="n">
        <v>7</v>
      </c>
      <c r="AD478" t="inlineStr">
        <is>
          <t>Profitable</t>
        </is>
      </c>
      <c r="AE478" t="inlineStr">
        <is>
          <t>Low</t>
        </is>
      </c>
      <c r="AF478" t="inlineStr">
        <is>
          <t>Medium</t>
        </is>
      </c>
    </row>
    <row r="479">
      <c r="A479" t="inlineStr">
        <is>
          <t>ORD-00478</t>
        </is>
      </c>
      <c r="B479" s="2" t="n">
        <v>45589</v>
      </c>
      <c r="C479" s="2" t="n">
        <v>45592</v>
      </c>
      <c r="D479" t="inlineStr">
        <is>
          <t>CUST-00478</t>
        </is>
      </c>
      <c r="E479" t="inlineStr">
        <is>
          <t>Customer 478</t>
        </is>
      </c>
      <c r="F479" t="inlineStr">
        <is>
          <t>Home Office</t>
        </is>
      </c>
      <c r="G479" t="inlineStr">
        <is>
          <t>P1003</t>
        </is>
      </c>
      <c r="H479" t="inlineStr">
        <is>
          <t>Harbor Rug</t>
        </is>
      </c>
      <c r="I479" t="inlineStr">
        <is>
          <t>Furniture</t>
        </is>
      </c>
      <c r="J479" t="inlineStr">
        <is>
          <t>Coolers</t>
        </is>
      </c>
      <c r="K479" t="inlineStr">
        <is>
          <t>Central</t>
        </is>
      </c>
      <c r="L479" t="inlineStr">
        <is>
          <t>Missouri</t>
        </is>
      </c>
      <c r="M479" t="inlineStr">
        <is>
          <t>Chicago</t>
        </is>
      </c>
      <c r="N479" t="inlineStr">
        <is>
          <t>Sophia Singh</t>
        </is>
      </c>
      <c r="O479" t="n">
        <v>2</v>
      </c>
      <c r="P479" s="3" t="n">
        <v>163.78</v>
      </c>
      <c r="Q479" s="4" t="n">
        <v>0.014</v>
      </c>
      <c r="R479" s="3" t="n">
        <v>322.97</v>
      </c>
      <c r="S479" s="3" t="n">
        <v>173.46</v>
      </c>
      <c r="T479" s="3" t="n">
        <v>141.91</v>
      </c>
      <c r="U479" s="4" t="n">
        <v>0.4394</v>
      </c>
      <c r="V479" s="3" t="n">
        <v>7.6</v>
      </c>
      <c r="W479" t="inlineStr">
        <is>
          <t>Credit Card</t>
        </is>
      </c>
      <c r="X479" t="inlineStr">
        <is>
          <t>Medium</t>
        </is>
      </c>
      <c r="Y479" t="n">
        <v>2024</v>
      </c>
      <c r="Z479" t="n">
        <v>10</v>
      </c>
      <c r="AA479" t="inlineStr">
        <is>
          <t>Oct</t>
        </is>
      </c>
      <c r="AB479" t="inlineStr">
        <is>
          <t>Thursday</t>
        </is>
      </c>
      <c r="AC479" t="n">
        <v>3</v>
      </c>
      <c r="AD479" t="inlineStr">
        <is>
          <t>Profitable</t>
        </is>
      </c>
      <c r="AE479" t="inlineStr">
        <is>
          <t>Low</t>
        </is>
      </c>
      <c r="AF479" t="inlineStr">
        <is>
          <t>Small</t>
        </is>
      </c>
    </row>
    <row r="480">
      <c r="A480" t="inlineStr">
        <is>
          <t>ORD-00479</t>
        </is>
      </c>
      <c r="B480" s="2" t="n">
        <v>45936</v>
      </c>
      <c r="C480" s="2" t="n">
        <v>45942</v>
      </c>
      <c r="D480" t="inlineStr">
        <is>
          <t>CUST-00479</t>
        </is>
      </c>
      <c r="E480" t="inlineStr">
        <is>
          <t>Customer 479</t>
        </is>
      </c>
      <c r="F480" t="inlineStr">
        <is>
          <t>Home Office</t>
        </is>
      </c>
      <c r="G480" t="inlineStr">
        <is>
          <t>P1014</t>
        </is>
      </c>
      <c r="H480" t="inlineStr">
        <is>
          <t>Pulse Keyboard</t>
        </is>
      </c>
      <c r="I480" t="inlineStr">
        <is>
          <t>Outdoor</t>
        </is>
      </c>
      <c r="J480" t="inlineStr">
        <is>
          <t>Bags</t>
        </is>
      </c>
      <c r="K480" t="inlineStr">
        <is>
          <t>East</t>
        </is>
      </c>
      <c r="L480" t="inlineStr">
        <is>
          <t>Virginia</t>
        </is>
      </c>
      <c r="M480" t="inlineStr">
        <is>
          <t>Washington</t>
        </is>
      </c>
      <c r="N480" t="inlineStr">
        <is>
          <t>Ethan Brooks</t>
        </is>
      </c>
      <c r="O480" t="n">
        <v>4</v>
      </c>
      <c r="P480" s="3" t="n">
        <v>44.65</v>
      </c>
      <c r="Q480" s="4" t="n">
        <v>0.023</v>
      </c>
      <c r="R480" s="3" t="n">
        <v>174.49</v>
      </c>
      <c r="S480" s="3" t="n">
        <v>75.37</v>
      </c>
      <c r="T480" s="3" t="n">
        <v>88.92</v>
      </c>
      <c r="U480" s="4" t="n">
        <v>0.5096000000000001</v>
      </c>
      <c r="V480" s="3" t="n">
        <v>10.2</v>
      </c>
      <c r="W480" t="inlineStr">
        <is>
          <t>Cash on Delivery</t>
        </is>
      </c>
      <c r="X480" t="inlineStr">
        <is>
          <t>Medium</t>
        </is>
      </c>
      <c r="Y480" t="n">
        <v>2025</v>
      </c>
      <c r="Z480" t="n">
        <v>10</v>
      </c>
      <c r="AA480" t="inlineStr">
        <is>
          <t>Oct</t>
        </is>
      </c>
      <c r="AB480" t="inlineStr">
        <is>
          <t>Monday</t>
        </is>
      </c>
      <c r="AC480" t="n">
        <v>6</v>
      </c>
      <c r="AD480" t="inlineStr">
        <is>
          <t>Profitable</t>
        </is>
      </c>
      <c r="AE480" t="inlineStr">
        <is>
          <t>Medium</t>
        </is>
      </c>
      <c r="AF480" t="inlineStr">
        <is>
          <t>Small</t>
        </is>
      </c>
    </row>
    <row r="481">
      <c r="A481" t="inlineStr">
        <is>
          <t>ORD-00480</t>
        </is>
      </c>
      <c r="B481" s="2" t="n">
        <v>45582</v>
      </c>
      <c r="C481" s="2" t="n">
        <v>45585</v>
      </c>
      <c r="D481" t="inlineStr">
        <is>
          <t>CUST-00480</t>
        </is>
      </c>
      <c r="E481" t="inlineStr">
        <is>
          <t>Customer 480</t>
        </is>
      </c>
      <c r="F481" t="inlineStr">
        <is>
          <t>Consumer</t>
        </is>
      </c>
      <c r="G481" t="inlineStr">
        <is>
          <t>P1016</t>
        </is>
      </c>
      <c r="H481" t="inlineStr">
        <is>
          <t>FlexNote Notebook</t>
        </is>
      </c>
      <c r="I481" t="inlineStr">
        <is>
          <t>Furniture</t>
        </is>
      </c>
      <c r="J481" t="inlineStr">
        <is>
          <t>Furniture</t>
        </is>
      </c>
      <c r="K481" t="inlineStr">
        <is>
          <t>South</t>
        </is>
      </c>
      <c r="L481" t="inlineStr">
        <is>
          <t>Florida</t>
        </is>
      </c>
      <c r="M481" t="inlineStr">
        <is>
          <t>Miami</t>
        </is>
      </c>
      <c r="N481" t="inlineStr">
        <is>
          <t>Sophia Singh</t>
        </is>
      </c>
      <c r="O481" t="n">
        <v>2</v>
      </c>
      <c r="P481" s="3" t="n">
        <v>41.04</v>
      </c>
      <c r="Q481" s="4" t="n">
        <v>0.023</v>
      </c>
      <c r="R481" s="3" t="n">
        <v>80.19</v>
      </c>
      <c r="S481" s="3" t="n">
        <v>33.71</v>
      </c>
      <c r="T481" s="3" t="n">
        <v>38.88</v>
      </c>
      <c r="U481" s="4" t="n">
        <v>0.4848</v>
      </c>
      <c r="V481" s="3" t="n">
        <v>7.6</v>
      </c>
      <c r="W481" t="inlineStr">
        <is>
          <t>Bank Transfer</t>
        </is>
      </c>
      <c r="X481" t="inlineStr">
        <is>
          <t>Medium</t>
        </is>
      </c>
      <c r="Y481" t="n">
        <v>2024</v>
      </c>
      <c r="Z481" t="n">
        <v>10</v>
      </c>
      <c r="AA481" t="inlineStr">
        <is>
          <t>Oct</t>
        </is>
      </c>
      <c r="AB481" t="inlineStr">
        <is>
          <t>Thursday</t>
        </is>
      </c>
      <c r="AC481" t="n">
        <v>3</v>
      </c>
      <c r="AD481" t="inlineStr">
        <is>
          <t>Profitable</t>
        </is>
      </c>
      <c r="AE481" t="inlineStr">
        <is>
          <t>Medium</t>
        </is>
      </c>
      <c r="AF481" t="inlineStr">
        <is>
          <t>Small</t>
        </is>
      </c>
    </row>
    <row r="482">
      <c r="A482" t="inlineStr">
        <is>
          <t>ORD-00481</t>
        </is>
      </c>
      <c r="B482" s="2" t="n">
        <v>45410</v>
      </c>
      <c r="C482" s="2" t="n">
        <v>45411</v>
      </c>
      <c r="D482" t="inlineStr">
        <is>
          <t>CUST-00481</t>
        </is>
      </c>
      <c r="E482" t="inlineStr">
        <is>
          <t>Customer 481</t>
        </is>
      </c>
      <c r="F482" t="inlineStr">
        <is>
          <t>Consumer</t>
        </is>
      </c>
      <c r="G482" t="inlineStr">
        <is>
          <t>P1020</t>
        </is>
      </c>
      <c r="H482" t="inlineStr">
        <is>
          <t>Halo Planter</t>
        </is>
      </c>
      <c r="I482" t="inlineStr">
        <is>
          <t>Outdoor</t>
        </is>
      </c>
      <c r="J482" t="inlineStr">
        <is>
          <t>Paper</t>
        </is>
      </c>
      <c r="K482" t="inlineStr">
        <is>
          <t>West</t>
        </is>
      </c>
      <c r="L482" t="inlineStr">
        <is>
          <t>Colorado</t>
        </is>
      </c>
      <c r="M482" t="inlineStr">
        <is>
          <t>Los Angeles</t>
        </is>
      </c>
      <c r="N482" t="inlineStr">
        <is>
          <t>Sophia Singh</t>
        </is>
      </c>
      <c r="O482" t="n">
        <v>6</v>
      </c>
      <c r="P482" s="3" t="n">
        <v>75.45999999999999</v>
      </c>
      <c r="Q482" s="4" t="n">
        <v>0.01</v>
      </c>
      <c r="R482" s="3" t="n">
        <v>448.23</v>
      </c>
      <c r="S482" s="3" t="n">
        <v>212.1</v>
      </c>
      <c r="T482" s="3" t="n">
        <v>224.33</v>
      </c>
      <c r="U482" s="4" t="n">
        <v>0.5004999999999999</v>
      </c>
      <c r="V482" s="3" t="n">
        <v>11.8</v>
      </c>
      <c r="W482" t="inlineStr">
        <is>
          <t>Cash on Delivery</t>
        </is>
      </c>
      <c r="X482" t="inlineStr">
        <is>
          <t>Low</t>
        </is>
      </c>
      <c r="Y482" t="n">
        <v>2024</v>
      </c>
      <c r="Z482" t="n">
        <v>4</v>
      </c>
      <c r="AA482" t="inlineStr">
        <is>
          <t>Apr</t>
        </is>
      </c>
      <c r="AB482" t="inlineStr">
        <is>
          <t>Sunday</t>
        </is>
      </c>
      <c r="AC482" t="n">
        <v>1</v>
      </c>
      <c r="AD482" t="inlineStr">
        <is>
          <t>Profitable</t>
        </is>
      </c>
      <c r="AE482" t="inlineStr">
        <is>
          <t>Low</t>
        </is>
      </c>
      <c r="AF482" t="inlineStr">
        <is>
          <t>Small</t>
        </is>
      </c>
    </row>
    <row r="483">
      <c r="A483" t="inlineStr">
        <is>
          <t>ORD-00482</t>
        </is>
      </c>
      <c r="B483" s="2" t="n">
        <v>45765</v>
      </c>
      <c r="C483" s="2" t="n">
        <v>45771</v>
      </c>
      <c r="D483" t="inlineStr">
        <is>
          <t>CUST-00482</t>
        </is>
      </c>
      <c r="E483" t="inlineStr">
        <is>
          <t>Customer 482</t>
        </is>
      </c>
      <c r="F483" t="inlineStr">
        <is>
          <t>Consumer</t>
        </is>
      </c>
      <c r="G483" t="inlineStr">
        <is>
          <t>P1006</t>
        </is>
      </c>
      <c r="H483" t="inlineStr">
        <is>
          <t>SmartInk Pen Set</t>
        </is>
      </c>
      <c r="I483" t="inlineStr">
        <is>
          <t>Office Supplies</t>
        </is>
      </c>
      <c r="J483" t="inlineStr">
        <is>
          <t>Desks</t>
        </is>
      </c>
      <c r="K483" t="inlineStr">
        <is>
          <t>Central</t>
        </is>
      </c>
      <c r="L483" t="inlineStr">
        <is>
          <t>Minnesota</t>
        </is>
      </c>
      <c r="M483" t="inlineStr">
        <is>
          <t>Kansas City</t>
        </is>
      </c>
      <c r="N483" t="inlineStr">
        <is>
          <t>Noah Kim</t>
        </is>
      </c>
      <c r="O483" t="n">
        <v>4</v>
      </c>
      <c r="P483" s="3" t="n">
        <v>18.13</v>
      </c>
      <c r="Q483" s="4" t="n">
        <v>0.011</v>
      </c>
      <c r="R483" s="3" t="n">
        <v>71.72</v>
      </c>
      <c r="S483" s="3" t="n">
        <v>26.76</v>
      </c>
      <c r="T483" s="3" t="n">
        <v>35.76</v>
      </c>
      <c r="U483" s="4" t="n">
        <v>0.4986</v>
      </c>
      <c r="V483" s="3" t="n">
        <v>9.199999999999999</v>
      </c>
      <c r="W483" t="inlineStr">
        <is>
          <t>Credit Card</t>
        </is>
      </c>
      <c r="X483" t="inlineStr">
        <is>
          <t>Medium</t>
        </is>
      </c>
      <c r="Y483" t="n">
        <v>2025</v>
      </c>
      <c r="Z483" t="n">
        <v>4</v>
      </c>
      <c r="AA483" t="inlineStr">
        <is>
          <t>Apr</t>
        </is>
      </c>
      <c r="AB483" t="inlineStr">
        <is>
          <t>Friday</t>
        </is>
      </c>
      <c r="AC483" t="n">
        <v>6</v>
      </c>
      <c r="AD483" t="inlineStr">
        <is>
          <t>Profitable</t>
        </is>
      </c>
      <c r="AE483" t="inlineStr">
        <is>
          <t>Low</t>
        </is>
      </c>
      <c r="AF483" t="inlineStr">
        <is>
          <t>Small</t>
        </is>
      </c>
    </row>
    <row r="484">
      <c r="A484" t="inlineStr">
        <is>
          <t>ORD-00483</t>
        </is>
      </c>
      <c r="B484" s="2" t="n">
        <v>45569</v>
      </c>
      <c r="C484" s="2" t="n">
        <v>45576</v>
      </c>
      <c r="D484" t="inlineStr">
        <is>
          <t>CUST-00483</t>
        </is>
      </c>
      <c r="E484" t="inlineStr">
        <is>
          <t>Customer 483</t>
        </is>
      </c>
      <c r="F484" t="inlineStr">
        <is>
          <t>Consumer</t>
        </is>
      </c>
      <c r="G484" t="inlineStr">
        <is>
          <t>P1001</t>
        </is>
      </c>
      <c r="H484" t="inlineStr">
        <is>
          <t>FlexNote Notebook</t>
        </is>
      </c>
      <c r="I484" t="inlineStr">
        <is>
          <t>Outdoor</t>
        </is>
      </c>
      <c r="J484" t="inlineStr">
        <is>
          <t>Peripherals</t>
        </is>
      </c>
      <c r="K484" t="inlineStr">
        <is>
          <t>North</t>
        </is>
      </c>
      <c r="L484" t="inlineStr">
        <is>
          <t>Quebec</t>
        </is>
      </c>
      <c r="M484" t="inlineStr">
        <is>
          <t>Montreal</t>
        </is>
      </c>
      <c r="N484" t="inlineStr">
        <is>
          <t>Ethan Brooks</t>
        </is>
      </c>
      <c r="O484" t="n">
        <v>2</v>
      </c>
      <c r="P484" s="3" t="n">
        <v>316.28</v>
      </c>
      <c r="Q484" s="4" t="n">
        <v>0.022</v>
      </c>
      <c r="R484" s="3" t="n">
        <v>618.64</v>
      </c>
      <c r="S484" s="3" t="n">
        <v>366.22</v>
      </c>
      <c r="T484" s="3" t="n">
        <v>244.82</v>
      </c>
      <c r="U484" s="4" t="n">
        <v>0.3957</v>
      </c>
      <c r="V484" s="3" t="n">
        <v>7.6</v>
      </c>
      <c r="W484" t="inlineStr">
        <is>
          <t>Credit Card</t>
        </is>
      </c>
      <c r="X484" t="inlineStr">
        <is>
          <t>High</t>
        </is>
      </c>
      <c r="Y484" t="n">
        <v>2024</v>
      </c>
      <c r="Z484" t="n">
        <v>10</v>
      </c>
      <c r="AA484" t="inlineStr">
        <is>
          <t>Oct</t>
        </is>
      </c>
      <c r="AB484" t="inlineStr">
        <is>
          <t>Friday</t>
        </is>
      </c>
      <c r="AC484" t="n">
        <v>7</v>
      </c>
      <c r="AD484" t="inlineStr">
        <is>
          <t>Profitable</t>
        </is>
      </c>
      <c r="AE484" t="inlineStr">
        <is>
          <t>Medium</t>
        </is>
      </c>
      <c r="AF484" t="inlineStr">
        <is>
          <t>Medium</t>
        </is>
      </c>
    </row>
    <row r="485">
      <c r="A485" t="inlineStr">
        <is>
          <t>ORD-00484</t>
        </is>
      </c>
      <c r="B485" s="2" t="n">
        <v>45405</v>
      </c>
      <c r="C485" s="2" t="n">
        <v>45408</v>
      </c>
      <c r="D485" t="inlineStr">
        <is>
          <t>CUST-00484</t>
        </is>
      </c>
      <c r="E485" t="inlineStr">
        <is>
          <t>Customer 484</t>
        </is>
      </c>
      <c r="F485" t="inlineStr">
        <is>
          <t>Corporate</t>
        </is>
      </c>
      <c r="G485" t="inlineStr">
        <is>
          <t>P1020</t>
        </is>
      </c>
      <c r="H485" t="inlineStr">
        <is>
          <t>SmartInk Pen Set</t>
        </is>
      </c>
      <c r="I485" t="inlineStr">
        <is>
          <t>Home Decor</t>
        </is>
      </c>
      <c r="J485" t="inlineStr">
        <is>
          <t>Textiles</t>
        </is>
      </c>
      <c r="K485" t="inlineStr">
        <is>
          <t>South</t>
        </is>
      </c>
      <c r="L485" t="inlineStr">
        <is>
          <t>Texas</t>
        </is>
      </c>
      <c r="M485" t="inlineStr">
        <is>
          <t>Atlanta</t>
        </is>
      </c>
      <c r="N485" t="inlineStr">
        <is>
          <t>Sophia Singh</t>
        </is>
      </c>
      <c r="O485" t="n">
        <v>1</v>
      </c>
      <c r="P485" s="3" t="n">
        <v>70.95</v>
      </c>
      <c r="Q485" s="4" t="n">
        <v>0.048</v>
      </c>
      <c r="R485" s="3" t="n">
        <v>67.54000000000001</v>
      </c>
      <c r="S485" s="3" t="n">
        <v>35.75</v>
      </c>
      <c r="T485" s="3" t="n">
        <v>24.99</v>
      </c>
      <c r="U485" s="4" t="n">
        <v>0.37</v>
      </c>
      <c r="V485" s="3" t="n">
        <v>6.8</v>
      </c>
      <c r="W485" t="inlineStr">
        <is>
          <t>Bank Transfer</t>
        </is>
      </c>
      <c r="X485" t="inlineStr">
        <is>
          <t>High</t>
        </is>
      </c>
      <c r="Y485" t="n">
        <v>2024</v>
      </c>
      <c r="Z485" t="n">
        <v>4</v>
      </c>
      <c r="AA485" t="inlineStr">
        <is>
          <t>Apr</t>
        </is>
      </c>
      <c r="AB485" t="inlineStr">
        <is>
          <t>Tuesday</t>
        </is>
      </c>
      <c r="AC485" t="n">
        <v>3</v>
      </c>
      <c r="AD485" t="inlineStr">
        <is>
          <t>Profitable</t>
        </is>
      </c>
      <c r="AE485" t="inlineStr">
        <is>
          <t>Medium</t>
        </is>
      </c>
      <c r="AF485" t="inlineStr">
        <is>
          <t>Small</t>
        </is>
      </c>
    </row>
    <row r="486">
      <c r="A486" t="inlineStr">
        <is>
          <t>ORD-00485</t>
        </is>
      </c>
      <c r="B486" s="2" t="n">
        <v>45452</v>
      </c>
      <c r="C486" s="2" t="n">
        <v>45457</v>
      </c>
      <c r="D486" t="inlineStr">
        <is>
          <t>CUST-00485</t>
        </is>
      </c>
      <c r="E486" t="inlineStr">
        <is>
          <t>Customer 485</t>
        </is>
      </c>
      <c r="F486" t="inlineStr">
        <is>
          <t>Consumer</t>
        </is>
      </c>
      <c r="G486" t="inlineStr">
        <is>
          <t>P1005</t>
        </is>
      </c>
      <c r="H486" t="inlineStr">
        <is>
          <t>Summit Patio Set</t>
        </is>
      </c>
      <c r="I486" t="inlineStr">
        <is>
          <t>Office Supplies</t>
        </is>
      </c>
      <c r="J486" t="inlineStr">
        <is>
          <t>Writing</t>
        </is>
      </c>
      <c r="K486" t="inlineStr">
        <is>
          <t>East</t>
        </is>
      </c>
      <c r="L486" t="inlineStr">
        <is>
          <t>New York</t>
        </is>
      </c>
      <c r="M486" t="inlineStr">
        <is>
          <t>Philadelphia</t>
        </is>
      </c>
      <c r="N486" t="inlineStr">
        <is>
          <t>Noah Kim</t>
        </is>
      </c>
      <c r="O486" t="n">
        <v>2</v>
      </c>
      <c r="P486" s="3" t="n">
        <v>13.06</v>
      </c>
      <c r="Q486" s="4" t="n">
        <v>0.017</v>
      </c>
      <c r="R486" s="3" t="n">
        <v>25.68</v>
      </c>
      <c r="S486" s="3" t="n">
        <v>18.06</v>
      </c>
      <c r="T486" s="3" t="n">
        <v>-0.98</v>
      </c>
      <c r="U486" s="4" t="n">
        <v>-0.0382</v>
      </c>
      <c r="V486" s="3" t="n">
        <v>8.6</v>
      </c>
      <c r="W486" t="inlineStr">
        <is>
          <t>Debit Card</t>
        </is>
      </c>
      <c r="X486" t="inlineStr">
        <is>
          <t>Medium</t>
        </is>
      </c>
      <c r="Y486" t="n">
        <v>2024</v>
      </c>
      <c r="Z486" t="n">
        <v>6</v>
      </c>
      <c r="AA486" t="inlineStr">
        <is>
          <t>Jun</t>
        </is>
      </c>
      <c r="AB486" t="inlineStr">
        <is>
          <t>Sunday</t>
        </is>
      </c>
      <c r="AC486" t="n">
        <v>5</v>
      </c>
      <c r="AD486" t="inlineStr">
        <is>
          <t>Unprofitable</t>
        </is>
      </c>
      <c r="AE486" t="inlineStr">
        <is>
          <t>Low</t>
        </is>
      </c>
      <c r="AF486" t="inlineStr">
        <is>
          <t>Small</t>
        </is>
      </c>
    </row>
    <row r="487">
      <c r="A487" t="inlineStr">
        <is>
          <t>ORD-00486</t>
        </is>
      </c>
      <c r="B487" s="2" t="n">
        <v>45971</v>
      </c>
      <c r="C487" s="2" t="n">
        <v>45974</v>
      </c>
      <c r="D487" t="inlineStr">
        <is>
          <t>CUST-00486</t>
        </is>
      </c>
      <c r="E487" t="inlineStr">
        <is>
          <t>Customer 486</t>
        </is>
      </c>
      <c r="F487" t="inlineStr">
        <is>
          <t>Consumer</t>
        </is>
      </c>
      <c r="G487" t="inlineStr">
        <is>
          <t>P1008</t>
        </is>
      </c>
      <c r="H487" t="inlineStr">
        <is>
          <t>Nova Laptop Stand</t>
        </is>
      </c>
      <c r="I487" t="inlineStr">
        <is>
          <t>Furniture</t>
        </is>
      </c>
      <c r="J487" t="inlineStr">
        <is>
          <t>Textiles</t>
        </is>
      </c>
      <c r="K487" t="inlineStr">
        <is>
          <t>West</t>
        </is>
      </c>
      <c r="L487" t="inlineStr">
        <is>
          <t>Colorado</t>
        </is>
      </c>
      <c r="M487" t="inlineStr">
        <is>
          <t>Denver</t>
        </is>
      </c>
      <c r="N487" t="inlineStr">
        <is>
          <t>Mia Rodriguez</t>
        </is>
      </c>
      <c r="O487" t="n">
        <v>2</v>
      </c>
      <c r="P487" s="3" t="n">
        <v>38.18</v>
      </c>
      <c r="Q487" s="4" t="n">
        <v>0.045</v>
      </c>
      <c r="R487" s="3" t="n">
        <v>72.92</v>
      </c>
      <c r="S487" s="3" t="n">
        <v>37.25</v>
      </c>
      <c r="T487" s="3" t="n">
        <v>27.07</v>
      </c>
      <c r="U487" s="4" t="n">
        <v>0.3712</v>
      </c>
      <c r="V487" s="3" t="n">
        <v>8.6</v>
      </c>
      <c r="W487" t="inlineStr">
        <is>
          <t>Credit Card</t>
        </is>
      </c>
      <c r="X487" t="inlineStr">
        <is>
          <t>High</t>
        </is>
      </c>
      <c r="Y487" t="n">
        <v>2025</v>
      </c>
      <c r="Z487" t="n">
        <v>11</v>
      </c>
      <c r="AA487" t="inlineStr">
        <is>
          <t>Nov</t>
        </is>
      </c>
      <c r="AB487" t="inlineStr">
        <is>
          <t>Monday</t>
        </is>
      </c>
      <c r="AC487" t="n">
        <v>3</v>
      </c>
      <c r="AD487" t="inlineStr">
        <is>
          <t>Profitable</t>
        </is>
      </c>
      <c r="AE487" t="inlineStr">
        <is>
          <t>Medium</t>
        </is>
      </c>
      <c r="AF487" t="inlineStr">
        <is>
          <t>Small</t>
        </is>
      </c>
    </row>
    <row r="488">
      <c r="A488" t="inlineStr">
        <is>
          <t>ORD-00487</t>
        </is>
      </c>
      <c r="B488" s="2" t="n">
        <v>45251</v>
      </c>
      <c r="C488" s="2" t="n">
        <v>45253</v>
      </c>
      <c r="D488" t="inlineStr">
        <is>
          <t>CUST-00487</t>
        </is>
      </c>
      <c r="E488" t="inlineStr">
        <is>
          <t>Customer 487</t>
        </is>
      </c>
      <c r="F488" t="inlineStr">
        <is>
          <t>Consumer</t>
        </is>
      </c>
      <c r="G488" t="inlineStr">
        <is>
          <t>P1012</t>
        </is>
      </c>
      <c r="H488" t="inlineStr">
        <is>
          <t>ProClip Binder</t>
        </is>
      </c>
      <c r="I488" t="inlineStr">
        <is>
          <t>Technology</t>
        </is>
      </c>
      <c r="J488" t="inlineStr">
        <is>
          <t>Binders</t>
        </is>
      </c>
      <c r="K488" t="inlineStr">
        <is>
          <t>West</t>
        </is>
      </c>
      <c r="L488" t="inlineStr">
        <is>
          <t>Oregon</t>
        </is>
      </c>
      <c r="M488" t="inlineStr">
        <is>
          <t>Denver</t>
        </is>
      </c>
      <c r="N488" t="inlineStr">
        <is>
          <t>Ava Patel</t>
        </is>
      </c>
      <c r="O488" t="n">
        <v>2</v>
      </c>
      <c r="P488" s="3" t="n">
        <v>142.57</v>
      </c>
      <c r="Q488" s="4" t="n">
        <v>0.021</v>
      </c>
      <c r="R488" s="3" t="n">
        <v>279.15</v>
      </c>
      <c r="S488" s="3" t="n">
        <v>148.57</v>
      </c>
      <c r="T488" s="3" t="n">
        <v>121.98</v>
      </c>
      <c r="U488" s="4" t="n">
        <v>0.437</v>
      </c>
      <c r="V488" s="3" t="n">
        <v>8.6</v>
      </c>
      <c r="W488" t="inlineStr">
        <is>
          <t>PayPal</t>
        </is>
      </c>
      <c r="X488" t="inlineStr">
        <is>
          <t>High</t>
        </is>
      </c>
      <c r="Y488" t="n">
        <v>2023</v>
      </c>
      <c r="Z488" t="n">
        <v>11</v>
      </c>
      <c r="AA488" t="inlineStr">
        <is>
          <t>Nov</t>
        </is>
      </c>
      <c r="AB488" t="inlineStr">
        <is>
          <t>Tuesday</t>
        </is>
      </c>
      <c r="AC488" t="n">
        <v>2</v>
      </c>
      <c r="AD488" t="inlineStr">
        <is>
          <t>Profitable</t>
        </is>
      </c>
      <c r="AE488" t="inlineStr">
        <is>
          <t>Medium</t>
        </is>
      </c>
      <c r="AF488" t="inlineStr">
        <is>
          <t>Small</t>
        </is>
      </c>
    </row>
    <row r="489">
      <c r="A489" t="inlineStr">
        <is>
          <t>ORD-00488</t>
        </is>
      </c>
      <c r="B489" s="2" t="n">
        <v>45133</v>
      </c>
      <c r="C489" s="2" t="n">
        <v>45137</v>
      </c>
      <c r="D489" t="inlineStr">
        <is>
          <t>CUST-00488</t>
        </is>
      </c>
      <c r="E489" t="inlineStr">
        <is>
          <t>Customer 488</t>
        </is>
      </c>
      <c r="F489" t="inlineStr">
        <is>
          <t>Home Office</t>
        </is>
      </c>
      <c r="G489" t="inlineStr">
        <is>
          <t>P1001</t>
        </is>
      </c>
      <c r="H489" t="inlineStr">
        <is>
          <t>Nova Laptop Stand</t>
        </is>
      </c>
      <c r="I489" t="inlineStr">
        <is>
          <t>Home Decor</t>
        </is>
      </c>
      <c r="J489" t="inlineStr">
        <is>
          <t>Bags</t>
        </is>
      </c>
      <c r="K489" t="inlineStr">
        <is>
          <t>Central</t>
        </is>
      </c>
      <c r="L489" t="inlineStr">
        <is>
          <t>Minnesota</t>
        </is>
      </c>
      <c r="M489" t="inlineStr">
        <is>
          <t>Minneapolis</t>
        </is>
      </c>
      <c r="N489" t="inlineStr">
        <is>
          <t>Sophia Singh</t>
        </is>
      </c>
      <c r="O489" t="n">
        <v>1</v>
      </c>
      <c r="P489" s="3" t="n">
        <v>298.04</v>
      </c>
      <c r="Q489" s="4" t="n">
        <v>0.01</v>
      </c>
      <c r="R489" s="3" t="n">
        <v>295.06</v>
      </c>
      <c r="S489" s="3" t="n">
        <v>180.82</v>
      </c>
      <c r="T489" s="3" t="n">
        <v>107.44</v>
      </c>
      <c r="U489" s="4" t="n">
        <v>0.3641</v>
      </c>
      <c r="V489" s="3" t="n">
        <v>6.8</v>
      </c>
      <c r="W489" t="inlineStr">
        <is>
          <t>Bank Transfer</t>
        </is>
      </c>
      <c r="X489" t="inlineStr">
        <is>
          <t>Low</t>
        </is>
      </c>
      <c r="Y489" t="n">
        <v>2023</v>
      </c>
      <c r="Z489" t="n">
        <v>7</v>
      </c>
      <c r="AA489" t="inlineStr">
        <is>
          <t>Jul</t>
        </is>
      </c>
      <c r="AB489" t="inlineStr">
        <is>
          <t>Wednesday</t>
        </is>
      </c>
      <c r="AC489" t="n">
        <v>4</v>
      </c>
      <c r="AD489" t="inlineStr">
        <is>
          <t>Profitable</t>
        </is>
      </c>
      <c r="AE489" t="inlineStr">
        <is>
          <t>Low</t>
        </is>
      </c>
      <c r="AF489" t="inlineStr">
        <is>
          <t>Small</t>
        </is>
      </c>
    </row>
    <row r="490">
      <c r="A490" t="inlineStr">
        <is>
          <t>ORD-00489</t>
        </is>
      </c>
      <c r="B490" s="2" t="n">
        <v>45963</v>
      </c>
      <c r="C490" s="2" t="n">
        <v>45967</v>
      </c>
      <c r="D490" t="inlineStr">
        <is>
          <t>CUST-00489</t>
        </is>
      </c>
      <c r="E490" t="inlineStr">
        <is>
          <t>Customer 489</t>
        </is>
      </c>
      <c r="F490" t="inlineStr">
        <is>
          <t>Consumer</t>
        </is>
      </c>
      <c r="G490" t="inlineStr">
        <is>
          <t>P1013</t>
        </is>
      </c>
      <c r="H490" t="inlineStr">
        <is>
          <t>Summit Patio Set</t>
        </is>
      </c>
      <c r="I490" t="inlineStr">
        <is>
          <t>Furniture</t>
        </is>
      </c>
      <c r="J490" t="inlineStr">
        <is>
          <t>Peripherals</t>
        </is>
      </c>
      <c r="K490" t="inlineStr">
        <is>
          <t>West</t>
        </is>
      </c>
      <c r="L490" t="inlineStr">
        <is>
          <t>Washington</t>
        </is>
      </c>
      <c r="M490" t="inlineStr">
        <is>
          <t>Seattle</t>
        </is>
      </c>
      <c r="N490" t="inlineStr">
        <is>
          <t>Sophia Singh</t>
        </is>
      </c>
      <c r="O490" t="n">
        <v>4</v>
      </c>
      <c r="P490" s="3" t="n">
        <v>181.34</v>
      </c>
      <c r="Q490" s="4" t="n">
        <v>0.027</v>
      </c>
      <c r="R490" s="3" t="n">
        <v>705.78</v>
      </c>
      <c r="S490" s="3" t="n">
        <v>407.22</v>
      </c>
      <c r="T490" s="3" t="n">
        <v>288.36</v>
      </c>
      <c r="U490" s="4" t="n">
        <v>0.4086</v>
      </c>
      <c r="V490" s="3" t="n">
        <v>10.2</v>
      </c>
      <c r="W490" t="inlineStr">
        <is>
          <t>Credit Card</t>
        </is>
      </c>
      <c r="X490" t="inlineStr">
        <is>
          <t>Critical</t>
        </is>
      </c>
      <c r="Y490" t="n">
        <v>2025</v>
      </c>
      <c r="Z490" t="n">
        <v>11</v>
      </c>
      <c r="AA490" t="inlineStr">
        <is>
          <t>Nov</t>
        </is>
      </c>
      <c r="AB490" t="inlineStr">
        <is>
          <t>Sunday</t>
        </is>
      </c>
      <c r="AC490" t="n">
        <v>4</v>
      </c>
      <c r="AD490" t="inlineStr">
        <is>
          <t>Profitable</t>
        </is>
      </c>
      <c r="AE490" t="inlineStr">
        <is>
          <t>Medium</t>
        </is>
      </c>
      <c r="AF490" t="inlineStr">
        <is>
          <t>Medium</t>
        </is>
      </c>
    </row>
    <row r="491">
      <c r="A491" t="inlineStr">
        <is>
          <t>ORD-00490</t>
        </is>
      </c>
      <c r="B491" s="2" t="n">
        <v>45972</v>
      </c>
      <c r="C491" s="2" t="n">
        <v>45978</v>
      </c>
      <c r="D491" t="inlineStr">
        <is>
          <t>CUST-00490</t>
        </is>
      </c>
      <c r="E491" t="inlineStr">
        <is>
          <t>Customer 490</t>
        </is>
      </c>
      <c r="F491" t="inlineStr">
        <is>
          <t>Consumer</t>
        </is>
      </c>
      <c r="G491" t="inlineStr">
        <is>
          <t>P1009</t>
        </is>
      </c>
      <c r="H491" t="inlineStr">
        <is>
          <t>Lumen Desk Lamp</t>
        </is>
      </c>
      <c r="I491" t="inlineStr">
        <is>
          <t>Outdoor</t>
        </is>
      </c>
      <c r="J491" t="inlineStr">
        <is>
          <t>Peripherals</t>
        </is>
      </c>
      <c r="K491" t="inlineStr">
        <is>
          <t>West</t>
        </is>
      </c>
      <c r="L491" t="inlineStr">
        <is>
          <t>Colorado</t>
        </is>
      </c>
      <c r="M491" t="inlineStr">
        <is>
          <t>Los Angeles</t>
        </is>
      </c>
      <c r="N491" t="inlineStr">
        <is>
          <t>Noah Kim</t>
        </is>
      </c>
      <c r="O491" t="n">
        <v>6</v>
      </c>
      <c r="P491" s="3" t="n">
        <v>104.27</v>
      </c>
      <c r="Q491" s="4" t="n">
        <v>0.017</v>
      </c>
      <c r="R491" s="3" t="n">
        <v>614.98</v>
      </c>
      <c r="S491" s="3" t="n">
        <v>293.46</v>
      </c>
      <c r="T491" s="3" t="n">
        <v>309.72</v>
      </c>
      <c r="U491" s="4" t="n">
        <v>0.5036</v>
      </c>
      <c r="V491" s="3" t="n">
        <v>11.8</v>
      </c>
      <c r="W491" t="inlineStr">
        <is>
          <t>Credit Card</t>
        </is>
      </c>
      <c r="X491" t="inlineStr">
        <is>
          <t>Medium</t>
        </is>
      </c>
      <c r="Y491" t="n">
        <v>2025</v>
      </c>
      <c r="Z491" t="n">
        <v>11</v>
      </c>
      <c r="AA491" t="inlineStr">
        <is>
          <t>Nov</t>
        </is>
      </c>
      <c r="AB491" t="inlineStr">
        <is>
          <t>Tuesday</t>
        </is>
      </c>
      <c r="AC491" t="n">
        <v>6</v>
      </c>
      <c r="AD491" t="inlineStr">
        <is>
          <t>Profitable</t>
        </is>
      </c>
      <c r="AE491" t="inlineStr">
        <is>
          <t>Low</t>
        </is>
      </c>
      <c r="AF491" t="inlineStr">
        <is>
          <t>Medium</t>
        </is>
      </c>
    </row>
    <row r="492">
      <c r="A492" t="inlineStr">
        <is>
          <t>ORD-00491</t>
        </is>
      </c>
      <c r="B492" s="2" t="n">
        <v>45546</v>
      </c>
      <c r="C492" s="2" t="n">
        <v>45549</v>
      </c>
      <c r="D492" t="inlineStr">
        <is>
          <t>CUST-00491</t>
        </is>
      </c>
      <c r="E492" t="inlineStr">
        <is>
          <t>Customer 491</t>
        </is>
      </c>
      <c r="F492" t="inlineStr">
        <is>
          <t>Home Office</t>
        </is>
      </c>
      <c r="G492" t="inlineStr">
        <is>
          <t>P1020</t>
        </is>
      </c>
      <c r="H492" t="inlineStr">
        <is>
          <t>Trail Tote</t>
        </is>
      </c>
      <c r="I492" t="inlineStr">
        <is>
          <t>Technology</t>
        </is>
      </c>
      <c r="J492" t="inlineStr">
        <is>
          <t>Plants</t>
        </is>
      </c>
      <c r="K492" t="inlineStr">
        <is>
          <t>South</t>
        </is>
      </c>
      <c r="L492" t="inlineStr">
        <is>
          <t>Florida</t>
        </is>
      </c>
      <c r="M492" t="inlineStr">
        <is>
          <t>Houston</t>
        </is>
      </c>
      <c r="N492" t="inlineStr">
        <is>
          <t>Noah Kim</t>
        </is>
      </c>
      <c r="O492" t="n">
        <v>2</v>
      </c>
      <c r="P492" s="3" t="n">
        <v>72.47</v>
      </c>
      <c r="Q492" s="4" t="n">
        <v>0.021</v>
      </c>
      <c r="R492" s="3" t="n">
        <v>141.9</v>
      </c>
      <c r="S492" s="3" t="n">
        <v>74.70999999999999</v>
      </c>
      <c r="T492" s="3" t="n">
        <v>59.59</v>
      </c>
      <c r="U492" s="4" t="n">
        <v>0.4199</v>
      </c>
      <c r="V492" s="3" t="n">
        <v>7.6</v>
      </c>
      <c r="W492" t="inlineStr">
        <is>
          <t>PayPal</t>
        </is>
      </c>
      <c r="X492" t="inlineStr">
        <is>
          <t>High</t>
        </is>
      </c>
      <c r="Y492" t="n">
        <v>2024</v>
      </c>
      <c r="Z492" t="n">
        <v>9</v>
      </c>
      <c r="AA492" t="inlineStr">
        <is>
          <t>Sep</t>
        </is>
      </c>
      <c r="AB492" t="inlineStr">
        <is>
          <t>Wednesday</t>
        </is>
      </c>
      <c r="AC492" t="n">
        <v>3</v>
      </c>
      <c r="AD492" t="inlineStr">
        <is>
          <t>Profitable</t>
        </is>
      </c>
      <c r="AE492" t="inlineStr">
        <is>
          <t>Medium</t>
        </is>
      </c>
      <c r="AF492" t="inlineStr">
        <is>
          <t>Small</t>
        </is>
      </c>
    </row>
    <row r="493">
      <c r="A493" t="inlineStr">
        <is>
          <t>ORD-00492</t>
        </is>
      </c>
      <c r="B493" s="2" t="n">
        <v>45393</v>
      </c>
      <c r="C493" s="2" t="n">
        <v>45396</v>
      </c>
      <c r="D493" t="inlineStr">
        <is>
          <t>CUST-00492</t>
        </is>
      </c>
      <c r="E493" t="inlineStr">
        <is>
          <t>Customer 492</t>
        </is>
      </c>
      <c r="F493" t="inlineStr">
        <is>
          <t>Corporate</t>
        </is>
      </c>
      <c r="G493" t="inlineStr">
        <is>
          <t>P1008</t>
        </is>
      </c>
      <c r="H493" t="inlineStr">
        <is>
          <t>Harbor Rug</t>
        </is>
      </c>
      <c r="I493" t="inlineStr">
        <is>
          <t>Home Decor</t>
        </is>
      </c>
      <c r="J493" t="inlineStr">
        <is>
          <t>Video</t>
        </is>
      </c>
      <c r="K493" t="inlineStr">
        <is>
          <t>South</t>
        </is>
      </c>
      <c r="L493" t="inlineStr">
        <is>
          <t>Florida</t>
        </is>
      </c>
      <c r="M493" t="inlineStr">
        <is>
          <t>Houston</t>
        </is>
      </c>
      <c r="N493" t="inlineStr">
        <is>
          <t>Ava Patel</t>
        </is>
      </c>
      <c r="O493" t="n">
        <v>1</v>
      </c>
      <c r="P493" s="3" t="n">
        <v>33.47</v>
      </c>
      <c r="Q493" s="4" t="n">
        <v>0.025</v>
      </c>
      <c r="R493" s="3" t="n">
        <v>32.63</v>
      </c>
      <c r="S493" s="3" t="n">
        <v>17.52</v>
      </c>
      <c r="T493" s="3" t="n">
        <v>8.31</v>
      </c>
      <c r="U493" s="4" t="n">
        <v>0.2547</v>
      </c>
      <c r="V493" s="3" t="n">
        <v>6.8</v>
      </c>
      <c r="W493" t="inlineStr">
        <is>
          <t>Debit Card</t>
        </is>
      </c>
      <c r="X493" t="inlineStr">
        <is>
          <t>High</t>
        </is>
      </c>
      <c r="Y493" t="n">
        <v>2024</v>
      </c>
      <c r="Z493" t="n">
        <v>4</v>
      </c>
      <c r="AA493" t="inlineStr">
        <is>
          <t>Apr</t>
        </is>
      </c>
      <c r="AB493" t="inlineStr">
        <is>
          <t>Thursday</t>
        </is>
      </c>
      <c r="AC493" t="n">
        <v>3</v>
      </c>
      <c r="AD493" t="inlineStr">
        <is>
          <t>Profitable</t>
        </is>
      </c>
      <c r="AE493" t="inlineStr">
        <is>
          <t>Medium</t>
        </is>
      </c>
      <c r="AF493" t="inlineStr">
        <is>
          <t>Small</t>
        </is>
      </c>
    </row>
    <row r="494">
      <c r="A494" t="inlineStr">
        <is>
          <t>ORD-00493</t>
        </is>
      </c>
      <c r="B494" s="2" t="n">
        <v>45047</v>
      </c>
      <c r="C494" s="2" t="n">
        <v>45050</v>
      </c>
      <c r="D494" t="inlineStr">
        <is>
          <t>CUST-00493</t>
        </is>
      </c>
      <c r="E494" t="inlineStr">
        <is>
          <t>Customer 493</t>
        </is>
      </c>
      <c r="F494" t="inlineStr">
        <is>
          <t>Consumer</t>
        </is>
      </c>
      <c r="G494" t="inlineStr">
        <is>
          <t>P1013</t>
        </is>
      </c>
      <c r="H494" t="inlineStr">
        <is>
          <t>Summit Patio Set</t>
        </is>
      </c>
      <c r="I494" t="inlineStr">
        <is>
          <t>Technology</t>
        </is>
      </c>
      <c r="J494" t="inlineStr">
        <is>
          <t>Textiles</t>
        </is>
      </c>
      <c r="K494" t="inlineStr">
        <is>
          <t>Central</t>
        </is>
      </c>
      <c r="L494" t="inlineStr">
        <is>
          <t>Illinois</t>
        </is>
      </c>
      <c r="M494" t="inlineStr">
        <is>
          <t>Minneapolis</t>
        </is>
      </c>
      <c r="N494" t="inlineStr">
        <is>
          <t>Liam Chen</t>
        </is>
      </c>
      <c r="O494" t="n">
        <v>5</v>
      </c>
      <c r="P494" s="3" t="n">
        <v>151.72</v>
      </c>
      <c r="Q494" s="4" t="n">
        <v>0.022</v>
      </c>
      <c r="R494" s="3" t="n">
        <v>741.91</v>
      </c>
      <c r="S494" s="3" t="n">
        <v>419.65</v>
      </c>
      <c r="T494" s="3" t="n">
        <v>312.26</v>
      </c>
      <c r="U494" s="4" t="n">
        <v>0.4209</v>
      </c>
      <c r="V494" s="3" t="n">
        <v>10</v>
      </c>
      <c r="W494" t="inlineStr">
        <is>
          <t>Bank Transfer</t>
        </is>
      </c>
      <c r="X494" t="inlineStr">
        <is>
          <t>High</t>
        </is>
      </c>
      <c r="Y494" t="n">
        <v>2023</v>
      </c>
      <c r="Z494" t="n">
        <v>5</v>
      </c>
      <c r="AA494" t="inlineStr">
        <is>
          <t>May</t>
        </is>
      </c>
      <c r="AB494" t="inlineStr">
        <is>
          <t>Monday</t>
        </is>
      </c>
      <c r="AC494" t="n">
        <v>3</v>
      </c>
      <c r="AD494" t="inlineStr">
        <is>
          <t>Profitable</t>
        </is>
      </c>
      <c r="AE494" t="inlineStr">
        <is>
          <t>Medium</t>
        </is>
      </c>
      <c r="AF494" t="inlineStr">
        <is>
          <t>Medium</t>
        </is>
      </c>
    </row>
    <row r="495">
      <c r="A495" t="inlineStr">
        <is>
          <t>ORD-00494</t>
        </is>
      </c>
      <c r="B495" s="2" t="n">
        <v>45072</v>
      </c>
      <c r="C495" s="2" t="n">
        <v>45075</v>
      </c>
      <c r="D495" t="inlineStr">
        <is>
          <t>CUST-00494</t>
        </is>
      </c>
      <c r="E495" t="inlineStr">
        <is>
          <t>Customer 494</t>
        </is>
      </c>
      <c r="F495" t="inlineStr">
        <is>
          <t>Consumer</t>
        </is>
      </c>
      <c r="G495" t="inlineStr">
        <is>
          <t>P1002</t>
        </is>
      </c>
      <c r="H495" t="inlineStr">
        <is>
          <t>Trail Tote</t>
        </is>
      </c>
      <c r="I495" t="inlineStr">
        <is>
          <t>Outdoor</t>
        </is>
      </c>
      <c r="J495" t="inlineStr">
        <is>
          <t>Coolers</t>
        </is>
      </c>
      <c r="K495" t="inlineStr">
        <is>
          <t>North</t>
        </is>
      </c>
      <c r="L495" t="inlineStr">
        <is>
          <t>Ontario</t>
        </is>
      </c>
      <c r="M495" t="inlineStr">
        <is>
          <t>Montreal</t>
        </is>
      </c>
      <c r="N495" t="inlineStr">
        <is>
          <t>Noah Kim</t>
        </is>
      </c>
      <c r="O495" t="n">
        <v>2</v>
      </c>
      <c r="P495" s="3" t="n">
        <v>80.72</v>
      </c>
      <c r="Q495" s="4" t="n">
        <v>0.03</v>
      </c>
      <c r="R495" s="3" t="n">
        <v>156.6</v>
      </c>
      <c r="S495" s="3" t="n">
        <v>79.8</v>
      </c>
      <c r="T495" s="3" t="n">
        <v>69.2</v>
      </c>
      <c r="U495" s="4" t="n">
        <v>0.4419</v>
      </c>
      <c r="V495" s="3" t="n">
        <v>7.6</v>
      </c>
      <c r="W495" t="inlineStr">
        <is>
          <t>Credit Card</t>
        </is>
      </c>
      <c r="X495" t="inlineStr">
        <is>
          <t>Critical</t>
        </is>
      </c>
      <c r="Y495" t="n">
        <v>2023</v>
      </c>
      <c r="Z495" t="n">
        <v>5</v>
      </c>
      <c r="AA495" t="inlineStr">
        <is>
          <t>May</t>
        </is>
      </c>
      <c r="AB495" t="inlineStr">
        <is>
          <t>Friday</t>
        </is>
      </c>
      <c r="AC495" t="n">
        <v>3</v>
      </c>
      <c r="AD495" t="inlineStr">
        <is>
          <t>Profitable</t>
        </is>
      </c>
      <c r="AE495" t="inlineStr">
        <is>
          <t>Medium</t>
        </is>
      </c>
      <c r="AF495" t="inlineStr">
        <is>
          <t>Small</t>
        </is>
      </c>
    </row>
    <row r="496">
      <c r="A496" t="inlineStr">
        <is>
          <t>ORD-00495</t>
        </is>
      </c>
      <c r="B496" s="2" t="n">
        <v>45365</v>
      </c>
      <c r="C496" s="2" t="n">
        <v>45367</v>
      </c>
      <c r="D496" t="inlineStr">
        <is>
          <t>CUST-00495</t>
        </is>
      </c>
      <c r="E496" t="inlineStr">
        <is>
          <t>Customer 495</t>
        </is>
      </c>
      <c r="F496" t="inlineStr">
        <is>
          <t>Consumer</t>
        </is>
      </c>
      <c r="G496" t="inlineStr">
        <is>
          <t>P1015</t>
        </is>
      </c>
      <c r="H496" t="inlineStr">
        <is>
          <t>ProClip Binder</t>
        </is>
      </c>
      <c r="I496" t="inlineStr">
        <is>
          <t>Furniture</t>
        </is>
      </c>
      <c r="J496" t="inlineStr">
        <is>
          <t>Writing</t>
        </is>
      </c>
      <c r="K496" t="inlineStr">
        <is>
          <t>Central</t>
        </is>
      </c>
      <c r="L496" t="inlineStr">
        <is>
          <t>Kansas</t>
        </is>
      </c>
      <c r="M496" t="inlineStr">
        <is>
          <t>Chicago</t>
        </is>
      </c>
      <c r="N496" t="inlineStr">
        <is>
          <t>James Carter</t>
        </is>
      </c>
      <c r="O496" t="n">
        <v>1</v>
      </c>
      <c r="P496" s="3" t="n">
        <v>67.23999999999999</v>
      </c>
      <c r="Q496" s="4" t="n">
        <v>0.051</v>
      </c>
      <c r="R496" s="3" t="n">
        <v>63.81</v>
      </c>
      <c r="S496" s="3" t="n">
        <v>33.75</v>
      </c>
      <c r="T496" s="3" t="n">
        <v>23.26</v>
      </c>
      <c r="U496" s="4" t="n">
        <v>0.3645</v>
      </c>
      <c r="V496" s="3" t="n">
        <v>6.8</v>
      </c>
      <c r="W496" t="inlineStr">
        <is>
          <t>PayPal</t>
        </is>
      </c>
      <c r="X496" t="inlineStr">
        <is>
          <t>High</t>
        </is>
      </c>
      <c r="Y496" t="n">
        <v>2024</v>
      </c>
      <c r="Z496" t="n">
        <v>3</v>
      </c>
      <c r="AA496" t="inlineStr">
        <is>
          <t>Mar</t>
        </is>
      </c>
      <c r="AB496" t="inlineStr">
        <is>
          <t>Thursday</t>
        </is>
      </c>
      <c r="AC496" t="n">
        <v>2</v>
      </c>
      <c r="AD496" t="inlineStr">
        <is>
          <t>Profitable</t>
        </is>
      </c>
      <c r="AE496" t="inlineStr">
        <is>
          <t>High</t>
        </is>
      </c>
      <c r="AF496" t="inlineStr">
        <is>
          <t>Small</t>
        </is>
      </c>
    </row>
    <row r="497">
      <c r="A497" t="inlineStr">
        <is>
          <t>ORD-00496</t>
        </is>
      </c>
      <c r="B497" s="2" t="n">
        <v>45413</v>
      </c>
      <c r="C497" s="2" t="n">
        <v>45418</v>
      </c>
      <c r="D497" t="inlineStr">
        <is>
          <t>CUST-00496</t>
        </is>
      </c>
      <c r="E497" t="inlineStr">
        <is>
          <t>Customer 496</t>
        </is>
      </c>
      <c r="F497" t="inlineStr">
        <is>
          <t>Corporate</t>
        </is>
      </c>
      <c r="G497" t="inlineStr">
        <is>
          <t>P1014</t>
        </is>
      </c>
      <c r="H497" t="inlineStr">
        <is>
          <t>Northstar Lantern</t>
        </is>
      </c>
      <c r="I497" t="inlineStr">
        <is>
          <t>Office Supplies</t>
        </is>
      </c>
      <c r="J497" t="inlineStr">
        <is>
          <t>Decor</t>
        </is>
      </c>
      <c r="K497" t="inlineStr">
        <is>
          <t>South</t>
        </is>
      </c>
      <c r="L497" t="inlineStr">
        <is>
          <t>Georgia</t>
        </is>
      </c>
      <c r="M497" t="inlineStr">
        <is>
          <t>Miami</t>
        </is>
      </c>
      <c r="N497" t="inlineStr">
        <is>
          <t>Olivia Martin</t>
        </is>
      </c>
      <c r="O497" t="n">
        <v>2</v>
      </c>
      <c r="P497" s="3" t="n">
        <v>42.64</v>
      </c>
      <c r="Q497" s="4" t="n">
        <v>0.024</v>
      </c>
      <c r="R497" s="3" t="n">
        <v>83.23</v>
      </c>
      <c r="S497" s="3" t="n">
        <v>41.66</v>
      </c>
      <c r="T497" s="3" t="n">
        <v>33.97</v>
      </c>
      <c r="U497" s="4" t="n">
        <v>0.4081</v>
      </c>
      <c r="V497" s="3" t="n">
        <v>7.6</v>
      </c>
      <c r="W497" t="inlineStr">
        <is>
          <t>Credit Card</t>
        </is>
      </c>
      <c r="X497" t="inlineStr">
        <is>
          <t>High</t>
        </is>
      </c>
      <c r="Y497" t="n">
        <v>2024</v>
      </c>
      <c r="Z497" t="n">
        <v>5</v>
      </c>
      <c r="AA497" t="inlineStr">
        <is>
          <t>May</t>
        </is>
      </c>
      <c r="AB497" t="inlineStr">
        <is>
          <t>Wednesday</t>
        </is>
      </c>
      <c r="AC497" t="n">
        <v>5</v>
      </c>
      <c r="AD497" t="inlineStr">
        <is>
          <t>Profitable</t>
        </is>
      </c>
      <c r="AE497" t="inlineStr">
        <is>
          <t>Medium</t>
        </is>
      </c>
      <c r="AF497" t="inlineStr">
        <is>
          <t>Small</t>
        </is>
      </c>
    </row>
    <row r="498">
      <c r="A498" t="inlineStr">
        <is>
          <t>ORD-00497</t>
        </is>
      </c>
      <c r="B498" s="2" t="n">
        <v>45403</v>
      </c>
      <c r="C498" s="2" t="n">
        <v>45405</v>
      </c>
      <c r="D498" t="inlineStr">
        <is>
          <t>CUST-00497</t>
        </is>
      </c>
      <c r="E498" t="inlineStr">
        <is>
          <t>Customer 497</t>
        </is>
      </c>
      <c r="F498" t="inlineStr">
        <is>
          <t>Consumer</t>
        </is>
      </c>
      <c r="G498" t="inlineStr">
        <is>
          <t>P1019</t>
        </is>
      </c>
      <c r="H498" t="inlineStr">
        <is>
          <t>ProClip Binder</t>
        </is>
      </c>
      <c r="I498" t="inlineStr">
        <is>
          <t>Furniture</t>
        </is>
      </c>
      <c r="J498" t="inlineStr">
        <is>
          <t>Accessories</t>
        </is>
      </c>
      <c r="K498" t="inlineStr">
        <is>
          <t>South</t>
        </is>
      </c>
      <c r="L498" t="inlineStr">
        <is>
          <t>Texas</t>
        </is>
      </c>
      <c r="M498" t="inlineStr">
        <is>
          <t>Dallas</t>
        </is>
      </c>
      <c r="N498" t="inlineStr">
        <is>
          <t>Olivia Martin</t>
        </is>
      </c>
      <c r="O498" t="n">
        <v>1</v>
      </c>
      <c r="P498" s="3" t="n">
        <v>56.03</v>
      </c>
      <c r="Q498" s="4" t="n">
        <v>0.011</v>
      </c>
      <c r="R498" s="3" t="n">
        <v>55.41</v>
      </c>
      <c r="S498" s="3" t="n">
        <v>33.77</v>
      </c>
      <c r="T498" s="3" t="n">
        <v>14.84</v>
      </c>
      <c r="U498" s="4" t="n">
        <v>0.2678</v>
      </c>
      <c r="V498" s="3" t="n">
        <v>6.8</v>
      </c>
      <c r="W498" t="inlineStr">
        <is>
          <t>Credit Card</t>
        </is>
      </c>
      <c r="X498" t="inlineStr">
        <is>
          <t>Medium</t>
        </is>
      </c>
      <c r="Y498" t="n">
        <v>2024</v>
      </c>
      <c r="Z498" t="n">
        <v>4</v>
      </c>
      <c r="AA498" t="inlineStr">
        <is>
          <t>Apr</t>
        </is>
      </c>
      <c r="AB498" t="inlineStr">
        <is>
          <t>Sunday</t>
        </is>
      </c>
      <c r="AC498" t="n">
        <v>2</v>
      </c>
      <c r="AD498" t="inlineStr">
        <is>
          <t>Profitable</t>
        </is>
      </c>
      <c r="AE498" t="inlineStr">
        <is>
          <t>Low</t>
        </is>
      </c>
      <c r="AF498" t="inlineStr">
        <is>
          <t>Small</t>
        </is>
      </c>
    </row>
    <row r="499">
      <c r="A499" t="inlineStr">
        <is>
          <t>ORD-00498</t>
        </is>
      </c>
      <c r="B499" s="2" t="n">
        <v>45130</v>
      </c>
      <c r="C499" s="2" t="n">
        <v>45137</v>
      </c>
      <c r="D499" t="inlineStr">
        <is>
          <t>CUST-00498</t>
        </is>
      </c>
      <c r="E499" t="inlineStr">
        <is>
          <t>Customer 498</t>
        </is>
      </c>
      <c r="F499" t="inlineStr">
        <is>
          <t>Consumer</t>
        </is>
      </c>
      <c r="G499" t="inlineStr">
        <is>
          <t>P1009</t>
        </is>
      </c>
      <c r="H499" t="inlineStr">
        <is>
          <t>Lumen Desk Lamp</t>
        </is>
      </c>
      <c r="I499" t="inlineStr">
        <is>
          <t>Office Supplies</t>
        </is>
      </c>
      <c r="J499" t="inlineStr">
        <is>
          <t>Binders</t>
        </is>
      </c>
      <c r="K499" t="inlineStr">
        <is>
          <t>Central</t>
        </is>
      </c>
      <c r="L499" t="inlineStr">
        <is>
          <t>Minnesota</t>
        </is>
      </c>
      <c r="M499" t="inlineStr">
        <is>
          <t>Minneapolis</t>
        </is>
      </c>
      <c r="N499" t="inlineStr">
        <is>
          <t>Ava Patel</t>
        </is>
      </c>
      <c r="O499" t="n">
        <v>4</v>
      </c>
      <c r="P499" s="3" t="n">
        <v>94.52</v>
      </c>
      <c r="Q499" s="4" t="n">
        <v>0.022</v>
      </c>
      <c r="R499" s="3" t="n">
        <v>369.76</v>
      </c>
      <c r="S499" s="3" t="n">
        <v>182.69</v>
      </c>
      <c r="T499" s="3" t="n">
        <v>177.87</v>
      </c>
      <c r="U499" s="4" t="n">
        <v>0.481</v>
      </c>
      <c r="V499" s="3" t="n">
        <v>9.199999999999999</v>
      </c>
      <c r="W499" t="inlineStr">
        <is>
          <t>Debit Card</t>
        </is>
      </c>
      <c r="X499" t="inlineStr">
        <is>
          <t>Medium</t>
        </is>
      </c>
      <c r="Y499" t="n">
        <v>2023</v>
      </c>
      <c r="Z499" t="n">
        <v>7</v>
      </c>
      <c r="AA499" t="inlineStr">
        <is>
          <t>Jul</t>
        </is>
      </c>
      <c r="AB499" t="inlineStr">
        <is>
          <t>Sunday</t>
        </is>
      </c>
      <c r="AC499" t="n">
        <v>7</v>
      </c>
      <c r="AD499" t="inlineStr">
        <is>
          <t>Profitable</t>
        </is>
      </c>
      <c r="AE499" t="inlineStr">
        <is>
          <t>Medium</t>
        </is>
      </c>
      <c r="AF499" t="inlineStr">
        <is>
          <t>Small</t>
        </is>
      </c>
    </row>
    <row r="500">
      <c r="A500" t="inlineStr">
        <is>
          <t>ORD-00499</t>
        </is>
      </c>
      <c r="B500" s="2" t="n">
        <v>46016</v>
      </c>
      <c r="C500" s="2" t="n">
        <v>46023</v>
      </c>
      <c r="D500" t="inlineStr">
        <is>
          <t>CUST-00499</t>
        </is>
      </c>
      <c r="E500" t="inlineStr">
        <is>
          <t>Customer 499</t>
        </is>
      </c>
      <c r="F500" t="inlineStr">
        <is>
          <t>Consumer</t>
        </is>
      </c>
      <c r="G500" t="inlineStr">
        <is>
          <t>P1019</t>
        </is>
      </c>
      <c r="H500" t="inlineStr">
        <is>
          <t>Harbor Rug</t>
        </is>
      </c>
      <c r="I500" t="inlineStr">
        <is>
          <t>Home Decor</t>
        </is>
      </c>
      <c r="J500" t="inlineStr">
        <is>
          <t>Peripherals</t>
        </is>
      </c>
      <c r="K500" t="inlineStr">
        <is>
          <t>West</t>
        </is>
      </c>
      <c r="L500" t="inlineStr">
        <is>
          <t>Colorado</t>
        </is>
      </c>
      <c r="M500" t="inlineStr">
        <is>
          <t>Los Angeles</t>
        </is>
      </c>
      <c r="N500" t="inlineStr">
        <is>
          <t>Mia Rodriguez</t>
        </is>
      </c>
      <c r="O500" t="n">
        <v>1</v>
      </c>
      <c r="P500" s="3" t="n">
        <v>66.38</v>
      </c>
      <c r="Q500" s="4" t="n">
        <v>0.038</v>
      </c>
      <c r="R500" s="3" t="n">
        <v>63.86</v>
      </c>
      <c r="S500" s="3" t="n">
        <v>32.21</v>
      </c>
      <c r="T500" s="3" t="n">
        <v>23.85</v>
      </c>
      <c r="U500" s="4" t="n">
        <v>0.3735</v>
      </c>
      <c r="V500" s="3" t="n">
        <v>7.8</v>
      </c>
      <c r="W500" t="inlineStr">
        <is>
          <t>Credit Card</t>
        </is>
      </c>
      <c r="X500" t="inlineStr">
        <is>
          <t>High</t>
        </is>
      </c>
      <c r="Y500" t="n">
        <v>2025</v>
      </c>
      <c r="Z500" t="n">
        <v>12</v>
      </c>
      <c r="AA500" t="inlineStr">
        <is>
          <t>Dec</t>
        </is>
      </c>
      <c r="AB500" t="inlineStr">
        <is>
          <t>Thursday</t>
        </is>
      </c>
      <c r="AC500" t="n">
        <v>7</v>
      </c>
      <c r="AD500" t="inlineStr">
        <is>
          <t>Profitable</t>
        </is>
      </c>
      <c r="AE500" t="inlineStr">
        <is>
          <t>Medium</t>
        </is>
      </c>
      <c r="AF500" t="inlineStr">
        <is>
          <t>Small</t>
        </is>
      </c>
    </row>
    <row r="501">
      <c r="A501" t="inlineStr">
        <is>
          <t>ORD-00500</t>
        </is>
      </c>
      <c r="B501" s="2" t="n">
        <v>45697</v>
      </c>
      <c r="C501" s="2" t="n">
        <v>45699</v>
      </c>
      <c r="D501" t="inlineStr">
        <is>
          <t>CUST-00500</t>
        </is>
      </c>
      <c r="E501" t="inlineStr">
        <is>
          <t>Customer 500</t>
        </is>
      </c>
      <c r="F501" t="inlineStr">
        <is>
          <t>Consumer</t>
        </is>
      </c>
      <c r="G501" t="inlineStr">
        <is>
          <t>P1014</t>
        </is>
      </c>
      <c r="H501" t="inlineStr">
        <is>
          <t>Trail Tote</t>
        </is>
      </c>
      <c r="I501" t="inlineStr">
        <is>
          <t>Technology</t>
        </is>
      </c>
      <c r="J501" t="inlineStr">
        <is>
          <t>Flooring</t>
        </is>
      </c>
      <c r="K501" t="inlineStr">
        <is>
          <t>Central</t>
        </is>
      </c>
      <c r="L501" t="inlineStr">
        <is>
          <t>Illinois</t>
        </is>
      </c>
      <c r="M501" t="inlineStr">
        <is>
          <t>Kansas City</t>
        </is>
      </c>
      <c r="N501" t="inlineStr">
        <is>
          <t>Ethan Brooks</t>
        </is>
      </c>
      <c r="O501" t="n">
        <v>3</v>
      </c>
      <c r="P501" s="3" t="n">
        <v>43.26</v>
      </c>
      <c r="Q501" s="4" t="n">
        <v>0.005</v>
      </c>
      <c r="R501" s="3" t="n">
        <v>129.13</v>
      </c>
      <c r="S501" s="3" t="n">
        <v>57.32</v>
      </c>
      <c r="T501" s="3" t="n">
        <v>63.41</v>
      </c>
      <c r="U501" s="4" t="n">
        <v>0.4911</v>
      </c>
      <c r="V501" s="3" t="n">
        <v>8.4</v>
      </c>
      <c r="W501" t="inlineStr">
        <is>
          <t>Credit Card</t>
        </is>
      </c>
      <c r="X501" t="inlineStr">
        <is>
          <t>Medium</t>
        </is>
      </c>
      <c r="Y501" t="n">
        <v>2025</v>
      </c>
      <c r="Z501" t="n">
        <v>2</v>
      </c>
      <c r="AA501" t="inlineStr">
        <is>
          <t>Feb</t>
        </is>
      </c>
      <c r="AB501" t="inlineStr">
        <is>
          <t>Sunday</t>
        </is>
      </c>
      <c r="AC501" t="n">
        <v>2</v>
      </c>
      <c r="AD501" t="inlineStr">
        <is>
          <t>Profitable</t>
        </is>
      </c>
      <c r="AE501" t="inlineStr">
        <is>
          <t>Low</t>
        </is>
      </c>
      <c r="AF501" t="inlineStr">
        <is>
          <t>Small</t>
        </is>
      </c>
    </row>
    <row r="502">
      <c r="A502" t="inlineStr">
        <is>
          <t>ORD-00501</t>
        </is>
      </c>
      <c r="B502" s="2" t="n">
        <v>45954</v>
      </c>
      <c r="C502" s="2" t="n">
        <v>45956</v>
      </c>
      <c r="D502" t="inlineStr">
        <is>
          <t>CUST-00501</t>
        </is>
      </c>
      <c r="E502" t="inlineStr">
        <is>
          <t>Customer 501</t>
        </is>
      </c>
      <c r="F502" t="inlineStr">
        <is>
          <t>Corporate</t>
        </is>
      </c>
      <c r="G502" t="inlineStr">
        <is>
          <t>P1008</t>
        </is>
      </c>
      <c r="H502" t="inlineStr">
        <is>
          <t>Orbit Wireless Mouse</t>
        </is>
      </c>
      <c r="I502" t="inlineStr">
        <is>
          <t>Outdoor</t>
        </is>
      </c>
      <c r="J502" t="inlineStr">
        <is>
          <t>Coolers</t>
        </is>
      </c>
      <c r="K502" t="inlineStr">
        <is>
          <t>South</t>
        </is>
      </c>
      <c r="L502" t="inlineStr">
        <is>
          <t>Texas</t>
        </is>
      </c>
      <c r="M502" t="inlineStr">
        <is>
          <t>Miami</t>
        </is>
      </c>
      <c r="N502" t="inlineStr">
        <is>
          <t>Sophia Singh</t>
        </is>
      </c>
      <c r="O502" t="n">
        <v>3</v>
      </c>
      <c r="P502" s="3" t="n">
        <v>38.31</v>
      </c>
      <c r="Q502" s="4" t="n">
        <v>0.022</v>
      </c>
      <c r="R502" s="3" t="n">
        <v>112.4</v>
      </c>
      <c r="S502" s="3" t="n">
        <v>51.12</v>
      </c>
      <c r="T502" s="3" t="n">
        <v>52.88</v>
      </c>
      <c r="U502" s="4" t="n">
        <v>0.4705</v>
      </c>
      <c r="V502" s="3" t="n">
        <v>8.4</v>
      </c>
      <c r="W502" t="inlineStr">
        <is>
          <t>Bank Transfer</t>
        </is>
      </c>
      <c r="X502" t="inlineStr">
        <is>
          <t>Medium</t>
        </is>
      </c>
      <c r="Y502" t="n">
        <v>2025</v>
      </c>
      <c r="Z502" t="n">
        <v>10</v>
      </c>
      <c r="AA502" t="inlineStr">
        <is>
          <t>Oct</t>
        </is>
      </c>
      <c r="AB502" t="inlineStr">
        <is>
          <t>Friday</t>
        </is>
      </c>
      <c r="AC502" t="n">
        <v>2</v>
      </c>
      <c r="AD502" t="inlineStr">
        <is>
          <t>Profitable</t>
        </is>
      </c>
      <c r="AE502" t="inlineStr">
        <is>
          <t>Medium</t>
        </is>
      </c>
      <c r="AF502" t="inlineStr">
        <is>
          <t>Small</t>
        </is>
      </c>
    </row>
    <row r="503">
      <c r="A503" t="inlineStr">
        <is>
          <t>ORD-00502</t>
        </is>
      </c>
      <c r="B503" s="2" t="n">
        <v>45566</v>
      </c>
      <c r="C503" s="2" t="n">
        <v>45570</v>
      </c>
      <c r="D503" t="inlineStr">
        <is>
          <t>CUST-00502</t>
        </is>
      </c>
      <c r="E503" t="inlineStr">
        <is>
          <t>Customer 502</t>
        </is>
      </c>
      <c r="F503" t="inlineStr">
        <is>
          <t>Consumer</t>
        </is>
      </c>
      <c r="G503" t="inlineStr">
        <is>
          <t>P1005</t>
        </is>
      </c>
      <c r="H503" t="inlineStr">
        <is>
          <t>Nova Laptop Stand</t>
        </is>
      </c>
      <c r="I503" t="inlineStr">
        <is>
          <t>Technology</t>
        </is>
      </c>
      <c r="J503" t="inlineStr">
        <is>
          <t>Video</t>
        </is>
      </c>
      <c r="K503" t="inlineStr">
        <is>
          <t>East</t>
        </is>
      </c>
      <c r="L503" t="inlineStr">
        <is>
          <t>New York</t>
        </is>
      </c>
      <c r="M503" t="inlineStr">
        <is>
          <t>Boston</t>
        </is>
      </c>
      <c r="N503" t="inlineStr">
        <is>
          <t>Sophia Singh</t>
        </is>
      </c>
      <c r="O503" t="n">
        <v>4</v>
      </c>
      <c r="P503" s="3" t="n">
        <v>13.21</v>
      </c>
      <c r="Q503" s="4" t="n">
        <v>0.004</v>
      </c>
      <c r="R503" s="3" t="n">
        <v>52.63</v>
      </c>
      <c r="S503" s="3" t="n">
        <v>27.38</v>
      </c>
      <c r="T503" s="3" t="n">
        <v>15.05</v>
      </c>
      <c r="U503" s="4" t="n">
        <v>0.286</v>
      </c>
      <c r="V503" s="3" t="n">
        <v>10.2</v>
      </c>
      <c r="W503" t="inlineStr">
        <is>
          <t>Credit Card</t>
        </is>
      </c>
      <c r="X503" t="inlineStr">
        <is>
          <t>Low</t>
        </is>
      </c>
      <c r="Y503" t="n">
        <v>2024</v>
      </c>
      <c r="Z503" t="n">
        <v>10</v>
      </c>
      <c r="AA503" t="inlineStr">
        <is>
          <t>Oct</t>
        </is>
      </c>
      <c r="AB503" t="inlineStr">
        <is>
          <t>Tuesday</t>
        </is>
      </c>
      <c r="AC503" t="n">
        <v>4</v>
      </c>
      <c r="AD503" t="inlineStr">
        <is>
          <t>Profitable</t>
        </is>
      </c>
      <c r="AE503" t="inlineStr">
        <is>
          <t>Low</t>
        </is>
      </c>
      <c r="AF503" t="inlineStr">
        <is>
          <t>Small</t>
        </is>
      </c>
    </row>
    <row r="504">
      <c r="A504" t="inlineStr">
        <is>
          <t>ORD-00503</t>
        </is>
      </c>
      <c r="B504" s="2" t="n">
        <v>45343</v>
      </c>
      <c r="C504" s="2" t="n">
        <v>45350</v>
      </c>
      <c r="D504" t="inlineStr">
        <is>
          <t>CUST-00503</t>
        </is>
      </c>
      <c r="E504" t="inlineStr">
        <is>
          <t>Customer 503</t>
        </is>
      </c>
      <c r="F504" t="inlineStr">
        <is>
          <t>Consumer</t>
        </is>
      </c>
      <c r="G504" t="inlineStr">
        <is>
          <t>P1007</t>
        </is>
      </c>
      <c r="H504" t="inlineStr">
        <is>
          <t>Harbor Rug</t>
        </is>
      </c>
      <c r="I504" t="inlineStr">
        <is>
          <t>Outdoor</t>
        </is>
      </c>
      <c r="J504" t="inlineStr">
        <is>
          <t>Binders</t>
        </is>
      </c>
      <c r="K504" t="inlineStr">
        <is>
          <t>Central</t>
        </is>
      </c>
      <c r="L504" t="inlineStr">
        <is>
          <t>Illinois</t>
        </is>
      </c>
      <c r="M504" t="inlineStr">
        <is>
          <t>Chicago</t>
        </is>
      </c>
      <c r="N504" t="inlineStr">
        <is>
          <t>James Carter</t>
        </is>
      </c>
      <c r="O504" t="n">
        <v>3</v>
      </c>
      <c r="P504" s="3" t="n">
        <v>24.91</v>
      </c>
      <c r="Q504" s="4" t="n">
        <v>0.055</v>
      </c>
      <c r="R504" s="3" t="n">
        <v>70.62</v>
      </c>
      <c r="S504" s="3" t="n">
        <v>28.02</v>
      </c>
      <c r="T504" s="3" t="n">
        <v>34.2</v>
      </c>
      <c r="U504" s="4" t="n">
        <v>0.4843</v>
      </c>
      <c r="V504" s="3" t="n">
        <v>8.4</v>
      </c>
      <c r="W504" t="inlineStr">
        <is>
          <t>Debit Card</t>
        </is>
      </c>
      <c r="X504" t="inlineStr">
        <is>
          <t>High</t>
        </is>
      </c>
      <c r="Y504" t="n">
        <v>2024</v>
      </c>
      <c r="Z504" t="n">
        <v>2</v>
      </c>
      <c r="AA504" t="inlineStr">
        <is>
          <t>Feb</t>
        </is>
      </c>
      <c r="AB504" t="inlineStr">
        <is>
          <t>Wednesday</t>
        </is>
      </c>
      <c r="AC504" t="n">
        <v>7</v>
      </c>
      <c r="AD504" t="inlineStr">
        <is>
          <t>Profitable</t>
        </is>
      </c>
      <c r="AE504" t="inlineStr">
        <is>
          <t>High</t>
        </is>
      </c>
      <c r="AF504" t="inlineStr">
        <is>
          <t>Small</t>
        </is>
      </c>
    </row>
    <row r="505">
      <c r="A505" t="inlineStr">
        <is>
          <t>ORD-00504</t>
        </is>
      </c>
      <c r="B505" s="2" t="n">
        <v>46013</v>
      </c>
      <c r="C505" s="2" t="n">
        <v>46015</v>
      </c>
      <c r="D505" t="inlineStr">
        <is>
          <t>CUST-00504</t>
        </is>
      </c>
      <c r="E505" t="inlineStr">
        <is>
          <t>Customer 504</t>
        </is>
      </c>
      <c r="F505" t="inlineStr">
        <is>
          <t>Home Office</t>
        </is>
      </c>
      <c r="G505" t="inlineStr">
        <is>
          <t>P1004</t>
        </is>
      </c>
      <c r="H505" t="inlineStr">
        <is>
          <t>SmartInk Pen Set</t>
        </is>
      </c>
      <c r="I505" t="inlineStr">
        <is>
          <t>Office Supplies</t>
        </is>
      </c>
      <c r="J505" t="inlineStr">
        <is>
          <t>Accessories</t>
        </is>
      </c>
      <c r="K505" t="inlineStr">
        <is>
          <t>South</t>
        </is>
      </c>
      <c r="L505" t="inlineStr">
        <is>
          <t>Texas</t>
        </is>
      </c>
      <c r="M505" t="inlineStr">
        <is>
          <t>Houston</t>
        </is>
      </c>
      <c r="N505" t="inlineStr">
        <is>
          <t>Ava Patel</t>
        </is>
      </c>
      <c r="O505" t="n">
        <v>1</v>
      </c>
      <c r="P505" s="3" t="n">
        <v>628.36</v>
      </c>
      <c r="Q505" s="4" t="n">
        <v>0.05</v>
      </c>
      <c r="R505" s="3" t="n">
        <v>596.9400000000001</v>
      </c>
      <c r="S505" s="3" t="n">
        <v>380.93</v>
      </c>
      <c r="T505" s="3" t="n">
        <v>209.21</v>
      </c>
      <c r="U505" s="4" t="n">
        <v>0.3505</v>
      </c>
      <c r="V505" s="3" t="n">
        <v>6.8</v>
      </c>
      <c r="W505" t="inlineStr">
        <is>
          <t>Cash on Delivery</t>
        </is>
      </c>
      <c r="X505" t="inlineStr">
        <is>
          <t>High</t>
        </is>
      </c>
      <c r="Y505" t="n">
        <v>2025</v>
      </c>
      <c r="Z505" t="n">
        <v>12</v>
      </c>
      <c r="AA505" t="inlineStr">
        <is>
          <t>Dec</t>
        </is>
      </c>
      <c r="AB505" t="inlineStr">
        <is>
          <t>Monday</t>
        </is>
      </c>
      <c r="AC505" t="n">
        <v>2</v>
      </c>
      <c r="AD505" t="inlineStr">
        <is>
          <t>Profitable</t>
        </is>
      </c>
      <c r="AE505" t="inlineStr">
        <is>
          <t>High</t>
        </is>
      </c>
      <c r="AF505" t="inlineStr">
        <is>
          <t>Medium</t>
        </is>
      </c>
    </row>
    <row r="506">
      <c r="A506" t="inlineStr">
        <is>
          <t>ORD-00505</t>
        </is>
      </c>
      <c r="B506" s="2" t="n">
        <v>45891</v>
      </c>
      <c r="C506" s="2" t="n">
        <v>45894</v>
      </c>
      <c r="D506" t="inlineStr">
        <is>
          <t>CUST-00505</t>
        </is>
      </c>
      <c r="E506" t="inlineStr">
        <is>
          <t>Customer 505</t>
        </is>
      </c>
      <c r="F506" t="inlineStr">
        <is>
          <t>Corporate</t>
        </is>
      </c>
      <c r="G506" t="inlineStr">
        <is>
          <t>P1008</t>
        </is>
      </c>
      <c r="H506" t="inlineStr">
        <is>
          <t>Tide Cooler</t>
        </is>
      </c>
      <c r="I506" t="inlineStr">
        <is>
          <t>Home Decor</t>
        </is>
      </c>
      <c r="J506" t="inlineStr">
        <is>
          <t>Coolers</t>
        </is>
      </c>
      <c r="K506" t="inlineStr">
        <is>
          <t>East</t>
        </is>
      </c>
      <c r="L506" t="inlineStr">
        <is>
          <t>Massachusetts</t>
        </is>
      </c>
      <c r="M506" t="inlineStr">
        <is>
          <t>Philadelphia</t>
        </is>
      </c>
      <c r="N506" t="inlineStr">
        <is>
          <t>Olivia Martin</t>
        </is>
      </c>
      <c r="O506" t="n">
        <v>3</v>
      </c>
      <c r="P506" s="3" t="n">
        <v>36.18</v>
      </c>
      <c r="Q506" s="4" t="n">
        <v>0.055</v>
      </c>
      <c r="R506" s="3" t="n">
        <v>102.57</v>
      </c>
      <c r="S506" s="3" t="n">
        <v>45.97</v>
      </c>
      <c r="T506" s="3" t="n">
        <v>47.2</v>
      </c>
      <c r="U506" s="4" t="n">
        <v>0.4602</v>
      </c>
      <c r="V506" s="3" t="n">
        <v>9.4</v>
      </c>
      <c r="W506" t="inlineStr">
        <is>
          <t>Bank Transfer</t>
        </is>
      </c>
      <c r="X506" t="inlineStr">
        <is>
          <t>High</t>
        </is>
      </c>
      <c r="Y506" t="n">
        <v>2025</v>
      </c>
      <c r="Z506" t="n">
        <v>8</v>
      </c>
      <c r="AA506" t="inlineStr">
        <is>
          <t>Aug</t>
        </is>
      </c>
      <c r="AB506" t="inlineStr">
        <is>
          <t>Friday</t>
        </is>
      </c>
      <c r="AC506" t="n">
        <v>3</v>
      </c>
      <c r="AD506" t="inlineStr">
        <is>
          <t>Profitable</t>
        </is>
      </c>
      <c r="AE506" t="inlineStr">
        <is>
          <t>High</t>
        </is>
      </c>
      <c r="AF506" t="inlineStr">
        <is>
          <t>Small</t>
        </is>
      </c>
    </row>
    <row r="507">
      <c r="A507" t="inlineStr">
        <is>
          <t>ORD-00506</t>
        </is>
      </c>
      <c r="B507" s="2" t="n">
        <v>45081</v>
      </c>
      <c r="C507" s="2" t="n">
        <v>45083</v>
      </c>
      <c r="D507" t="inlineStr">
        <is>
          <t>CUST-00506</t>
        </is>
      </c>
      <c r="E507" t="inlineStr">
        <is>
          <t>Customer 506</t>
        </is>
      </c>
      <c r="F507" t="inlineStr">
        <is>
          <t>Consumer</t>
        </is>
      </c>
      <c r="G507" t="inlineStr">
        <is>
          <t>P1004</t>
        </is>
      </c>
      <c r="H507" t="inlineStr">
        <is>
          <t>Cove Wall Clock</t>
        </is>
      </c>
      <c r="I507" t="inlineStr">
        <is>
          <t>Outdoor</t>
        </is>
      </c>
      <c r="J507" t="inlineStr">
        <is>
          <t>Plants</t>
        </is>
      </c>
      <c r="K507" t="inlineStr">
        <is>
          <t>West</t>
        </is>
      </c>
      <c r="L507" t="inlineStr">
        <is>
          <t>California</t>
        </is>
      </c>
      <c r="M507" t="inlineStr">
        <is>
          <t>Denver</t>
        </is>
      </c>
      <c r="N507" t="inlineStr">
        <is>
          <t>Ava Patel</t>
        </is>
      </c>
      <c r="O507" t="n">
        <v>5</v>
      </c>
      <c r="P507" s="3" t="n">
        <v>647.88</v>
      </c>
      <c r="Q507" s="4" t="n">
        <v>0.007</v>
      </c>
      <c r="R507" s="3" t="n">
        <v>3216.72</v>
      </c>
      <c r="S507" s="3" t="n">
        <v>2038.52</v>
      </c>
      <c r="T507" s="3" t="n">
        <v>1167.2</v>
      </c>
      <c r="U507" s="4" t="n">
        <v>0.3629</v>
      </c>
      <c r="V507" s="3" t="n">
        <v>11</v>
      </c>
      <c r="W507" t="inlineStr">
        <is>
          <t>Debit Card</t>
        </is>
      </c>
      <c r="X507" t="inlineStr">
        <is>
          <t>Medium</t>
        </is>
      </c>
      <c r="Y507" t="n">
        <v>2023</v>
      </c>
      <c r="Z507" t="n">
        <v>6</v>
      </c>
      <c r="AA507" t="inlineStr">
        <is>
          <t>Jun</t>
        </is>
      </c>
      <c r="AB507" t="inlineStr">
        <is>
          <t>Sunday</t>
        </is>
      </c>
      <c r="AC507" t="n">
        <v>2</v>
      </c>
      <c r="AD507" t="inlineStr">
        <is>
          <t>Profitable</t>
        </is>
      </c>
      <c r="AE507" t="inlineStr">
        <is>
          <t>Low</t>
        </is>
      </c>
      <c r="AF507" t="inlineStr">
        <is>
          <t>Large</t>
        </is>
      </c>
    </row>
    <row r="508">
      <c r="A508" t="inlineStr">
        <is>
          <t>ORD-00507</t>
        </is>
      </c>
      <c r="B508" s="2" t="n">
        <v>45931</v>
      </c>
      <c r="C508" s="2" t="n">
        <v>45934</v>
      </c>
      <c r="D508" t="inlineStr">
        <is>
          <t>CUST-00507</t>
        </is>
      </c>
      <c r="E508" t="inlineStr">
        <is>
          <t>Customer 507</t>
        </is>
      </c>
      <c r="F508" t="inlineStr">
        <is>
          <t>Corporate</t>
        </is>
      </c>
      <c r="G508" t="inlineStr">
        <is>
          <t>P1001</t>
        </is>
      </c>
      <c r="H508" t="inlineStr">
        <is>
          <t>Aero Standing Desk</t>
        </is>
      </c>
      <c r="I508" t="inlineStr">
        <is>
          <t>Office Supplies</t>
        </is>
      </c>
      <c r="J508" t="inlineStr">
        <is>
          <t>Accessories</t>
        </is>
      </c>
      <c r="K508" t="inlineStr">
        <is>
          <t>West</t>
        </is>
      </c>
      <c r="L508" t="inlineStr">
        <is>
          <t>Oregon</t>
        </is>
      </c>
      <c r="M508" t="inlineStr">
        <is>
          <t>Seattle</t>
        </is>
      </c>
      <c r="N508" t="inlineStr">
        <is>
          <t>Sophia Singh</t>
        </is>
      </c>
      <c r="O508" t="n">
        <v>2</v>
      </c>
      <c r="P508" s="3" t="n">
        <v>332.03</v>
      </c>
      <c r="Q508" s="4" t="n">
        <v>0.05</v>
      </c>
      <c r="R508" s="3" t="n">
        <v>630.86</v>
      </c>
      <c r="S508" s="3" t="n">
        <v>370.56</v>
      </c>
      <c r="T508" s="3" t="n">
        <v>251.7</v>
      </c>
      <c r="U508" s="4" t="n">
        <v>0.399</v>
      </c>
      <c r="V508" s="3" t="n">
        <v>8.6</v>
      </c>
      <c r="W508" t="inlineStr">
        <is>
          <t>Credit Card</t>
        </is>
      </c>
      <c r="X508" t="inlineStr">
        <is>
          <t>High</t>
        </is>
      </c>
      <c r="Y508" t="n">
        <v>2025</v>
      </c>
      <c r="Z508" t="n">
        <v>10</v>
      </c>
      <c r="AA508" t="inlineStr">
        <is>
          <t>Oct</t>
        </is>
      </c>
      <c r="AB508" t="inlineStr">
        <is>
          <t>Wednesday</t>
        </is>
      </c>
      <c r="AC508" t="n">
        <v>3</v>
      </c>
      <c r="AD508" t="inlineStr">
        <is>
          <t>Profitable</t>
        </is>
      </c>
      <c r="AE508" t="inlineStr">
        <is>
          <t>High</t>
        </is>
      </c>
      <c r="AF508" t="inlineStr">
        <is>
          <t>Medium</t>
        </is>
      </c>
    </row>
    <row r="509">
      <c r="A509" t="inlineStr">
        <is>
          <t>ORD-00508</t>
        </is>
      </c>
      <c r="B509" s="2" t="n">
        <v>45766</v>
      </c>
      <c r="C509" s="2" t="n">
        <v>45772</v>
      </c>
      <c r="D509" t="inlineStr">
        <is>
          <t>CUST-00508</t>
        </is>
      </c>
      <c r="E509" t="inlineStr">
        <is>
          <t>Customer 508</t>
        </is>
      </c>
      <c r="F509" t="inlineStr">
        <is>
          <t>Consumer</t>
        </is>
      </c>
      <c r="G509" t="inlineStr">
        <is>
          <t>P1008</t>
        </is>
      </c>
      <c r="H509" t="inlineStr">
        <is>
          <t>CloudDrive File Box</t>
        </is>
      </c>
      <c r="I509" t="inlineStr">
        <is>
          <t>Outdoor</t>
        </is>
      </c>
      <c r="J509" t="inlineStr">
        <is>
          <t>Peripherals</t>
        </is>
      </c>
      <c r="K509" t="inlineStr">
        <is>
          <t>South</t>
        </is>
      </c>
      <c r="L509" t="inlineStr">
        <is>
          <t>North Carolina</t>
        </is>
      </c>
      <c r="M509" t="inlineStr">
        <is>
          <t>Houston</t>
        </is>
      </c>
      <c r="N509" t="inlineStr">
        <is>
          <t>Olivia Martin</t>
        </is>
      </c>
      <c r="O509" t="n">
        <v>2</v>
      </c>
      <c r="P509" s="3" t="n">
        <v>34.18</v>
      </c>
      <c r="Q509" s="4" t="n">
        <v>0.001</v>
      </c>
      <c r="R509" s="3" t="n">
        <v>68.29000000000001</v>
      </c>
      <c r="S509" s="3" t="n">
        <v>32.7</v>
      </c>
      <c r="T509" s="3" t="n">
        <v>27.99</v>
      </c>
      <c r="U509" s="4" t="n">
        <v>0.4099</v>
      </c>
      <c r="V509" s="3" t="n">
        <v>7.6</v>
      </c>
      <c r="W509" t="inlineStr">
        <is>
          <t>Cash on Delivery</t>
        </is>
      </c>
      <c r="X509" t="inlineStr">
        <is>
          <t>Medium</t>
        </is>
      </c>
      <c r="Y509" t="n">
        <v>2025</v>
      </c>
      <c r="Z509" t="n">
        <v>4</v>
      </c>
      <c r="AA509" t="inlineStr">
        <is>
          <t>Apr</t>
        </is>
      </c>
      <c r="AB509" t="inlineStr">
        <is>
          <t>Saturday</t>
        </is>
      </c>
      <c r="AC509" t="n">
        <v>6</v>
      </c>
      <c r="AD509" t="inlineStr">
        <is>
          <t>Profitable</t>
        </is>
      </c>
      <c r="AE509" t="inlineStr">
        <is>
          <t>Low</t>
        </is>
      </c>
      <c r="AF509" t="inlineStr">
        <is>
          <t>Small</t>
        </is>
      </c>
    </row>
    <row r="510">
      <c r="A510" t="inlineStr">
        <is>
          <t>ORD-00509</t>
        </is>
      </c>
      <c r="B510" s="2" t="n">
        <v>45940</v>
      </c>
      <c r="C510" s="2" t="n">
        <v>45947</v>
      </c>
      <c r="D510" t="inlineStr">
        <is>
          <t>CUST-00509</t>
        </is>
      </c>
      <c r="E510" t="inlineStr">
        <is>
          <t>Customer 509</t>
        </is>
      </c>
      <c r="F510" t="inlineStr">
        <is>
          <t>Corporate</t>
        </is>
      </c>
      <c r="G510" t="inlineStr">
        <is>
          <t>P1007</t>
        </is>
      </c>
      <c r="H510" t="inlineStr">
        <is>
          <t>Echo Web Camera</t>
        </is>
      </c>
      <c r="I510" t="inlineStr">
        <is>
          <t>Furniture</t>
        </is>
      </c>
      <c r="J510" t="inlineStr">
        <is>
          <t>Lighting</t>
        </is>
      </c>
      <c r="K510" t="inlineStr">
        <is>
          <t>South</t>
        </is>
      </c>
      <c r="L510" t="inlineStr">
        <is>
          <t>Texas</t>
        </is>
      </c>
      <c r="M510" t="inlineStr">
        <is>
          <t>Dallas</t>
        </is>
      </c>
      <c r="N510" t="inlineStr">
        <is>
          <t>Noah Kim</t>
        </is>
      </c>
      <c r="O510" t="n">
        <v>4</v>
      </c>
      <c r="P510" s="3" t="n">
        <v>25.42</v>
      </c>
      <c r="Q510" s="4" t="n">
        <v>0.033</v>
      </c>
      <c r="R510" s="3" t="n">
        <v>98.31999999999999</v>
      </c>
      <c r="S510" s="3" t="n">
        <v>42.14</v>
      </c>
      <c r="T510" s="3" t="n">
        <v>46.98</v>
      </c>
      <c r="U510" s="4" t="n">
        <v>0.4778</v>
      </c>
      <c r="V510" s="3" t="n">
        <v>9.199999999999999</v>
      </c>
      <c r="W510" t="inlineStr">
        <is>
          <t>Bank Transfer</t>
        </is>
      </c>
      <c r="X510" t="inlineStr">
        <is>
          <t>Medium</t>
        </is>
      </c>
      <c r="Y510" t="n">
        <v>2025</v>
      </c>
      <c r="Z510" t="n">
        <v>10</v>
      </c>
      <c r="AA510" t="inlineStr">
        <is>
          <t>Oct</t>
        </is>
      </c>
      <c r="AB510" t="inlineStr">
        <is>
          <t>Friday</t>
        </is>
      </c>
      <c r="AC510" t="n">
        <v>7</v>
      </c>
      <c r="AD510" t="inlineStr">
        <is>
          <t>Profitable</t>
        </is>
      </c>
      <c r="AE510" t="inlineStr">
        <is>
          <t>Medium</t>
        </is>
      </c>
      <c r="AF510" t="inlineStr">
        <is>
          <t>Small</t>
        </is>
      </c>
    </row>
    <row r="511">
      <c r="A511" t="inlineStr">
        <is>
          <t>ORD-00510</t>
        </is>
      </c>
      <c r="B511" s="2" t="n">
        <v>45672</v>
      </c>
      <c r="C511" s="2" t="n">
        <v>45677</v>
      </c>
      <c r="D511" t="inlineStr">
        <is>
          <t>CUST-00510</t>
        </is>
      </c>
      <c r="E511" t="inlineStr">
        <is>
          <t>Customer 510</t>
        </is>
      </c>
      <c r="F511" t="inlineStr">
        <is>
          <t>Corporate</t>
        </is>
      </c>
      <c r="G511" t="inlineStr">
        <is>
          <t>P1011</t>
        </is>
      </c>
      <c r="H511" t="inlineStr">
        <is>
          <t>CloudDrive File Box</t>
        </is>
      </c>
      <c r="I511" t="inlineStr">
        <is>
          <t>Technology</t>
        </is>
      </c>
      <c r="J511" t="inlineStr">
        <is>
          <t>Decor</t>
        </is>
      </c>
      <c r="K511" t="inlineStr">
        <is>
          <t>East</t>
        </is>
      </c>
      <c r="L511" t="inlineStr">
        <is>
          <t>New York</t>
        </is>
      </c>
      <c r="M511" t="inlineStr">
        <is>
          <t>Washington</t>
        </is>
      </c>
      <c r="N511" t="inlineStr">
        <is>
          <t>Liam Chen</t>
        </is>
      </c>
      <c r="O511" t="n">
        <v>4</v>
      </c>
      <c r="P511" s="3" t="n">
        <v>86.70999999999999</v>
      </c>
      <c r="Q511" s="4" t="n">
        <v>0.017</v>
      </c>
      <c r="R511" s="3" t="n">
        <v>340.94</v>
      </c>
      <c r="S511" s="3" t="n">
        <v>164.99</v>
      </c>
      <c r="T511" s="3" t="n">
        <v>165.75</v>
      </c>
      <c r="U511" s="4" t="n">
        <v>0.4862</v>
      </c>
      <c r="V511" s="3" t="n">
        <v>10.2</v>
      </c>
      <c r="W511" t="inlineStr">
        <is>
          <t>Credit Card</t>
        </is>
      </c>
      <c r="X511" t="inlineStr">
        <is>
          <t>Low</t>
        </is>
      </c>
      <c r="Y511" t="n">
        <v>2025</v>
      </c>
      <c r="Z511" t="n">
        <v>1</v>
      </c>
      <c r="AA511" t="inlineStr">
        <is>
          <t>Jan</t>
        </is>
      </c>
      <c r="AB511" t="inlineStr">
        <is>
          <t>Wednesday</t>
        </is>
      </c>
      <c r="AC511" t="n">
        <v>5</v>
      </c>
      <c r="AD511" t="inlineStr">
        <is>
          <t>Profitable</t>
        </is>
      </c>
      <c r="AE511" t="inlineStr">
        <is>
          <t>Low</t>
        </is>
      </c>
      <c r="AF511" t="inlineStr">
        <is>
          <t>Small</t>
        </is>
      </c>
    </row>
    <row r="512">
      <c r="A512" t="inlineStr">
        <is>
          <t>ORD-00511</t>
        </is>
      </c>
      <c r="B512" s="2" t="n">
        <v>45616</v>
      </c>
      <c r="C512" s="2" t="n">
        <v>45620</v>
      </c>
      <c r="D512" t="inlineStr">
        <is>
          <t>CUST-00511</t>
        </is>
      </c>
      <c r="E512" t="inlineStr">
        <is>
          <t>Customer 511</t>
        </is>
      </c>
      <c r="F512" t="inlineStr">
        <is>
          <t>Corporate</t>
        </is>
      </c>
      <c r="G512" t="inlineStr">
        <is>
          <t>P1016</t>
        </is>
      </c>
      <c r="H512" t="inlineStr">
        <is>
          <t>Atlas Throw Pillow</t>
        </is>
      </c>
      <c r="I512" t="inlineStr">
        <is>
          <t>Home Decor</t>
        </is>
      </c>
      <c r="J512" t="inlineStr">
        <is>
          <t>Peripherals</t>
        </is>
      </c>
      <c r="K512" t="inlineStr">
        <is>
          <t>East</t>
        </is>
      </c>
      <c r="L512" t="inlineStr">
        <is>
          <t>Massachusetts</t>
        </is>
      </c>
      <c r="M512" t="inlineStr">
        <is>
          <t>Philadelphia</t>
        </is>
      </c>
      <c r="N512" t="inlineStr">
        <is>
          <t>Mia Rodriguez</t>
        </is>
      </c>
      <c r="O512" t="n">
        <v>2</v>
      </c>
      <c r="P512" s="3" t="n">
        <v>42.85</v>
      </c>
      <c r="Q512" s="4" t="n">
        <v>0.027</v>
      </c>
      <c r="R512" s="3" t="n">
        <v>83.39</v>
      </c>
      <c r="S512" s="3" t="n">
        <v>35.82</v>
      </c>
      <c r="T512" s="3" t="n">
        <v>38.97</v>
      </c>
      <c r="U512" s="4" t="n">
        <v>0.4673</v>
      </c>
      <c r="V512" s="3" t="n">
        <v>8.6</v>
      </c>
      <c r="W512" t="inlineStr">
        <is>
          <t>Cash on Delivery</t>
        </is>
      </c>
      <c r="X512" t="inlineStr">
        <is>
          <t>Low</t>
        </is>
      </c>
      <c r="Y512" t="n">
        <v>2024</v>
      </c>
      <c r="Z512" t="n">
        <v>11</v>
      </c>
      <c r="AA512" t="inlineStr">
        <is>
          <t>Nov</t>
        </is>
      </c>
      <c r="AB512" t="inlineStr">
        <is>
          <t>Wednesday</t>
        </is>
      </c>
      <c r="AC512" t="n">
        <v>4</v>
      </c>
      <c r="AD512" t="inlineStr">
        <is>
          <t>Profitable</t>
        </is>
      </c>
      <c r="AE512" t="inlineStr">
        <is>
          <t>Medium</t>
        </is>
      </c>
      <c r="AF512" t="inlineStr">
        <is>
          <t>Small</t>
        </is>
      </c>
    </row>
    <row r="513">
      <c r="A513" t="inlineStr">
        <is>
          <t>ORD-00512</t>
        </is>
      </c>
      <c r="B513" s="2" t="n">
        <v>45477</v>
      </c>
      <c r="C513" s="2" t="n">
        <v>45482</v>
      </c>
      <c r="D513" t="inlineStr">
        <is>
          <t>CUST-00512</t>
        </is>
      </c>
      <c r="E513" t="inlineStr">
        <is>
          <t>Customer 512</t>
        </is>
      </c>
      <c r="F513" t="inlineStr">
        <is>
          <t>Corporate</t>
        </is>
      </c>
      <c r="G513" t="inlineStr">
        <is>
          <t>P1017</t>
        </is>
      </c>
      <c r="H513" t="inlineStr">
        <is>
          <t>ErgoMesh Chair</t>
        </is>
      </c>
      <c r="I513" t="inlineStr">
        <is>
          <t>Outdoor</t>
        </is>
      </c>
      <c r="J513" t="inlineStr">
        <is>
          <t>Flooring</t>
        </is>
      </c>
      <c r="K513" t="inlineStr">
        <is>
          <t>Central</t>
        </is>
      </c>
      <c r="L513" t="inlineStr">
        <is>
          <t>Kansas</t>
        </is>
      </c>
      <c r="M513" t="inlineStr">
        <is>
          <t>Kansas City</t>
        </is>
      </c>
      <c r="N513" t="inlineStr">
        <is>
          <t>Liam Chen</t>
        </is>
      </c>
      <c r="O513" t="n">
        <v>4</v>
      </c>
      <c r="P513" s="3" t="n">
        <v>552.55</v>
      </c>
      <c r="Q513" s="4" t="n">
        <v>0.067</v>
      </c>
      <c r="R513" s="3" t="n">
        <v>2062.12</v>
      </c>
      <c r="S513" s="3" t="n">
        <v>1366.06</v>
      </c>
      <c r="T513" s="3" t="n">
        <v>686.86</v>
      </c>
      <c r="U513" s="4" t="n">
        <v>0.3331</v>
      </c>
      <c r="V513" s="3" t="n">
        <v>9.199999999999999</v>
      </c>
      <c r="W513" t="inlineStr">
        <is>
          <t>Credit Card</t>
        </is>
      </c>
      <c r="X513" t="inlineStr">
        <is>
          <t>High</t>
        </is>
      </c>
      <c r="Y513" t="n">
        <v>2024</v>
      </c>
      <c r="Z513" t="n">
        <v>7</v>
      </c>
      <c r="AA513" t="inlineStr">
        <is>
          <t>Jul</t>
        </is>
      </c>
      <c r="AB513" t="inlineStr">
        <is>
          <t>Thursday</t>
        </is>
      </c>
      <c r="AC513" t="n">
        <v>5</v>
      </c>
      <c r="AD513" t="inlineStr">
        <is>
          <t>Profitable</t>
        </is>
      </c>
      <c r="AE513" t="inlineStr">
        <is>
          <t>High</t>
        </is>
      </c>
      <c r="AF513" t="inlineStr">
        <is>
          <t>Large</t>
        </is>
      </c>
    </row>
    <row r="514">
      <c r="A514" t="inlineStr">
        <is>
          <t>ORD-00513</t>
        </is>
      </c>
      <c r="B514" s="2" t="n">
        <v>45920</v>
      </c>
      <c r="C514" s="2" t="n">
        <v>45926</v>
      </c>
      <c r="D514" t="inlineStr">
        <is>
          <t>CUST-00513</t>
        </is>
      </c>
      <c r="E514" t="inlineStr">
        <is>
          <t>Customer 513</t>
        </is>
      </c>
      <c r="F514" t="inlineStr">
        <is>
          <t>Consumer</t>
        </is>
      </c>
      <c r="G514" t="inlineStr">
        <is>
          <t>P1005</t>
        </is>
      </c>
      <c r="H514" t="inlineStr">
        <is>
          <t>Orbit Wireless Mouse</t>
        </is>
      </c>
      <c r="I514" t="inlineStr">
        <is>
          <t>Technology</t>
        </is>
      </c>
      <c r="J514" t="inlineStr">
        <is>
          <t>Lighting</t>
        </is>
      </c>
      <c r="K514" t="inlineStr">
        <is>
          <t>North</t>
        </is>
      </c>
      <c r="L514" t="inlineStr">
        <is>
          <t>Quebec</t>
        </is>
      </c>
      <c r="M514" t="inlineStr">
        <is>
          <t>Vancouver</t>
        </is>
      </c>
      <c r="N514" t="inlineStr">
        <is>
          <t>Liam Chen</t>
        </is>
      </c>
      <c r="O514" t="n">
        <v>1</v>
      </c>
      <c r="P514" s="3" t="n">
        <v>12.24</v>
      </c>
      <c r="Q514" s="4" t="n">
        <v>0.016</v>
      </c>
      <c r="R514" s="3" t="n">
        <v>12.04</v>
      </c>
      <c r="S514" s="3" t="n">
        <v>12.31</v>
      </c>
      <c r="T514" s="3" t="n">
        <v>-7.07</v>
      </c>
      <c r="U514" s="4" t="n">
        <v>-0.5872000000000001</v>
      </c>
      <c r="V514" s="3" t="n">
        <v>6.8</v>
      </c>
      <c r="W514" t="inlineStr">
        <is>
          <t>PayPal</t>
        </is>
      </c>
      <c r="X514" t="inlineStr">
        <is>
          <t>High</t>
        </is>
      </c>
      <c r="Y514" t="n">
        <v>2025</v>
      </c>
      <c r="Z514" t="n">
        <v>9</v>
      </c>
      <c r="AA514" t="inlineStr">
        <is>
          <t>Sep</t>
        </is>
      </c>
      <c r="AB514" t="inlineStr">
        <is>
          <t>Saturday</t>
        </is>
      </c>
      <c r="AC514" t="n">
        <v>6</v>
      </c>
      <c r="AD514" t="inlineStr">
        <is>
          <t>Unprofitable</t>
        </is>
      </c>
      <c r="AE514" t="inlineStr">
        <is>
          <t>Low</t>
        </is>
      </c>
      <c r="AF514" t="inlineStr">
        <is>
          <t>Small</t>
        </is>
      </c>
    </row>
    <row r="515">
      <c r="A515" t="inlineStr">
        <is>
          <t>ORD-00514</t>
        </is>
      </c>
      <c r="B515" s="2" t="n">
        <v>45761</v>
      </c>
      <c r="C515" s="2" t="n">
        <v>45766</v>
      </c>
      <c r="D515" t="inlineStr">
        <is>
          <t>CUST-00514</t>
        </is>
      </c>
      <c r="E515" t="inlineStr">
        <is>
          <t>Customer 514</t>
        </is>
      </c>
      <c r="F515" t="inlineStr">
        <is>
          <t>Corporate</t>
        </is>
      </c>
      <c r="G515" t="inlineStr">
        <is>
          <t>P1007</t>
        </is>
      </c>
      <c r="H515" t="inlineStr">
        <is>
          <t>SmartInk Pen Set</t>
        </is>
      </c>
      <c r="I515" t="inlineStr">
        <is>
          <t>Furniture</t>
        </is>
      </c>
      <c r="J515" t="inlineStr">
        <is>
          <t>Writing</t>
        </is>
      </c>
      <c r="K515" t="inlineStr">
        <is>
          <t>North</t>
        </is>
      </c>
      <c r="L515" t="inlineStr">
        <is>
          <t>Quebec</t>
        </is>
      </c>
      <c r="M515" t="inlineStr">
        <is>
          <t>Montreal</t>
        </is>
      </c>
      <c r="N515" t="inlineStr">
        <is>
          <t>Liam Chen</t>
        </is>
      </c>
      <c r="O515" t="n">
        <v>3</v>
      </c>
      <c r="P515" s="3" t="n">
        <v>24.79</v>
      </c>
      <c r="Q515" s="4" t="n">
        <v>0.022</v>
      </c>
      <c r="R515" s="3" t="n">
        <v>72.73</v>
      </c>
      <c r="S515" s="3" t="n">
        <v>30.99</v>
      </c>
      <c r="T515" s="3" t="n">
        <v>33.34</v>
      </c>
      <c r="U515" s="4" t="n">
        <v>0.4584</v>
      </c>
      <c r="V515" s="3" t="n">
        <v>8.4</v>
      </c>
      <c r="W515" t="inlineStr">
        <is>
          <t>Debit Card</t>
        </is>
      </c>
      <c r="X515" t="inlineStr">
        <is>
          <t>Medium</t>
        </is>
      </c>
      <c r="Y515" t="n">
        <v>2025</v>
      </c>
      <c r="Z515" t="n">
        <v>4</v>
      </c>
      <c r="AA515" t="inlineStr">
        <is>
          <t>Apr</t>
        </is>
      </c>
      <c r="AB515" t="inlineStr">
        <is>
          <t>Monday</t>
        </is>
      </c>
      <c r="AC515" t="n">
        <v>5</v>
      </c>
      <c r="AD515" t="inlineStr">
        <is>
          <t>Profitable</t>
        </is>
      </c>
      <c r="AE515" t="inlineStr">
        <is>
          <t>Medium</t>
        </is>
      </c>
      <c r="AF515" t="inlineStr">
        <is>
          <t>Small</t>
        </is>
      </c>
    </row>
    <row r="516">
      <c r="A516" t="inlineStr">
        <is>
          <t>ORD-00515</t>
        </is>
      </c>
      <c r="B516" s="2" t="n">
        <v>45174</v>
      </c>
      <c r="C516" s="2" t="n">
        <v>45178</v>
      </c>
      <c r="D516" t="inlineStr">
        <is>
          <t>CUST-00515</t>
        </is>
      </c>
      <c r="E516" t="inlineStr">
        <is>
          <t>Customer 515</t>
        </is>
      </c>
      <c r="F516" t="inlineStr">
        <is>
          <t>Consumer</t>
        </is>
      </c>
      <c r="G516" t="inlineStr">
        <is>
          <t>P1010</t>
        </is>
      </c>
      <c r="H516" t="inlineStr">
        <is>
          <t>Cove Wall Clock</t>
        </is>
      </c>
      <c r="I516" t="inlineStr">
        <is>
          <t>Outdoor</t>
        </is>
      </c>
      <c r="J516" t="inlineStr">
        <is>
          <t>Plants</t>
        </is>
      </c>
      <c r="K516" t="inlineStr">
        <is>
          <t>South</t>
        </is>
      </c>
      <c r="L516" t="inlineStr">
        <is>
          <t>Georgia</t>
        </is>
      </c>
      <c r="M516" t="inlineStr">
        <is>
          <t>Houston</t>
        </is>
      </c>
      <c r="N516" t="inlineStr">
        <is>
          <t>Sophia Singh</t>
        </is>
      </c>
      <c r="O516" t="n">
        <v>4</v>
      </c>
      <c r="P516" s="3" t="n">
        <v>53.07</v>
      </c>
      <c r="Q516" s="4" t="n">
        <v>0.032</v>
      </c>
      <c r="R516" s="3" t="n">
        <v>205.49</v>
      </c>
      <c r="S516" s="3" t="n">
        <v>89.31</v>
      </c>
      <c r="T516" s="3" t="n">
        <v>106.98</v>
      </c>
      <c r="U516" s="4" t="n">
        <v>0.5206</v>
      </c>
      <c r="V516" s="3" t="n">
        <v>9.199999999999999</v>
      </c>
      <c r="W516" t="inlineStr">
        <is>
          <t>Cash on Delivery</t>
        </is>
      </c>
      <c r="X516" t="inlineStr">
        <is>
          <t>High</t>
        </is>
      </c>
      <c r="Y516" t="n">
        <v>2023</v>
      </c>
      <c r="Z516" t="n">
        <v>9</v>
      </c>
      <c r="AA516" t="inlineStr">
        <is>
          <t>Sep</t>
        </is>
      </c>
      <c r="AB516" t="inlineStr">
        <is>
          <t>Tuesday</t>
        </is>
      </c>
      <c r="AC516" t="n">
        <v>4</v>
      </c>
      <c r="AD516" t="inlineStr">
        <is>
          <t>Profitable</t>
        </is>
      </c>
      <c r="AE516" t="inlineStr">
        <is>
          <t>Medium</t>
        </is>
      </c>
      <c r="AF516" t="inlineStr">
        <is>
          <t>Small</t>
        </is>
      </c>
    </row>
    <row r="517">
      <c r="A517" t="inlineStr">
        <is>
          <t>ORD-00516</t>
        </is>
      </c>
      <c r="B517" s="2" t="n">
        <v>45214</v>
      </c>
      <c r="C517" s="2" t="n">
        <v>45217</v>
      </c>
      <c r="D517" t="inlineStr">
        <is>
          <t>CUST-00516</t>
        </is>
      </c>
      <c r="E517" t="inlineStr">
        <is>
          <t>Customer 516</t>
        </is>
      </c>
      <c r="F517" t="inlineStr">
        <is>
          <t>Consumer</t>
        </is>
      </c>
      <c r="G517" t="inlineStr">
        <is>
          <t>P1013</t>
        </is>
      </c>
      <c r="H517" t="inlineStr">
        <is>
          <t>Summit Patio Set</t>
        </is>
      </c>
      <c r="I517" t="inlineStr">
        <is>
          <t>Home Decor</t>
        </is>
      </c>
      <c r="J517" t="inlineStr">
        <is>
          <t>Writing</t>
        </is>
      </c>
      <c r="K517" t="inlineStr">
        <is>
          <t>South</t>
        </is>
      </c>
      <c r="L517" t="inlineStr">
        <is>
          <t>Texas</t>
        </is>
      </c>
      <c r="M517" t="inlineStr">
        <is>
          <t>Dallas</t>
        </is>
      </c>
      <c r="N517" t="inlineStr">
        <is>
          <t>Liam Chen</t>
        </is>
      </c>
      <c r="O517" t="n">
        <v>4</v>
      </c>
      <c r="P517" s="3" t="n">
        <v>161.54</v>
      </c>
      <c r="Q517" s="4" t="n">
        <v>0.003</v>
      </c>
      <c r="R517" s="3" t="n">
        <v>644.22</v>
      </c>
      <c r="S517" s="3" t="n">
        <v>368.37</v>
      </c>
      <c r="T517" s="3" t="n">
        <v>266.65</v>
      </c>
      <c r="U517" s="4" t="n">
        <v>0.4139</v>
      </c>
      <c r="V517" s="3" t="n">
        <v>9.199999999999999</v>
      </c>
      <c r="W517" t="inlineStr">
        <is>
          <t>Cash on Delivery</t>
        </is>
      </c>
      <c r="X517" t="inlineStr">
        <is>
          <t>Medium</t>
        </is>
      </c>
      <c r="Y517" t="n">
        <v>2023</v>
      </c>
      <c r="Z517" t="n">
        <v>10</v>
      </c>
      <c r="AA517" t="inlineStr">
        <is>
          <t>Oct</t>
        </is>
      </c>
      <c r="AB517" t="inlineStr">
        <is>
          <t>Sunday</t>
        </is>
      </c>
      <c r="AC517" t="n">
        <v>3</v>
      </c>
      <c r="AD517" t="inlineStr">
        <is>
          <t>Profitable</t>
        </is>
      </c>
      <c r="AE517" t="inlineStr">
        <is>
          <t>Low</t>
        </is>
      </c>
      <c r="AF517" t="inlineStr">
        <is>
          <t>Medium</t>
        </is>
      </c>
    </row>
    <row r="518">
      <c r="A518" t="inlineStr">
        <is>
          <t>ORD-00517</t>
        </is>
      </c>
      <c r="B518" s="2" t="n">
        <v>45488</v>
      </c>
      <c r="C518" s="2" t="n">
        <v>45494</v>
      </c>
      <c r="D518" t="inlineStr">
        <is>
          <t>CUST-00517</t>
        </is>
      </c>
      <c r="E518" t="inlineStr">
        <is>
          <t>Customer 517</t>
        </is>
      </c>
      <c r="F518" t="inlineStr">
        <is>
          <t>Home Office</t>
        </is>
      </c>
      <c r="G518" t="inlineStr">
        <is>
          <t>P1020</t>
        </is>
      </c>
      <c r="H518" t="inlineStr">
        <is>
          <t>Northstar Lantern</t>
        </is>
      </c>
      <c r="I518" t="inlineStr">
        <is>
          <t>Technology</t>
        </is>
      </c>
      <c r="J518" t="inlineStr">
        <is>
          <t>Video</t>
        </is>
      </c>
      <c r="K518" t="inlineStr">
        <is>
          <t>North</t>
        </is>
      </c>
      <c r="L518" t="inlineStr">
        <is>
          <t>Quebec</t>
        </is>
      </c>
      <c r="M518" t="inlineStr">
        <is>
          <t>Vancouver</t>
        </is>
      </c>
      <c r="N518" t="inlineStr">
        <is>
          <t>Noah Kim</t>
        </is>
      </c>
      <c r="O518" t="n">
        <v>2</v>
      </c>
      <c r="P518" s="3" t="n">
        <v>77.48999999999999</v>
      </c>
      <c r="Q518" s="4" t="n">
        <v>0.033</v>
      </c>
      <c r="R518" s="3" t="n">
        <v>149.87</v>
      </c>
      <c r="S518" s="3" t="n">
        <v>76.41</v>
      </c>
      <c r="T518" s="3" t="n">
        <v>65.86</v>
      </c>
      <c r="U518" s="4" t="n">
        <v>0.4394</v>
      </c>
      <c r="V518" s="3" t="n">
        <v>7.6</v>
      </c>
      <c r="W518" t="inlineStr">
        <is>
          <t>PayPal</t>
        </is>
      </c>
      <c r="X518" t="inlineStr">
        <is>
          <t>High</t>
        </is>
      </c>
      <c r="Y518" t="n">
        <v>2024</v>
      </c>
      <c r="Z518" t="n">
        <v>7</v>
      </c>
      <c r="AA518" t="inlineStr">
        <is>
          <t>Jul</t>
        </is>
      </c>
      <c r="AB518" t="inlineStr">
        <is>
          <t>Monday</t>
        </is>
      </c>
      <c r="AC518" t="n">
        <v>6</v>
      </c>
      <c r="AD518" t="inlineStr">
        <is>
          <t>Profitable</t>
        </is>
      </c>
      <c r="AE518" t="inlineStr">
        <is>
          <t>Medium</t>
        </is>
      </c>
      <c r="AF518" t="inlineStr">
        <is>
          <t>Small</t>
        </is>
      </c>
    </row>
    <row r="519">
      <c r="A519" t="inlineStr">
        <is>
          <t>ORD-00518</t>
        </is>
      </c>
      <c r="B519" s="2" t="n">
        <v>45927</v>
      </c>
      <c r="C519" s="2" t="n">
        <v>45933</v>
      </c>
      <c r="D519" t="inlineStr">
        <is>
          <t>CUST-00518</t>
        </is>
      </c>
      <c r="E519" t="inlineStr">
        <is>
          <t>Customer 518</t>
        </is>
      </c>
      <c r="F519" t="inlineStr">
        <is>
          <t>Corporate</t>
        </is>
      </c>
      <c r="G519" t="inlineStr">
        <is>
          <t>P1015</t>
        </is>
      </c>
      <c r="H519" t="inlineStr">
        <is>
          <t>FlexNote Notebook</t>
        </is>
      </c>
      <c r="I519" t="inlineStr">
        <is>
          <t>Furniture</t>
        </is>
      </c>
      <c r="J519" t="inlineStr">
        <is>
          <t>Writing</t>
        </is>
      </c>
      <c r="K519" t="inlineStr">
        <is>
          <t>South</t>
        </is>
      </c>
      <c r="L519" t="inlineStr">
        <is>
          <t>Texas</t>
        </is>
      </c>
      <c r="M519" t="inlineStr">
        <is>
          <t>Atlanta</t>
        </is>
      </c>
      <c r="N519" t="inlineStr">
        <is>
          <t>Noah Kim</t>
        </is>
      </c>
      <c r="O519" t="n">
        <v>3</v>
      </c>
      <c r="P519" s="3" t="n">
        <v>68.55</v>
      </c>
      <c r="Q519" s="4" t="n">
        <v>0.018</v>
      </c>
      <c r="R519" s="3" t="n">
        <v>201.95</v>
      </c>
      <c r="S519" s="3" t="n">
        <v>92.47</v>
      </c>
      <c r="T519" s="3" t="n">
        <v>101.08</v>
      </c>
      <c r="U519" s="4" t="n">
        <v>0.5004999999999999</v>
      </c>
      <c r="V519" s="3" t="n">
        <v>8.4</v>
      </c>
      <c r="W519" t="inlineStr">
        <is>
          <t>Bank Transfer</t>
        </is>
      </c>
      <c r="X519" t="inlineStr">
        <is>
          <t>Medium</t>
        </is>
      </c>
      <c r="Y519" t="n">
        <v>2025</v>
      </c>
      <c r="Z519" t="n">
        <v>9</v>
      </c>
      <c r="AA519" t="inlineStr">
        <is>
          <t>Sep</t>
        </is>
      </c>
      <c r="AB519" t="inlineStr">
        <is>
          <t>Saturday</t>
        </is>
      </c>
      <c r="AC519" t="n">
        <v>6</v>
      </c>
      <c r="AD519" t="inlineStr">
        <is>
          <t>Profitable</t>
        </is>
      </c>
      <c r="AE519" t="inlineStr">
        <is>
          <t>Low</t>
        </is>
      </c>
      <c r="AF519" t="inlineStr">
        <is>
          <t>Small</t>
        </is>
      </c>
    </row>
    <row r="520">
      <c r="A520" t="inlineStr">
        <is>
          <t>ORD-00519</t>
        </is>
      </c>
      <c r="B520" s="2" t="n">
        <v>45863</v>
      </c>
      <c r="C520" s="2" t="n">
        <v>45866</v>
      </c>
      <c r="D520" t="inlineStr">
        <is>
          <t>CUST-00519</t>
        </is>
      </c>
      <c r="E520" t="inlineStr">
        <is>
          <t>Customer 519</t>
        </is>
      </c>
      <c r="F520" t="inlineStr">
        <is>
          <t>Home Office</t>
        </is>
      </c>
      <c r="G520" t="inlineStr">
        <is>
          <t>P1006</t>
        </is>
      </c>
      <c r="H520" t="inlineStr">
        <is>
          <t>Northstar Lantern</t>
        </is>
      </c>
      <c r="I520" t="inlineStr">
        <is>
          <t>Home Decor</t>
        </is>
      </c>
      <c r="J520" t="inlineStr">
        <is>
          <t>Paper</t>
        </is>
      </c>
      <c r="K520" t="inlineStr">
        <is>
          <t>West</t>
        </is>
      </c>
      <c r="L520" t="inlineStr">
        <is>
          <t>Colorado</t>
        </is>
      </c>
      <c r="M520" t="inlineStr">
        <is>
          <t>Seattle</t>
        </is>
      </c>
      <c r="N520" t="inlineStr">
        <is>
          <t>Noah Kim</t>
        </is>
      </c>
      <c r="O520" t="n">
        <v>2</v>
      </c>
      <c r="P520" s="3" t="n">
        <v>19.55</v>
      </c>
      <c r="Q520" s="4" t="n">
        <v>0.024</v>
      </c>
      <c r="R520" s="3" t="n">
        <v>38.16</v>
      </c>
      <c r="S520" s="3" t="n">
        <v>17.39</v>
      </c>
      <c r="T520" s="3" t="n">
        <v>12.17</v>
      </c>
      <c r="U520" s="4" t="n">
        <v>0.3189</v>
      </c>
      <c r="V520" s="3" t="n">
        <v>8.6</v>
      </c>
      <c r="W520" t="inlineStr">
        <is>
          <t>Bank Transfer</t>
        </is>
      </c>
      <c r="X520" t="inlineStr">
        <is>
          <t>Low</t>
        </is>
      </c>
      <c r="Y520" t="n">
        <v>2025</v>
      </c>
      <c r="Z520" t="n">
        <v>7</v>
      </c>
      <c r="AA520" t="inlineStr">
        <is>
          <t>Jul</t>
        </is>
      </c>
      <c r="AB520" t="inlineStr">
        <is>
          <t>Friday</t>
        </is>
      </c>
      <c r="AC520" t="n">
        <v>3</v>
      </c>
      <c r="AD520" t="inlineStr">
        <is>
          <t>Profitable</t>
        </is>
      </c>
      <c r="AE520" t="inlineStr">
        <is>
          <t>Medium</t>
        </is>
      </c>
      <c r="AF520" t="inlineStr">
        <is>
          <t>Small</t>
        </is>
      </c>
    </row>
    <row r="521">
      <c r="A521" t="inlineStr">
        <is>
          <t>ORD-00520</t>
        </is>
      </c>
      <c r="B521" s="2" t="n">
        <v>45276</v>
      </c>
      <c r="C521" s="2" t="n">
        <v>45279</v>
      </c>
      <c r="D521" t="inlineStr">
        <is>
          <t>CUST-00520</t>
        </is>
      </c>
      <c r="E521" t="inlineStr">
        <is>
          <t>Customer 520</t>
        </is>
      </c>
      <c r="F521" t="inlineStr">
        <is>
          <t>Consumer</t>
        </is>
      </c>
      <c r="G521" t="inlineStr">
        <is>
          <t>P1002</t>
        </is>
      </c>
      <c r="H521" t="inlineStr">
        <is>
          <t>Nimbus Monitor Arm</t>
        </is>
      </c>
      <c r="I521" t="inlineStr">
        <is>
          <t>Home Decor</t>
        </is>
      </c>
      <c r="J521" t="inlineStr">
        <is>
          <t>Plants</t>
        </is>
      </c>
      <c r="K521" t="inlineStr">
        <is>
          <t>South</t>
        </is>
      </c>
      <c r="L521" t="inlineStr">
        <is>
          <t>North Carolina</t>
        </is>
      </c>
      <c r="M521" t="inlineStr">
        <is>
          <t>Atlanta</t>
        </is>
      </c>
      <c r="N521" t="inlineStr">
        <is>
          <t>Ava Patel</t>
        </is>
      </c>
      <c r="O521" t="n">
        <v>3</v>
      </c>
      <c r="P521" s="3" t="n">
        <v>80.48</v>
      </c>
      <c r="Q521" s="4" t="n">
        <v>0.019</v>
      </c>
      <c r="R521" s="3" t="n">
        <v>236.85</v>
      </c>
      <c r="S521" s="3" t="n">
        <v>110.84</v>
      </c>
      <c r="T521" s="3" t="n">
        <v>117.61</v>
      </c>
      <c r="U521" s="4" t="n">
        <v>0.4966</v>
      </c>
      <c r="V521" s="3" t="n">
        <v>8.4</v>
      </c>
      <c r="W521" t="inlineStr">
        <is>
          <t>Bank Transfer</t>
        </is>
      </c>
      <c r="X521" t="inlineStr">
        <is>
          <t>Medium</t>
        </is>
      </c>
      <c r="Y521" t="n">
        <v>2023</v>
      </c>
      <c r="Z521" t="n">
        <v>12</v>
      </c>
      <c r="AA521" t="inlineStr">
        <is>
          <t>Dec</t>
        </is>
      </c>
      <c r="AB521" t="inlineStr">
        <is>
          <t>Saturday</t>
        </is>
      </c>
      <c r="AC521" t="n">
        <v>3</v>
      </c>
      <c r="AD521" t="inlineStr">
        <is>
          <t>Profitable</t>
        </is>
      </c>
      <c r="AE521" t="inlineStr">
        <is>
          <t>Low</t>
        </is>
      </c>
      <c r="AF521" t="inlineStr">
        <is>
          <t>Small</t>
        </is>
      </c>
    </row>
    <row r="522">
      <c r="A522" t="inlineStr">
        <is>
          <t>ORD-00521</t>
        </is>
      </c>
      <c r="B522" s="2" t="n">
        <v>45489</v>
      </c>
      <c r="C522" s="2" t="n">
        <v>45493</v>
      </c>
      <c r="D522" t="inlineStr">
        <is>
          <t>CUST-00521</t>
        </is>
      </c>
      <c r="E522" t="inlineStr">
        <is>
          <t>Customer 521</t>
        </is>
      </c>
      <c r="F522" t="inlineStr">
        <is>
          <t>Consumer</t>
        </is>
      </c>
      <c r="G522" t="inlineStr">
        <is>
          <t>P1004</t>
        </is>
      </c>
      <c r="H522" t="inlineStr">
        <is>
          <t>ErgoMesh Chair</t>
        </is>
      </c>
      <c r="I522" t="inlineStr">
        <is>
          <t>Furniture</t>
        </is>
      </c>
      <c r="J522" t="inlineStr">
        <is>
          <t>Writing</t>
        </is>
      </c>
      <c r="K522" t="inlineStr">
        <is>
          <t>West</t>
        </is>
      </c>
      <c r="L522" t="inlineStr">
        <is>
          <t>Washington</t>
        </is>
      </c>
      <c r="M522" t="inlineStr">
        <is>
          <t>San Francisco</t>
        </is>
      </c>
      <c r="N522" t="inlineStr">
        <is>
          <t>Mia Rodriguez</t>
        </is>
      </c>
      <c r="O522" t="n">
        <v>1</v>
      </c>
      <c r="P522" s="3" t="n">
        <v>629.9299999999999</v>
      </c>
      <c r="Q522" s="4" t="n">
        <v>0.059</v>
      </c>
      <c r="R522" s="3" t="n">
        <v>592.76</v>
      </c>
      <c r="S522" s="3" t="n">
        <v>380.88</v>
      </c>
      <c r="T522" s="3" t="n">
        <v>204.08</v>
      </c>
      <c r="U522" s="4" t="n">
        <v>0.3443</v>
      </c>
      <c r="V522" s="3" t="n">
        <v>7.8</v>
      </c>
      <c r="W522" t="inlineStr">
        <is>
          <t>PayPal</t>
        </is>
      </c>
      <c r="X522" t="inlineStr">
        <is>
          <t>High</t>
        </is>
      </c>
      <c r="Y522" t="n">
        <v>2024</v>
      </c>
      <c r="Z522" t="n">
        <v>7</v>
      </c>
      <c r="AA522" t="inlineStr">
        <is>
          <t>Jul</t>
        </is>
      </c>
      <c r="AB522" t="inlineStr">
        <is>
          <t>Tuesday</t>
        </is>
      </c>
      <c r="AC522" t="n">
        <v>4</v>
      </c>
      <c r="AD522" t="inlineStr">
        <is>
          <t>Profitable</t>
        </is>
      </c>
      <c r="AE522" t="inlineStr">
        <is>
          <t>High</t>
        </is>
      </c>
      <c r="AF522" t="inlineStr">
        <is>
          <t>Medium</t>
        </is>
      </c>
    </row>
    <row r="523">
      <c r="A523" t="inlineStr">
        <is>
          <t>ORD-00522</t>
        </is>
      </c>
      <c r="B523" s="2" t="n">
        <v>45600</v>
      </c>
      <c r="C523" s="2" t="n">
        <v>45607</v>
      </c>
      <c r="D523" t="inlineStr">
        <is>
          <t>CUST-00522</t>
        </is>
      </c>
      <c r="E523" t="inlineStr">
        <is>
          <t>Customer 522</t>
        </is>
      </c>
      <c r="F523" t="inlineStr">
        <is>
          <t>Consumer</t>
        </is>
      </c>
      <c r="G523" t="inlineStr">
        <is>
          <t>P1014</t>
        </is>
      </c>
      <c r="H523" t="inlineStr">
        <is>
          <t>CloudDrive File Box</t>
        </is>
      </c>
      <c r="I523" t="inlineStr">
        <is>
          <t>Technology</t>
        </is>
      </c>
      <c r="J523" t="inlineStr">
        <is>
          <t>Lighting</t>
        </is>
      </c>
      <c r="K523" t="inlineStr">
        <is>
          <t>Central</t>
        </is>
      </c>
      <c r="L523" t="inlineStr">
        <is>
          <t>Minnesota</t>
        </is>
      </c>
      <c r="M523" t="inlineStr">
        <is>
          <t>Chicago</t>
        </is>
      </c>
      <c r="N523" t="inlineStr">
        <is>
          <t>Noah Kim</t>
        </is>
      </c>
      <c r="O523" t="n">
        <v>6</v>
      </c>
      <c r="P523" s="3" t="n">
        <v>46.55</v>
      </c>
      <c r="Q523" s="4" t="n">
        <v>0.008999999999999999</v>
      </c>
      <c r="R523" s="3" t="n">
        <v>276.79</v>
      </c>
      <c r="S523" s="3" t="n">
        <v>118.81</v>
      </c>
      <c r="T523" s="3" t="n">
        <v>147.18</v>
      </c>
      <c r="U523" s="4" t="n">
        <v>0.5317</v>
      </c>
      <c r="V523" s="3" t="n">
        <v>10.8</v>
      </c>
      <c r="W523" t="inlineStr">
        <is>
          <t>Credit Card</t>
        </is>
      </c>
      <c r="X523" t="inlineStr">
        <is>
          <t>Medium</t>
        </is>
      </c>
      <c r="Y523" t="n">
        <v>2024</v>
      </c>
      <c r="Z523" t="n">
        <v>11</v>
      </c>
      <c r="AA523" t="inlineStr">
        <is>
          <t>Nov</t>
        </is>
      </c>
      <c r="AB523" t="inlineStr">
        <is>
          <t>Monday</t>
        </is>
      </c>
      <c r="AC523" t="n">
        <v>7</v>
      </c>
      <c r="AD523" t="inlineStr">
        <is>
          <t>Profitable</t>
        </is>
      </c>
      <c r="AE523" t="inlineStr">
        <is>
          <t>Low</t>
        </is>
      </c>
      <c r="AF523" t="inlineStr">
        <is>
          <t>Small</t>
        </is>
      </c>
    </row>
    <row r="524">
      <c r="A524" t="inlineStr">
        <is>
          <t>ORD-00523</t>
        </is>
      </c>
      <c r="B524" s="2" t="n">
        <v>45986</v>
      </c>
      <c r="C524" s="2" t="n">
        <v>45988</v>
      </c>
      <c r="D524" t="inlineStr">
        <is>
          <t>CUST-00523</t>
        </is>
      </c>
      <c r="E524" t="inlineStr">
        <is>
          <t>Customer 523</t>
        </is>
      </c>
      <c r="F524" t="inlineStr">
        <is>
          <t>Corporate</t>
        </is>
      </c>
      <c r="G524" t="inlineStr">
        <is>
          <t>P1015</t>
        </is>
      </c>
      <c r="H524" t="inlineStr">
        <is>
          <t>Nova Laptop Stand</t>
        </is>
      </c>
      <c r="I524" t="inlineStr">
        <is>
          <t>Furniture</t>
        </is>
      </c>
      <c r="J524" t="inlineStr">
        <is>
          <t>Lighting</t>
        </is>
      </c>
      <c r="K524" t="inlineStr">
        <is>
          <t>Central</t>
        </is>
      </c>
      <c r="L524" t="inlineStr">
        <is>
          <t>Missouri</t>
        </is>
      </c>
      <c r="M524" t="inlineStr">
        <is>
          <t>Kansas City</t>
        </is>
      </c>
      <c r="N524" t="inlineStr">
        <is>
          <t>Liam Chen</t>
        </is>
      </c>
      <c r="O524" t="n">
        <v>3</v>
      </c>
      <c r="P524" s="3" t="n">
        <v>74.04000000000001</v>
      </c>
      <c r="Q524" s="4" t="n">
        <v>0.012</v>
      </c>
      <c r="R524" s="3" t="n">
        <v>219.45</v>
      </c>
      <c r="S524" s="3" t="n">
        <v>101.78</v>
      </c>
      <c r="T524" s="3" t="n">
        <v>109.27</v>
      </c>
      <c r="U524" s="4" t="n">
        <v>0.4979</v>
      </c>
      <c r="V524" s="3" t="n">
        <v>8.4</v>
      </c>
      <c r="W524" t="inlineStr">
        <is>
          <t>Credit Card</t>
        </is>
      </c>
      <c r="X524" t="inlineStr">
        <is>
          <t>Medium</t>
        </is>
      </c>
      <c r="Y524" t="n">
        <v>2025</v>
      </c>
      <c r="Z524" t="n">
        <v>11</v>
      </c>
      <c r="AA524" t="inlineStr">
        <is>
          <t>Nov</t>
        </is>
      </c>
      <c r="AB524" t="inlineStr">
        <is>
          <t>Tuesday</t>
        </is>
      </c>
      <c r="AC524" t="n">
        <v>2</v>
      </c>
      <c r="AD524" t="inlineStr">
        <is>
          <t>Profitable</t>
        </is>
      </c>
      <c r="AE524" t="inlineStr">
        <is>
          <t>Low</t>
        </is>
      </c>
      <c r="AF524" t="inlineStr">
        <is>
          <t>Small</t>
        </is>
      </c>
    </row>
    <row r="525">
      <c r="A525" t="inlineStr">
        <is>
          <t>ORD-00524</t>
        </is>
      </c>
      <c r="B525" s="2" t="n">
        <v>45817</v>
      </c>
      <c r="C525" s="2" t="n">
        <v>45824</v>
      </c>
      <c r="D525" t="inlineStr">
        <is>
          <t>CUST-00524</t>
        </is>
      </c>
      <c r="E525" t="inlineStr">
        <is>
          <t>Customer 524</t>
        </is>
      </c>
      <c r="F525" t="inlineStr">
        <is>
          <t>Consumer</t>
        </is>
      </c>
      <c r="G525" t="inlineStr">
        <is>
          <t>P1014</t>
        </is>
      </c>
      <c r="H525" t="inlineStr">
        <is>
          <t>FlexNote Notebook</t>
        </is>
      </c>
      <c r="I525" t="inlineStr">
        <is>
          <t>Outdoor</t>
        </is>
      </c>
      <c r="J525" t="inlineStr">
        <is>
          <t>Lighting</t>
        </is>
      </c>
      <c r="K525" t="inlineStr">
        <is>
          <t>North</t>
        </is>
      </c>
      <c r="L525" t="inlineStr">
        <is>
          <t>Ontario</t>
        </is>
      </c>
      <c r="M525" t="inlineStr">
        <is>
          <t>Calgary</t>
        </is>
      </c>
      <c r="N525" t="inlineStr">
        <is>
          <t>Ava Patel</t>
        </is>
      </c>
      <c r="O525" t="n">
        <v>1</v>
      </c>
      <c r="P525" s="3" t="n">
        <v>45.12</v>
      </c>
      <c r="Q525" s="4" t="n">
        <v>0.051</v>
      </c>
      <c r="R525" s="3" t="n">
        <v>42.82</v>
      </c>
      <c r="S525" s="3" t="n">
        <v>22.06</v>
      </c>
      <c r="T525" s="3" t="n">
        <v>13.96</v>
      </c>
      <c r="U525" s="4" t="n">
        <v>0.326</v>
      </c>
      <c r="V525" s="3" t="n">
        <v>6.8</v>
      </c>
      <c r="W525" t="inlineStr">
        <is>
          <t>PayPal</t>
        </is>
      </c>
      <c r="X525" t="inlineStr">
        <is>
          <t>High</t>
        </is>
      </c>
      <c r="Y525" t="n">
        <v>2025</v>
      </c>
      <c r="Z525" t="n">
        <v>6</v>
      </c>
      <c r="AA525" t="inlineStr">
        <is>
          <t>Jun</t>
        </is>
      </c>
      <c r="AB525" t="inlineStr">
        <is>
          <t>Monday</t>
        </is>
      </c>
      <c r="AC525" t="n">
        <v>7</v>
      </c>
      <c r="AD525" t="inlineStr">
        <is>
          <t>Profitable</t>
        </is>
      </c>
      <c r="AE525" t="inlineStr">
        <is>
          <t>High</t>
        </is>
      </c>
      <c r="AF525" t="inlineStr">
        <is>
          <t>Small</t>
        </is>
      </c>
    </row>
    <row r="526">
      <c r="A526" t="inlineStr">
        <is>
          <t>ORD-00525</t>
        </is>
      </c>
      <c r="B526" s="2" t="n">
        <v>45748</v>
      </c>
      <c r="C526" s="2" t="n">
        <v>45749</v>
      </c>
      <c r="D526" t="inlineStr">
        <is>
          <t>CUST-00525</t>
        </is>
      </c>
      <c r="E526" t="inlineStr">
        <is>
          <t>Customer 525</t>
        </is>
      </c>
      <c r="F526" t="inlineStr">
        <is>
          <t>Consumer</t>
        </is>
      </c>
      <c r="G526" t="inlineStr">
        <is>
          <t>P1004</t>
        </is>
      </c>
      <c r="H526" t="inlineStr">
        <is>
          <t>ErgoMesh Chair</t>
        </is>
      </c>
      <c r="I526" t="inlineStr">
        <is>
          <t>Outdoor</t>
        </is>
      </c>
      <c r="J526" t="inlineStr">
        <is>
          <t>Accessories</t>
        </is>
      </c>
      <c r="K526" t="inlineStr">
        <is>
          <t>East</t>
        </is>
      </c>
      <c r="L526" t="inlineStr">
        <is>
          <t>Massachusetts</t>
        </is>
      </c>
      <c r="M526" t="inlineStr">
        <is>
          <t>Boston</t>
        </is>
      </c>
      <c r="N526" t="inlineStr">
        <is>
          <t>Sophia Singh</t>
        </is>
      </c>
      <c r="O526" t="n">
        <v>3</v>
      </c>
      <c r="P526" s="3" t="n">
        <v>625.95</v>
      </c>
      <c r="Q526" s="4" t="n">
        <v>0.005</v>
      </c>
      <c r="R526" s="3" t="n">
        <v>1868.46</v>
      </c>
      <c r="S526" s="3" t="n">
        <v>1181.29</v>
      </c>
      <c r="T526" s="3" t="n">
        <v>677.77</v>
      </c>
      <c r="U526" s="4" t="n">
        <v>0.3627</v>
      </c>
      <c r="V526" s="3" t="n">
        <v>9.4</v>
      </c>
      <c r="W526" t="inlineStr">
        <is>
          <t>PayPal</t>
        </is>
      </c>
      <c r="X526" t="inlineStr">
        <is>
          <t>Medium</t>
        </is>
      </c>
      <c r="Y526" t="n">
        <v>2025</v>
      </c>
      <c r="Z526" t="n">
        <v>4</v>
      </c>
      <c r="AA526" t="inlineStr">
        <is>
          <t>Apr</t>
        </is>
      </c>
      <c r="AB526" t="inlineStr">
        <is>
          <t>Tuesday</t>
        </is>
      </c>
      <c r="AC526" t="n">
        <v>1</v>
      </c>
      <c r="AD526" t="inlineStr">
        <is>
          <t>Profitable</t>
        </is>
      </c>
      <c r="AE526" t="inlineStr">
        <is>
          <t>Low</t>
        </is>
      </c>
      <c r="AF526" t="inlineStr">
        <is>
          <t>Large</t>
        </is>
      </c>
    </row>
    <row r="527">
      <c r="A527" t="inlineStr">
        <is>
          <t>ORD-00526</t>
        </is>
      </c>
      <c r="B527" s="2" t="n">
        <v>45448</v>
      </c>
      <c r="C527" s="2" t="n">
        <v>45450</v>
      </c>
      <c r="D527" t="inlineStr">
        <is>
          <t>CUST-00526</t>
        </is>
      </c>
      <c r="E527" t="inlineStr">
        <is>
          <t>Customer 526</t>
        </is>
      </c>
      <c r="F527" t="inlineStr">
        <is>
          <t>Consumer</t>
        </is>
      </c>
      <c r="G527" t="inlineStr">
        <is>
          <t>P1006</t>
        </is>
      </c>
      <c r="H527" t="inlineStr">
        <is>
          <t>Summit Patio Set</t>
        </is>
      </c>
      <c r="I527" t="inlineStr">
        <is>
          <t>Technology</t>
        </is>
      </c>
      <c r="J527" t="inlineStr">
        <is>
          <t>Lighting</t>
        </is>
      </c>
      <c r="K527" t="inlineStr">
        <is>
          <t>South</t>
        </is>
      </c>
      <c r="L527" t="inlineStr">
        <is>
          <t>Florida</t>
        </is>
      </c>
      <c r="M527" t="inlineStr">
        <is>
          <t>Miami</t>
        </is>
      </c>
      <c r="N527" t="inlineStr">
        <is>
          <t>Noah Kim</t>
        </is>
      </c>
      <c r="O527" t="n">
        <v>1</v>
      </c>
      <c r="P527" s="3" t="n">
        <v>17.48</v>
      </c>
      <c r="Q527" s="4" t="n">
        <v>0.055</v>
      </c>
      <c r="R527" s="3" t="n">
        <v>16.52</v>
      </c>
      <c r="S527" s="3" t="n">
        <v>15.71</v>
      </c>
      <c r="T527" s="3" t="n">
        <v>-5.99</v>
      </c>
      <c r="U527" s="4" t="n">
        <v>-0.3626</v>
      </c>
      <c r="V527" s="3" t="n">
        <v>6.8</v>
      </c>
      <c r="W527" t="inlineStr">
        <is>
          <t>Debit Card</t>
        </is>
      </c>
      <c r="X527" t="inlineStr">
        <is>
          <t>High</t>
        </is>
      </c>
      <c r="Y527" t="n">
        <v>2024</v>
      </c>
      <c r="Z527" t="n">
        <v>6</v>
      </c>
      <c r="AA527" t="inlineStr">
        <is>
          <t>Jun</t>
        </is>
      </c>
      <c r="AB527" t="inlineStr">
        <is>
          <t>Wednesday</t>
        </is>
      </c>
      <c r="AC527" t="n">
        <v>2</v>
      </c>
      <c r="AD527" t="inlineStr">
        <is>
          <t>Unprofitable</t>
        </is>
      </c>
      <c r="AE527" t="inlineStr">
        <is>
          <t>High</t>
        </is>
      </c>
      <c r="AF527" t="inlineStr">
        <is>
          <t>Small</t>
        </is>
      </c>
    </row>
    <row r="528">
      <c r="A528" t="inlineStr">
        <is>
          <t>ORD-00527</t>
        </is>
      </c>
      <c r="B528" s="2" t="n">
        <v>45605</v>
      </c>
      <c r="C528" s="2" t="n">
        <v>45612</v>
      </c>
      <c r="D528" t="inlineStr">
        <is>
          <t>CUST-00527</t>
        </is>
      </c>
      <c r="E528" t="inlineStr">
        <is>
          <t>Customer 527</t>
        </is>
      </c>
      <c r="F528" t="inlineStr">
        <is>
          <t>Corporate</t>
        </is>
      </c>
      <c r="G528" t="inlineStr">
        <is>
          <t>P1007</t>
        </is>
      </c>
      <c r="H528" t="inlineStr">
        <is>
          <t>Cove Wall Clock</t>
        </is>
      </c>
      <c r="I528" t="inlineStr">
        <is>
          <t>Office Supplies</t>
        </is>
      </c>
      <c r="J528" t="inlineStr">
        <is>
          <t>Decor</t>
        </is>
      </c>
      <c r="K528" t="inlineStr">
        <is>
          <t>Central</t>
        </is>
      </c>
      <c r="L528" t="inlineStr">
        <is>
          <t>Minnesota</t>
        </is>
      </c>
      <c r="M528" t="inlineStr">
        <is>
          <t>Chicago</t>
        </is>
      </c>
      <c r="N528" t="inlineStr">
        <is>
          <t>Liam Chen</t>
        </is>
      </c>
      <c r="O528" t="n">
        <v>1</v>
      </c>
      <c r="P528" s="3" t="n">
        <v>25.95</v>
      </c>
      <c r="Q528" s="4" t="n">
        <v>0.032</v>
      </c>
      <c r="R528" s="3" t="n">
        <v>25.12</v>
      </c>
      <c r="S528" s="3" t="n">
        <v>15.78</v>
      </c>
      <c r="T528" s="3" t="n">
        <v>2.54</v>
      </c>
      <c r="U528" s="4" t="n">
        <v>0.1011</v>
      </c>
      <c r="V528" s="3" t="n">
        <v>6.8</v>
      </c>
      <c r="W528" t="inlineStr">
        <is>
          <t>Bank Transfer</t>
        </is>
      </c>
      <c r="X528" t="inlineStr">
        <is>
          <t>High</t>
        </is>
      </c>
      <c r="Y528" t="n">
        <v>2024</v>
      </c>
      <c r="Z528" t="n">
        <v>11</v>
      </c>
      <c r="AA528" t="inlineStr">
        <is>
          <t>Nov</t>
        </is>
      </c>
      <c r="AB528" t="inlineStr">
        <is>
          <t>Saturday</t>
        </is>
      </c>
      <c r="AC528" t="n">
        <v>7</v>
      </c>
      <c r="AD528" t="inlineStr">
        <is>
          <t>Profitable</t>
        </is>
      </c>
      <c r="AE528" t="inlineStr">
        <is>
          <t>Medium</t>
        </is>
      </c>
      <c r="AF528" t="inlineStr">
        <is>
          <t>Small</t>
        </is>
      </c>
    </row>
    <row r="529">
      <c r="A529" t="inlineStr">
        <is>
          <t>ORD-00528</t>
        </is>
      </c>
      <c r="B529" s="2" t="n">
        <v>45036</v>
      </c>
      <c r="C529" s="2" t="n">
        <v>45038</v>
      </c>
      <c r="D529" t="inlineStr">
        <is>
          <t>CUST-00528</t>
        </is>
      </c>
      <c r="E529" t="inlineStr">
        <is>
          <t>Customer 528</t>
        </is>
      </c>
      <c r="F529" t="inlineStr">
        <is>
          <t>Consumer</t>
        </is>
      </c>
      <c r="G529" t="inlineStr">
        <is>
          <t>P1013</t>
        </is>
      </c>
      <c r="H529" t="inlineStr">
        <is>
          <t>Summit Patio Set</t>
        </is>
      </c>
      <c r="I529" t="inlineStr">
        <is>
          <t>Furniture</t>
        </is>
      </c>
      <c r="J529" t="inlineStr">
        <is>
          <t>Plants</t>
        </is>
      </c>
      <c r="K529" t="inlineStr">
        <is>
          <t>West</t>
        </is>
      </c>
      <c r="L529" t="inlineStr">
        <is>
          <t>Oregon</t>
        </is>
      </c>
      <c r="M529" t="inlineStr">
        <is>
          <t>San Francisco</t>
        </is>
      </c>
      <c r="N529" t="inlineStr">
        <is>
          <t>Liam Chen</t>
        </is>
      </c>
      <c r="O529" t="n">
        <v>2</v>
      </c>
      <c r="P529" s="3" t="n">
        <v>168.12</v>
      </c>
      <c r="Q529" s="4" t="n">
        <v>0.028</v>
      </c>
      <c r="R529" s="3" t="n">
        <v>326.83</v>
      </c>
      <c r="S529" s="3" t="n">
        <v>187.32</v>
      </c>
      <c r="T529" s="3" t="n">
        <v>130.91</v>
      </c>
      <c r="U529" s="4" t="n">
        <v>0.4005</v>
      </c>
      <c r="V529" s="3" t="n">
        <v>8.6</v>
      </c>
      <c r="W529" t="inlineStr">
        <is>
          <t>Debit Card</t>
        </is>
      </c>
      <c r="X529" t="inlineStr">
        <is>
          <t>Critical</t>
        </is>
      </c>
      <c r="Y529" t="n">
        <v>2023</v>
      </c>
      <c r="Z529" t="n">
        <v>4</v>
      </c>
      <c r="AA529" t="inlineStr">
        <is>
          <t>Apr</t>
        </is>
      </c>
      <c r="AB529" t="inlineStr">
        <is>
          <t>Thursday</t>
        </is>
      </c>
      <c r="AC529" t="n">
        <v>2</v>
      </c>
      <c r="AD529" t="inlineStr">
        <is>
          <t>Profitable</t>
        </is>
      </c>
      <c r="AE529" t="inlineStr">
        <is>
          <t>Medium</t>
        </is>
      </c>
      <c r="AF529" t="inlineStr">
        <is>
          <t>Small</t>
        </is>
      </c>
    </row>
    <row r="530">
      <c r="A530" t="inlineStr">
        <is>
          <t>ORD-00529</t>
        </is>
      </c>
      <c r="B530" s="2" t="n">
        <v>45112</v>
      </c>
      <c r="C530" s="2" t="n">
        <v>45117</v>
      </c>
      <c r="D530" t="inlineStr">
        <is>
          <t>CUST-00529</t>
        </is>
      </c>
      <c r="E530" t="inlineStr">
        <is>
          <t>Customer 529</t>
        </is>
      </c>
      <c r="F530" t="inlineStr">
        <is>
          <t>Home Office</t>
        </is>
      </c>
      <c r="G530" t="inlineStr">
        <is>
          <t>P1017</t>
        </is>
      </c>
      <c r="H530" t="inlineStr">
        <is>
          <t>Nova Laptop Stand</t>
        </is>
      </c>
      <c r="I530" t="inlineStr">
        <is>
          <t>Technology</t>
        </is>
      </c>
      <c r="J530" t="inlineStr">
        <is>
          <t>Video</t>
        </is>
      </c>
      <c r="K530" t="inlineStr">
        <is>
          <t>South</t>
        </is>
      </c>
      <c r="L530" t="inlineStr">
        <is>
          <t>Florida</t>
        </is>
      </c>
      <c r="M530" t="inlineStr">
        <is>
          <t>Atlanta</t>
        </is>
      </c>
      <c r="N530" t="inlineStr">
        <is>
          <t>James Carter</t>
        </is>
      </c>
      <c r="O530" t="n">
        <v>2</v>
      </c>
      <c r="P530" s="3" t="n">
        <v>543.7</v>
      </c>
      <c r="Q530" s="4" t="n">
        <v>0.01</v>
      </c>
      <c r="R530" s="3" t="n">
        <v>1076.53</v>
      </c>
      <c r="S530" s="3" t="n">
        <v>720.46</v>
      </c>
      <c r="T530" s="3" t="n">
        <v>348.47</v>
      </c>
      <c r="U530" s="4" t="n">
        <v>0.3237</v>
      </c>
      <c r="V530" s="3" t="n">
        <v>7.6</v>
      </c>
      <c r="W530" t="inlineStr">
        <is>
          <t>PayPal</t>
        </is>
      </c>
      <c r="X530" t="inlineStr">
        <is>
          <t>High</t>
        </is>
      </c>
      <c r="Y530" t="n">
        <v>2023</v>
      </c>
      <c r="Z530" t="n">
        <v>7</v>
      </c>
      <c r="AA530" t="inlineStr">
        <is>
          <t>Jul</t>
        </is>
      </c>
      <c r="AB530" t="inlineStr">
        <is>
          <t>Wednesday</t>
        </is>
      </c>
      <c r="AC530" t="n">
        <v>5</v>
      </c>
      <c r="AD530" t="inlineStr">
        <is>
          <t>Profitable</t>
        </is>
      </c>
      <c r="AE530" t="inlineStr">
        <is>
          <t>Low</t>
        </is>
      </c>
      <c r="AF530" t="inlineStr">
        <is>
          <t>Medium</t>
        </is>
      </c>
    </row>
    <row r="531">
      <c r="A531" t="inlineStr">
        <is>
          <t>ORD-00530</t>
        </is>
      </c>
      <c r="B531" s="2" t="n">
        <v>45965</v>
      </c>
      <c r="C531" s="2" t="n">
        <v>45966</v>
      </c>
      <c r="D531" t="inlineStr">
        <is>
          <t>CUST-00530</t>
        </is>
      </c>
      <c r="E531" t="inlineStr">
        <is>
          <t>Customer 530</t>
        </is>
      </c>
      <c r="F531" t="inlineStr">
        <is>
          <t>Consumer</t>
        </is>
      </c>
      <c r="G531" t="inlineStr">
        <is>
          <t>P1017</t>
        </is>
      </c>
      <c r="H531" t="inlineStr">
        <is>
          <t>Nimbus Monitor Arm</t>
        </is>
      </c>
      <c r="I531" t="inlineStr">
        <is>
          <t>Home Decor</t>
        </is>
      </c>
      <c r="J531" t="inlineStr">
        <is>
          <t>Lighting</t>
        </is>
      </c>
      <c r="K531" t="inlineStr">
        <is>
          <t>Central</t>
        </is>
      </c>
      <c r="L531" t="inlineStr">
        <is>
          <t>Minnesota</t>
        </is>
      </c>
      <c r="M531" t="inlineStr">
        <is>
          <t>Kansas City</t>
        </is>
      </c>
      <c r="N531" t="inlineStr">
        <is>
          <t>Ethan Brooks</t>
        </is>
      </c>
      <c r="O531" t="n">
        <v>2</v>
      </c>
      <c r="P531" s="3" t="n">
        <v>580.25</v>
      </c>
      <c r="Q531" s="4" t="n">
        <v>0.025</v>
      </c>
      <c r="R531" s="3" t="n">
        <v>1131.49</v>
      </c>
      <c r="S531" s="3" t="n">
        <v>757.22</v>
      </c>
      <c r="T531" s="3" t="n">
        <v>366.67</v>
      </c>
      <c r="U531" s="4" t="n">
        <v>0.3241</v>
      </c>
      <c r="V531" s="3" t="n">
        <v>7.6</v>
      </c>
      <c r="W531" t="inlineStr">
        <is>
          <t>Credit Card</t>
        </is>
      </c>
      <c r="X531" t="inlineStr">
        <is>
          <t>Medium</t>
        </is>
      </c>
      <c r="Y531" t="n">
        <v>2025</v>
      </c>
      <c r="Z531" t="n">
        <v>11</v>
      </c>
      <c r="AA531" t="inlineStr">
        <is>
          <t>Nov</t>
        </is>
      </c>
      <c r="AB531" t="inlineStr">
        <is>
          <t>Tuesday</t>
        </is>
      </c>
      <c r="AC531" t="n">
        <v>1</v>
      </c>
      <c r="AD531" t="inlineStr">
        <is>
          <t>Profitable</t>
        </is>
      </c>
      <c r="AE531" t="inlineStr">
        <is>
          <t>Medium</t>
        </is>
      </c>
      <c r="AF531" t="inlineStr">
        <is>
          <t>Medium</t>
        </is>
      </c>
    </row>
    <row r="532">
      <c r="A532" t="inlineStr">
        <is>
          <t>ORD-00531</t>
        </is>
      </c>
      <c r="B532" s="2" t="n">
        <v>45824</v>
      </c>
      <c r="C532" s="2" t="n">
        <v>45827</v>
      </c>
      <c r="D532" t="inlineStr">
        <is>
          <t>CUST-00531</t>
        </is>
      </c>
      <c r="E532" t="inlineStr">
        <is>
          <t>Customer 531</t>
        </is>
      </c>
      <c r="F532" t="inlineStr">
        <is>
          <t>Consumer</t>
        </is>
      </c>
      <c r="G532" t="inlineStr">
        <is>
          <t>P1004</t>
        </is>
      </c>
      <c r="H532" t="inlineStr">
        <is>
          <t>Nimbus Monitor Arm</t>
        </is>
      </c>
      <c r="I532" t="inlineStr">
        <is>
          <t>Outdoor</t>
        </is>
      </c>
      <c r="J532" t="inlineStr">
        <is>
          <t>Plants</t>
        </is>
      </c>
      <c r="K532" t="inlineStr">
        <is>
          <t>West</t>
        </is>
      </c>
      <c r="L532" t="inlineStr">
        <is>
          <t>Washington</t>
        </is>
      </c>
      <c r="M532" t="inlineStr">
        <is>
          <t>Seattle</t>
        </is>
      </c>
      <c r="N532" t="inlineStr">
        <is>
          <t>Sophia Singh</t>
        </is>
      </c>
      <c r="O532" t="n">
        <v>3</v>
      </c>
      <c r="P532" s="3" t="n">
        <v>682.79</v>
      </c>
      <c r="Q532" s="4" t="n">
        <v>0.03</v>
      </c>
      <c r="R532" s="3" t="n">
        <v>1986.92</v>
      </c>
      <c r="S532" s="3" t="n">
        <v>1256</v>
      </c>
      <c r="T532" s="3" t="n">
        <v>721.52</v>
      </c>
      <c r="U532" s="4" t="n">
        <v>0.3631</v>
      </c>
      <c r="V532" s="3" t="n">
        <v>9.4</v>
      </c>
      <c r="W532" t="inlineStr">
        <is>
          <t>Debit Card</t>
        </is>
      </c>
      <c r="X532" t="inlineStr">
        <is>
          <t>Medium</t>
        </is>
      </c>
      <c r="Y532" t="n">
        <v>2025</v>
      </c>
      <c r="Z532" t="n">
        <v>6</v>
      </c>
      <c r="AA532" t="inlineStr">
        <is>
          <t>Jun</t>
        </is>
      </c>
      <c r="AB532" t="inlineStr">
        <is>
          <t>Monday</t>
        </is>
      </c>
      <c r="AC532" t="n">
        <v>3</v>
      </c>
      <c r="AD532" t="inlineStr">
        <is>
          <t>Profitable</t>
        </is>
      </c>
      <c r="AE532" t="inlineStr">
        <is>
          <t>Medium</t>
        </is>
      </c>
      <c r="AF532" t="inlineStr">
        <is>
          <t>Large</t>
        </is>
      </c>
    </row>
    <row r="533">
      <c r="A533" t="inlineStr">
        <is>
          <t>ORD-00532</t>
        </is>
      </c>
      <c r="B533" s="2" t="n">
        <v>45902</v>
      </c>
      <c r="C533" s="2" t="n">
        <v>45904</v>
      </c>
      <c r="D533" t="inlineStr">
        <is>
          <t>CUST-00532</t>
        </is>
      </c>
      <c r="E533" t="inlineStr">
        <is>
          <t>Customer 532</t>
        </is>
      </c>
      <c r="F533" t="inlineStr">
        <is>
          <t>Consumer</t>
        </is>
      </c>
      <c r="G533" t="inlineStr">
        <is>
          <t>P1019</t>
        </is>
      </c>
      <c r="H533" t="inlineStr">
        <is>
          <t>Harbor Rug</t>
        </is>
      </c>
      <c r="I533" t="inlineStr">
        <is>
          <t>Office Supplies</t>
        </is>
      </c>
      <c r="J533" t="inlineStr">
        <is>
          <t>Binders</t>
        </is>
      </c>
      <c r="K533" t="inlineStr">
        <is>
          <t>West</t>
        </is>
      </c>
      <c r="L533" t="inlineStr">
        <is>
          <t>Oregon</t>
        </is>
      </c>
      <c r="M533" t="inlineStr">
        <is>
          <t>Los Angeles</t>
        </is>
      </c>
      <c r="N533" t="inlineStr">
        <is>
          <t>Ava Patel</t>
        </is>
      </c>
      <c r="O533" t="n">
        <v>3</v>
      </c>
      <c r="P533" s="3" t="n">
        <v>59.04</v>
      </c>
      <c r="Q533" s="4" t="n">
        <v>0.038</v>
      </c>
      <c r="R533" s="3" t="n">
        <v>170.39</v>
      </c>
      <c r="S533" s="3" t="n">
        <v>79.81</v>
      </c>
      <c r="T533" s="3" t="n">
        <v>81.18000000000001</v>
      </c>
      <c r="U533" s="4" t="n">
        <v>0.4764</v>
      </c>
      <c r="V533" s="3" t="n">
        <v>9.4</v>
      </c>
      <c r="W533" t="inlineStr">
        <is>
          <t>Debit Card</t>
        </is>
      </c>
      <c r="X533" t="inlineStr">
        <is>
          <t>High</t>
        </is>
      </c>
      <c r="Y533" t="n">
        <v>2025</v>
      </c>
      <c r="Z533" t="n">
        <v>9</v>
      </c>
      <c r="AA533" t="inlineStr">
        <is>
          <t>Sep</t>
        </is>
      </c>
      <c r="AB533" t="inlineStr">
        <is>
          <t>Tuesday</t>
        </is>
      </c>
      <c r="AC533" t="n">
        <v>2</v>
      </c>
      <c r="AD533" t="inlineStr">
        <is>
          <t>Profitable</t>
        </is>
      </c>
      <c r="AE533" t="inlineStr">
        <is>
          <t>Medium</t>
        </is>
      </c>
      <c r="AF533" t="inlineStr">
        <is>
          <t>Small</t>
        </is>
      </c>
    </row>
    <row r="534">
      <c r="A534" t="inlineStr">
        <is>
          <t>ORD-00533</t>
        </is>
      </c>
      <c r="B534" s="2" t="n">
        <v>45773</v>
      </c>
      <c r="C534" s="2" t="n">
        <v>45780</v>
      </c>
      <c r="D534" t="inlineStr">
        <is>
          <t>CUST-00533</t>
        </is>
      </c>
      <c r="E534" t="inlineStr">
        <is>
          <t>Customer 533</t>
        </is>
      </c>
      <c r="F534" t="inlineStr">
        <is>
          <t>Home Office</t>
        </is>
      </c>
      <c r="G534" t="inlineStr">
        <is>
          <t>P1020</t>
        </is>
      </c>
      <c r="H534" t="inlineStr">
        <is>
          <t>Trail Tote</t>
        </is>
      </c>
      <c r="I534" t="inlineStr">
        <is>
          <t>Furniture</t>
        </is>
      </c>
      <c r="J534" t="inlineStr">
        <is>
          <t>Peripherals</t>
        </is>
      </c>
      <c r="K534" t="inlineStr">
        <is>
          <t>East</t>
        </is>
      </c>
      <c r="L534" t="inlineStr">
        <is>
          <t>Massachusetts</t>
        </is>
      </c>
      <c r="M534" t="inlineStr">
        <is>
          <t>Boston</t>
        </is>
      </c>
      <c r="N534" t="inlineStr">
        <is>
          <t>James Carter</t>
        </is>
      </c>
      <c r="O534" t="n">
        <v>3</v>
      </c>
      <c r="P534" s="3" t="n">
        <v>72.98999999999999</v>
      </c>
      <c r="Q534" s="4" t="n">
        <v>0.004</v>
      </c>
      <c r="R534" s="3" t="n">
        <v>218.09</v>
      </c>
      <c r="S534" s="3" t="n">
        <v>109.12</v>
      </c>
      <c r="T534" s="3" t="n">
        <v>99.56999999999999</v>
      </c>
      <c r="U534" s="4" t="n">
        <v>0.4566</v>
      </c>
      <c r="V534" s="3" t="n">
        <v>9.4</v>
      </c>
      <c r="W534" t="inlineStr">
        <is>
          <t>Credit Card</t>
        </is>
      </c>
      <c r="X534" t="inlineStr">
        <is>
          <t>Low</t>
        </is>
      </c>
      <c r="Y534" t="n">
        <v>2025</v>
      </c>
      <c r="Z534" t="n">
        <v>4</v>
      </c>
      <c r="AA534" t="inlineStr">
        <is>
          <t>Apr</t>
        </is>
      </c>
      <c r="AB534" t="inlineStr">
        <is>
          <t>Saturday</t>
        </is>
      </c>
      <c r="AC534" t="n">
        <v>7</v>
      </c>
      <c r="AD534" t="inlineStr">
        <is>
          <t>Profitable</t>
        </is>
      </c>
      <c r="AE534" t="inlineStr">
        <is>
          <t>Low</t>
        </is>
      </c>
      <c r="AF534" t="inlineStr">
        <is>
          <t>Small</t>
        </is>
      </c>
    </row>
    <row r="535">
      <c r="A535" t="inlineStr">
        <is>
          <t>ORD-00534</t>
        </is>
      </c>
      <c r="B535" s="2" t="n">
        <v>45338</v>
      </c>
      <c r="C535" s="2" t="n">
        <v>45342</v>
      </c>
      <c r="D535" t="inlineStr">
        <is>
          <t>CUST-00534</t>
        </is>
      </c>
      <c r="E535" t="inlineStr">
        <is>
          <t>Customer 534</t>
        </is>
      </c>
      <c r="F535" t="inlineStr">
        <is>
          <t>Consumer</t>
        </is>
      </c>
      <c r="G535" t="inlineStr">
        <is>
          <t>P1013</t>
        </is>
      </c>
      <c r="H535" t="inlineStr">
        <is>
          <t>FlexNote Notebook</t>
        </is>
      </c>
      <c r="I535" t="inlineStr">
        <is>
          <t>Home Decor</t>
        </is>
      </c>
      <c r="J535" t="inlineStr">
        <is>
          <t>Peripherals</t>
        </is>
      </c>
      <c r="K535" t="inlineStr">
        <is>
          <t>Central</t>
        </is>
      </c>
      <c r="L535" t="inlineStr">
        <is>
          <t>Kansas</t>
        </is>
      </c>
      <c r="M535" t="inlineStr">
        <is>
          <t>Kansas City</t>
        </is>
      </c>
      <c r="N535" t="inlineStr">
        <is>
          <t>Liam Chen</t>
        </is>
      </c>
      <c r="O535" t="n">
        <v>2</v>
      </c>
      <c r="P535" s="3" t="n">
        <v>151.3</v>
      </c>
      <c r="Q535" s="4" t="n">
        <v>0.005</v>
      </c>
      <c r="R535" s="3" t="n">
        <v>301.09</v>
      </c>
      <c r="S535" s="3" t="n">
        <v>177.68</v>
      </c>
      <c r="T535" s="3" t="n">
        <v>115.81</v>
      </c>
      <c r="U535" s="4" t="n">
        <v>0.3846</v>
      </c>
      <c r="V535" s="3" t="n">
        <v>7.6</v>
      </c>
      <c r="W535" t="inlineStr">
        <is>
          <t>Credit Card</t>
        </is>
      </c>
      <c r="X535" t="inlineStr">
        <is>
          <t>Medium</t>
        </is>
      </c>
      <c r="Y535" t="n">
        <v>2024</v>
      </c>
      <c r="Z535" t="n">
        <v>2</v>
      </c>
      <c r="AA535" t="inlineStr">
        <is>
          <t>Feb</t>
        </is>
      </c>
      <c r="AB535" t="inlineStr">
        <is>
          <t>Friday</t>
        </is>
      </c>
      <c r="AC535" t="n">
        <v>4</v>
      </c>
      <c r="AD535" t="inlineStr">
        <is>
          <t>Profitable</t>
        </is>
      </c>
      <c r="AE535" t="inlineStr">
        <is>
          <t>Low</t>
        </is>
      </c>
      <c r="AF535" t="inlineStr">
        <is>
          <t>Small</t>
        </is>
      </c>
    </row>
    <row r="536">
      <c r="A536" t="inlineStr">
        <is>
          <t>ORD-00535</t>
        </is>
      </c>
      <c r="B536" s="2" t="n">
        <v>45979</v>
      </c>
      <c r="C536" s="2" t="n">
        <v>45981</v>
      </c>
      <c r="D536" t="inlineStr">
        <is>
          <t>CUST-00535</t>
        </is>
      </c>
      <c r="E536" t="inlineStr">
        <is>
          <t>Customer 535</t>
        </is>
      </c>
      <c r="F536" t="inlineStr">
        <is>
          <t>Consumer</t>
        </is>
      </c>
      <c r="G536" t="inlineStr">
        <is>
          <t>P1009</t>
        </is>
      </c>
      <c r="H536" t="inlineStr">
        <is>
          <t>ProClip Binder</t>
        </is>
      </c>
      <c r="I536" t="inlineStr">
        <is>
          <t>Furniture</t>
        </is>
      </c>
      <c r="J536" t="inlineStr">
        <is>
          <t>Accessories</t>
        </is>
      </c>
      <c r="K536" t="inlineStr">
        <is>
          <t>Central</t>
        </is>
      </c>
      <c r="L536" t="inlineStr">
        <is>
          <t>Illinois</t>
        </is>
      </c>
      <c r="M536" t="inlineStr">
        <is>
          <t>Kansas City</t>
        </is>
      </c>
      <c r="N536" t="inlineStr">
        <is>
          <t>Mia Rodriguez</t>
        </is>
      </c>
      <c r="O536" t="n">
        <v>3</v>
      </c>
      <c r="P536" s="3" t="n">
        <v>100.16</v>
      </c>
      <c r="Q536" s="4" t="n">
        <v>0.014</v>
      </c>
      <c r="R536" s="3" t="n">
        <v>296.27</v>
      </c>
      <c r="S536" s="3" t="n">
        <v>148.71</v>
      </c>
      <c r="T536" s="3" t="n">
        <v>139.16</v>
      </c>
      <c r="U536" s="4" t="n">
        <v>0.4697</v>
      </c>
      <c r="V536" s="3" t="n">
        <v>8.4</v>
      </c>
      <c r="W536" t="inlineStr">
        <is>
          <t>Credit Card</t>
        </is>
      </c>
      <c r="X536" t="inlineStr">
        <is>
          <t>Low</t>
        </is>
      </c>
      <c r="Y536" t="n">
        <v>2025</v>
      </c>
      <c r="Z536" t="n">
        <v>11</v>
      </c>
      <c r="AA536" t="inlineStr">
        <is>
          <t>Nov</t>
        </is>
      </c>
      <c r="AB536" t="inlineStr">
        <is>
          <t>Tuesday</t>
        </is>
      </c>
      <c r="AC536" t="n">
        <v>2</v>
      </c>
      <c r="AD536" t="inlineStr">
        <is>
          <t>Profitable</t>
        </is>
      </c>
      <c r="AE536" t="inlineStr">
        <is>
          <t>Low</t>
        </is>
      </c>
      <c r="AF536" t="inlineStr">
        <is>
          <t>Small</t>
        </is>
      </c>
    </row>
    <row r="537">
      <c r="A537" t="inlineStr">
        <is>
          <t>ORD-00536</t>
        </is>
      </c>
      <c r="B537" s="2" t="n">
        <v>45690</v>
      </c>
      <c r="C537" s="2" t="n">
        <v>45693</v>
      </c>
      <c r="D537" t="inlineStr">
        <is>
          <t>CUST-00536</t>
        </is>
      </c>
      <c r="E537" t="inlineStr">
        <is>
          <t>Customer 536</t>
        </is>
      </c>
      <c r="F537" t="inlineStr">
        <is>
          <t>Corporate</t>
        </is>
      </c>
      <c r="G537" t="inlineStr">
        <is>
          <t>P1002</t>
        </is>
      </c>
      <c r="H537" t="inlineStr">
        <is>
          <t>Cove Wall Clock</t>
        </is>
      </c>
      <c r="I537" t="inlineStr">
        <is>
          <t>Technology</t>
        </is>
      </c>
      <c r="J537" t="inlineStr">
        <is>
          <t>Accessories</t>
        </is>
      </c>
      <c r="K537" t="inlineStr">
        <is>
          <t>Central</t>
        </is>
      </c>
      <c r="L537" t="inlineStr">
        <is>
          <t>Missouri</t>
        </is>
      </c>
      <c r="M537" t="inlineStr">
        <is>
          <t>Kansas City</t>
        </is>
      </c>
      <c r="N537" t="inlineStr">
        <is>
          <t>Noah Kim</t>
        </is>
      </c>
      <c r="O537" t="n">
        <v>2</v>
      </c>
      <c r="P537" s="3" t="n">
        <v>75.5</v>
      </c>
      <c r="Q537" s="4" t="n">
        <v>0.03</v>
      </c>
      <c r="R537" s="3" t="n">
        <v>146.47</v>
      </c>
      <c r="S537" s="3" t="n">
        <v>75.64</v>
      </c>
      <c r="T537" s="3" t="n">
        <v>63.23</v>
      </c>
      <c r="U537" s="4" t="n">
        <v>0.4317</v>
      </c>
      <c r="V537" s="3" t="n">
        <v>7.6</v>
      </c>
      <c r="W537" t="inlineStr">
        <is>
          <t>Bank Transfer</t>
        </is>
      </c>
      <c r="X537" t="inlineStr">
        <is>
          <t>Medium</t>
        </is>
      </c>
      <c r="Y537" t="n">
        <v>2025</v>
      </c>
      <c r="Z537" t="n">
        <v>2</v>
      </c>
      <c r="AA537" t="inlineStr">
        <is>
          <t>Feb</t>
        </is>
      </c>
      <c r="AB537" t="inlineStr">
        <is>
          <t>Sunday</t>
        </is>
      </c>
      <c r="AC537" t="n">
        <v>3</v>
      </c>
      <c r="AD537" t="inlineStr">
        <is>
          <t>Profitable</t>
        </is>
      </c>
      <c r="AE537" t="inlineStr">
        <is>
          <t>Medium</t>
        </is>
      </c>
      <c r="AF537" t="inlineStr">
        <is>
          <t>Small</t>
        </is>
      </c>
    </row>
    <row r="538">
      <c r="A538" t="inlineStr">
        <is>
          <t>ORD-00537</t>
        </is>
      </c>
      <c r="B538" s="2" t="n">
        <v>45793</v>
      </c>
      <c r="C538" s="2" t="n">
        <v>45800</v>
      </c>
      <c r="D538" t="inlineStr">
        <is>
          <t>CUST-00537</t>
        </is>
      </c>
      <c r="E538" t="inlineStr">
        <is>
          <t>Customer 537</t>
        </is>
      </c>
      <c r="F538" t="inlineStr">
        <is>
          <t>Consumer</t>
        </is>
      </c>
      <c r="G538" t="inlineStr">
        <is>
          <t>P1020</t>
        </is>
      </c>
      <c r="H538" t="inlineStr">
        <is>
          <t>ProClip Binder</t>
        </is>
      </c>
      <c r="I538" t="inlineStr">
        <is>
          <t>Home Decor</t>
        </is>
      </c>
      <c r="J538" t="inlineStr">
        <is>
          <t>Paper</t>
        </is>
      </c>
      <c r="K538" t="inlineStr">
        <is>
          <t>West</t>
        </is>
      </c>
      <c r="L538" t="inlineStr">
        <is>
          <t>Washington</t>
        </is>
      </c>
      <c r="M538" t="inlineStr">
        <is>
          <t>Denver</t>
        </is>
      </c>
      <c r="N538" t="inlineStr">
        <is>
          <t>Ava Patel</t>
        </is>
      </c>
      <c r="O538" t="n">
        <v>3</v>
      </c>
      <c r="P538" s="3" t="n">
        <v>75.3</v>
      </c>
      <c r="Q538" s="4" t="n">
        <v>0.016</v>
      </c>
      <c r="R538" s="3" t="n">
        <v>222.29</v>
      </c>
      <c r="S538" s="3" t="n">
        <v>105.4</v>
      </c>
      <c r="T538" s="3" t="n">
        <v>107.49</v>
      </c>
      <c r="U538" s="4" t="n">
        <v>0.4836</v>
      </c>
      <c r="V538" s="3" t="n">
        <v>9.4</v>
      </c>
      <c r="W538" t="inlineStr">
        <is>
          <t>Credit Card</t>
        </is>
      </c>
      <c r="X538" t="inlineStr">
        <is>
          <t>High</t>
        </is>
      </c>
      <c r="Y538" t="n">
        <v>2025</v>
      </c>
      <c r="Z538" t="n">
        <v>5</v>
      </c>
      <c r="AA538" t="inlineStr">
        <is>
          <t>May</t>
        </is>
      </c>
      <c r="AB538" t="inlineStr">
        <is>
          <t>Friday</t>
        </is>
      </c>
      <c r="AC538" t="n">
        <v>7</v>
      </c>
      <c r="AD538" t="inlineStr">
        <is>
          <t>Profitable</t>
        </is>
      </c>
      <c r="AE538" t="inlineStr">
        <is>
          <t>Low</t>
        </is>
      </c>
      <c r="AF538" t="inlineStr">
        <is>
          <t>Small</t>
        </is>
      </c>
    </row>
    <row r="539">
      <c r="A539" t="inlineStr">
        <is>
          <t>ORD-00538</t>
        </is>
      </c>
      <c r="B539" s="2" t="n">
        <v>45231</v>
      </c>
      <c r="C539" s="2" t="n">
        <v>45233</v>
      </c>
      <c r="D539" t="inlineStr">
        <is>
          <t>CUST-00538</t>
        </is>
      </c>
      <c r="E539" t="inlineStr">
        <is>
          <t>Customer 538</t>
        </is>
      </c>
      <c r="F539" t="inlineStr">
        <is>
          <t>Corporate</t>
        </is>
      </c>
      <c r="G539" t="inlineStr">
        <is>
          <t>P1018</t>
        </is>
      </c>
      <c r="H539" t="inlineStr">
        <is>
          <t>Summit Patio Set</t>
        </is>
      </c>
      <c r="I539" t="inlineStr">
        <is>
          <t>Technology</t>
        </is>
      </c>
      <c r="J539" t="inlineStr">
        <is>
          <t>Writing</t>
        </is>
      </c>
      <c r="K539" t="inlineStr">
        <is>
          <t>South</t>
        </is>
      </c>
      <c r="L539" t="inlineStr">
        <is>
          <t>Texas</t>
        </is>
      </c>
      <c r="M539" t="inlineStr">
        <is>
          <t>Atlanta</t>
        </is>
      </c>
      <c r="N539" t="inlineStr">
        <is>
          <t>Noah Kim</t>
        </is>
      </c>
      <c r="O539" t="n">
        <v>5</v>
      </c>
      <c r="P539" s="3" t="n">
        <v>97.59999999999999</v>
      </c>
      <c r="Q539" s="4" t="n">
        <v>0.025</v>
      </c>
      <c r="R539" s="3" t="n">
        <v>475.8</v>
      </c>
      <c r="S539" s="3" t="n">
        <v>215.78</v>
      </c>
      <c r="T539" s="3" t="n">
        <v>250.02</v>
      </c>
      <c r="U539" s="4" t="n">
        <v>0.5255</v>
      </c>
      <c r="V539" s="3" t="n">
        <v>10</v>
      </c>
      <c r="W539" t="inlineStr">
        <is>
          <t>Bank Transfer</t>
        </is>
      </c>
      <c r="X539" t="inlineStr">
        <is>
          <t>Medium</t>
        </is>
      </c>
      <c r="Y539" t="n">
        <v>2023</v>
      </c>
      <c r="Z539" t="n">
        <v>11</v>
      </c>
      <c r="AA539" t="inlineStr">
        <is>
          <t>Nov</t>
        </is>
      </c>
      <c r="AB539" t="inlineStr">
        <is>
          <t>Wednesday</t>
        </is>
      </c>
      <c r="AC539" t="n">
        <v>2</v>
      </c>
      <c r="AD539" t="inlineStr">
        <is>
          <t>Profitable</t>
        </is>
      </c>
      <c r="AE539" t="inlineStr">
        <is>
          <t>Medium</t>
        </is>
      </c>
      <c r="AF539" t="inlineStr">
        <is>
          <t>Small</t>
        </is>
      </c>
    </row>
    <row r="540">
      <c r="A540" t="inlineStr">
        <is>
          <t>ORD-00539</t>
        </is>
      </c>
      <c r="B540" s="2" t="n">
        <v>45428</v>
      </c>
      <c r="C540" s="2" t="n">
        <v>45434</v>
      </c>
      <c r="D540" t="inlineStr">
        <is>
          <t>CUST-00539</t>
        </is>
      </c>
      <c r="E540" t="inlineStr">
        <is>
          <t>Customer 539</t>
        </is>
      </c>
      <c r="F540" t="inlineStr">
        <is>
          <t>Consumer</t>
        </is>
      </c>
      <c r="G540" t="inlineStr">
        <is>
          <t>P1020</t>
        </is>
      </c>
      <c r="H540" t="inlineStr">
        <is>
          <t>Nova Laptop Stand</t>
        </is>
      </c>
      <c r="I540" t="inlineStr">
        <is>
          <t>Home Decor</t>
        </is>
      </c>
      <c r="J540" t="inlineStr">
        <is>
          <t>Lighting</t>
        </is>
      </c>
      <c r="K540" t="inlineStr">
        <is>
          <t>East</t>
        </is>
      </c>
      <c r="L540" t="inlineStr">
        <is>
          <t>New Jersey</t>
        </is>
      </c>
      <c r="M540" t="inlineStr">
        <is>
          <t>Washington</t>
        </is>
      </c>
      <c r="N540" t="inlineStr">
        <is>
          <t>Noah Kim</t>
        </is>
      </c>
      <c r="O540" t="n">
        <v>3</v>
      </c>
      <c r="P540" s="3" t="n">
        <v>70.94</v>
      </c>
      <c r="Q540" s="4" t="n">
        <v>0.003</v>
      </c>
      <c r="R540" s="3" t="n">
        <v>212.18</v>
      </c>
      <c r="S540" s="3" t="n">
        <v>106.14</v>
      </c>
      <c r="T540" s="3" t="n">
        <v>96.64</v>
      </c>
      <c r="U540" s="4" t="n">
        <v>0.4555</v>
      </c>
      <c r="V540" s="3" t="n">
        <v>9.4</v>
      </c>
      <c r="W540" t="inlineStr">
        <is>
          <t>Bank Transfer</t>
        </is>
      </c>
      <c r="X540" t="inlineStr">
        <is>
          <t>Medium</t>
        </is>
      </c>
      <c r="Y540" t="n">
        <v>2024</v>
      </c>
      <c r="Z540" t="n">
        <v>5</v>
      </c>
      <c r="AA540" t="inlineStr">
        <is>
          <t>May</t>
        </is>
      </c>
      <c r="AB540" t="inlineStr">
        <is>
          <t>Thursday</t>
        </is>
      </c>
      <c r="AC540" t="n">
        <v>6</v>
      </c>
      <c r="AD540" t="inlineStr">
        <is>
          <t>Profitable</t>
        </is>
      </c>
      <c r="AE540" t="inlineStr">
        <is>
          <t>Low</t>
        </is>
      </c>
      <c r="AF540" t="inlineStr">
        <is>
          <t>Small</t>
        </is>
      </c>
    </row>
    <row r="541">
      <c r="A541" t="inlineStr">
        <is>
          <t>ORD-00540</t>
        </is>
      </c>
      <c r="B541" s="2" t="n">
        <v>45263</v>
      </c>
      <c r="C541" s="2" t="n">
        <v>45268</v>
      </c>
      <c r="D541" t="inlineStr">
        <is>
          <t>CUST-00540</t>
        </is>
      </c>
      <c r="E541" t="inlineStr">
        <is>
          <t>Customer 540</t>
        </is>
      </c>
      <c r="F541" t="inlineStr">
        <is>
          <t>Consumer</t>
        </is>
      </c>
      <c r="G541" t="inlineStr">
        <is>
          <t>P1017</t>
        </is>
      </c>
      <c r="H541" t="inlineStr">
        <is>
          <t>Aero Standing Desk</t>
        </is>
      </c>
      <c r="I541" t="inlineStr">
        <is>
          <t>Outdoor</t>
        </is>
      </c>
      <c r="J541" t="inlineStr">
        <is>
          <t>Peripherals</t>
        </is>
      </c>
      <c r="K541" t="inlineStr">
        <is>
          <t>West</t>
        </is>
      </c>
      <c r="L541" t="inlineStr">
        <is>
          <t>California</t>
        </is>
      </c>
      <c r="M541" t="inlineStr">
        <is>
          <t>Denver</t>
        </is>
      </c>
      <c r="N541" t="inlineStr">
        <is>
          <t>Sophia Singh</t>
        </is>
      </c>
      <c r="O541" t="n">
        <v>3</v>
      </c>
      <c r="P541" s="3" t="n">
        <v>616.95</v>
      </c>
      <c r="Q541" s="4" t="n">
        <v>0.021</v>
      </c>
      <c r="R541" s="3" t="n">
        <v>1811.98</v>
      </c>
      <c r="S541" s="3" t="n">
        <v>1206.68</v>
      </c>
      <c r="T541" s="3" t="n">
        <v>595.9</v>
      </c>
      <c r="U541" s="4" t="n">
        <v>0.3289</v>
      </c>
      <c r="V541" s="3" t="n">
        <v>9.4</v>
      </c>
      <c r="W541" t="inlineStr">
        <is>
          <t>PayPal</t>
        </is>
      </c>
      <c r="X541" t="inlineStr">
        <is>
          <t>High</t>
        </is>
      </c>
      <c r="Y541" t="n">
        <v>2023</v>
      </c>
      <c r="Z541" t="n">
        <v>12</v>
      </c>
      <c r="AA541" t="inlineStr">
        <is>
          <t>Dec</t>
        </is>
      </c>
      <c r="AB541" t="inlineStr">
        <is>
          <t>Sunday</t>
        </is>
      </c>
      <c r="AC541" t="n">
        <v>5</v>
      </c>
      <c r="AD541" t="inlineStr">
        <is>
          <t>Profitable</t>
        </is>
      </c>
      <c r="AE541" t="inlineStr">
        <is>
          <t>Medium</t>
        </is>
      </c>
      <c r="AF541" t="inlineStr">
        <is>
          <t>Large</t>
        </is>
      </c>
    </row>
    <row r="542">
      <c r="A542" t="inlineStr">
        <is>
          <t>ORD-00541</t>
        </is>
      </c>
      <c r="B542" s="2" t="n">
        <v>46006</v>
      </c>
      <c r="C542" s="2" t="n">
        <v>46011</v>
      </c>
      <c r="D542" t="inlineStr">
        <is>
          <t>CUST-00541</t>
        </is>
      </c>
      <c r="E542" t="inlineStr">
        <is>
          <t>Customer 541</t>
        </is>
      </c>
      <c r="F542" t="inlineStr">
        <is>
          <t>Consumer</t>
        </is>
      </c>
      <c r="G542" t="inlineStr">
        <is>
          <t>P1007</t>
        </is>
      </c>
      <c r="H542" t="inlineStr">
        <is>
          <t>Halo Planter</t>
        </is>
      </c>
      <c r="I542" t="inlineStr">
        <is>
          <t>Home Decor</t>
        </is>
      </c>
      <c r="J542" t="inlineStr">
        <is>
          <t>Peripherals</t>
        </is>
      </c>
      <c r="K542" t="inlineStr">
        <is>
          <t>West</t>
        </is>
      </c>
      <c r="L542" t="inlineStr">
        <is>
          <t>Washington</t>
        </is>
      </c>
      <c r="M542" t="inlineStr">
        <is>
          <t>Seattle</t>
        </is>
      </c>
      <c r="N542" t="inlineStr">
        <is>
          <t>Mia Rodriguez</t>
        </is>
      </c>
      <c r="O542" t="n">
        <v>4</v>
      </c>
      <c r="P542" s="3" t="n">
        <v>27.18</v>
      </c>
      <c r="Q542" s="4" t="n">
        <v>0.035</v>
      </c>
      <c r="R542" s="3" t="n">
        <v>104.91</v>
      </c>
      <c r="S542" s="3" t="n">
        <v>41.95</v>
      </c>
      <c r="T542" s="3" t="n">
        <v>52.76</v>
      </c>
      <c r="U542" s="4" t="n">
        <v>0.5029</v>
      </c>
      <c r="V542" s="3" t="n">
        <v>10.2</v>
      </c>
      <c r="W542" t="inlineStr">
        <is>
          <t>PayPal</t>
        </is>
      </c>
      <c r="X542" t="inlineStr">
        <is>
          <t>Medium</t>
        </is>
      </c>
      <c r="Y542" t="n">
        <v>2025</v>
      </c>
      <c r="Z542" t="n">
        <v>12</v>
      </c>
      <c r="AA542" t="inlineStr">
        <is>
          <t>Dec</t>
        </is>
      </c>
      <c r="AB542" t="inlineStr">
        <is>
          <t>Monday</t>
        </is>
      </c>
      <c r="AC542" t="n">
        <v>5</v>
      </c>
      <c r="AD542" t="inlineStr">
        <is>
          <t>Profitable</t>
        </is>
      </c>
      <c r="AE542" t="inlineStr">
        <is>
          <t>Medium</t>
        </is>
      </c>
      <c r="AF542" t="inlineStr">
        <is>
          <t>Small</t>
        </is>
      </c>
    </row>
    <row r="543">
      <c r="A543" t="inlineStr">
        <is>
          <t>ORD-00542</t>
        </is>
      </c>
      <c r="B543" s="2" t="n">
        <v>45423</v>
      </c>
      <c r="C543" s="2" t="n">
        <v>45425</v>
      </c>
      <c r="D543" t="inlineStr">
        <is>
          <t>CUST-00542</t>
        </is>
      </c>
      <c r="E543" t="inlineStr">
        <is>
          <t>Customer 542</t>
        </is>
      </c>
      <c r="F543" t="inlineStr">
        <is>
          <t>Consumer</t>
        </is>
      </c>
      <c r="G543" t="inlineStr">
        <is>
          <t>P1017</t>
        </is>
      </c>
      <c r="H543" t="inlineStr">
        <is>
          <t>Tide Cooler</t>
        </is>
      </c>
      <c r="I543" t="inlineStr">
        <is>
          <t>Furniture</t>
        </is>
      </c>
      <c r="J543" t="inlineStr">
        <is>
          <t>Binders</t>
        </is>
      </c>
      <c r="K543" t="inlineStr">
        <is>
          <t>East</t>
        </is>
      </c>
      <c r="L543" t="inlineStr">
        <is>
          <t>New Jersey</t>
        </is>
      </c>
      <c r="M543" t="inlineStr">
        <is>
          <t>Washington</t>
        </is>
      </c>
      <c r="N543" t="inlineStr">
        <is>
          <t>James Carter</t>
        </is>
      </c>
      <c r="O543" t="n">
        <v>3</v>
      </c>
      <c r="P543" s="3" t="n">
        <v>547.73</v>
      </c>
      <c r="Q543" s="4" t="n">
        <v>0.023</v>
      </c>
      <c r="R543" s="3" t="n">
        <v>1605.4</v>
      </c>
      <c r="S543" s="3" t="n">
        <v>1065.91</v>
      </c>
      <c r="T543" s="3" t="n">
        <v>530.09</v>
      </c>
      <c r="U543" s="4" t="n">
        <v>0.3302</v>
      </c>
      <c r="V543" s="3" t="n">
        <v>9.4</v>
      </c>
      <c r="W543" t="inlineStr">
        <is>
          <t>Cash on Delivery</t>
        </is>
      </c>
      <c r="X543" t="inlineStr">
        <is>
          <t>High</t>
        </is>
      </c>
      <c r="Y543" t="n">
        <v>2024</v>
      </c>
      <c r="Z543" t="n">
        <v>5</v>
      </c>
      <c r="AA543" t="inlineStr">
        <is>
          <t>May</t>
        </is>
      </c>
      <c r="AB543" t="inlineStr">
        <is>
          <t>Saturday</t>
        </is>
      </c>
      <c r="AC543" t="n">
        <v>2</v>
      </c>
      <c r="AD543" t="inlineStr">
        <is>
          <t>Profitable</t>
        </is>
      </c>
      <c r="AE543" t="inlineStr">
        <is>
          <t>Medium</t>
        </is>
      </c>
      <c r="AF543" t="inlineStr">
        <is>
          <t>Large</t>
        </is>
      </c>
    </row>
    <row r="544">
      <c r="A544" t="inlineStr">
        <is>
          <t>ORD-00543</t>
        </is>
      </c>
      <c r="B544" s="2" t="n">
        <v>44936</v>
      </c>
      <c r="C544" s="2" t="n">
        <v>44941</v>
      </c>
      <c r="D544" t="inlineStr">
        <is>
          <t>CUST-00543</t>
        </is>
      </c>
      <c r="E544" t="inlineStr">
        <is>
          <t>Customer 543</t>
        </is>
      </c>
      <c r="F544" t="inlineStr">
        <is>
          <t>Corporate</t>
        </is>
      </c>
      <c r="G544" t="inlineStr">
        <is>
          <t>P1010</t>
        </is>
      </c>
      <c r="H544" t="inlineStr">
        <is>
          <t>Halo Planter</t>
        </is>
      </c>
      <c r="I544" t="inlineStr">
        <is>
          <t>Office Supplies</t>
        </is>
      </c>
      <c r="J544" t="inlineStr">
        <is>
          <t>Lighting</t>
        </is>
      </c>
      <c r="K544" t="inlineStr">
        <is>
          <t>East</t>
        </is>
      </c>
      <c r="L544" t="inlineStr">
        <is>
          <t>New York</t>
        </is>
      </c>
      <c r="M544" t="inlineStr">
        <is>
          <t>New York</t>
        </is>
      </c>
      <c r="N544" t="inlineStr">
        <is>
          <t>Mia Rodriguez</t>
        </is>
      </c>
      <c r="O544" t="n">
        <v>1</v>
      </c>
      <c r="P544" s="3" t="n">
        <v>57.49</v>
      </c>
      <c r="Q544" s="4" t="n">
        <v>0.07099999999999999</v>
      </c>
      <c r="R544" s="3" t="n">
        <v>53.41</v>
      </c>
      <c r="S544" s="3" t="n">
        <v>28.2</v>
      </c>
      <c r="T544" s="3" t="n">
        <v>17.41</v>
      </c>
      <c r="U544" s="4" t="n">
        <v>0.326</v>
      </c>
      <c r="V544" s="3" t="n">
        <v>7.8</v>
      </c>
      <c r="W544" t="inlineStr">
        <is>
          <t>PayPal</t>
        </is>
      </c>
      <c r="X544" t="inlineStr">
        <is>
          <t>Critical</t>
        </is>
      </c>
      <c r="Y544" t="n">
        <v>2023</v>
      </c>
      <c r="Z544" t="n">
        <v>1</v>
      </c>
      <c r="AA544" t="inlineStr">
        <is>
          <t>Jan</t>
        </is>
      </c>
      <c r="AB544" t="inlineStr">
        <is>
          <t>Tuesday</t>
        </is>
      </c>
      <c r="AC544" t="n">
        <v>5</v>
      </c>
      <c r="AD544" t="inlineStr">
        <is>
          <t>Profitable</t>
        </is>
      </c>
      <c r="AE544" t="inlineStr">
        <is>
          <t>High</t>
        </is>
      </c>
      <c r="AF544" t="inlineStr">
        <is>
          <t>Small</t>
        </is>
      </c>
    </row>
    <row r="545">
      <c r="A545" t="inlineStr">
        <is>
          <t>ORD-00544</t>
        </is>
      </c>
      <c r="B545" s="2" t="n">
        <v>45947</v>
      </c>
      <c r="C545" s="2" t="n">
        <v>45951</v>
      </c>
      <c r="D545" t="inlineStr">
        <is>
          <t>CUST-00544</t>
        </is>
      </c>
      <c r="E545" t="inlineStr">
        <is>
          <t>Customer 544</t>
        </is>
      </c>
      <c r="F545" t="inlineStr">
        <is>
          <t>Corporate</t>
        </is>
      </c>
      <c r="G545" t="inlineStr">
        <is>
          <t>P1014</t>
        </is>
      </c>
      <c r="H545" t="inlineStr">
        <is>
          <t>Tide Cooler</t>
        </is>
      </c>
      <c r="I545" t="inlineStr">
        <is>
          <t>Technology</t>
        </is>
      </c>
      <c r="J545" t="inlineStr">
        <is>
          <t>Writing</t>
        </is>
      </c>
      <c r="K545" t="inlineStr">
        <is>
          <t>Central</t>
        </is>
      </c>
      <c r="L545" t="inlineStr">
        <is>
          <t>Missouri</t>
        </is>
      </c>
      <c r="M545" t="inlineStr">
        <is>
          <t>Minneapolis</t>
        </is>
      </c>
      <c r="N545" t="inlineStr">
        <is>
          <t>Olivia Martin</t>
        </is>
      </c>
      <c r="O545" t="n">
        <v>3</v>
      </c>
      <c r="P545" s="3" t="n">
        <v>43.72</v>
      </c>
      <c r="Q545" s="4" t="n">
        <v>0.041</v>
      </c>
      <c r="R545" s="3" t="n">
        <v>125.78</v>
      </c>
      <c r="S545" s="3" t="n">
        <v>60.16</v>
      </c>
      <c r="T545" s="3" t="n">
        <v>57.22</v>
      </c>
      <c r="U545" s="4" t="n">
        <v>0.4549</v>
      </c>
      <c r="V545" s="3" t="n">
        <v>8.4</v>
      </c>
      <c r="W545" t="inlineStr">
        <is>
          <t>PayPal</t>
        </is>
      </c>
      <c r="X545" t="inlineStr">
        <is>
          <t>High</t>
        </is>
      </c>
      <c r="Y545" t="n">
        <v>2025</v>
      </c>
      <c r="Z545" t="n">
        <v>10</v>
      </c>
      <c r="AA545" t="inlineStr">
        <is>
          <t>Oct</t>
        </is>
      </c>
      <c r="AB545" t="inlineStr">
        <is>
          <t>Friday</t>
        </is>
      </c>
      <c r="AC545" t="n">
        <v>4</v>
      </c>
      <c r="AD545" t="inlineStr">
        <is>
          <t>Profitable</t>
        </is>
      </c>
      <c r="AE545" t="inlineStr">
        <is>
          <t>Medium</t>
        </is>
      </c>
      <c r="AF545" t="inlineStr">
        <is>
          <t>Small</t>
        </is>
      </c>
    </row>
    <row r="546">
      <c r="A546" t="inlineStr">
        <is>
          <t>ORD-00545</t>
        </is>
      </c>
      <c r="B546" s="2" t="n">
        <v>45477</v>
      </c>
      <c r="C546" s="2" t="n">
        <v>45478</v>
      </c>
      <c r="D546" t="inlineStr">
        <is>
          <t>CUST-00545</t>
        </is>
      </c>
      <c r="E546" t="inlineStr">
        <is>
          <t>Customer 545</t>
        </is>
      </c>
      <c r="F546" t="inlineStr">
        <is>
          <t>Corporate</t>
        </is>
      </c>
      <c r="G546" t="inlineStr">
        <is>
          <t>P1012</t>
        </is>
      </c>
      <c r="H546" t="inlineStr">
        <is>
          <t>SmartInk Pen Set</t>
        </is>
      </c>
      <c r="I546" t="inlineStr">
        <is>
          <t>Furniture</t>
        </is>
      </c>
      <c r="J546" t="inlineStr">
        <is>
          <t>Textiles</t>
        </is>
      </c>
      <c r="K546" t="inlineStr">
        <is>
          <t>North</t>
        </is>
      </c>
      <c r="L546" t="inlineStr">
        <is>
          <t>Quebec</t>
        </is>
      </c>
      <c r="M546" t="inlineStr">
        <is>
          <t>Calgary</t>
        </is>
      </c>
      <c r="N546" t="inlineStr">
        <is>
          <t>Sophia Singh</t>
        </is>
      </c>
      <c r="O546" t="n">
        <v>3</v>
      </c>
      <c r="P546" s="3" t="n">
        <v>136.29</v>
      </c>
      <c r="Q546" s="4" t="n">
        <v>0.024</v>
      </c>
      <c r="R546" s="3" t="n">
        <v>399.06</v>
      </c>
      <c r="S546" s="3" t="n">
        <v>200.24</v>
      </c>
      <c r="T546" s="3" t="n">
        <v>190.42</v>
      </c>
      <c r="U546" s="4" t="n">
        <v>0.4772</v>
      </c>
      <c r="V546" s="3" t="n">
        <v>8.4</v>
      </c>
      <c r="W546" t="inlineStr">
        <is>
          <t>Debit Card</t>
        </is>
      </c>
      <c r="X546" t="inlineStr">
        <is>
          <t>High</t>
        </is>
      </c>
      <c r="Y546" t="n">
        <v>2024</v>
      </c>
      <c r="Z546" t="n">
        <v>7</v>
      </c>
      <c r="AA546" t="inlineStr">
        <is>
          <t>Jul</t>
        </is>
      </c>
      <c r="AB546" t="inlineStr">
        <is>
          <t>Thursday</t>
        </is>
      </c>
      <c r="AC546" t="n">
        <v>1</v>
      </c>
      <c r="AD546" t="inlineStr">
        <is>
          <t>Profitable</t>
        </is>
      </c>
      <c r="AE546" t="inlineStr">
        <is>
          <t>Medium</t>
        </is>
      </c>
      <c r="AF546" t="inlineStr">
        <is>
          <t>Small</t>
        </is>
      </c>
    </row>
    <row r="547">
      <c r="A547" t="inlineStr">
        <is>
          <t>ORD-00546</t>
        </is>
      </c>
      <c r="B547" s="2" t="n">
        <v>45339</v>
      </c>
      <c r="C547" s="2" t="n">
        <v>45341</v>
      </c>
      <c r="D547" t="inlineStr">
        <is>
          <t>CUST-00546</t>
        </is>
      </c>
      <c r="E547" t="inlineStr">
        <is>
          <t>Customer 546</t>
        </is>
      </c>
      <c r="F547" t="inlineStr">
        <is>
          <t>Home Office</t>
        </is>
      </c>
      <c r="G547" t="inlineStr">
        <is>
          <t>P1012</t>
        </is>
      </c>
      <c r="H547" t="inlineStr">
        <is>
          <t>Halo Planter</t>
        </is>
      </c>
      <c r="I547" t="inlineStr">
        <is>
          <t>Office Supplies</t>
        </is>
      </c>
      <c r="J547" t="inlineStr">
        <is>
          <t>Video</t>
        </is>
      </c>
      <c r="K547" t="inlineStr">
        <is>
          <t>West</t>
        </is>
      </c>
      <c r="L547" t="inlineStr">
        <is>
          <t>Colorado</t>
        </is>
      </c>
      <c r="M547" t="inlineStr">
        <is>
          <t>Seattle</t>
        </is>
      </c>
      <c r="N547" t="inlineStr">
        <is>
          <t>James Carter</t>
        </is>
      </c>
      <c r="O547" t="n">
        <v>5</v>
      </c>
      <c r="P547" s="3" t="n">
        <v>131.52</v>
      </c>
      <c r="Q547" s="4" t="n">
        <v>0.014</v>
      </c>
      <c r="R547" s="3" t="n">
        <v>648.39</v>
      </c>
      <c r="S547" s="3" t="n">
        <v>329.03</v>
      </c>
      <c r="T547" s="3" t="n">
        <v>308.36</v>
      </c>
      <c r="U547" s="4" t="n">
        <v>0.4756</v>
      </c>
      <c r="V547" s="3" t="n">
        <v>11</v>
      </c>
      <c r="W547" t="inlineStr">
        <is>
          <t>Bank Transfer</t>
        </is>
      </c>
      <c r="X547" t="inlineStr">
        <is>
          <t>Low</t>
        </is>
      </c>
      <c r="Y547" t="n">
        <v>2024</v>
      </c>
      <c r="Z547" t="n">
        <v>2</v>
      </c>
      <c r="AA547" t="inlineStr">
        <is>
          <t>Feb</t>
        </is>
      </c>
      <c r="AB547" t="inlineStr">
        <is>
          <t>Saturday</t>
        </is>
      </c>
      <c r="AC547" t="n">
        <v>2</v>
      </c>
      <c r="AD547" t="inlineStr">
        <is>
          <t>Profitable</t>
        </is>
      </c>
      <c r="AE547" t="inlineStr">
        <is>
          <t>Low</t>
        </is>
      </c>
      <c r="AF547" t="inlineStr">
        <is>
          <t>Medium</t>
        </is>
      </c>
    </row>
    <row r="548">
      <c r="A548" t="inlineStr">
        <is>
          <t>ORD-00547</t>
        </is>
      </c>
      <c r="B548" s="2" t="n">
        <v>45203</v>
      </c>
      <c r="C548" s="2" t="n">
        <v>45207</v>
      </c>
      <c r="D548" t="inlineStr">
        <is>
          <t>CUST-00547</t>
        </is>
      </c>
      <c r="E548" t="inlineStr">
        <is>
          <t>Customer 547</t>
        </is>
      </c>
      <c r="F548" t="inlineStr">
        <is>
          <t>Consumer</t>
        </is>
      </c>
      <c r="G548" t="inlineStr">
        <is>
          <t>P1017</t>
        </is>
      </c>
      <c r="H548" t="inlineStr">
        <is>
          <t>FlexNote Notebook</t>
        </is>
      </c>
      <c r="I548" t="inlineStr">
        <is>
          <t>Technology</t>
        </is>
      </c>
      <c r="J548" t="inlineStr">
        <is>
          <t>Coolers</t>
        </is>
      </c>
      <c r="K548" t="inlineStr">
        <is>
          <t>East</t>
        </is>
      </c>
      <c r="L548" t="inlineStr">
        <is>
          <t>New York</t>
        </is>
      </c>
      <c r="M548" t="inlineStr">
        <is>
          <t>New York</t>
        </is>
      </c>
      <c r="N548" t="inlineStr">
        <is>
          <t>Noah Kim</t>
        </is>
      </c>
      <c r="O548" t="n">
        <v>1</v>
      </c>
      <c r="P548" s="3" t="n">
        <v>612.74</v>
      </c>
      <c r="Q548" s="4" t="n">
        <v>0.017</v>
      </c>
      <c r="R548" s="3" t="n">
        <v>602.3200000000001</v>
      </c>
      <c r="S548" s="3" t="n">
        <v>402.69</v>
      </c>
      <c r="T548" s="3" t="n">
        <v>191.83</v>
      </c>
      <c r="U548" s="4" t="n">
        <v>0.3185</v>
      </c>
      <c r="V548" s="3" t="n">
        <v>7.8</v>
      </c>
      <c r="W548" t="inlineStr">
        <is>
          <t>Credit Card</t>
        </is>
      </c>
      <c r="X548" t="inlineStr">
        <is>
          <t>Medium</t>
        </is>
      </c>
      <c r="Y548" t="n">
        <v>2023</v>
      </c>
      <c r="Z548" t="n">
        <v>10</v>
      </c>
      <c r="AA548" t="inlineStr">
        <is>
          <t>Oct</t>
        </is>
      </c>
      <c r="AB548" t="inlineStr">
        <is>
          <t>Wednesday</t>
        </is>
      </c>
      <c r="AC548" t="n">
        <v>4</v>
      </c>
      <c r="AD548" t="inlineStr">
        <is>
          <t>Profitable</t>
        </is>
      </c>
      <c r="AE548" t="inlineStr">
        <is>
          <t>Low</t>
        </is>
      </c>
      <c r="AF548" t="inlineStr">
        <is>
          <t>Medium</t>
        </is>
      </c>
    </row>
    <row r="549">
      <c r="A549" t="inlineStr">
        <is>
          <t>ORD-00548</t>
        </is>
      </c>
      <c r="B549" s="2" t="n">
        <v>45676</v>
      </c>
      <c r="C549" s="2" t="n">
        <v>45682</v>
      </c>
      <c r="D549" t="inlineStr">
        <is>
          <t>CUST-00548</t>
        </is>
      </c>
      <c r="E549" t="inlineStr">
        <is>
          <t>Customer 548</t>
        </is>
      </c>
      <c r="F549" t="inlineStr">
        <is>
          <t>Consumer</t>
        </is>
      </c>
      <c r="G549" t="inlineStr">
        <is>
          <t>P1019</t>
        </is>
      </c>
      <c r="H549" t="inlineStr">
        <is>
          <t>Pulse Keyboard</t>
        </is>
      </c>
      <c r="I549" t="inlineStr">
        <is>
          <t>Furniture</t>
        </is>
      </c>
      <c r="J549" t="inlineStr">
        <is>
          <t>Decor</t>
        </is>
      </c>
      <c r="K549" t="inlineStr">
        <is>
          <t>North</t>
        </is>
      </c>
      <c r="L549" t="inlineStr">
        <is>
          <t>Quebec</t>
        </is>
      </c>
      <c r="M549" t="inlineStr">
        <is>
          <t>Montreal</t>
        </is>
      </c>
      <c r="N549" t="inlineStr">
        <is>
          <t>Mia Rodriguez</t>
        </is>
      </c>
      <c r="O549" t="n">
        <v>3</v>
      </c>
      <c r="P549" s="3" t="n">
        <v>54.52</v>
      </c>
      <c r="Q549" s="4" t="n">
        <v>0.039</v>
      </c>
      <c r="R549" s="3" t="n">
        <v>157.18</v>
      </c>
      <c r="S549" s="3" t="n">
        <v>67.68000000000001</v>
      </c>
      <c r="T549" s="3" t="n">
        <v>81.09999999999999</v>
      </c>
      <c r="U549" s="4" t="n">
        <v>0.516</v>
      </c>
      <c r="V549" s="3" t="n">
        <v>8.4</v>
      </c>
      <c r="W549" t="inlineStr">
        <is>
          <t>Credit Card</t>
        </is>
      </c>
      <c r="X549" t="inlineStr">
        <is>
          <t>Critical</t>
        </is>
      </c>
      <c r="Y549" t="n">
        <v>2025</v>
      </c>
      <c r="Z549" t="n">
        <v>1</v>
      </c>
      <c r="AA549" t="inlineStr">
        <is>
          <t>Jan</t>
        </is>
      </c>
      <c r="AB549" t="inlineStr">
        <is>
          <t>Sunday</t>
        </is>
      </c>
      <c r="AC549" t="n">
        <v>6</v>
      </c>
      <c r="AD549" t="inlineStr">
        <is>
          <t>Profitable</t>
        </is>
      </c>
      <c r="AE549" t="inlineStr">
        <is>
          <t>Medium</t>
        </is>
      </c>
      <c r="AF549" t="inlineStr">
        <is>
          <t>Small</t>
        </is>
      </c>
    </row>
    <row r="550">
      <c r="A550" t="inlineStr">
        <is>
          <t>ORD-00549</t>
        </is>
      </c>
      <c r="B550" s="2" t="n">
        <v>45621</v>
      </c>
      <c r="C550" s="2" t="n">
        <v>45625</v>
      </c>
      <c r="D550" t="inlineStr">
        <is>
          <t>CUST-00549</t>
        </is>
      </c>
      <c r="E550" t="inlineStr">
        <is>
          <t>Customer 549</t>
        </is>
      </c>
      <c r="F550" t="inlineStr">
        <is>
          <t>Corporate</t>
        </is>
      </c>
      <c r="G550" t="inlineStr">
        <is>
          <t>P1014</t>
        </is>
      </c>
      <c r="H550" t="inlineStr">
        <is>
          <t>Cove Wall Clock</t>
        </is>
      </c>
      <c r="I550" t="inlineStr">
        <is>
          <t>Outdoor</t>
        </is>
      </c>
      <c r="J550" t="inlineStr">
        <is>
          <t>Textiles</t>
        </is>
      </c>
      <c r="K550" t="inlineStr">
        <is>
          <t>North</t>
        </is>
      </c>
      <c r="L550" t="inlineStr">
        <is>
          <t>Alberta</t>
        </is>
      </c>
      <c r="M550" t="inlineStr">
        <is>
          <t>Toronto</t>
        </is>
      </c>
      <c r="N550" t="inlineStr">
        <is>
          <t>Noah Kim</t>
        </is>
      </c>
      <c r="O550" t="n">
        <v>3</v>
      </c>
      <c r="P550" s="3" t="n">
        <v>45.23</v>
      </c>
      <c r="Q550" s="4" t="n">
        <v>0.029</v>
      </c>
      <c r="R550" s="3" t="n">
        <v>131.75</v>
      </c>
      <c r="S550" s="3" t="n">
        <v>56.48</v>
      </c>
      <c r="T550" s="3" t="n">
        <v>66.87</v>
      </c>
      <c r="U550" s="4" t="n">
        <v>0.5076000000000001</v>
      </c>
      <c r="V550" s="3" t="n">
        <v>8.4</v>
      </c>
      <c r="W550" t="inlineStr">
        <is>
          <t>Credit Card</t>
        </is>
      </c>
      <c r="X550" t="inlineStr">
        <is>
          <t>Medium</t>
        </is>
      </c>
      <c r="Y550" t="n">
        <v>2024</v>
      </c>
      <c r="Z550" t="n">
        <v>11</v>
      </c>
      <c r="AA550" t="inlineStr">
        <is>
          <t>Nov</t>
        </is>
      </c>
      <c r="AB550" t="inlineStr">
        <is>
          <t>Monday</t>
        </is>
      </c>
      <c r="AC550" t="n">
        <v>4</v>
      </c>
      <c r="AD550" t="inlineStr">
        <is>
          <t>Profitable</t>
        </is>
      </c>
      <c r="AE550" t="inlineStr">
        <is>
          <t>Medium</t>
        </is>
      </c>
      <c r="AF550" t="inlineStr">
        <is>
          <t>Small</t>
        </is>
      </c>
    </row>
    <row r="551">
      <c r="A551" t="inlineStr">
        <is>
          <t>ORD-00550</t>
        </is>
      </c>
      <c r="B551" s="2" t="n">
        <v>45717</v>
      </c>
      <c r="C551" s="2" t="n">
        <v>45721</v>
      </c>
      <c r="D551" t="inlineStr">
        <is>
          <t>CUST-00550</t>
        </is>
      </c>
      <c r="E551" t="inlineStr">
        <is>
          <t>Customer 550</t>
        </is>
      </c>
      <c r="F551" t="inlineStr">
        <is>
          <t>Corporate</t>
        </is>
      </c>
      <c r="G551" t="inlineStr">
        <is>
          <t>P1017</t>
        </is>
      </c>
      <c r="H551" t="inlineStr">
        <is>
          <t>CloudDrive File Box</t>
        </is>
      </c>
      <c r="I551" t="inlineStr">
        <is>
          <t>Furniture</t>
        </is>
      </c>
      <c r="J551" t="inlineStr">
        <is>
          <t>Binders</t>
        </is>
      </c>
      <c r="K551" t="inlineStr">
        <is>
          <t>South</t>
        </is>
      </c>
      <c r="L551" t="inlineStr">
        <is>
          <t>North Carolina</t>
        </is>
      </c>
      <c r="M551" t="inlineStr">
        <is>
          <t>Dallas</t>
        </is>
      </c>
      <c r="N551" t="inlineStr">
        <is>
          <t>Olivia Martin</t>
        </is>
      </c>
      <c r="O551" t="n">
        <v>3</v>
      </c>
      <c r="P551" s="3" t="n">
        <v>524.17</v>
      </c>
      <c r="Q551" s="4" t="n">
        <v>0.011</v>
      </c>
      <c r="R551" s="3" t="n">
        <v>1555.21</v>
      </c>
      <c r="S551" s="3" t="n">
        <v>1037.78</v>
      </c>
      <c r="T551" s="3" t="n">
        <v>509.03</v>
      </c>
      <c r="U551" s="4" t="n">
        <v>0.3273</v>
      </c>
      <c r="V551" s="3" t="n">
        <v>8.4</v>
      </c>
      <c r="W551" t="inlineStr">
        <is>
          <t>Debit Card</t>
        </is>
      </c>
      <c r="X551" t="inlineStr">
        <is>
          <t>Low</t>
        </is>
      </c>
      <c r="Y551" t="n">
        <v>2025</v>
      </c>
      <c r="Z551" t="n">
        <v>3</v>
      </c>
      <c r="AA551" t="inlineStr">
        <is>
          <t>Mar</t>
        </is>
      </c>
      <c r="AB551" t="inlineStr">
        <is>
          <t>Saturday</t>
        </is>
      </c>
      <c r="AC551" t="n">
        <v>4</v>
      </c>
      <c r="AD551" t="inlineStr">
        <is>
          <t>Profitable</t>
        </is>
      </c>
      <c r="AE551" t="inlineStr">
        <is>
          <t>Low</t>
        </is>
      </c>
      <c r="AF551" t="inlineStr">
        <is>
          <t>Large</t>
        </is>
      </c>
    </row>
    <row r="552">
      <c r="A552" t="inlineStr">
        <is>
          <t>ORD-00551</t>
        </is>
      </c>
      <c r="B552" s="2" t="n">
        <v>45365</v>
      </c>
      <c r="C552" s="2" t="n">
        <v>45371</v>
      </c>
      <c r="D552" t="inlineStr">
        <is>
          <t>CUST-00551</t>
        </is>
      </c>
      <c r="E552" t="inlineStr">
        <is>
          <t>Customer 551</t>
        </is>
      </c>
      <c r="F552" t="inlineStr">
        <is>
          <t>Consumer</t>
        </is>
      </c>
      <c r="G552" t="inlineStr">
        <is>
          <t>P1015</t>
        </is>
      </c>
      <c r="H552" t="inlineStr">
        <is>
          <t>Aero Standing Desk</t>
        </is>
      </c>
      <c r="I552" t="inlineStr">
        <is>
          <t>Office Supplies</t>
        </is>
      </c>
      <c r="J552" t="inlineStr">
        <is>
          <t>Chairs</t>
        </is>
      </c>
      <c r="K552" t="inlineStr">
        <is>
          <t>West</t>
        </is>
      </c>
      <c r="L552" t="inlineStr">
        <is>
          <t>Washington</t>
        </is>
      </c>
      <c r="M552" t="inlineStr">
        <is>
          <t>San Francisco</t>
        </is>
      </c>
      <c r="N552" t="inlineStr">
        <is>
          <t>Ava Patel</t>
        </is>
      </c>
      <c r="O552" t="n">
        <v>1</v>
      </c>
      <c r="P552" s="3" t="n">
        <v>72.76000000000001</v>
      </c>
      <c r="Q552" s="4" t="n">
        <v>0.019</v>
      </c>
      <c r="R552" s="3" t="n">
        <v>71.38</v>
      </c>
      <c r="S552" s="3" t="n">
        <v>36.31</v>
      </c>
      <c r="T552" s="3" t="n">
        <v>27.27</v>
      </c>
      <c r="U552" s="4" t="n">
        <v>0.382</v>
      </c>
      <c r="V552" s="3" t="n">
        <v>7.8</v>
      </c>
      <c r="W552" t="inlineStr">
        <is>
          <t>Debit Card</t>
        </is>
      </c>
      <c r="X552" t="inlineStr">
        <is>
          <t>Low</t>
        </is>
      </c>
      <c r="Y552" t="n">
        <v>2024</v>
      </c>
      <c r="Z552" t="n">
        <v>3</v>
      </c>
      <c r="AA552" t="inlineStr">
        <is>
          <t>Mar</t>
        </is>
      </c>
      <c r="AB552" t="inlineStr">
        <is>
          <t>Thursday</t>
        </is>
      </c>
      <c r="AC552" t="n">
        <v>6</v>
      </c>
      <c r="AD552" t="inlineStr">
        <is>
          <t>Profitable</t>
        </is>
      </c>
      <c r="AE552" t="inlineStr">
        <is>
          <t>Low</t>
        </is>
      </c>
      <c r="AF552" t="inlineStr">
        <is>
          <t>Small</t>
        </is>
      </c>
    </row>
    <row r="553">
      <c r="A553" t="inlineStr">
        <is>
          <t>ORD-00552</t>
        </is>
      </c>
      <c r="B553" s="2" t="n">
        <v>45740</v>
      </c>
      <c r="C553" s="2" t="n">
        <v>45743</v>
      </c>
      <c r="D553" t="inlineStr">
        <is>
          <t>CUST-00552</t>
        </is>
      </c>
      <c r="E553" t="inlineStr">
        <is>
          <t>Customer 552</t>
        </is>
      </c>
      <c r="F553" t="inlineStr">
        <is>
          <t>Corporate</t>
        </is>
      </c>
      <c r="G553" t="inlineStr">
        <is>
          <t>P1006</t>
        </is>
      </c>
      <c r="H553" t="inlineStr">
        <is>
          <t>Orbit Wireless Mouse</t>
        </is>
      </c>
      <c r="I553" t="inlineStr">
        <is>
          <t>Furniture</t>
        </is>
      </c>
      <c r="J553" t="inlineStr">
        <is>
          <t>Flooring</t>
        </is>
      </c>
      <c r="K553" t="inlineStr">
        <is>
          <t>East</t>
        </is>
      </c>
      <c r="L553" t="inlineStr">
        <is>
          <t>Virginia</t>
        </is>
      </c>
      <c r="M553" t="inlineStr">
        <is>
          <t>New York</t>
        </is>
      </c>
      <c r="N553" t="inlineStr">
        <is>
          <t>Sophia Singh</t>
        </is>
      </c>
      <c r="O553" t="n">
        <v>2</v>
      </c>
      <c r="P553" s="3" t="n">
        <v>17.92</v>
      </c>
      <c r="Q553" s="4" t="n">
        <v>0.078</v>
      </c>
      <c r="R553" s="3" t="n">
        <v>33.04</v>
      </c>
      <c r="S553" s="3" t="n">
        <v>14.39</v>
      </c>
      <c r="T553" s="3" t="n">
        <v>10.05</v>
      </c>
      <c r="U553" s="4" t="n">
        <v>0.3042</v>
      </c>
      <c r="V553" s="3" t="n">
        <v>8.6</v>
      </c>
      <c r="W553" t="inlineStr">
        <is>
          <t>Cash on Delivery</t>
        </is>
      </c>
      <c r="X553" t="inlineStr">
        <is>
          <t>Critical</t>
        </is>
      </c>
      <c r="Y553" t="n">
        <v>2025</v>
      </c>
      <c r="Z553" t="n">
        <v>3</v>
      </c>
      <c r="AA553" t="inlineStr">
        <is>
          <t>Mar</t>
        </is>
      </c>
      <c r="AB553" t="inlineStr">
        <is>
          <t>Monday</t>
        </is>
      </c>
      <c r="AC553" t="n">
        <v>3</v>
      </c>
      <c r="AD553" t="inlineStr">
        <is>
          <t>Profitable</t>
        </is>
      </c>
      <c r="AE553" t="inlineStr">
        <is>
          <t>High</t>
        </is>
      </c>
      <c r="AF553" t="inlineStr">
        <is>
          <t>Small</t>
        </is>
      </c>
    </row>
    <row r="554">
      <c r="A554" t="inlineStr">
        <is>
          <t>ORD-00553</t>
        </is>
      </c>
      <c r="B554" s="2" t="n">
        <v>45637</v>
      </c>
      <c r="C554" s="2" t="n">
        <v>45639</v>
      </c>
      <c r="D554" t="inlineStr">
        <is>
          <t>CUST-00553</t>
        </is>
      </c>
      <c r="E554" t="inlineStr">
        <is>
          <t>Customer 553</t>
        </is>
      </c>
      <c r="F554" t="inlineStr">
        <is>
          <t>Consumer</t>
        </is>
      </c>
      <c r="G554" t="inlineStr">
        <is>
          <t>P1019</t>
        </is>
      </c>
      <c r="H554" t="inlineStr">
        <is>
          <t>SmartInk Pen Set</t>
        </is>
      </c>
      <c r="I554" t="inlineStr">
        <is>
          <t>Office Supplies</t>
        </is>
      </c>
      <c r="J554" t="inlineStr">
        <is>
          <t>Binders</t>
        </is>
      </c>
      <c r="K554" t="inlineStr">
        <is>
          <t>North</t>
        </is>
      </c>
      <c r="L554" t="inlineStr">
        <is>
          <t>Ontario</t>
        </is>
      </c>
      <c r="M554" t="inlineStr">
        <is>
          <t>Toronto</t>
        </is>
      </c>
      <c r="N554" t="inlineStr">
        <is>
          <t>Sophia Singh</t>
        </is>
      </c>
      <c r="O554" t="n">
        <v>2</v>
      </c>
      <c r="P554" s="3" t="n">
        <v>58.88</v>
      </c>
      <c r="Q554" s="4" t="n">
        <v>0.022</v>
      </c>
      <c r="R554" s="3" t="n">
        <v>115.17</v>
      </c>
      <c r="S554" s="3" t="n">
        <v>57.81</v>
      </c>
      <c r="T554" s="3" t="n">
        <v>49.76</v>
      </c>
      <c r="U554" s="4" t="n">
        <v>0.4321</v>
      </c>
      <c r="V554" s="3" t="n">
        <v>7.6</v>
      </c>
      <c r="W554" t="inlineStr">
        <is>
          <t>Cash on Delivery</t>
        </is>
      </c>
      <c r="X554" t="inlineStr">
        <is>
          <t>Medium</t>
        </is>
      </c>
      <c r="Y554" t="n">
        <v>2024</v>
      </c>
      <c r="Z554" t="n">
        <v>12</v>
      </c>
      <c r="AA554" t="inlineStr">
        <is>
          <t>Dec</t>
        </is>
      </c>
      <c r="AB554" t="inlineStr">
        <is>
          <t>Wednesday</t>
        </is>
      </c>
      <c r="AC554" t="n">
        <v>2</v>
      </c>
      <c r="AD554" t="inlineStr">
        <is>
          <t>Profitable</t>
        </is>
      </c>
      <c r="AE554" t="inlineStr">
        <is>
          <t>Medium</t>
        </is>
      </c>
      <c r="AF554" t="inlineStr">
        <is>
          <t>Small</t>
        </is>
      </c>
    </row>
    <row r="555">
      <c r="A555" t="inlineStr">
        <is>
          <t>ORD-00554</t>
        </is>
      </c>
      <c r="B555" s="2" t="n">
        <v>45590</v>
      </c>
      <c r="C555" s="2" t="n">
        <v>45592</v>
      </c>
      <c r="D555" t="inlineStr">
        <is>
          <t>CUST-00554</t>
        </is>
      </c>
      <c r="E555" t="inlineStr">
        <is>
          <t>Customer 554</t>
        </is>
      </c>
      <c r="F555" t="inlineStr">
        <is>
          <t>Corporate</t>
        </is>
      </c>
      <c r="G555" t="inlineStr">
        <is>
          <t>P1020</t>
        </is>
      </c>
      <c r="H555" t="inlineStr">
        <is>
          <t>ErgoMesh Chair</t>
        </is>
      </c>
      <c r="I555" t="inlineStr">
        <is>
          <t>Outdoor</t>
        </is>
      </c>
      <c r="J555" t="inlineStr">
        <is>
          <t>Binders</t>
        </is>
      </c>
      <c r="K555" t="inlineStr">
        <is>
          <t>North</t>
        </is>
      </c>
      <c r="L555" t="inlineStr">
        <is>
          <t>Ontario</t>
        </is>
      </c>
      <c r="M555" t="inlineStr">
        <is>
          <t>Calgary</t>
        </is>
      </c>
      <c r="N555" t="inlineStr">
        <is>
          <t>Mia Rodriguez</t>
        </is>
      </c>
      <c r="O555" t="n">
        <v>3</v>
      </c>
      <c r="P555" s="3" t="n">
        <v>81.5</v>
      </c>
      <c r="Q555" s="4" t="n">
        <v>0.011</v>
      </c>
      <c r="R555" s="3" t="n">
        <v>241.81</v>
      </c>
      <c r="S555" s="3" t="n">
        <v>116.1</v>
      </c>
      <c r="T555" s="3" t="n">
        <v>117.31</v>
      </c>
      <c r="U555" s="4" t="n">
        <v>0.4851</v>
      </c>
      <c r="V555" s="3" t="n">
        <v>8.4</v>
      </c>
      <c r="W555" t="inlineStr">
        <is>
          <t>PayPal</t>
        </is>
      </c>
      <c r="X555" t="inlineStr">
        <is>
          <t>Medium</t>
        </is>
      </c>
      <c r="Y555" t="n">
        <v>2024</v>
      </c>
      <c r="Z555" t="n">
        <v>10</v>
      </c>
      <c r="AA555" t="inlineStr">
        <is>
          <t>Oct</t>
        </is>
      </c>
      <c r="AB555" t="inlineStr">
        <is>
          <t>Friday</t>
        </is>
      </c>
      <c r="AC555" t="n">
        <v>2</v>
      </c>
      <c r="AD555" t="inlineStr">
        <is>
          <t>Profitable</t>
        </is>
      </c>
      <c r="AE555" t="inlineStr">
        <is>
          <t>Low</t>
        </is>
      </c>
      <c r="AF555" t="inlineStr">
        <is>
          <t>Small</t>
        </is>
      </c>
    </row>
    <row r="556">
      <c r="A556" t="inlineStr">
        <is>
          <t>ORD-00555</t>
        </is>
      </c>
      <c r="B556" s="2" t="n">
        <v>45989</v>
      </c>
      <c r="C556" s="2" t="n">
        <v>45991</v>
      </c>
      <c r="D556" t="inlineStr">
        <is>
          <t>CUST-00555</t>
        </is>
      </c>
      <c r="E556" t="inlineStr">
        <is>
          <t>Customer 555</t>
        </is>
      </c>
      <c r="F556" t="inlineStr">
        <is>
          <t>Home Office</t>
        </is>
      </c>
      <c r="G556" t="inlineStr">
        <is>
          <t>P1006</t>
        </is>
      </c>
      <c r="H556" t="inlineStr">
        <is>
          <t>Trail Tote</t>
        </is>
      </c>
      <c r="I556" t="inlineStr">
        <is>
          <t>Office Supplies</t>
        </is>
      </c>
      <c r="J556" t="inlineStr">
        <is>
          <t>Binders</t>
        </is>
      </c>
      <c r="K556" t="inlineStr">
        <is>
          <t>Central</t>
        </is>
      </c>
      <c r="L556" t="inlineStr">
        <is>
          <t>Missouri</t>
        </is>
      </c>
      <c r="M556" t="inlineStr">
        <is>
          <t>Kansas City</t>
        </is>
      </c>
      <c r="N556" t="inlineStr">
        <is>
          <t>James Carter</t>
        </is>
      </c>
      <c r="O556" t="n">
        <v>4</v>
      </c>
      <c r="P556" s="3" t="n">
        <v>19.26</v>
      </c>
      <c r="Q556" s="4" t="n">
        <v>0.021</v>
      </c>
      <c r="R556" s="3" t="n">
        <v>75.42</v>
      </c>
      <c r="S556" s="3" t="n">
        <v>27.64</v>
      </c>
      <c r="T556" s="3" t="n">
        <v>38.58</v>
      </c>
      <c r="U556" s="4" t="n">
        <v>0.5115</v>
      </c>
      <c r="V556" s="3" t="n">
        <v>9.199999999999999</v>
      </c>
      <c r="W556" t="inlineStr">
        <is>
          <t>Credit Card</t>
        </is>
      </c>
      <c r="X556" t="inlineStr">
        <is>
          <t>Medium</t>
        </is>
      </c>
      <c r="Y556" t="n">
        <v>2025</v>
      </c>
      <c r="Z556" t="n">
        <v>11</v>
      </c>
      <c r="AA556" t="inlineStr">
        <is>
          <t>Nov</t>
        </is>
      </c>
      <c r="AB556" t="inlineStr">
        <is>
          <t>Friday</t>
        </is>
      </c>
      <c r="AC556" t="n">
        <v>2</v>
      </c>
      <c r="AD556" t="inlineStr">
        <is>
          <t>Profitable</t>
        </is>
      </c>
      <c r="AE556" t="inlineStr">
        <is>
          <t>Medium</t>
        </is>
      </c>
      <c r="AF556" t="inlineStr">
        <is>
          <t>Small</t>
        </is>
      </c>
    </row>
    <row r="557">
      <c r="A557" t="inlineStr">
        <is>
          <t>ORD-00556</t>
        </is>
      </c>
      <c r="B557" s="2" t="n">
        <v>45450</v>
      </c>
      <c r="C557" s="2" t="n">
        <v>45451</v>
      </c>
      <c r="D557" t="inlineStr">
        <is>
          <t>CUST-00556</t>
        </is>
      </c>
      <c r="E557" t="inlineStr">
        <is>
          <t>Customer 556</t>
        </is>
      </c>
      <c r="F557" t="inlineStr">
        <is>
          <t>Corporate</t>
        </is>
      </c>
      <c r="G557" t="inlineStr">
        <is>
          <t>P1006</t>
        </is>
      </c>
      <c r="H557" t="inlineStr">
        <is>
          <t>Echo Web Camera</t>
        </is>
      </c>
      <c r="I557" t="inlineStr">
        <is>
          <t>Furniture</t>
        </is>
      </c>
      <c r="J557" t="inlineStr">
        <is>
          <t>Video</t>
        </is>
      </c>
      <c r="K557" t="inlineStr">
        <is>
          <t>North</t>
        </is>
      </c>
      <c r="L557" t="inlineStr">
        <is>
          <t>Alberta</t>
        </is>
      </c>
      <c r="M557" t="inlineStr">
        <is>
          <t>Vancouver</t>
        </is>
      </c>
      <c r="N557" t="inlineStr">
        <is>
          <t>James Carter</t>
        </is>
      </c>
      <c r="O557" t="n">
        <v>2</v>
      </c>
      <c r="P557" s="3" t="n">
        <v>18.92</v>
      </c>
      <c r="Q557" s="4" t="n">
        <v>0.053</v>
      </c>
      <c r="R557" s="3" t="n">
        <v>35.83</v>
      </c>
      <c r="S557" s="3" t="n">
        <v>15.43</v>
      </c>
      <c r="T557" s="3" t="n">
        <v>12.8</v>
      </c>
      <c r="U557" s="4" t="n">
        <v>0.3572</v>
      </c>
      <c r="V557" s="3" t="n">
        <v>7.6</v>
      </c>
      <c r="W557" t="inlineStr">
        <is>
          <t>PayPal</t>
        </is>
      </c>
      <c r="X557" t="inlineStr">
        <is>
          <t>High</t>
        </is>
      </c>
      <c r="Y557" t="n">
        <v>2024</v>
      </c>
      <c r="Z557" t="n">
        <v>6</v>
      </c>
      <c r="AA557" t="inlineStr">
        <is>
          <t>Jun</t>
        </is>
      </c>
      <c r="AB557" t="inlineStr">
        <is>
          <t>Friday</t>
        </is>
      </c>
      <c r="AC557" t="n">
        <v>1</v>
      </c>
      <c r="AD557" t="inlineStr">
        <is>
          <t>Profitable</t>
        </is>
      </c>
      <c r="AE557" t="inlineStr">
        <is>
          <t>High</t>
        </is>
      </c>
      <c r="AF557" t="inlineStr">
        <is>
          <t>Small</t>
        </is>
      </c>
    </row>
    <row r="558">
      <c r="A558" t="inlineStr">
        <is>
          <t>ORD-00557</t>
        </is>
      </c>
      <c r="B558" s="2" t="n">
        <v>45063</v>
      </c>
      <c r="C558" s="2" t="n">
        <v>45067</v>
      </c>
      <c r="D558" t="inlineStr">
        <is>
          <t>CUST-00557</t>
        </is>
      </c>
      <c r="E558" t="inlineStr">
        <is>
          <t>Customer 557</t>
        </is>
      </c>
      <c r="F558" t="inlineStr">
        <is>
          <t>Consumer</t>
        </is>
      </c>
      <c r="G558" t="inlineStr">
        <is>
          <t>P1004</t>
        </is>
      </c>
      <c r="H558" t="inlineStr">
        <is>
          <t>Harbor Rug</t>
        </is>
      </c>
      <c r="I558" t="inlineStr">
        <is>
          <t>Outdoor</t>
        </is>
      </c>
      <c r="J558" t="inlineStr">
        <is>
          <t>Accessories</t>
        </is>
      </c>
      <c r="K558" t="inlineStr">
        <is>
          <t>East</t>
        </is>
      </c>
      <c r="L558" t="inlineStr">
        <is>
          <t>New Jersey</t>
        </is>
      </c>
      <c r="M558" t="inlineStr">
        <is>
          <t>Boston</t>
        </is>
      </c>
      <c r="N558" t="inlineStr">
        <is>
          <t>Ethan Brooks</t>
        </is>
      </c>
      <c r="O558" t="n">
        <v>4</v>
      </c>
      <c r="P558" s="3" t="n">
        <v>597.59</v>
      </c>
      <c r="Q558" s="4" t="n">
        <v>0.034</v>
      </c>
      <c r="R558" s="3" t="n">
        <v>2309.09</v>
      </c>
      <c r="S558" s="3" t="n">
        <v>1466.44</v>
      </c>
      <c r="T558" s="3" t="n">
        <v>832.45</v>
      </c>
      <c r="U558" s="4" t="n">
        <v>0.3605</v>
      </c>
      <c r="V558" s="3" t="n">
        <v>10.2</v>
      </c>
      <c r="W558" t="inlineStr">
        <is>
          <t>Credit Card</t>
        </is>
      </c>
      <c r="X558" t="inlineStr">
        <is>
          <t>High</t>
        </is>
      </c>
      <c r="Y558" t="n">
        <v>2023</v>
      </c>
      <c r="Z558" t="n">
        <v>5</v>
      </c>
      <c r="AA558" t="inlineStr">
        <is>
          <t>May</t>
        </is>
      </c>
      <c r="AB558" t="inlineStr">
        <is>
          <t>Wednesday</t>
        </is>
      </c>
      <c r="AC558" t="n">
        <v>4</v>
      </c>
      <c r="AD558" t="inlineStr">
        <is>
          <t>Profitable</t>
        </is>
      </c>
      <c r="AE558" t="inlineStr">
        <is>
          <t>Medium</t>
        </is>
      </c>
      <c r="AF558" t="inlineStr">
        <is>
          <t>Large</t>
        </is>
      </c>
    </row>
    <row r="559">
      <c r="A559" t="inlineStr">
        <is>
          <t>ORD-00558</t>
        </is>
      </c>
      <c r="B559" s="2" t="n">
        <v>45020</v>
      </c>
      <c r="C559" s="2" t="n">
        <v>45022</v>
      </c>
      <c r="D559" t="inlineStr">
        <is>
          <t>CUST-00558</t>
        </is>
      </c>
      <c r="E559" t="inlineStr">
        <is>
          <t>Customer 558</t>
        </is>
      </c>
      <c r="F559" t="inlineStr">
        <is>
          <t>Corporate</t>
        </is>
      </c>
      <c r="G559" t="inlineStr">
        <is>
          <t>P1001</t>
        </is>
      </c>
      <c r="H559" t="inlineStr">
        <is>
          <t>Atlas Throw Pillow</t>
        </is>
      </c>
      <c r="I559" t="inlineStr">
        <is>
          <t>Technology</t>
        </is>
      </c>
      <c r="J559" t="inlineStr">
        <is>
          <t>Bags</t>
        </is>
      </c>
      <c r="K559" t="inlineStr">
        <is>
          <t>East</t>
        </is>
      </c>
      <c r="L559" t="inlineStr">
        <is>
          <t>Massachusetts</t>
        </is>
      </c>
      <c r="M559" t="inlineStr">
        <is>
          <t>Washington</t>
        </is>
      </c>
      <c r="N559" t="inlineStr">
        <is>
          <t>Ethan Brooks</t>
        </is>
      </c>
      <c r="O559" t="n">
        <v>3</v>
      </c>
      <c r="P559" s="3" t="n">
        <v>305.36</v>
      </c>
      <c r="Q559" s="4" t="n">
        <v>0.022</v>
      </c>
      <c r="R559" s="3" t="n">
        <v>895.9299999999999</v>
      </c>
      <c r="S559" s="3" t="n">
        <v>526.23</v>
      </c>
      <c r="T559" s="3" t="n">
        <v>360.3</v>
      </c>
      <c r="U559" s="4" t="n">
        <v>0.4022</v>
      </c>
      <c r="V559" s="3" t="n">
        <v>9.4</v>
      </c>
      <c r="W559" t="inlineStr">
        <is>
          <t>Debit Card</t>
        </is>
      </c>
      <c r="X559" t="inlineStr">
        <is>
          <t>Medium</t>
        </is>
      </c>
      <c r="Y559" t="n">
        <v>2023</v>
      </c>
      <c r="Z559" t="n">
        <v>4</v>
      </c>
      <c r="AA559" t="inlineStr">
        <is>
          <t>Apr</t>
        </is>
      </c>
      <c r="AB559" t="inlineStr">
        <is>
          <t>Tuesday</t>
        </is>
      </c>
      <c r="AC559" t="n">
        <v>2</v>
      </c>
      <c r="AD559" t="inlineStr">
        <is>
          <t>Profitable</t>
        </is>
      </c>
      <c r="AE559" t="inlineStr">
        <is>
          <t>Medium</t>
        </is>
      </c>
      <c r="AF559" t="inlineStr">
        <is>
          <t>Medium</t>
        </is>
      </c>
    </row>
    <row r="560">
      <c r="A560" t="inlineStr">
        <is>
          <t>ORD-00559</t>
        </is>
      </c>
      <c r="B560" s="2" t="n">
        <v>45848</v>
      </c>
      <c r="C560" s="2" t="n">
        <v>45853</v>
      </c>
      <c r="D560" t="inlineStr">
        <is>
          <t>CUST-00559</t>
        </is>
      </c>
      <c r="E560" t="inlineStr">
        <is>
          <t>Customer 559</t>
        </is>
      </c>
      <c r="F560" t="inlineStr">
        <is>
          <t>Corporate</t>
        </is>
      </c>
      <c r="G560" t="inlineStr">
        <is>
          <t>P1019</t>
        </is>
      </c>
      <c r="H560" t="inlineStr">
        <is>
          <t>Cove Wall Clock</t>
        </is>
      </c>
      <c r="I560" t="inlineStr">
        <is>
          <t>Furniture</t>
        </is>
      </c>
      <c r="J560" t="inlineStr">
        <is>
          <t>Writing</t>
        </is>
      </c>
      <c r="K560" t="inlineStr">
        <is>
          <t>East</t>
        </is>
      </c>
      <c r="L560" t="inlineStr">
        <is>
          <t>New Jersey</t>
        </is>
      </c>
      <c r="M560" t="inlineStr">
        <is>
          <t>New York</t>
        </is>
      </c>
      <c r="N560" t="inlineStr">
        <is>
          <t>Ava Patel</t>
        </is>
      </c>
      <c r="O560" t="n">
        <v>2</v>
      </c>
      <c r="P560" s="3" t="n">
        <v>60.65</v>
      </c>
      <c r="Q560" s="4" t="n">
        <v>0.034</v>
      </c>
      <c r="R560" s="3" t="n">
        <v>117.18</v>
      </c>
      <c r="S560" s="3" t="n">
        <v>56.48</v>
      </c>
      <c r="T560" s="3" t="n">
        <v>52.1</v>
      </c>
      <c r="U560" s="4" t="n">
        <v>0.4446</v>
      </c>
      <c r="V560" s="3" t="n">
        <v>8.6</v>
      </c>
      <c r="W560" t="inlineStr">
        <is>
          <t>Credit Card</t>
        </is>
      </c>
      <c r="X560" t="inlineStr">
        <is>
          <t>High</t>
        </is>
      </c>
      <c r="Y560" t="n">
        <v>2025</v>
      </c>
      <c r="Z560" t="n">
        <v>7</v>
      </c>
      <c r="AA560" t="inlineStr">
        <is>
          <t>Jul</t>
        </is>
      </c>
      <c r="AB560" t="inlineStr">
        <is>
          <t>Thursday</t>
        </is>
      </c>
      <c r="AC560" t="n">
        <v>5</v>
      </c>
      <c r="AD560" t="inlineStr">
        <is>
          <t>Profitable</t>
        </is>
      </c>
      <c r="AE560" t="inlineStr">
        <is>
          <t>Medium</t>
        </is>
      </c>
      <c r="AF560" t="inlineStr">
        <is>
          <t>Small</t>
        </is>
      </c>
    </row>
    <row r="561">
      <c r="A561" t="inlineStr">
        <is>
          <t>ORD-00560</t>
        </is>
      </c>
      <c r="B561" s="2" t="n">
        <v>45521</v>
      </c>
      <c r="C561" s="2" t="n">
        <v>45524</v>
      </c>
      <c r="D561" t="inlineStr">
        <is>
          <t>CUST-00560</t>
        </is>
      </c>
      <c r="E561" t="inlineStr">
        <is>
          <t>Customer 560</t>
        </is>
      </c>
      <c r="F561" t="inlineStr">
        <is>
          <t>Consumer</t>
        </is>
      </c>
      <c r="G561" t="inlineStr">
        <is>
          <t>P1011</t>
        </is>
      </c>
      <c r="H561" t="inlineStr">
        <is>
          <t>Harbor Rug</t>
        </is>
      </c>
      <c r="I561" t="inlineStr">
        <is>
          <t>Technology</t>
        </is>
      </c>
      <c r="J561" t="inlineStr">
        <is>
          <t>Accessories</t>
        </is>
      </c>
      <c r="K561" t="inlineStr">
        <is>
          <t>East</t>
        </is>
      </c>
      <c r="L561" t="inlineStr">
        <is>
          <t>New York</t>
        </is>
      </c>
      <c r="M561" t="inlineStr">
        <is>
          <t>New York</t>
        </is>
      </c>
      <c r="N561" t="inlineStr">
        <is>
          <t>Noah Kim</t>
        </is>
      </c>
      <c r="O561" t="n">
        <v>2</v>
      </c>
      <c r="P561" s="3" t="n">
        <v>87.81999999999999</v>
      </c>
      <c r="Q561" s="4" t="n">
        <v>0.005</v>
      </c>
      <c r="R561" s="3" t="n">
        <v>174.76</v>
      </c>
      <c r="S561" s="3" t="n">
        <v>90.61</v>
      </c>
      <c r="T561" s="3" t="n">
        <v>75.55</v>
      </c>
      <c r="U561" s="4" t="n">
        <v>0.4323</v>
      </c>
      <c r="V561" s="3" t="n">
        <v>8.6</v>
      </c>
      <c r="W561" t="inlineStr">
        <is>
          <t>PayPal</t>
        </is>
      </c>
      <c r="X561" t="inlineStr">
        <is>
          <t>Medium</t>
        </is>
      </c>
      <c r="Y561" t="n">
        <v>2024</v>
      </c>
      <c r="Z561" t="n">
        <v>8</v>
      </c>
      <c r="AA561" t="inlineStr">
        <is>
          <t>Aug</t>
        </is>
      </c>
      <c r="AB561" t="inlineStr">
        <is>
          <t>Saturday</t>
        </is>
      </c>
      <c r="AC561" t="n">
        <v>3</v>
      </c>
      <c r="AD561" t="inlineStr">
        <is>
          <t>Profitable</t>
        </is>
      </c>
      <c r="AE561" t="inlineStr">
        <is>
          <t>Low</t>
        </is>
      </c>
      <c r="AF561" t="inlineStr">
        <is>
          <t>Small</t>
        </is>
      </c>
    </row>
    <row r="562">
      <c r="A562" t="inlineStr">
        <is>
          <t>ORD-00561</t>
        </is>
      </c>
      <c r="B562" s="2" t="n">
        <v>45904</v>
      </c>
      <c r="C562" s="2" t="n">
        <v>45910</v>
      </c>
      <c r="D562" t="inlineStr">
        <is>
          <t>CUST-00561</t>
        </is>
      </c>
      <c r="E562" t="inlineStr">
        <is>
          <t>Customer 561</t>
        </is>
      </c>
      <c r="F562" t="inlineStr">
        <is>
          <t>Consumer</t>
        </is>
      </c>
      <c r="G562" t="inlineStr">
        <is>
          <t>P1007</t>
        </is>
      </c>
      <c r="H562" t="inlineStr">
        <is>
          <t>FlexNote Notebook</t>
        </is>
      </c>
      <c r="I562" t="inlineStr">
        <is>
          <t>Home Decor</t>
        </is>
      </c>
      <c r="J562" t="inlineStr">
        <is>
          <t>Plants</t>
        </is>
      </c>
      <c r="K562" t="inlineStr">
        <is>
          <t>Central</t>
        </is>
      </c>
      <c r="L562" t="inlineStr">
        <is>
          <t>Kansas</t>
        </is>
      </c>
      <c r="M562" t="inlineStr">
        <is>
          <t>Minneapolis</t>
        </is>
      </c>
      <c r="N562" t="inlineStr">
        <is>
          <t>Mia Rodriguez</t>
        </is>
      </c>
      <c r="O562" t="n">
        <v>2</v>
      </c>
      <c r="P562" s="3" t="n">
        <v>23.35</v>
      </c>
      <c r="Q562" s="4" t="n">
        <v>0.01</v>
      </c>
      <c r="R562" s="3" t="n">
        <v>46.23</v>
      </c>
      <c r="S562" s="3" t="n">
        <v>19.81</v>
      </c>
      <c r="T562" s="3" t="n">
        <v>18.82</v>
      </c>
      <c r="U562" s="4" t="n">
        <v>0.4071</v>
      </c>
      <c r="V562" s="3" t="n">
        <v>7.6</v>
      </c>
      <c r="W562" t="inlineStr">
        <is>
          <t>Credit Card</t>
        </is>
      </c>
      <c r="X562" t="inlineStr">
        <is>
          <t>Medium</t>
        </is>
      </c>
      <c r="Y562" t="n">
        <v>2025</v>
      </c>
      <c r="Z562" t="n">
        <v>9</v>
      </c>
      <c r="AA562" t="inlineStr">
        <is>
          <t>Sep</t>
        </is>
      </c>
      <c r="AB562" t="inlineStr">
        <is>
          <t>Thursday</t>
        </is>
      </c>
      <c r="AC562" t="n">
        <v>6</v>
      </c>
      <c r="AD562" t="inlineStr">
        <is>
          <t>Profitable</t>
        </is>
      </c>
      <c r="AE562" t="inlineStr">
        <is>
          <t>Low</t>
        </is>
      </c>
      <c r="AF562" t="inlineStr">
        <is>
          <t>Small</t>
        </is>
      </c>
    </row>
    <row r="563">
      <c r="A563" t="inlineStr">
        <is>
          <t>ORD-00562</t>
        </is>
      </c>
      <c r="B563" s="2" t="n">
        <v>45035</v>
      </c>
      <c r="C563" s="2" t="n">
        <v>45041</v>
      </c>
      <c r="D563" t="inlineStr">
        <is>
          <t>CUST-00562</t>
        </is>
      </c>
      <c r="E563" t="inlineStr">
        <is>
          <t>Customer 562</t>
        </is>
      </c>
      <c r="F563" t="inlineStr">
        <is>
          <t>Home Office</t>
        </is>
      </c>
      <c r="G563" t="inlineStr">
        <is>
          <t>P1002</t>
        </is>
      </c>
      <c r="H563" t="inlineStr">
        <is>
          <t>Cove Wall Clock</t>
        </is>
      </c>
      <c r="I563" t="inlineStr">
        <is>
          <t>Furniture</t>
        </is>
      </c>
      <c r="J563" t="inlineStr">
        <is>
          <t>Lighting</t>
        </is>
      </c>
      <c r="K563" t="inlineStr">
        <is>
          <t>North</t>
        </is>
      </c>
      <c r="L563" t="inlineStr">
        <is>
          <t>Quebec</t>
        </is>
      </c>
      <c r="M563" t="inlineStr">
        <is>
          <t>Montreal</t>
        </is>
      </c>
      <c r="N563" t="inlineStr">
        <is>
          <t>Olivia Martin</t>
        </is>
      </c>
      <c r="O563" t="n">
        <v>3</v>
      </c>
      <c r="P563" s="3" t="n">
        <v>79.90000000000001</v>
      </c>
      <c r="Q563" s="4" t="n">
        <v>0.042</v>
      </c>
      <c r="R563" s="3" t="n">
        <v>229.63</v>
      </c>
      <c r="S563" s="3" t="n">
        <v>112.77</v>
      </c>
      <c r="T563" s="3" t="n">
        <v>108.46</v>
      </c>
      <c r="U563" s="4" t="n">
        <v>0.4723</v>
      </c>
      <c r="V563" s="3" t="n">
        <v>8.4</v>
      </c>
      <c r="W563" t="inlineStr">
        <is>
          <t>Bank Transfer</t>
        </is>
      </c>
      <c r="X563" t="inlineStr">
        <is>
          <t>High</t>
        </is>
      </c>
      <c r="Y563" t="n">
        <v>2023</v>
      </c>
      <c r="Z563" t="n">
        <v>4</v>
      </c>
      <c r="AA563" t="inlineStr">
        <is>
          <t>Apr</t>
        </is>
      </c>
      <c r="AB563" t="inlineStr">
        <is>
          <t>Wednesday</t>
        </is>
      </c>
      <c r="AC563" t="n">
        <v>6</v>
      </c>
      <c r="AD563" t="inlineStr">
        <is>
          <t>Profitable</t>
        </is>
      </c>
      <c r="AE563" t="inlineStr">
        <is>
          <t>Medium</t>
        </is>
      </c>
      <c r="AF563" t="inlineStr">
        <is>
          <t>Small</t>
        </is>
      </c>
    </row>
    <row r="564">
      <c r="A564" t="inlineStr">
        <is>
          <t>ORD-00563</t>
        </is>
      </c>
      <c r="B564" s="2" t="n">
        <v>45278</v>
      </c>
      <c r="C564" s="2" t="n">
        <v>45279</v>
      </c>
      <c r="D564" t="inlineStr">
        <is>
          <t>CUST-00563</t>
        </is>
      </c>
      <c r="E564" t="inlineStr">
        <is>
          <t>Customer 563</t>
        </is>
      </c>
      <c r="F564" t="inlineStr">
        <is>
          <t>Consumer</t>
        </is>
      </c>
      <c r="G564" t="inlineStr">
        <is>
          <t>P1004</t>
        </is>
      </c>
      <c r="H564" t="inlineStr">
        <is>
          <t>Harbor Rug</t>
        </is>
      </c>
      <c r="I564" t="inlineStr">
        <is>
          <t>Technology</t>
        </is>
      </c>
      <c r="J564" t="inlineStr">
        <is>
          <t>Coolers</t>
        </is>
      </c>
      <c r="K564" t="inlineStr">
        <is>
          <t>East</t>
        </is>
      </c>
      <c r="L564" t="inlineStr">
        <is>
          <t>Virginia</t>
        </is>
      </c>
      <c r="M564" t="inlineStr">
        <is>
          <t>Philadelphia</t>
        </is>
      </c>
      <c r="N564" t="inlineStr">
        <is>
          <t>Olivia Martin</t>
        </is>
      </c>
      <c r="O564" t="n">
        <v>3</v>
      </c>
      <c r="P564" s="3" t="n">
        <v>652.23</v>
      </c>
      <c r="Q564" s="4" t="n">
        <v>0.015</v>
      </c>
      <c r="R564" s="3" t="n">
        <v>1927.34</v>
      </c>
      <c r="S564" s="3" t="n">
        <v>1225.46</v>
      </c>
      <c r="T564" s="3" t="n">
        <v>692.48</v>
      </c>
      <c r="U564" s="4" t="n">
        <v>0.3593</v>
      </c>
      <c r="V564" s="3" t="n">
        <v>9.4</v>
      </c>
      <c r="W564" t="inlineStr">
        <is>
          <t>Bank Transfer</t>
        </is>
      </c>
      <c r="X564" t="inlineStr">
        <is>
          <t>Medium</t>
        </is>
      </c>
      <c r="Y564" t="n">
        <v>2023</v>
      </c>
      <c r="Z564" t="n">
        <v>12</v>
      </c>
      <c r="AA564" t="inlineStr">
        <is>
          <t>Dec</t>
        </is>
      </c>
      <c r="AB564" t="inlineStr">
        <is>
          <t>Monday</t>
        </is>
      </c>
      <c r="AC564" t="n">
        <v>1</v>
      </c>
      <c r="AD564" t="inlineStr">
        <is>
          <t>Profitable</t>
        </is>
      </c>
      <c r="AE564" t="inlineStr">
        <is>
          <t>Low</t>
        </is>
      </c>
      <c r="AF564" t="inlineStr">
        <is>
          <t>Large</t>
        </is>
      </c>
    </row>
    <row r="565">
      <c r="A565" t="inlineStr">
        <is>
          <t>ORD-00564</t>
        </is>
      </c>
      <c r="B565" s="2" t="n">
        <v>45002</v>
      </c>
      <c r="C565" s="2" t="n">
        <v>45009</v>
      </c>
      <c r="D565" t="inlineStr">
        <is>
          <t>CUST-00564</t>
        </is>
      </c>
      <c r="E565" t="inlineStr">
        <is>
          <t>Customer 564</t>
        </is>
      </c>
      <c r="F565" t="inlineStr">
        <is>
          <t>Consumer</t>
        </is>
      </c>
      <c r="G565" t="inlineStr">
        <is>
          <t>P1006</t>
        </is>
      </c>
      <c r="H565" t="inlineStr">
        <is>
          <t>Cove Wall Clock</t>
        </is>
      </c>
      <c r="I565" t="inlineStr">
        <is>
          <t>Outdoor</t>
        </is>
      </c>
      <c r="J565" t="inlineStr">
        <is>
          <t>Chairs</t>
        </is>
      </c>
      <c r="K565" t="inlineStr">
        <is>
          <t>West</t>
        </is>
      </c>
      <c r="L565" t="inlineStr">
        <is>
          <t>California</t>
        </is>
      </c>
      <c r="M565" t="inlineStr">
        <is>
          <t>Los Angeles</t>
        </is>
      </c>
      <c r="N565" t="inlineStr">
        <is>
          <t>Noah Kim</t>
        </is>
      </c>
      <c r="O565" t="n">
        <v>5</v>
      </c>
      <c r="P565" s="3" t="n">
        <v>18.75</v>
      </c>
      <c r="Q565" s="4" t="n">
        <v>0.007</v>
      </c>
      <c r="R565" s="3" t="n">
        <v>93.09</v>
      </c>
      <c r="S565" s="3" t="n">
        <v>37.06</v>
      </c>
      <c r="T565" s="3" t="n">
        <v>45.03</v>
      </c>
      <c r="U565" s="4" t="n">
        <v>0.4837</v>
      </c>
      <c r="V565" s="3" t="n">
        <v>11</v>
      </c>
      <c r="W565" t="inlineStr">
        <is>
          <t>Credit Card</t>
        </is>
      </c>
      <c r="X565" t="inlineStr">
        <is>
          <t>Medium</t>
        </is>
      </c>
      <c r="Y565" t="n">
        <v>2023</v>
      </c>
      <c r="Z565" t="n">
        <v>3</v>
      </c>
      <c r="AA565" t="inlineStr">
        <is>
          <t>Mar</t>
        </is>
      </c>
      <c r="AB565" t="inlineStr">
        <is>
          <t>Friday</t>
        </is>
      </c>
      <c r="AC565" t="n">
        <v>7</v>
      </c>
      <c r="AD565" t="inlineStr">
        <is>
          <t>Profitable</t>
        </is>
      </c>
      <c r="AE565" t="inlineStr">
        <is>
          <t>Low</t>
        </is>
      </c>
      <c r="AF565" t="inlineStr">
        <is>
          <t>Small</t>
        </is>
      </c>
    </row>
    <row r="566">
      <c r="A566" t="inlineStr">
        <is>
          <t>ORD-00565</t>
        </is>
      </c>
      <c r="B566" s="2" t="n">
        <v>45632</v>
      </c>
      <c r="C566" s="2" t="n">
        <v>45638</v>
      </c>
      <c r="D566" t="inlineStr">
        <is>
          <t>CUST-00565</t>
        </is>
      </c>
      <c r="E566" t="inlineStr">
        <is>
          <t>Customer 565</t>
        </is>
      </c>
      <c r="F566" t="inlineStr">
        <is>
          <t>Consumer</t>
        </is>
      </c>
      <c r="G566" t="inlineStr">
        <is>
          <t>P1005</t>
        </is>
      </c>
      <c r="H566" t="inlineStr">
        <is>
          <t>Echo Web Camera</t>
        </is>
      </c>
      <c r="I566" t="inlineStr">
        <is>
          <t>Furniture</t>
        </is>
      </c>
      <c r="J566" t="inlineStr">
        <is>
          <t>Chairs</t>
        </is>
      </c>
      <c r="K566" t="inlineStr">
        <is>
          <t>West</t>
        </is>
      </c>
      <c r="L566" t="inlineStr">
        <is>
          <t>Washington</t>
        </is>
      </c>
      <c r="M566" t="inlineStr">
        <is>
          <t>Seattle</t>
        </is>
      </c>
      <c r="N566" t="inlineStr">
        <is>
          <t>James Carter</t>
        </is>
      </c>
      <c r="O566" t="n">
        <v>2</v>
      </c>
      <c r="P566" s="3" t="n">
        <v>14.42</v>
      </c>
      <c r="Q566" s="4" t="n">
        <v>0.031</v>
      </c>
      <c r="R566" s="3" t="n">
        <v>27.95</v>
      </c>
      <c r="S566" s="3" t="n">
        <v>15.56</v>
      </c>
      <c r="T566" s="3" t="n">
        <v>3.79</v>
      </c>
      <c r="U566" s="4" t="n">
        <v>0.1356</v>
      </c>
      <c r="V566" s="3" t="n">
        <v>8.6</v>
      </c>
      <c r="W566" t="inlineStr">
        <is>
          <t>Credit Card</t>
        </is>
      </c>
      <c r="X566" t="inlineStr">
        <is>
          <t>High</t>
        </is>
      </c>
      <c r="Y566" t="n">
        <v>2024</v>
      </c>
      <c r="Z566" t="n">
        <v>12</v>
      </c>
      <c r="AA566" t="inlineStr">
        <is>
          <t>Dec</t>
        </is>
      </c>
      <c r="AB566" t="inlineStr">
        <is>
          <t>Friday</t>
        </is>
      </c>
      <c r="AC566" t="n">
        <v>6</v>
      </c>
      <c r="AD566" t="inlineStr">
        <is>
          <t>Profitable</t>
        </is>
      </c>
      <c r="AE566" t="inlineStr">
        <is>
          <t>Medium</t>
        </is>
      </c>
      <c r="AF566" t="inlineStr">
        <is>
          <t>Small</t>
        </is>
      </c>
    </row>
    <row r="567">
      <c r="A567" t="inlineStr">
        <is>
          <t>ORD-00566</t>
        </is>
      </c>
      <c r="B567" s="2" t="n">
        <v>45319</v>
      </c>
      <c r="C567" s="2" t="n">
        <v>45322</v>
      </c>
      <c r="D567" t="inlineStr">
        <is>
          <t>CUST-00566</t>
        </is>
      </c>
      <c r="E567" t="inlineStr">
        <is>
          <t>Customer 566</t>
        </is>
      </c>
      <c r="F567" t="inlineStr">
        <is>
          <t>Corporate</t>
        </is>
      </c>
      <c r="G567" t="inlineStr">
        <is>
          <t>P1009</t>
        </is>
      </c>
      <c r="H567" t="inlineStr">
        <is>
          <t>Trail Tote</t>
        </is>
      </c>
      <c r="I567" t="inlineStr">
        <is>
          <t>Furniture</t>
        </is>
      </c>
      <c r="J567" t="inlineStr">
        <is>
          <t>Peripherals</t>
        </is>
      </c>
      <c r="K567" t="inlineStr">
        <is>
          <t>East</t>
        </is>
      </c>
      <c r="L567" t="inlineStr">
        <is>
          <t>Virginia</t>
        </is>
      </c>
      <c r="M567" t="inlineStr">
        <is>
          <t>New York</t>
        </is>
      </c>
      <c r="N567" t="inlineStr">
        <is>
          <t>Ava Patel</t>
        </is>
      </c>
      <c r="O567" t="n">
        <v>2</v>
      </c>
      <c r="P567" s="3" t="n">
        <v>90.09</v>
      </c>
      <c r="Q567" s="4" t="n">
        <v>0.038</v>
      </c>
      <c r="R567" s="3" t="n">
        <v>173.33</v>
      </c>
      <c r="S567" s="3" t="n">
        <v>87.16</v>
      </c>
      <c r="T567" s="3" t="n">
        <v>77.56999999999999</v>
      </c>
      <c r="U567" s="4" t="n">
        <v>0.4475</v>
      </c>
      <c r="V567" s="3" t="n">
        <v>8.6</v>
      </c>
      <c r="W567" t="inlineStr">
        <is>
          <t>Cash on Delivery</t>
        </is>
      </c>
      <c r="X567" t="inlineStr">
        <is>
          <t>High</t>
        </is>
      </c>
      <c r="Y567" t="n">
        <v>2024</v>
      </c>
      <c r="Z567" t="n">
        <v>1</v>
      </c>
      <c r="AA567" t="inlineStr">
        <is>
          <t>Jan</t>
        </is>
      </c>
      <c r="AB567" t="inlineStr">
        <is>
          <t>Sunday</t>
        </is>
      </c>
      <c r="AC567" t="n">
        <v>3</v>
      </c>
      <c r="AD567" t="inlineStr">
        <is>
          <t>Profitable</t>
        </is>
      </c>
      <c r="AE567" t="inlineStr">
        <is>
          <t>Medium</t>
        </is>
      </c>
      <c r="AF567" t="inlineStr">
        <is>
          <t>Small</t>
        </is>
      </c>
    </row>
    <row r="568">
      <c r="A568" t="inlineStr">
        <is>
          <t>ORD-00567</t>
        </is>
      </c>
      <c r="B568" s="2" t="n">
        <v>45480</v>
      </c>
      <c r="C568" s="2" t="n">
        <v>45487</v>
      </c>
      <c r="D568" t="inlineStr">
        <is>
          <t>CUST-00567</t>
        </is>
      </c>
      <c r="E568" t="inlineStr">
        <is>
          <t>Customer 567</t>
        </is>
      </c>
      <c r="F568" t="inlineStr">
        <is>
          <t>Home Office</t>
        </is>
      </c>
      <c r="G568" t="inlineStr">
        <is>
          <t>P1011</t>
        </is>
      </c>
      <c r="H568" t="inlineStr">
        <is>
          <t>Halo Planter</t>
        </is>
      </c>
      <c r="I568" t="inlineStr">
        <is>
          <t>Outdoor</t>
        </is>
      </c>
      <c r="J568" t="inlineStr">
        <is>
          <t>Accessories</t>
        </is>
      </c>
      <c r="K568" t="inlineStr">
        <is>
          <t>Central</t>
        </is>
      </c>
      <c r="L568" t="inlineStr">
        <is>
          <t>Missouri</t>
        </is>
      </c>
      <c r="M568" t="inlineStr">
        <is>
          <t>Chicago</t>
        </is>
      </c>
      <c r="N568" t="inlineStr">
        <is>
          <t>Liam Chen</t>
        </is>
      </c>
      <c r="O568" t="n">
        <v>1</v>
      </c>
      <c r="P568" s="3" t="n">
        <v>94.41</v>
      </c>
      <c r="Q568" s="4" t="n">
        <v>0.003</v>
      </c>
      <c r="R568" s="3" t="n">
        <v>94.13</v>
      </c>
      <c r="S568" s="3" t="n">
        <v>48.6</v>
      </c>
      <c r="T568" s="3" t="n">
        <v>38.73</v>
      </c>
      <c r="U568" s="4" t="n">
        <v>0.4115</v>
      </c>
      <c r="V568" s="3" t="n">
        <v>6.8</v>
      </c>
      <c r="W568" t="inlineStr">
        <is>
          <t>PayPal</t>
        </is>
      </c>
      <c r="X568" t="inlineStr">
        <is>
          <t>Medium</t>
        </is>
      </c>
      <c r="Y568" t="n">
        <v>2024</v>
      </c>
      <c r="Z568" t="n">
        <v>7</v>
      </c>
      <c r="AA568" t="inlineStr">
        <is>
          <t>Jul</t>
        </is>
      </c>
      <c r="AB568" t="inlineStr">
        <is>
          <t>Sunday</t>
        </is>
      </c>
      <c r="AC568" t="n">
        <v>7</v>
      </c>
      <c r="AD568" t="inlineStr">
        <is>
          <t>Profitable</t>
        </is>
      </c>
      <c r="AE568" t="inlineStr">
        <is>
          <t>Low</t>
        </is>
      </c>
      <c r="AF568" t="inlineStr">
        <is>
          <t>Small</t>
        </is>
      </c>
    </row>
    <row r="569">
      <c r="A569" t="inlineStr">
        <is>
          <t>ORD-00568</t>
        </is>
      </c>
      <c r="B569" s="2" t="n">
        <v>45418</v>
      </c>
      <c r="C569" s="2" t="n">
        <v>45422</v>
      </c>
      <c r="D569" t="inlineStr">
        <is>
          <t>CUST-00568</t>
        </is>
      </c>
      <c r="E569" t="inlineStr">
        <is>
          <t>Customer 568</t>
        </is>
      </c>
      <c r="F569" t="inlineStr">
        <is>
          <t>Corporate</t>
        </is>
      </c>
      <c r="G569" t="inlineStr">
        <is>
          <t>P1018</t>
        </is>
      </c>
      <c r="H569" t="inlineStr">
        <is>
          <t>Northstar Lantern</t>
        </is>
      </c>
      <c r="I569" t="inlineStr">
        <is>
          <t>Home Decor</t>
        </is>
      </c>
      <c r="J569" t="inlineStr">
        <is>
          <t>Peripherals</t>
        </is>
      </c>
      <c r="K569" t="inlineStr">
        <is>
          <t>South</t>
        </is>
      </c>
      <c r="L569" t="inlineStr">
        <is>
          <t>Georgia</t>
        </is>
      </c>
      <c r="M569" t="inlineStr">
        <is>
          <t>Miami</t>
        </is>
      </c>
      <c r="N569" t="inlineStr">
        <is>
          <t>James Carter</t>
        </is>
      </c>
      <c r="O569" t="n">
        <v>2</v>
      </c>
      <c r="P569" s="3" t="n">
        <v>84</v>
      </c>
      <c r="Q569" s="4" t="n">
        <v>0.064</v>
      </c>
      <c r="R569" s="3" t="n">
        <v>157.25</v>
      </c>
      <c r="S569" s="3" t="n">
        <v>78.42</v>
      </c>
      <c r="T569" s="3" t="n">
        <v>71.23</v>
      </c>
      <c r="U569" s="4" t="n">
        <v>0.453</v>
      </c>
      <c r="V569" s="3" t="n">
        <v>7.6</v>
      </c>
      <c r="W569" t="inlineStr">
        <is>
          <t>Cash on Delivery</t>
        </is>
      </c>
      <c r="X569" t="inlineStr">
        <is>
          <t>High</t>
        </is>
      </c>
      <c r="Y569" t="n">
        <v>2024</v>
      </c>
      <c r="Z569" t="n">
        <v>5</v>
      </c>
      <c r="AA569" t="inlineStr">
        <is>
          <t>May</t>
        </is>
      </c>
      <c r="AB569" t="inlineStr">
        <is>
          <t>Monday</t>
        </is>
      </c>
      <c r="AC569" t="n">
        <v>4</v>
      </c>
      <c r="AD569" t="inlineStr">
        <is>
          <t>Profitable</t>
        </is>
      </c>
      <c r="AE569" t="inlineStr">
        <is>
          <t>High</t>
        </is>
      </c>
      <c r="AF569" t="inlineStr">
        <is>
          <t>Small</t>
        </is>
      </c>
    </row>
    <row r="570">
      <c r="A570" t="inlineStr">
        <is>
          <t>ORD-00569</t>
        </is>
      </c>
      <c r="B570" s="2" t="n">
        <v>45863</v>
      </c>
      <c r="C570" s="2" t="n">
        <v>45869</v>
      </c>
      <c r="D570" t="inlineStr">
        <is>
          <t>CUST-00569</t>
        </is>
      </c>
      <c r="E570" t="inlineStr">
        <is>
          <t>Customer 569</t>
        </is>
      </c>
      <c r="F570" t="inlineStr">
        <is>
          <t>Consumer</t>
        </is>
      </c>
      <c r="G570" t="inlineStr">
        <is>
          <t>P1020</t>
        </is>
      </c>
      <c r="H570" t="inlineStr">
        <is>
          <t>Pulse Keyboard</t>
        </is>
      </c>
      <c r="I570" t="inlineStr">
        <is>
          <t>Outdoor</t>
        </is>
      </c>
      <c r="J570" t="inlineStr">
        <is>
          <t>Video</t>
        </is>
      </c>
      <c r="K570" t="inlineStr">
        <is>
          <t>South</t>
        </is>
      </c>
      <c r="L570" t="inlineStr">
        <is>
          <t>Texas</t>
        </is>
      </c>
      <c r="M570" t="inlineStr">
        <is>
          <t>Atlanta</t>
        </is>
      </c>
      <c r="N570" t="inlineStr">
        <is>
          <t>Mia Rodriguez</t>
        </is>
      </c>
      <c r="O570" t="n">
        <v>2</v>
      </c>
      <c r="P570" s="3" t="n">
        <v>74.70999999999999</v>
      </c>
      <c r="Q570" s="4" t="n">
        <v>0.023</v>
      </c>
      <c r="R570" s="3" t="n">
        <v>145.98</v>
      </c>
      <c r="S570" s="3" t="n">
        <v>72.34</v>
      </c>
      <c r="T570" s="3" t="n">
        <v>66.04000000000001</v>
      </c>
      <c r="U570" s="4" t="n">
        <v>0.4524</v>
      </c>
      <c r="V570" s="3" t="n">
        <v>7.6</v>
      </c>
      <c r="W570" t="inlineStr">
        <is>
          <t>Debit Card</t>
        </is>
      </c>
      <c r="X570" t="inlineStr">
        <is>
          <t>Medium</t>
        </is>
      </c>
      <c r="Y570" t="n">
        <v>2025</v>
      </c>
      <c r="Z570" t="n">
        <v>7</v>
      </c>
      <c r="AA570" t="inlineStr">
        <is>
          <t>Jul</t>
        </is>
      </c>
      <c r="AB570" t="inlineStr">
        <is>
          <t>Friday</t>
        </is>
      </c>
      <c r="AC570" t="n">
        <v>6</v>
      </c>
      <c r="AD570" t="inlineStr">
        <is>
          <t>Profitable</t>
        </is>
      </c>
      <c r="AE570" t="inlineStr">
        <is>
          <t>Medium</t>
        </is>
      </c>
      <c r="AF570" t="inlineStr">
        <is>
          <t>Small</t>
        </is>
      </c>
    </row>
    <row r="571">
      <c r="A571" t="inlineStr">
        <is>
          <t>ORD-00570</t>
        </is>
      </c>
      <c r="B571" s="2" t="n">
        <v>45516</v>
      </c>
      <c r="C571" s="2" t="n">
        <v>45523</v>
      </c>
      <c r="D571" t="inlineStr">
        <is>
          <t>CUST-00570</t>
        </is>
      </c>
      <c r="E571" t="inlineStr">
        <is>
          <t>Customer 570</t>
        </is>
      </c>
      <c r="F571" t="inlineStr">
        <is>
          <t>Corporate</t>
        </is>
      </c>
      <c r="G571" t="inlineStr">
        <is>
          <t>P1017</t>
        </is>
      </c>
      <c r="H571" t="inlineStr">
        <is>
          <t>Halo Planter</t>
        </is>
      </c>
      <c r="I571" t="inlineStr">
        <is>
          <t>Outdoor</t>
        </is>
      </c>
      <c r="J571" t="inlineStr">
        <is>
          <t>Binders</t>
        </is>
      </c>
      <c r="K571" t="inlineStr">
        <is>
          <t>West</t>
        </is>
      </c>
      <c r="L571" t="inlineStr">
        <is>
          <t>Colorado</t>
        </is>
      </c>
      <c r="M571" t="inlineStr">
        <is>
          <t>San Francisco</t>
        </is>
      </c>
      <c r="N571" t="inlineStr">
        <is>
          <t>James Carter</t>
        </is>
      </c>
      <c r="O571" t="n">
        <v>3</v>
      </c>
      <c r="P571" s="3" t="n">
        <v>569.7</v>
      </c>
      <c r="Q571" s="4" t="n">
        <v>0.037</v>
      </c>
      <c r="R571" s="3" t="n">
        <v>1645.86</v>
      </c>
      <c r="S571" s="3" t="n">
        <v>1095.72</v>
      </c>
      <c r="T571" s="3" t="n">
        <v>540.74</v>
      </c>
      <c r="U571" s="4" t="n">
        <v>0.3285</v>
      </c>
      <c r="V571" s="3" t="n">
        <v>9.4</v>
      </c>
      <c r="W571" t="inlineStr">
        <is>
          <t>Credit Card</t>
        </is>
      </c>
      <c r="X571" t="inlineStr">
        <is>
          <t>High</t>
        </is>
      </c>
      <c r="Y571" t="n">
        <v>2024</v>
      </c>
      <c r="Z571" t="n">
        <v>8</v>
      </c>
      <c r="AA571" t="inlineStr">
        <is>
          <t>Aug</t>
        </is>
      </c>
      <c r="AB571" t="inlineStr">
        <is>
          <t>Monday</t>
        </is>
      </c>
      <c r="AC571" t="n">
        <v>7</v>
      </c>
      <c r="AD571" t="inlineStr">
        <is>
          <t>Profitable</t>
        </is>
      </c>
      <c r="AE571" t="inlineStr">
        <is>
          <t>Medium</t>
        </is>
      </c>
      <c r="AF571" t="inlineStr">
        <is>
          <t>Large</t>
        </is>
      </c>
    </row>
    <row r="572">
      <c r="A572" t="inlineStr">
        <is>
          <t>ORD-00571</t>
        </is>
      </c>
      <c r="B572" s="2" t="n">
        <v>45452</v>
      </c>
      <c r="C572" s="2" t="n">
        <v>45459</v>
      </c>
      <c r="D572" t="inlineStr">
        <is>
          <t>CUST-00571</t>
        </is>
      </c>
      <c r="E572" t="inlineStr">
        <is>
          <t>Customer 571</t>
        </is>
      </c>
      <c r="F572" t="inlineStr">
        <is>
          <t>Corporate</t>
        </is>
      </c>
      <c r="G572" t="inlineStr">
        <is>
          <t>P1013</t>
        </is>
      </c>
      <c r="H572" t="inlineStr">
        <is>
          <t>Echo Web Camera</t>
        </is>
      </c>
      <c r="I572" t="inlineStr">
        <is>
          <t>Outdoor</t>
        </is>
      </c>
      <c r="J572" t="inlineStr">
        <is>
          <t>Writing</t>
        </is>
      </c>
      <c r="K572" t="inlineStr">
        <is>
          <t>South</t>
        </is>
      </c>
      <c r="L572" t="inlineStr">
        <is>
          <t>Florida</t>
        </is>
      </c>
      <c r="M572" t="inlineStr">
        <is>
          <t>Atlanta</t>
        </is>
      </c>
      <c r="N572" t="inlineStr">
        <is>
          <t>Ethan Brooks</t>
        </is>
      </c>
      <c r="O572" t="n">
        <v>3</v>
      </c>
      <c r="P572" s="3" t="n">
        <v>164.17</v>
      </c>
      <c r="Q572" s="4" t="n">
        <v>0.015</v>
      </c>
      <c r="R572" s="3" t="n">
        <v>485.12</v>
      </c>
      <c r="S572" s="3" t="n">
        <v>280.54</v>
      </c>
      <c r="T572" s="3" t="n">
        <v>196.18</v>
      </c>
      <c r="U572" s="4" t="n">
        <v>0.4044</v>
      </c>
      <c r="V572" s="3" t="n">
        <v>8.4</v>
      </c>
      <c r="W572" t="inlineStr">
        <is>
          <t>Debit Card</t>
        </is>
      </c>
      <c r="X572" t="inlineStr">
        <is>
          <t>Low</t>
        </is>
      </c>
      <c r="Y572" t="n">
        <v>2024</v>
      </c>
      <c r="Z572" t="n">
        <v>6</v>
      </c>
      <c r="AA572" t="inlineStr">
        <is>
          <t>Jun</t>
        </is>
      </c>
      <c r="AB572" t="inlineStr">
        <is>
          <t>Sunday</t>
        </is>
      </c>
      <c r="AC572" t="n">
        <v>7</v>
      </c>
      <c r="AD572" t="inlineStr">
        <is>
          <t>Profitable</t>
        </is>
      </c>
      <c r="AE572" t="inlineStr">
        <is>
          <t>Low</t>
        </is>
      </c>
      <c r="AF572" t="inlineStr">
        <is>
          <t>Small</t>
        </is>
      </c>
    </row>
    <row r="573">
      <c r="A573" t="inlineStr">
        <is>
          <t>ORD-00572</t>
        </is>
      </c>
      <c r="B573" s="2" t="n">
        <v>45826</v>
      </c>
      <c r="C573" s="2" t="n">
        <v>45832</v>
      </c>
      <c r="D573" t="inlineStr">
        <is>
          <t>CUST-00572</t>
        </is>
      </c>
      <c r="E573" t="inlineStr">
        <is>
          <t>Customer 572</t>
        </is>
      </c>
      <c r="F573" t="inlineStr">
        <is>
          <t>Corporate</t>
        </is>
      </c>
      <c r="G573" t="inlineStr">
        <is>
          <t>P1017</t>
        </is>
      </c>
      <c r="H573" t="inlineStr">
        <is>
          <t>Northstar Lantern</t>
        </is>
      </c>
      <c r="I573" t="inlineStr">
        <is>
          <t>Office Supplies</t>
        </is>
      </c>
      <c r="J573" t="inlineStr">
        <is>
          <t>Furniture</t>
        </is>
      </c>
      <c r="K573" t="inlineStr">
        <is>
          <t>Central</t>
        </is>
      </c>
      <c r="L573" t="inlineStr">
        <is>
          <t>Kansas</t>
        </is>
      </c>
      <c r="M573" t="inlineStr">
        <is>
          <t>St. Louis</t>
        </is>
      </c>
      <c r="N573" t="inlineStr">
        <is>
          <t>Ethan Brooks</t>
        </is>
      </c>
      <c r="O573" t="n">
        <v>3</v>
      </c>
      <c r="P573" s="3" t="n">
        <v>582.73</v>
      </c>
      <c r="Q573" s="4" t="n">
        <v>0.015</v>
      </c>
      <c r="R573" s="3" t="n">
        <v>1721.97</v>
      </c>
      <c r="S573" s="3" t="n">
        <v>1142.82</v>
      </c>
      <c r="T573" s="3" t="n">
        <v>570.75</v>
      </c>
      <c r="U573" s="4" t="n">
        <v>0.3315</v>
      </c>
      <c r="V573" s="3" t="n">
        <v>8.4</v>
      </c>
      <c r="W573" t="inlineStr">
        <is>
          <t>Cash on Delivery</t>
        </is>
      </c>
      <c r="X573" t="inlineStr">
        <is>
          <t>Medium</t>
        </is>
      </c>
      <c r="Y573" t="n">
        <v>2025</v>
      </c>
      <c r="Z573" t="n">
        <v>6</v>
      </c>
      <c r="AA573" t="inlineStr">
        <is>
          <t>Jun</t>
        </is>
      </c>
      <c r="AB573" t="inlineStr">
        <is>
          <t>Wednesday</t>
        </is>
      </c>
      <c r="AC573" t="n">
        <v>6</v>
      </c>
      <c r="AD573" t="inlineStr">
        <is>
          <t>Profitable</t>
        </is>
      </c>
      <c r="AE573" t="inlineStr">
        <is>
          <t>Low</t>
        </is>
      </c>
      <c r="AF573" t="inlineStr">
        <is>
          <t>Large</t>
        </is>
      </c>
    </row>
    <row r="574">
      <c r="A574" t="inlineStr">
        <is>
          <t>ORD-00573</t>
        </is>
      </c>
      <c r="B574" s="2" t="n">
        <v>45567</v>
      </c>
      <c r="C574" s="2" t="n">
        <v>45572</v>
      </c>
      <c r="D574" t="inlineStr">
        <is>
          <t>CUST-00573</t>
        </is>
      </c>
      <c r="E574" t="inlineStr">
        <is>
          <t>Customer 573</t>
        </is>
      </c>
      <c r="F574" t="inlineStr">
        <is>
          <t>Consumer</t>
        </is>
      </c>
      <c r="G574" t="inlineStr">
        <is>
          <t>P1010</t>
        </is>
      </c>
      <c r="H574" t="inlineStr">
        <is>
          <t>Atlas Throw Pillow</t>
        </is>
      </c>
      <c r="I574" t="inlineStr">
        <is>
          <t>Office Supplies</t>
        </is>
      </c>
      <c r="J574" t="inlineStr">
        <is>
          <t>Furniture</t>
        </is>
      </c>
      <c r="K574" t="inlineStr">
        <is>
          <t>West</t>
        </is>
      </c>
      <c r="L574" t="inlineStr">
        <is>
          <t>Oregon</t>
        </is>
      </c>
      <c r="M574" t="inlineStr">
        <is>
          <t>Seattle</t>
        </is>
      </c>
      <c r="N574" t="inlineStr">
        <is>
          <t>Mia Rodriguez</t>
        </is>
      </c>
      <c r="O574" t="n">
        <v>2</v>
      </c>
      <c r="P574" s="3" t="n">
        <v>58.33</v>
      </c>
      <c r="Q574" s="4" t="n">
        <v>0.061</v>
      </c>
      <c r="R574" s="3" t="n">
        <v>109.54</v>
      </c>
      <c r="S574" s="3" t="n">
        <v>49.52</v>
      </c>
      <c r="T574" s="3" t="n">
        <v>51.42</v>
      </c>
      <c r="U574" s="4" t="n">
        <v>0.4694</v>
      </c>
      <c r="V574" s="3" t="n">
        <v>8.6</v>
      </c>
      <c r="W574" t="inlineStr">
        <is>
          <t>Credit Card</t>
        </is>
      </c>
      <c r="X574" t="inlineStr">
        <is>
          <t>High</t>
        </is>
      </c>
      <c r="Y574" t="n">
        <v>2024</v>
      </c>
      <c r="Z574" t="n">
        <v>10</v>
      </c>
      <c r="AA574" t="inlineStr">
        <is>
          <t>Oct</t>
        </is>
      </c>
      <c r="AB574" t="inlineStr">
        <is>
          <t>Wednesday</t>
        </is>
      </c>
      <c r="AC574" t="n">
        <v>5</v>
      </c>
      <c r="AD574" t="inlineStr">
        <is>
          <t>Profitable</t>
        </is>
      </c>
      <c r="AE574" t="inlineStr">
        <is>
          <t>High</t>
        </is>
      </c>
      <c r="AF574" t="inlineStr">
        <is>
          <t>Small</t>
        </is>
      </c>
    </row>
    <row r="575">
      <c r="A575" t="inlineStr">
        <is>
          <t>ORD-00574</t>
        </is>
      </c>
      <c r="B575" s="2" t="n">
        <v>45590</v>
      </c>
      <c r="C575" s="2" t="n">
        <v>45594</v>
      </c>
      <c r="D575" t="inlineStr">
        <is>
          <t>CUST-00574</t>
        </is>
      </c>
      <c r="E575" t="inlineStr">
        <is>
          <t>Customer 574</t>
        </is>
      </c>
      <c r="F575" t="inlineStr">
        <is>
          <t>Corporate</t>
        </is>
      </c>
      <c r="G575" t="inlineStr">
        <is>
          <t>P1018</t>
        </is>
      </c>
      <c r="H575" t="inlineStr">
        <is>
          <t>Aero Standing Desk</t>
        </is>
      </c>
      <c r="I575" t="inlineStr">
        <is>
          <t>Furniture</t>
        </is>
      </c>
      <c r="J575" t="inlineStr">
        <is>
          <t>Desks</t>
        </is>
      </c>
      <c r="K575" t="inlineStr">
        <is>
          <t>East</t>
        </is>
      </c>
      <c r="L575" t="inlineStr">
        <is>
          <t>New York</t>
        </is>
      </c>
      <c r="M575" t="inlineStr">
        <is>
          <t>Philadelphia</t>
        </is>
      </c>
      <c r="N575" t="inlineStr">
        <is>
          <t>Sophia Singh</t>
        </is>
      </c>
      <c r="O575" t="n">
        <v>3</v>
      </c>
      <c r="P575" s="3" t="n">
        <v>95.53</v>
      </c>
      <c r="Q575" s="4" t="n">
        <v>0.029</v>
      </c>
      <c r="R575" s="3" t="n">
        <v>278.28</v>
      </c>
      <c r="S575" s="3" t="n">
        <v>127.22</v>
      </c>
      <c r="T575" s="3" t="n">
        <v>141.66</v>
      </c>
      <c r="U575" s="4" t="n">
        <v>0.5091</v>
      </c>
      <c r="V575" s="3" t="n">
        <v>9.4</v>
      </c>
      <c r="W575" t="inlineStr">
        <is>
          <t>Bank Transfer</t>
        </is>
      </c>
      <c r="X575" t="inlineStr">
        <is>
          <t>High</t>
        </is>
      </c>
      <c r="Y575" t="n">
        <v>2024</v>
      </c>
      <c r="Z575" t="n">
        <v>10</v>
      </c>
      <c r="AA575" t="inlineStr">
        <is>
          <t>Oct</t>
        </is>
      </c>
      <c r="AB575" t="inlineStr">
        <is>
          <t>Friday</t>
        </is>
      </c>
      <c r="AC575" t="n">
        <v>4</v>
      </c>
      <c r="AD575" t="inlineStr">
        <is>
          <t>Profitable</t>
        </is>
      </c>
      <c r="AE575" t="inlineStr">
        <is>
          <t>Medium</t>
        </is>
      </c>
      <c r="AF575" t="inlineStr">
        <is>
          <t>Small</t>
        </is>
      </c>
    </row>
    <row r="576">
      <c r="A576" t="inlineStr">
        <is>
          <t>ORD-00575</t>
        </is>
      </c>
      <c r="B576" s="2" t="n">
        <v>45978</v>
      </c>
      <c r="C576" s="2" t="n">
        <v>45980</v>
      </c>
      <c r="D576" t="inlineStr">
        <is>
          <t>CUST-00575</t>
        </is>
      </c>
      <c r="E576" t="inlineStr">
        <is>
          <t>Customer 575</t>
        </is>
      </c>
      <c r="F576" t="inlineStr">
        <is>
          <t>Consumer</t>
        </is>
      </c>
      <c r="G576" t="inlineStr">
        <is>
          <t>P1017</t>
        </is>
      </c>
      <c r="H576" t="inlineStr">
        <is>
          <t>Tide Cooler</t>
        </is>
      </c>
      <c r="I576" t="inlineStr">
        <is>
          <t>Technology</t>
        </is>
      </c>
      <c r="J576" t="inlineStr">
        <is>
          <t>Chairs</t>
        </is>
      </c>
      <c r="K576" t="inlineStr">
        <is>
          <t>South</t>
        </is>
      </c>
      <c r="L576" t="inlineStr">
        <is>
          <t>Texas</t>
        </is>
      </c>
      <c r="M576" t="inlineStr">
        <is>
          <t>Miami</t>
        </is>
      </c>
      <c r="N576" t="inlineStr">
        <is>
          <t>Liam Chen</t>
        </is>
      </c>
      <c r="O576" t="n">
        <v>4</v>
      </c>
      <c r="P576" s="3" t="n">
        <v>567.49</v>
      </c>
      <c r="Q576" s="4" t="n">
        <v>0.036</v>
      </c>
      <c r="R576" s="3" t="n">
        <v>2188.24</v>
      </c>
      <c r="S576" s="3" t="n">
        <v>1453.38</v>
      </c>
      <c r="T576" s="3" t="n">
        <v>725.66</v>
      </c>
      <c r="U576" s="4" t="n">
        <v>0.3316</v>
      </c>
      <c r="V576" s="3" t="n">
        <v>9.199999999999999</v>
      </c>
      <c r="W576" t="inlineStr">
        <is>
          <t>Debit Card</t>
        </is>
      </c>
      <c r="X576" t="inlineStr">
        <is>
          <t>High</t>
        </is>
      </c>
      <c r="Y576" t="n">
        <v>2025</v>
      </c>
      <c r="Z576" t="n">
        <v>11</v>
      </c>
      <c r="AA576" t="inlineStr">
        <is>
          <t>Nov</t>
        </is>
      </c>
      <c r="AB576" t="inlineStr">
        <is>
          <t>Monday</t>
        </is>
      </c>
      <c r="AC576" t="n">
        <v>2</v>
      </c>
      <c r="AD576" t="inlineStr">
        <is>
          <t>Profitable</t>
        </is>
      </c>
      <c r="AE576" t="inlineStr">
        <is>
          <t>Medium</t>
        </is>
      </c>
      <c r="AF576" t="inlineStr">
        <is>
          <t>Large</t>
        </is>
      </c>
    </row>
    <row r="577">
      <c r="A577" t="inlineStr">
        <is>
          <t>ORD-00576</t>
        </is>
      </c>
      <c r="B577" s="2" t="n">
        <v>45768</v>
      </c>
      <c r="C577" s="2" t="n">
        <v>45771</v>
      </c>
      <c r="D577" t="inlineStr">
        <is>
          <t>CUST-00576</t>
        </is>
      </c>
      <c r="E577" t="inlineStr">
        <is>
          <t>Customer 576</t>
        </is>
      </c>
      <c r="F577" t="inlineStr">
        <is>
          <t>Consumer</t>
        </is>
      </c>
      <c r="G577" t="inlineStr">
        <is>
          <t>P1012</t>
        </is>
      </c>
      <c r="H577" t="inlineStr">
        <is>
          <t>Nova Laptop Stand</t>
        </is>
      </c>
      <c r="I577" t="inlineStr">
        <is>
          <t>Office Supplies</t>
        </is>
      </c>
      <c r="J577" t="inlineStr">
        <is>
          <t>Chairs</t>
        </is>
      </c>
      <c r="K577" t="inlineStr">
        <is>
          <t>South</t>
        </is>
      </c>
      <c r="L577" t="inlineStr">
        <is>
          <t>Texas</t>
        </is>
      </c>
      <c r="M577" t="inlineStr">
        <is>
          <t>Atlanta</t>
        </is>
      </c>
      <c r="N577" t="inlineStr">
        <is>
          <t>Ethan Brooks</t>
        </is>
      </c>
      <c r="O577" t="n">
        <v>2</v>
      </c>
      <c r="P577" s="3" t="n">
        <v>131.45</v>
      </c>
      <c r="Q577" s="4" t="n">
        <v>0.017</v>
      </c>
      <c r="R577" s="3" t="n">
        <v>258.43</v>
      </c>
      <c r="S577" s="3" t="n">
        <v>137.34</v>
      </c>
      <c r="T577" s="3" t="n">
        <v>113.49</v>
      </c>
      <c r="U577" s="4" t="n">
        <v>0.4392</v>
      </c>
      <c r="V577" s="3" t="n">
        <v>7.6</v>
      </c>
      <c r="W577" t="inlineStr">
        <is>
          <t>Credit Card</t>
        </is>
      </c>
      <c r="X577" t="inlineStr">
        <is>
          <t>High</t>
        </is>
      </c>
      <c r="Y577" t="n">
        <v>2025</v>
      </c>
      <c r="Z577" t="n">
        <v>4</v>
      </c>
      <c r="AA577" t="inlineStr">
        <is>
          <t>Apr</t>
        </is>
      </c>
      <c r="AB577" t="inlineStr">
        <is>
          <t>Monday</t>
        </is>
      </c>
      <c r="AC577" t="n">
        <v>3</v>
      </c>
      <c r="AD577" t="inlineStr">
        <is>
          <t>Profitable</t>
        </is>
      </c>
      <c r="AE577" t="inlineStr">
        <is>
          <t>Low</t>
        </is>
      </c>
      <c r="AF577" t="inlineStr">
        <is>
          <t>Small</t>
        </is>
      </c>
    </row>
    <row r="578">
      <c r="A578" t="inlineStr">
        <is>
          <t>ORD-00577</t>
        </is>
      </c>
      <c r="B578" s="2" t="n">
        <v>45170</v>
      </c>
      <c r="C578" s="2" t="n">
        <v>45176</v>
      </c>
      <c r="D578" t="inlineStr">
        <is>
          <t>CUST-00577</t>
        </is>
      </c>
      <c r="E578" t="inlineStr">
        <is>
          <t>Customer 577</t>
        </is>
      </c>
      <c r="F578" t="inlineStr">
        <is>
          <t>Corporate</t>
        </is>
      </c>
      <c r="G578" t="inlineStr">
        <is>
          <t>P1015</t>
        </is>
      </c>
      <c r="H578" t="inlineStr">
        <is>
          <t>Atlas Throw Pillow</t>
        </is>
      </c>
      <c r="I578" t="inlineStr">
        <is>
          <t>Home Decor</t>
        </is>
      </c>
      <c r="J578" t="inlineStr">
        <is>
          <t>Furniture</t>
        </is>
      </c>
      <c r="K578" t="inlineStr">
        <is>
          <t>East</t>
        </is>
      </c>
      <c r="L578" t="inlineStr">
        <is>
          <t>Massachusetts</t>
        </is>
      </c>
      <c r="M578" t="inlineStr">
        <is>
          <t>New York</t>
        </is>
      </c>
      <c r="N578" t="inlineStr">
        <is>
          <t>Ethan Brooks</t>
        </is>
      </c>
      <c r="O578" t="n">
        <v>2</v>
      </c>
      <c r="P578" s="3" t="n">
        <v>67.86</v>
      </c>
      <c r="Q578" s="4" t="n">
        <v>0.039</v>
      </c>
      <c r="R578" s="3" t="n">
        <v>130.43</v>
      </c>
      <c r="S578" s="3" t="n">
        <v>63.62</v>
      </c>
      <c r="T578" s="3" t="n">
        <v>58.21</v>
      </c>
      <c r="U578" s="4" t="n">
        <v>0.4463</v>
      </c>
      <c r="V578" s="3" t="n">
        <v>8.6</v>
      </c>
      <c r="W578" t="inlineStr">
        <is>
          <t>Debit Card</t>
        </is>
      </c>
      <c r="X578" t="inlineStr">
        <is>
          <t>Critical</t>
        </is>
      </c>
      <c r="Y578" t="n">
        <v>2023</v>
      </c>
      <c r="Z578" t="n">
        <v>9</v>
      </c>
      <c r="AA578" t="inlineStr">
        <is>
          <t>Sep</t>
        </is>
      </c>
      <c r="AB578" t="inlineStr">
        <is>
          <t>Friday</t>
        </is>
      </c>
      <c r="AC578" t="n">
        <v>6</v>
      </c>
      <c r="AD578" t="inlineStr">
        <is>
          <t>Profitable</t>
        </is>
      </c>
      <c r="AE578" t="inlineStr">
        <is>
          <t>Medium</t>
        </is>
      </c>
      <c r="AF578" t="inlineStr">
        <is>
          <t>Small</t>
        </is>
      </c>
    </row>
    <row r="579">
      <c r="A579" t="inlineStr">
        <is>
          <t>ORD-00578</t>
        </is>
      </c>
      <c r="B579" s="2" t="n">
        <v>45892</v>
      </c>
      <c r="C579" s="2" t="n">
        <v>45897</v>
      </c>
      <c r="D579" t="inlineStr">
        <is>
          <t>CUST-00578</t>
        </is>
      </c>
      <c r="E579" t="inlineStr">
        <is>
          <t>Customer 578</t>
        </is>
      </c>
      <c r="F579" t="inlineStr">
        <is>
          <t>Home Office</t>
        </is>
      </c>
      <c r="G579" t="inlineStr">
        <is>
          <t>P1019</t>
        </is>
      </c>
      <c r="H579" t="inlineStr">
        <is>
          <t>SmartInk Pen Set</t>
        </is>
      </c>
      <c r="I579" t="inlineStr">
        <is>
          <t>Technology</t>
        </is>
      </c>
      <c r="J579" t="inlineStr">
        <is>
          <t>Peripherals</t>
        </is>
      </c>
      <c r="K579" t="inlineStr">
        <is>
          <t>East</t>
        </is>
      </c>
      <c r="L579" t="inlineStr">
        <is>
          <t>New Jersey</t>
        </is>
      </c>
      <c r="M579" t="inlineStr">
        <is>
          <t>Philadelphia</t>
        </is>
      </c>
      <c r="N579" t="inlineStr">
        <is>
          <t>Ethan Brooks</t>
        </is>
      </c>
      <c r="O579" t="n">
        <v>2</v>
      </c>
      <c r="P579" s="3" t="n">
        <v>59.12</v>
      </c>
      <c r="Q579" s="4" t="n">
        <v>0.003</v>
      </c>
      <c r="R579" s="3" t="n">
        <v>117.89</v>
      </c>
      <c r="S579" s="3" t="n">
        <v>54.94</v>
      </c>
      <c r="T579" s="3" t="n">
        <v>54.35</v>
      </c>
      <c r="U579" s="4" t="n">
        <v>0.461</v>
      </c>
      <c r="V579" s="3" t="n">
        <v>8.6</v>
      </c>
      <c r="W579" t="inlineStr">
        <is>
          <t>Credit Card</t>
        </is>
      </c>
      <c r="X579" t="inlineStr">
        <is>
          <t>Low</t>
        </is>
      </c>
      <c r="Y579" t="n">
        <v>2025</v>
      </c>
      <c r="Z579" t="n">
        <v>8</v>
      </c>
      <c r="AA579" t="inlineStr">
        <is>
          <t>Aug</t>
        </is>
      </c>
      <c r="AB579" t="inlineStr">
        <is>
          <t>Saturday</t>
        </is>
      </c>
      <c r="AC579" t="n">
        <v>5</v>
      </c>
      <c r="AD579" t="inlineStr">
        <is>
          <t>Profitable</t>
        </is>
      </c>
      <c r="AE579" t="inlineStr">
        <is>
          <t>Low</t>
        </is>
      </c>
      <c r="AF579" t="inlineStr">
        <is>
          <t>Small</t>
        </is>
      </c>
    </row>
    <row r="580">
      <c r="A580" t="inlineStr">
        <is>
          <t>ORD-00579</t>
        </is>
      </c>
      <c r="B580" s="2" t="n">
        <v>45452</v>
      </c>
      <c r="C580" s="2" t="n">
        <v>45455</v>
      </c>
      <c r="D580" t="inlineStr">
        <is>
          <t>CUST-00579</t>
        </is>
      </c>
      <c r="E580" t="inlineStr">
        <is>
          <t>Customer 579</t>
        </is>
      </c>
      <c r="F580" t="inlineStr">
        <is>
          <t>Consumer</t>
        </is>
      </c>
      <c r="G580" t="inlineStr">
        <is>
          <t>P1015</t>
        </is>
      </c>
      <c r="H580" t="inlineStr">
        <is>
          <t>Northstar Lantern</t>
        </is>
      </c>
      <c r="I580" t="inlineStr">
        <is>
          <t>Office Supplies</t>
        </is>
      </c>
      <c r="J580" t="inlineStr">
        <is>
          <t>Accessories</t>
        </is>
      </c>
      <c r="K580" t="inlineStr">
        <is>
          <t>East</t>
        </is>
      </c>
      <c r="L580" t="inlineStr">
        <is>
          <t>New York</t>
        </is>
      </c>
      <c r="M580" t="inlineStr">
        <is>
          <t>New York</t>
        </is>
      </c>
      <c r="N580" t="inlineStr">
        <is>
          <t>Ethan Brooks</t>
        </is>
      </c>
      <c r="O580" t="n">
        <v>1</v>
      </c>
      <c r="P580" s="3" t="n">
        <v>74.16</v>
      </c>
      <c r="Q580" s="4" t="n">
        <v>0.037</v>
      </c>
      <c r="R580" s="3" t="n">
        <v>71.42</v>
      </c>
      <c r="S580" s="3" t="n">
        <v>37.47</v>
      </c>
      <c r="T580" s="3" t="n">
        <v>26.15</v>
      </c>
      <c r="U580" s="4" t="n">
        <v>0.3661</v>
      </c>
      <c r="V580" s="3" t="n">
        <v>7.8</v>
      </c>
      <c r="W580" t="inlineStr">
        <is>
          <t>PayPal</t>
        </is>
      </c>
      <c r="X580" t="inlineStr">
        <is>
          <t>Critical</t>
        </is>
      </c>
      <c r="Y580" t="n">
        <v>2024</v>
      </c>
      <c r="Z580" t="n">
        <v>6</v>
      </c>
      <c r="AA580" t="inlineStr">
        <is>
          <t>Jun</t>
        </is>
      </c>
      <c r="AB580" t="inlineStr">
        <is>
          <t>Sunday</t>
        </is>
      </c>
      <c r="AC580" t="n">
        <v>3</v>
      </c>
      <c r="AD580" t="inlineStr">
        <is>
          <t>Profitable</t>
        </is>
      </c>
      <c r="AE580" t="inlineStr">
        <is>
          <t>Medium</t>
        </is>
      </c>
      <c r="AF580" t="inlineStr">
        <is>
          <t>Small</t>
        </is>
      </c>
    </row>
    <row r="581">
      <c r="A581" t="inlineStr">
        <is>
          <t>ORD-00580</t>
        </is>
      </c>
      <c r="B581" s="2" t="n">
        <v>45113</v>
      </c>
      <c r="C581" s="2" t="n">
        <v>45120</v>
      </c>
      <c r="D581" t="inlineStr">
        <is>
          <t>CUST-00580</t>
        </is>
      </c>
      <c r="E581" t="inlineStr">
        <is>
          <t>Customer 580</t>
        </is>
      </c>
      <c r="F581" t="inlineStr">
        <is>
          <t>Home Office</t>
        </is>
      </c>
      <c r="G581" t="inlineStr">
        <is>
          <t>P1013</t>
        </is>
      </c>
      <c r="H581" t="inlineStr">
        <is>
          <t>Pulse Keyboard</t>
        </is>
      </c>
      <c r="I581" t="inlineStr">
        <is>
          <t>Office Supplies</t>
        </is>
      </c>
      <c r="J581" t="inlineStr">
        <is>
          <t>Peripherals</t>
        </is>
      </c>
      <c r="K581" t="inlineStr">
        <is>
          <t>North</t>
        </is>
      </c>
      <c r="L581" t="inlineStr">
        <is>
          <t>Alberta</t>
        </is>
      </c>
      <c r="M581" t="inlineStr">
        <is>
          <t>Montreal</t>
        </is>
      </c>
      <c r="N581" t="inlineStr">
        <is>
          <t>James Carter</t>
        </is>
      </c>
      <c r="O581" t="n">
        <v>4</v>
      </c>
      <c r="P581" s="3" t="n">
        <v>167.98</v>
      </c>
      <c r="Q581" s="4" t="n">
        <v>0.022</v>
      </c>
      <c r="R581" s="3" t="n">
        <v>657.14</v>
      </c>
      <c r="S581" s="3" t="n">
        <v>378.28</v>
      </c>
      <c r="T581" s="3" t="n">
        <v>269.66</v>
      </c>
      <c r="U581" s="4" t="n">
        <v>0.4104</v>
      </c>
      <c r="V581" s="3" t="n">
        <v>9.199999999999999</v>
      </c>
      <c r="W581" t="inlineStr">
        <is>
          <t>Credit Card</t>
        </is>
      </c>
      <c r="X581" t="inlineStr">
        <is>
          <t>Medium</t>
        </is>
      </c>
      <c r="Y581" t="n">
        <v>2023</v>
      </c>
      <c r="Z581" t="n">
        <v>7</v>
      </c>
      <c r="AA581" t="inlineStr">
        <is>
          <t>Jul</t>
        </is>
      </c>
      <c r="AB581" t="inlineStr">
        <is>
          <t>Thursday</t>
        </is>
      </c>
      <c r="AC581" t="n">
        <v>7</v>
      </c>
      <c r="AD581" t="inlineStr">
        <is>
          <t>Profitable</t>
        </is>
      </c>
      <c r="AE581" t="inlineStr">
        <is>
          <t>Medium</t>
        </is>
      </c>
      <c r="AF581" t="inlineStr">
        <is>
          <t>Medium</t>
        </is>
      </c>
    </row>
    <row r="582">
      <c r="A582" t="inlineStr">
        <is>
          <t>ORD-00581</t>
        </is>
      </c>
      <c r="B582" s="2" t="n">
        <v>45414</v>
      </c>
      <c r="C582" s="2" t="n">
        <v>45415</v>
      </c>
      <c r="D582" t="inlineStr">
        <is>
          <t>CUST-00581</t>
        </is>
      </c>
      <c r="E582" t="inlineStr">
        <is>
          <t>Customer 581</t>
        </is>
      </c>
      <c r="F582" t="inlineStr">
        <is>
          <t>Consumer</t>
        </is>
      </c>
      <c r="G582" t="inlineStr">
        <is>
          <t>P1007</t>
        </is>
      </c>
      <c r="H582" t="inlineStr">
        <is>
          <t>Summit Patio Set</t>
        </is>
      </c>
      <c r="I582" t="inlineStr">
        <is>
          <t>Outdoor</t>
        </is>
      </c>
      <c r="J582" t="inlineStr">
        <is>
          <t>Lighting</t>
        </is>
      </c>
      <c r="K582" t="inlineStr">
        <is>
          <t>East</t>
        </is>
      </c>
      <c r="L582" t="inlineStr">
        <is>
          <t>New Jersey</t>
        </is>
      </c>
      <c r="M582" t="inlineStr">
        <is>
          <t>New York</t>
        </is>
      </c>
      <c r="N582" t="inlineStr">
        <is>
          <t>Mia Rodriguez</t>
        </is>
      </c>
      <c r="O582" t="n">
        <v>2</v>
      </c>
      <c r="P582" s="3" t="n">
        <v>25.59</v>
      </c>
      <c r="Q582" s="4" t="n">
        <v>0.047</v>
      </c>
      <c r="R582" s="3" t="n">
        <v>48.77</v>
      </c>
      <c r="S582" s="3" t="n">
        <v>20.07</v>
      </c>
      <c r="T582" s="3" t="n">
        <v>20.1</v>
      </c>
      <c r="U582" s="4" t="n">
        <v>0.4121</v>
      </c>
      <c r="V582" s="3" t="n">
        <v>8.6</v>
      </c>
      <c r="W582" t="inlineStr">
        <is>
          <t>Cash on Delivery</t>
        </is>
      </c>
      <c r="X582" t="inlineStr">
        <is>
          <t>High</t>
        </is>
      </c>
      <c r="Y582" t="n">
        <v>2024</v>
      </c>
      <c r="Z582" t="n">
        <v>5</v>
      </c>
      <c r="AA582" t="inlineStr">
        <is>
          <t>May</t>
        </is>
      </c>
      <c r="AB582" t="inlineStr">
        <is>
          <t>Thursday</t>
        </is>
      </c>
      <c r="AC582" t="n">
        <v>1</v>
      </c>
      <c r="AD582" t="inlineStr">
        <is>
          <t>Profitable</t>
        </is>
      </c>
      <c r="AE582" t="inlineStr">
        <is>
          <t>Medium</t>
        </is>
      </c>
      <c r="AF582" t="inlineStr">
        <is>
          <t>Small</t>
        </is>
      </c>
    </row>
    <row r="583">
      <c r="A583" t="inlineStr">
        <is>
          <t>ORD-00582</t>
        </is>
      </c>
      <c r="B583" s="2" t="n">
        <v>45722</v>
      </c>
      <c r="C583" s="2" t="n">
        <v>45727</v>
      </c>
      <c r="D583" t="inlineStr">
        <is>
          <t>CUST-00582</t>
        </is>
      </c>
      <c r="E583" t="inlineStr">
        <is>
          <t>Customer 582</t>
        </is>
      </c>
      <c r="F583" t="inlineStr">
        <is>
          <t>Corporate</t>
        </is>
      </c>
      <c r="G583" t="inlineStr">
        <is>
          <t>P1011</t>
        </is>
      </c>
      <c r="H583" t="inlineStr">
        <is>
          <t>FlexNote Notebook</t>
        </is>
      </c>
      <c r="I583" t="inlineStr">
        <is>
          <t>Home Decor</t>
        </is>
      </c>
      <c r="J583" t="inlineStr">
        <is>
          <t>Textiles</t>
        </is>
      </c>
      <c r="K583" t="inlineStr">
        <is>
          <t>East</t>
        </is>
      </c>
      <c r="L583" t="inlineStr">
        <is>
          <t>New York</t>
        </is>
      </c>
      <c r="M583" t="inlineStr">
        <is>
          <t>Washington</t>
        </is>
      </c>
      <c r="N583" t="inlineStr">
        <is>
          <t>Noah Kim</t>
        </is>
      </c>
      <c r="O583" t="n">
        <v>2</v>
      </c>
      <c r="P583" s="3" t="n">
        <v>85.09</v>
      </c>
      <c r="Q583" s="4" t="n">
        <v>0.022</v>
      </c>
      <c r="R583" s="3" t="n">
        <v>166.44</v>
      </c>
      <c r="S583" s="3" t="n">
        <v>83.37</v>
      </c>
      <c r="T583" s="3" t="n">
        <v>74.47</v>
      </c>
      <c r="U583" s="4" t="n">
        <v>0.4474</v>
      </c>
      <c r="V583" s="3" t="n">
        <v>8.6</v>
      </c>
      <c r="W583" t="inlineStr">
        <is>
          <t>Credit Card</t>
        </is>
      </c>
      <c r="X583" t="inlineStr">
        <is>
          <t>Medium</t>
        </is>
      </c>
      <c r="Y583" t="n">
        <v>2025</v>
      </c>
      <c r="Z583" t="n">
        <v>3</v>
      </c>
      <c r="AA583" t="inlineStr">
        <is>
          <t>Mar</t>
        </is>
      </c>
      <c r="AB583" t="inlineStr">
        <is>
          <t>Thursday</t>
        </is>
      </c>
      <c r="AC583" t="n">
        <v>5</v>
      </c>
      <c r="AD583" t="inlineStr">
        <is>
          <t>Profitable</t>
        </is>
      </c>
      <c r="AE583" t="inlineStr">
        <is>
          <t>Medium</t>
        </is>
      </c>
      <c r="AF583" t="inlineStr">
        <is>
          <t>Small</t>
        </is>
      </c>
    </row>
    <row r="584">
      <c r="A584" t="inlineStr">
        <is>
          <t>ORD-00583</t>
        </is>
      </c>
      <c r="B584" s="2" t="n">
        <v>45391</v>
      </c>
      <c r="C584" s="2" t="n">
        <v>45398</v>
      </c>
      <c r="D584" t="inlineStr">
        <is>
          <t>CUST-00583</t>
        </is>
      </c>
      <c r="E584" t="inlineStr">
        <is>
          <t>Customer 583</t>
        </is>
      </c>
      <c r="F584" t="inlineStr">
        <is>
          <t>Consumer</t>
        </is>
      </c>
      <c r="G584" t="inlineStr">
        <is>
          <t>P1008</t>
        </is>
      </c>
      <c r="H584" t="inlineStr">
        <is>
          <t>Echo Web Camera</t>
        </is>
      </c>
      <c r="I584" t="inlineStr">
        <is>
          <t>Technology</t>
        </is>
      </c>
      <c r="J584" t="inlineStr">
        <is>
          <t>Textiles</t>
        </is>
      </c>
      <c r="K584" t="inlineStr">
        <is>
          <t>Central</t>
        </is>
      </c>
      <c r="L584" t="inlineStr">
        <is>
          <t>Illinois</t>
        </is>
      </c>
      <c r="M584" t="inlineStr">
        <is>
          <t>Kansas City</t>
        </is>
      </c>
      <c r="N584" t="inlineStr">
        <is>
          <t>Ava Patel</t>
        </is>
      </c>
      <c r="O584" t="n">
        <v>2</v>
      </c>
      <c r="P584" s="3" t="n">
        <v>33.63</v>
      </c>
      <c r="Q584" s="4" t="n">
        <v>0.008999999999999999</v>
      </c>
      <c r="R584" s="3" t="n">
        <v>66.65000000000001</v>
      </c>
      <c r="S584" s="3" t="n">
        <v>34.82</v>
      </c>
      <c r="T584" s="3" t="n">
        <v>24.23</v>
      </c>
      <c r="U584" s="4" t="n">
        <v>0.3635</v>
      </c>
      <c r="V584" s="3" t="n">
        <v>7.6</v>
      </c>
      <c r="W584" t="inlineStr">
        <is>
          <t>PayPal</t>
        </is>
      </c>
      <c r="X584" t="inlineStr">
        <is>
          <t>Medium</t>
        </is>
      </c>
      <c r="Y584" t="n">
        <v>2024</v>
      </c>
      <c r="Z584" t="n">
        <v>4</v>
      </c>
      <c r="AA584" t="inlineStr">
        <is>
          <t>Apr</t>
        </is>
      </c>
      <c r="AB584" t="inlineStr">
        <is>
          <t>Tuesday</t>
        </is>
      </c>
      <c r="AC584" t="n">
        <v>7</v>
      </c>
      <c r="AD584" t="inlineStr">
        <is>
          <t>Profitable</t>
        </is>
      </c>
      <c r="AE584" t="inlineStr">
        <is>
          <t>Low</t>
        </is>
      </c>
      <c r="AF584" t="inlineStr">
        <is>
          <t>Small</t>
        </is>
      </c>
    </row>
    <row r="585">
      <c r="A585" t="inlineStr">
        <is>
          <t>ORD-00584</t>
        </is>
      </c>
      <c r="B585" s="2" t="n">
        <v>45325</v>
      </c>
      <c r="C585" s="2" t="n">
        <v>45326</v>
      </c>
      <c r="D585" t="inlineStr">
        <is>
          <t>CUST-00584</t>
        </is>
      </c>
      <c r="E585" t="inlineStr">
        <is>
          <t>Customer 584</t>
        </is>
      </c>
      <c r="F585" t="inlineStr">
        <is>
          <t>Consumer</t>
        </is>
      </c>
      <c r="G585" t="inlineStr">
        <is>
          <t>P1020</t>
        </is>
      </c>
      <c r="H585" t="inlineStr">
        <is>
          <t>Northstar Lantern</t>
        </is>
      </c>
      <c r="I585" t="inlineStr">
        <is>
          <t>Furniture</t>
        </is>
      </c>
      <c r="J585" t="inlineStr">
        <is>
          <t>Storage</t>
        </is>
      </c>
      <c r="K585" t="inlineStr">
        <is>
          <t>Central</t>
        </is>
      </c>
      <c r="L585" t="inlineStr">
        <is>
          <t>Illinois</t>
        </is>
      </c>
      <c r="M585" t="inlineStr">
        <is>
          <t>Kansas City</t>
        </is>
      </c>
      <c r="N585" t="inlineStr">
        <is>
          <t>Liam Chen</t>
        </is>
      </c>
      <c r="O585" t="n">
        <v>1</v>
      </c>
      <c r="P585" s="3" t="n">
        <v>75.38</v>
      </c>
      <c r="Q585" s="4" t="n">
        <v>0.01</v>
      </c>
      <c r="R585" s="3" t="n">
        <v>74.63</v>
      </c>
      <c r="S585" s="3" t="n">
        <v>42.14</v>
      </c>
      <c r="T585" s="3" t="n">
        <v>25.69</v>
      </c>
      <c r="U585" s="4" t="n">
        <v>0.3442</v>
      </c>
      <c r="V585" s="3" t="n">
        <v>6.8</v>
      </c>
      <c r="W585" t="inlineStr">
        <is>
          <t>Bank Transfer</t>
        </is>
      </c>
      <c r="X585" t="inlineStr">
        <is>
          <t>High</t>
        </is>
      </c>
      <c r="Y585" t="n">
        <v>2024</v>
      </c>
      <c r="Z585" t="n">
        <v>2</v>
      </c>
      <c r="AA585" t="inlineStr">
        <is>
          <t>Feb</t>
        </is>
      </c>
      <c r="AB585" t="inlineStr">
        <is>
          <t>Saturday</t>
        </is>
      </c>
      <c r="AC585" t="n">
        <v>1</v>
      </c>
      <c r="AD585" t="inlineStr">
        <is>
          <t>Profitable</t>
        </is>
      </c>
      <c r="AE585" t="inlineStr">
        <is>
          <t>Low</t>
        </is>
      </c>
      <c r="AF585" t="inlineStr">
        <is>
          <t>Small</t>
        </is>
      </c>
    </row>
    <row r="586">
      <c r="A586" t="inlineStr">
        <is>
          <t>ORD-00585</t>
        </is>
      </c>
      <c r="B586" s="2" t="n">
        <v>45581</v>
      </c>
      <c r="C586" s="2" t="n">
        <v>45587</v>
      </c>
      <c r="D586" t="inlineStr">
        <is>
          <t>CUST-00585</t>
        </is>
      </c>
      <c r="E586" t="inlineStr">
        <is>
          <t>Customer 585</t>
        </is>
      </c>
      <c r="F586" t="inlineStr">
        <is>
          <t>Corporate</t>
        </is>
      </c>
      <c r="G586" t="inlineStr">
        <is>
          <t>P1016</t>
        </is>
      </c>
      <c r="H586" t="inlineStr">
        <is>
          <t>Lumen Desk Lamp</t>
        </is>
      </c>
      <c r="I586" t="inlineStr">
        <is>
          <t>Office Supplies</t>
        </is>
      </c>
      <c r="J586" t="inlineStr">
        <is>
          <t>Writing</t>
        </is>
      </c>
      <c r="K586" t="inlineStr">
        <is>
          <t>West</t>
        </is>
      </c>
      <c r="L586" t="inlineStr">
        <is>
          <t>California</t>
        </is>
      </c>
      <c r="M586" t="inlineStr">
        <is>
          <t>Seattle</t>
        </is>
      </c>
      <c r="N586" t="inlineStr">
        <is>
          <t>Sophia Singh</t>
        </is>
      </c>
      <c r="O586" t="n">
        <v>4</v>
      </c>
      <c r="P586" s="3" t="n">
        <v>42.12</v>
      </c>
      <c r="Q586" s="4" t="n">
        <v>0.03299999999999999</v>
      </c>
      <c r="R586" s="3" t="n">
        <v>162.92</v>
      </c>
      <c r="S586" s="3" t="n">
        <v>67.14</v>
      </c>
      <c r="T586" s="3" t="n">
        <v>85.58</v>
      </c>
      <c r="U586" s="4" t="n">
        <v>0.5253</v>
      </c>
      <c r="V586" s="3" t="n">
        <v>10.2</v>
      </c>
      <c r="W586" t="inlineStr">
        <is>
          <t>PayPal</t>
        </is>
      </c>
      <c r="X586" t="inlineStr">
        <is>
          <t>Medium</t>
        </is>
      </c>
      <c r="Y586" t="n">
        <v>2024</v>
      </c>
      <c r="Z586" t="n">
        <v>10</v>
      </c>
      <c r="AA586" t="inlineStr">
        <is>
          <t>Oct</t>
        </is>
      </c>
      <c r="AB586" t="inlineStr">
        <is>
          <t>Wednesday</t>
        </is>
      </c>
      <c r="AC586" t="n">
        <v>6</v>
      </c>
      <c r="AD586" t="inlineStr">
        <is>
          <t>Profitable</t>
        </is>
      </c>
      <c r="AE586" t="inlineStr">
        <is>
          <t>Medium</t>
        </is>
      </c>
      <c r="AF586" t="inlineStr">
        <is>
          <t>Small</t>
        </is>
      </c>
    </row>
    <row r="587">
      <c r="A587" t="inlineStr">
        <is>
          <t>ORD-00586</t>
        </is>
      </c>
      <c r="B587" s="2" t="n">
        <v>45194</v>
      </c>
      <c r="C587" s="2" t="n">
        <v>45199</v>
      </c>
      <c r="D587" t="inlineStr">
        <is>
          <t>CUST-00586</t>
        </is>
      </c>
      <c r="E587" t="inlineStr">
        <is>
          <t>Customer 586</t>
        </is>
      </c>
      <c r="F587" t="inlineStr">
        <is>
          <t>Corporate</t>
        </is>
      </c>
      <c r="G587" t="inlineStr">
        <is>
          <t>P1011</t>
        </is>
      </c>
      <c r="H587" t="inlineStr">
        <is>
          <t>ErgoMesh Chair</t>
        </is>
      </c>
      <c r="I587" t="inlineStr">
        <is>
          <t>Furniture</t>
        </is>
      </c>
      <c r="J587" t="inlineStr">
        <is>
          <t>Peripherals</t>
        </is>
      </c>
      <c r="K587" t="inlineStr">
        <is>
          <t>Central</t>
        </is>
      </c>
      <c r="L587" t="inlineStr">
        <is>
          <t>Illinois</t>
        </is>
      </c>
      <c r="M587" t="inlineStr">
        <is>
          <t>Chicago</t>
        </is>
      </c>
      <c r="N587" t="inlineStr">
        <is>
          <t>Sophia Singh</t>
        </is>
      </c>
      <c r="O587" t="n">
        <v>3</v>
      </c>
      <c r="P587" s="3" t="n">
        <v>90.25</v>
      </c>
      <c r="Q587" s="4" t="n">
        <v>0.025</v>
      </c>
      <c r="R587" s="3" t="n">
        <v>263.98</v>
      </c>
      <c r="S587" s="3" t="n">
        <v>132.11</v>
      </c>
      <c r="T587" s="3" t="n">
        <v>123.47</v>
      </c>
      <c r="U587" s="4" t="n">
        <v>0.4677</v>
      </c>
      <c r="V587" s="3" t="n">
        <v>8.4</v>
      </c>
      <c r="W587" t="inlineStr">
        <is>
          <t>PayPal</t>
        </is>
      </c>
      <c r="X587" t="inlineStr">
        <is>
          <t>High</t>
        </is>
      </c>
      <c r="Y587" t="n">
        <v>2023</v>
      </c>
      <c r="Z587" t="n">
        <v>9</v>
      </c>
      <c r="AA587" t="inlineStr">
        <is>
          <t>Sep</t>
        </is>
      </c>
      <c r="AB587" t="inlineStr">
        <is>
          <t>Monday</t>
        </is>
      </c>
      <c r="AC587" t="n">
        <v>5</v>
      </c>
      <c r="AD587" t="inlineStr">
        <is>
          <t>Profitable</t>
        </is>
      </c>
      <c r="AE587" t="inlineStr">
        <is>
          <t>Medium</t>
        </is>
      </c>
      <c r="AF587" t="inlineStr">
        <is>
          <t>Small</t>
        </is>
      </c>
    </row>
    <row r="588">
      <c r="A588" t="inlineStr">
        <is>
          <t>ORD-00587</t>
        </is>
      </c>
      <c r="B588" s="2" t="n">
        <v>45284</v>
      </c>
      <c r="C588" s="2" t="n">
        <v>45286</v>
      </c>
      <c r="D588" t="inlineStr">
        <is>
          <t>CUST-00587</t>
        </is>
      </c>
      <c r="E588" t="inlineStr">
        <is>
          <t>Customer 587</t>
        </is>
      </c>
      <c r="F588" t="inlineStr">
        <is>
          <t>Corporate</t>
        </is>
      </c>
      <c r="G588" t="inlineStr">
        <is>
          <t>P1005</t>
        </is>
      </c>
      <c r="H588" t="inlineStr">
        <is>
          <t>Aero Standing Desk</t>
        </is>
      </c>
      <c r="I588" t="inlineStr">
        <is>
          <t>Home Decor</t>
        </is>
      </c>
      <c r="J588" t="inlineStr">
        <is>
          <t>Desks</t>
        </is>
      </c>
      <c r="K588" t="inlineStr">
        <is>
          <t>West</t>
        </is>
      </c>
      <c r="L588" t="inlineStr">
        <is>
          <t>Washington</t>
        </is>
      </c>
      <c r="M588" t="inlineStr">
        <is>
          <t>Seattle</t>
        </is>
      </c>
      <c r="N588" t="inlineStr">
        <is>
          <t>Olivia Martin</t>
        </is>
      </c>
      <c r="O588" t="n">
        <v>3</v>
      </c>
      <c r="P588" s="3" t="n">
        <v>13.55</v>
      </c>
      <c r="Q588" s="4" t="n">
        <v>0.042</v>
      </c>
      <c r="R588" s="3" t="n">
        <v>38.94</v>
      </c>
      <c r="S588" s="3" t="n">
        <v>22.88</v>
      </c>
      <c r="T588" s="3" t="n">
        <v>6.66</v>
      </c>
      <c r="U588" s="4" t="n">
        <v>0.171</v>
      </c>
      <c r="V588" s="3" t="n">
        <v>9.4</v>
      </c>
      <c r="W588" t="inlineStr">
        <is>
          <t>Debit Card</t>
        </is>
      </c>
      <c r="X588" t="inlineStr">
        <is>
          <t>Medium</t>
        </is>
      </c>
      <c r="Y588" t="n">
        <v>2023</v>
      </c>
      <c r="Z588" t="n">
        <v>12</v>
      </c>
      <c r="AA588" t="inlineStr">
        <is>
          <t>Dec</t>
        </is>
      </c>
      <c r="AB588" t="inlineStr">
        <is>
          <t>Sunday</t>
        </is>
      </c>
      <c r="AC588" t="n">
        <v>2</v>
      </c>
      <c r="AD588" t="inlineStr">
        <is>
          <t>Profitable</t>
        </is>
      </c>
      <c r="AE588" t="inlineStr">
        <is>
          <t>Medium</t>
        </is>
      </c>
      <c r="AF588" t="inlineStr">
        <is>
          <t>Small</t>
        </is>
      </c>
    </row>
    <row r="589">
      <c r="A589" t="inlineStr">
        <is>
          <t>ORD-00588</t>
        </is>
      </c>
      <c r="B589" s="2" t="n">
        <v>45214</v>
      </c>
      <c r="C589" s="2" t="n">
        <v>45221</v>
      </c>
      <c r="D589" t="inlineStr">
        <is>
          <t>CUST-00588</t>
        </is>
      </c>
      <c r="E589" t="inlineStr">
        <is>
          <t>Customer 588</t>
        </is>
      </c>
      <c r="F589" t="inlineStr">
        <is>
          <t>Corporate</t>
        </is>
      </c>
      <c r="G589" t="inlineStr">
        <is>
          <t>P1007</t>
        </is>
      </c>
      <c r="H589" t="inlineStr">
        <is>
          <t>Pulse Keyboard</t>
        </is>
      </c>
      <c r="I589" t="inlineStr">
        <is>
          <t>Home Decor</t>
        </is>
      </c>
      <c r="J589" t="inlineStr">
        <is>
          <t>Accessories</t>
        </is>
      </c>
      <c r="K589" t="inlineStr">
        <is>
          <t>East</t>
        </is>
      </c>
      <c r="L589" t="inlineStr">
        <is>
          <t>New York</t>
        </is>
      </c>
      <c r="M589" t="inlineStr">
        <is>
          <t>New York</t>
        </is>
      </c>
      <c r="N589" t="inlineStr">
        <is>
          <t>Noah Kim</t>
        </is>
      </c>
      <c r="O589" t="n">
        <v>3</v>
      </c>
      <c r="P589" s="3" t="n">
        <v>26.49</v>
      </c>
      <c r="Q589" s="4" t="n">
        <v>0.033</v>
      </c>
      <c r="R589" s="3" t="n">
        <v>76.84999999999999</v>
      </c>
      <c r="S589" s="3" t="n">
        <v>33.65</v>
      </c>
      <c r="T589" s="3" t="n">
        <v>33.8</v>
      </c>
      <c r="U589" s="4" t="n">
        <v>0.4398</v>
      </c>
      <c r="V589" s="3" t="n">
        <v>9.4</v>
      </c>
      <c r="W589" t="inlineStr">
        <is>
          <t>Credit Card</t>
        </is>
      </c>
      <c r="X589" t="inlineStr">
        <is>
          <t>Medium</t>
        </is>
      </c>
      <c r="Y589" t="n">
        <v>2023</v>
      </c>
      <c r="Z589" t="n">
        <v>10</v>
      </c>
      <c r="AA589" t="inlineStr">
        <is>
          <t>Oct</t>
        </is>
      </c>
      <c r="AB589" t="inlineStr">
        <is>
          <t>Sunday</t>
        </is>
      </c>
      <c r="AC589" t="n">
        <v>7</v>
      </c>
      <c r="AD589" t="inlineStr">
        <is>
          <t>Profitable</t>
        </is>
      </c>
      <c r="AE589" t="inlineStr">
        <is>
          <t>Medium</t>
        </is>
      </c>
      <c r="AF589" t="inlineStr">
        <is>
          <t>Small</t>
        </is>
      </c>
    </row>
    <row r="590">
      <c r="A590" t="inlineStr">
        <is>
          <t>ORD-00589</t>
        </is>
      </c>
      <c r="B590" s="2" t="n">
        <v>44938</v>
      </c>
      <c r="C590" s="2" t="n">
        <v>44941</v>
      </c>
      <c r="D590" t="inlineStr">
        <is>
          <t>CUST-00589</t>
        </is>
      </c>
      <c r="E590" t="inlineStr">
        <is>
          <t>Customer 589</t>
        </is>
      </c>
      <c r="F590" t="inlineStr">
        <is>
          <t>Corporate</t>
        </is>
      </c>
      <c r="G590" t="inlineStr">
        <is>
          <t>P1016</t>
        </is>
      </c>
      <c r="H590" t="inlineStr">
        <is>
          <t>Tide Cooler</t>
        </is>
      </c>
      <c r="I590" t="inlineStr">
        <is>
          <t>Furniture</t>
        </is>
      </c>
      <c r="J590" t="inlineStr">
        <is>
          <t>Paper</t>
        </is>
      </c>
      <c r="K590" t="inlineStr">
        <is>
          <t>West</t>
        </is>
      </c>
      <c r="L590" t="inlineStr">
        <is>
          <t>California</t>
        </is>
      </c>
      <c r="M590" t="inlineStr">
        <is>
          <t>San Francisco</t>
        </is>
      </c>
      <c r="N590" t="inlineStr">
        <is>
          <t>Ava Patel</t>
        </is>
      </c>
      <c r="O590" t="n">
        <v>4</v>
      </c>
      <c r="P590" s="3" t="n">
        <v>39.88</v>
      </c>
      <c r="Q590" s="4" t="n">
        <v>0.029</v>
      </c>
      <c r="R590" s="3" t="n">
        <v>154.89</v>
      </c>
      <c r="S590" s="3" t="n">
        <v>63.23</v>
      </c>
      <c r="T590" s="3" t="n">
        <v>81.45999999999999</v>
      </c>
      <c r="U590" s="4" t="n">
        <v>0.5259</v>
      </c>
      <c r="V590" s="3" t="n">
        <v>10.2</v>
      </c>
      <c r="W590" t="inlineStr">
        <is>
          <t>Credit Card</t>
        </is>
      </c>
      <c r="X590" t="inlineStr">
        <is>
          <t>Medium</t>
        </is>
      </c>
      <c r="Y590" t="n">
        <v>2023</v>
      </c>
      <c r="Z590" t="n">
        <v>1</v>
      </c>
      <c r="AA590" t="inlineStr">
        <is>
          <t>Jan</t>
        </is>
      </c>
      <c r="AB590" t="inlineStr">
        <is>
          <t>Thursday</t>
        </is>
      </c>
      <c r="AC590" t="n">
        <v>3</v>
      </c>
      <c r="AD590" t="inlineStr">
        <is>
          <t>Profitable</t>
        </is>
      </c>
      <c r="AE590" t="inlineStr">
        <is>
          <t>Medium</t>
        </is>
      </c>
      <c r="AF590" t="inlineStr">
        <is>
          <t>Small</t>
        </is>
      </c>
    </row>
    <row r="591">
      <c r="A591" t="inlineStr">
        <is>
          <t>ORD-00590</t>
        </is>
      </c>
      <c r="B591" s="2" t="n">
        <v>45283</v>
      </c>
      <c r="C591" s="2" t="n">
        <v>45286</v>
      </c>
      <c r="D591" t="inlineStr">
        <is>
          <t>CUST-00590</t>
        </is>
      </c>
      <c r="E591" t="inlineStr">
        <is>
          <t>Customer 590</t>
        </is>
      </c>
      <c r="F591" t="inlineStr">
        <is>
          <t>Home Office</t>
        </is>
      </c>
      <c r="G591" t="inlineStr">
        <is>
          <t>P1016</t>
        </is>
      </c>
      <c r="H591" t="inlineStr">
        <is>
          <t>Atlas Throw Pillow</t>
        </is>
      </c>
      <c r="I591" t="inlineStr">
        <is>
          <t>Office Supplies</t>
        </is>
      </c>
      <c r="J591" t="inlineStr">
        <is>
          <t>Writing</t>
        </is>
      </c>
      <c r="K591" t="inlineStr">
        <is>
          <t>West</t>
        </is>
      </c>
      <c r="L591" t="inlineStr">
        <is>
          <t>Washington</t>
        </is>
      </c>
      <c r="M591" t="inlineStr">
        <is>
          <t>Denver</t>
        </is>
      </c>
      <c r="N591" t="inlineStr">
        <is>
          <t>Sophia Singh</t>
        </is>
      </c>
      <c r="O591" t="n">
        <v>3</v>
      </c>
      <c r="P591" s="3" t="n">
        <v>44.43</v>
      </c>
      <c r="Q591" s="4" t="n">
        <v>0.024</v>
      </c>
      <c r="R591" s="3" t="n">
        <v>130.09</v>
      </c>
      <c r="S591" s="3" t="n">
        <v>54.14</v>
      </c>
      <c r="T591" s="3" t="n">
        <v>66.55</v>
      </c>
      <c r="U591" s="4" t="n">
        <v>0.5116000000000001</v>
      </c>
      <c r="V591" s="3" t="n">
        <v>9.4</v>
      </c>
      <c r="W591" t="inlineStr">
        <is>
          <t>Bank Transfer</t>
        </is>
      </c>
      <c r="X591" t="inlineStr">
        <is>
          <t>Low</t>
        </is>
      </c>
      <c r="Y591" t="n">
        <v>2023</v>
      </c>
      <c r="Z591" t="n">
        <v>12</v>
      </c>
      <c r="AA591" t="inlineStr">
        <is>
          <t>Dec</t>
        </is>
      </c>
      <c r="AB591" t="inlineStr">
        <is>
          <t>Saturday</t>
        </is>
      </c>
      <c r="AC591" t="n">
        <v>3</v>
      </c>
      <c r="AD591" t="inlineStr">
        <is>
          <t>Profitable</t>
        </is>
      </c>
      <c r="AE591" t="inlineStr">
        <is>
          <t>Medium</t>
        </is>
      </c>
      <c r="AF591" t="inlineStr">
        <is>
          <t>Small</t>
        </is>
      </c>
    </row>
    <row r="592">
      <c r="A592" t="inlineStr">
        <is>
          <t>ORD-00591</t>
        </is>
      </c>
      <c r="B592" s="2" t="n">
        <v>45238</v>
      </c>
      <c r="C592" s="2" t="n">
        <v>45245</v>
      </c>
      <c r="D592" t="inlineStr">
        <is>
          <t>CUST-00591</t>
        </is>
      </c>
      <c r="E592" t="inlineStr">
        <is>
          <t>Customer 591</t>
        </is>
      </c>
      <c r="F592" t="inlineStr">
        <is>
          <t>Consumer</t>
        </is>
      </c>
      <c r="G592" t="inlineStr">
        <is>
          <t>P1020</t>
        </is>
      </c>
      <c r="H592" t="inlineStr">
        <is>
          <t>Orbit Wireless Mouse</t>
        </is>
      </c>
      <c r="I592" t="inlineStr">
        <is>
          <t>Office Supplies</t>
        </is>
      </c>
      <c r="J592" t="inlineStr">
        <is>
          <t>Desks</t>
        </is>
      </c>
      <c r="K592" t="inlineStr">
        <is>
          <t>East</t>
        </is>
      </c>
      <c r="L592" t="inlineStr">
        <is>
          <t>New York</t>
        </is>
      </c>
      <c r="M592" t="inlineStr">
        <is>
          <t>Washington</t>
        </is>
      </c>
      <c r="N592" t="inlineStr">
        <is>
          <t>Sophia Singh</t>
        </is>
      </c>
      <c r="O592" t="n">
        <v>5</v>
      </c>
      <c r="P592" s="3" t="n">
        <v>79.81999999999999</v>
      </c>
      <c r="Q592" s="4" t="n">
        <v>0.005</v>
      </c>
      <c r="R592" s="3" t="n">
        <v>397.1</v>
      </c>
      <c r="S592" s="3" t="n">
        <v>185.14</v>
      </c>
      <c r="T592" s="3" t="n">
        <v>200.96</v>
      </c>
      <c r="U592" s="4" t="n">
        <v>0.5061</v>
      </c>
      <c r="V592" s="3" t="n">
        <v>11</v>
      </c>
      <c r="W592" t="inlineStr">
        <is>
          <t>Bank Transfer</t>
        </is>
      </c>
      <c r="X592" t="inlineStr">
        <is>
          <t>Medium</t>
        </is>
      </c>
      <c r="Y592" t="n">
        <v>2023</v>
      </c>
      <c r="Z592" t="n">
        <v>11</v>
      </c>
      <c r="AA592" t="inlineStr">
        <is>
          <t>Nov</t>
        </is>
      </c>
      <c r="AB592" t="inlineStr">
        <is>
          <t>Wednesday</t>
        </is>
      </c>
      <c r="AC592" t="n">
        <v>7</v>
      </c>
      <c r="AD592" t="inlineStr">
        <is>
          <t>Profitable</t>
        </is>
      </c>
      <c r="AE592" t="inlineStr">
        <is>
          <t>Low</t>
        </is>
      </c>
      <c r="AF592" t="inlineStr">
        <is>
          <t>Small</t>
        </is>
      </c>
    </row>
    <row r="593">
      <c r="A593" t="inlineStr">
        <is>
          <t>ORD-00592</t>
        </is>
      </c>
      <c r="B593" s="2" t="n">
        <v>45499</v>
      </c>
      <c r="C593" s="2" t="n">
        <v>45506</v>
      </c>
      <c r="D593" t="inlineStr">
        <is>
          <t>CUST-00592</t>
        </is>
      </c>
      <c r="E593" t="inlineStr">
        <is>
          <t>Customer 592</t>
        </is>
      </c>
      <c r="F593" t="inlineStr">
        <is>
          <t>Consumer</t>
        </is>
      </c>
      <c r="G593" t="inlineStr">
        <is>
          <t>P1017</t>
        </is>
      </c>
      <c r="H593" t="inlineStr">
        <is>
          <t>Echo Web Camera</t>
        </is>
      </c>
      <c r="I593" t="inlineStr">
        <is>
          <t>Technology</t>
        </is>
      </c>
      <c r="J593" t="inlineStr">
        <is>
          <t>Chairs</t>
        </is>
      </c>
      <c r="K593" t="inlineStr">
        <is>
          <t>East</t>
        </is>
      </c>
      <c r="L593" t="inlineStr">
        <is>
          <t>New Jersey</t>
        </is>
      </c>
      <c r="M593" t="inlineStr">
        <is>
          <t>Philadelphia</t>
        </is>
      </c>
      <c r="N593" t="inlineStr">
        <is>
          <t>Ava Patel</t>
        </is>
      </c>
      <c r="O593" t="n">
        <v>2</v>
      </c>
      <c r="P593" s="3" t="n">
        <v>600.3</v>
      </c>
      <c r="Q593" s="4" t="n">
        <v>0.053</v>
      </c>
      <c r="R593" s="3" t="n">
        <v>1136.97</v>
      </c>
      <c r="S593" s="3" t="n">
        <v>754.74</v>
      </c>
      <c r="T593" s="3" t="n">
        <v>373.63</v>
      </c>
      <c r="U593" s="4" t="n">
        <v>0.3286</v>
      </c>
      <c r="V593" s="3" t="n">
        <v>8.6</v>
      </c>
      <c r="W593" t="inlineStr">
        <is>
          <t>Bank Transfer</t>
        </is>
      </c>
      <c r="X593" t="inlineStr">
        <is>
          <t>High</t>
        </is>
      </c>
      <c r="Y593" t="n">
        <v>2024</v>
      </c>
      <c r="Z593" t="n">
        <v>7</v>
      </c>
      <c r="AA593" t="inlineStr">
        <is>
          <t>Jul</t>
        </is>
      </c>
      <c r="AB593" t="inlineStr">
        <is>
          <t>Friday</t>
        </is>
      </c>
      <c r="AC593" t="n">
        <v>7</v>
      </c>
      <c r="AD593" t="inlineStr">
        <is>
          <t>Profitable</t>
        </is>
      </c>
      <c r="AE593" t="inlineStr">
        <is>
          <t>High</t>
        </is>
      </c>
      <c r="AF593" t="inlineStr">
        <is>
          <t>Medium</t>
        </is>
      </c>
    </row>
    <row r="594">
      <c r="A594" t="inlineStr">
        <is>
          <t>ORD-00593</t>
        </is>
      </c>
      <c r="B594" s="2" t="n">
        <v>45144</v>
      </c>
      <c r="C594" s="2" t="n">
        <v>45148</v>
      </c>
      <c r="D594" t="inlineStr">
        <is>
          <t>CUST-00593</t>
        </is>
      </c>
      <c r="E594" t="inlineStr">
        <is>
          <t>Customer 593</t>
        </is>
      </c>
      <c r="F594" t="inlineStr">
        <is>
          <t>Consumer</t>
        </is>
      </c>
      <c r="G594" t="inlineStr">
        <is>
          <t>P1019</t>
        </is>
      </c>
      <c r="H594" t="inlineStr">
        <is>
          <t>Lumen Desk Lamp</t>
        </is>
      </c>
      <c r="I594" t="inlineStr">
        <is>
          <t>Technology</t>
        </is>
      </c>
      <c r="J594" t="inlineStr">
        <is>
          <t>Video</t>
        </is>
      </c>
      <c r="K594" t="inlineStr">
        <is>
          <t>Central</t>
        </is>
      </c>
      <c r="L594" t="inlineStr">
        <is>
          <t>Kansas</t>
        </is>
      </c>
      <c r="M594" t="inlineStr">
        <is>
          <t>Kansas City</t>
        </is>
      </c>
      <c r="N594" t="inlineStr">
        <is>
          <t>Liam Chen</t>
        </is>
      </c>
      <c r="O594" t="n">
        <v>4</v>
      </c>
      <c r="P594" s="3" t="n">
        <v>58.57</v>
      </c>
      <c r="Q594" s="4" t="n">
        <v>0.01</v>
      </c>
      <c r="R594" s="3" t="n">
        <v>231.94</v>
      </c>
      <c r="S594" s="3" t="n">
        <v>102.65</v>
      </c>
      <c r="T594" s="3" t="n">
        <v>120.09</v>
      </c>
      <c r="U594" s="4" t="n">
        <v>0.5178</v>
      </c>
      <c r="V594" s="3" t="n">
        <v>9.199999999999999</v>
      </c>
      <c r="W594" t="inlineStr">
        <is>
          <t>Debit Card</t>
        </is>
      </c>
      <c r="X594" t="inlineStr">
        <is>
          <t>Low</t>
        </is>
      </c>
      <c r="Y594" t="n">
        <v>2023</v>
      </c>
      <c r="Z594" t="n">
        <v>8</v>
      </c>
      <c r="AA594" t="inlineStr">
        <is>
          <t>Aug</t>
        </is>
      </c>
      <c r="AB594" t="inlineStr">
        <is>
          <t>Sunday</t>
        </is>
      </c>
      <c r="AC594" t="n">
        <v>4</v>
      </c>
      <c r="AD594" t="inlineStr">
        <is>
          <t>Profitable</t>
        </is>
      </c>
      <c r="AE594" t="inlineStr">
        <is>
          <t>Low</t>
        </is>
      </c>
      <c r="AF594" t="inlineStr">
        <is>
          <t>Small</t>
        </is>
      </c>
    </row>
    <row r="595">
      <c r="A595" t="inlineStr">
        <is>
          <t>ORD-00594</t>
        </is>
      </c>
      <c r="B595" s="2" t="n">
        <v>45629</v>
      </c>
      <c r="C595" s="2" t="n">
        <v>45634</v>
      </c>
      <c r="D595" t="inlineStr">
        <is>
          <t>CUST-00594</t>
        </is>
      </c>
      <c r="E595" t="inlineStr">
        <is>
          <t>Customer 594</t>
        </is>
      </c>
      <c r="F595" t="inlineStr">
        <is>
          <t>Consumer</t>
        </is>
      </c>
      <c r="G595" t="inlineStr">
        <is>
          <t>P1015</t>
        </is>
      </c>
      <c r="H595" t="inlineStr">
        <is>
          <t>ErgoMesh Chair</t>
        </is>
      </c>
      <c r="I595" t="inlineStr">
        <is>
          <t>Technology</t>
        </is>
      </c>
      <c r="J595" t="inlineStr">
        <is>
          <t>Textiles</t>
        </is>
      </c>
      <c r="K595" t="inlineStr">
        <is>
          <t>West</t>
        </is>
      </c>
      <c r="L595" t="inlineStr">
        <is>
          <t>California</t>
        </is>
      </c>
      <c r="M595" t="inlineStr">
        <is>
          <t>San Francisco</t>
        </is>
      </c>
      <c r="N595" t="inlineStr">
        <is>
          <t>Mia Rodriguez</t>
        </is>
      </c>
      <c r="O595" t="n">
        <v>3</v>
      </c>
      <c r="P595" s="3" t="n">
        <v>73.92</v>
      </c>
      <c r="Q595" s="4" t="n">
        <v>0.033</v>
      </c>
      <c r="R595" s="3" t="n">
        <v>214.44</v>
      </c>
      <c r="S595" s="3" t="n">
        <v>95.72</v>
      </c>
      <c r="T595" s="3" t="n">
        <v>109.32</v>
      </c>
      <c r="U595" s="4" t="n">
        <v>0.5098</v>
      </c>
      <c r="V595" s="3" t="n">
        <v>9.4</v>
      </c>
      <c r="W595" t="inlineStr">
        <is>
          <t>Cash on Delivery</t>
        </is>
      </c>
      <c r="X595" t="inlineStr">
        <is>
          <t>Medium</t>
        </is>
      </c>
      <c r="Y595" t="n">
        <v>2024</v>
      </c>
      <c r="Z595" t="n">
        <v>12</v>
      </c>
      <c r="AA595" t="inlineStr">
        <is>
          <t>Dec</t>
        </is>
      </c>
      <c r="AB595" t="inlineStr">
        <is>
          <t>Tuesday</t>
        </is>
      </c>
      <c r="AC595" t="n">
        <v>5</v>
      </c>
      <c r="AD595" t="inlineStr">
        <is>
          <t>Profitable</t>
        </is>
      </c>
      <c r="AE595" t="inlineStr">
        <is>
          <t>Medium</t>
        </is>
      </c>
      <c r="AF595" t="inlineStr">
        <is>
          <t>Small</t>
        </is>
      </c>
    </row>
    <row r="596">
      <c r="A596" t="inlineStr">
        <is>
          <t>ORD-00595</t>
        </is>
      </c>
      <c r="B596" s="2" t="n">
        <v>45892</v>
      </c>
      <c r="C596" s="2" t="n">
        <v>45897</v>
      </c>
      <c r="D596" t="inlineStr">
        <is>
          <t>CUST-00595</t>
        </is>
      </c>
      <c r="E596" t="inlineStr">
        <is>
          <t>Customer 595</t>
        </is>
      </c>
      <c r="F596" t="inlineStr">
        <is>
          <t>Corporate</t>
        </is>
      </c>
      <c r="G596" t="inlineStr">
        <is>
          <t>P1015</t>
        </is>
      </c>
      <c r="H596" t="inlineStr">
        <is>
          <t>Orbit Wireless Mouse</t>
        </is>
      </c>
      <c r="I596" t="inlineStr">
        <is>
          <t>Furniture</t>
        </is>
      </c>
      <c r="J596" t="inlineStr">
        <is>
          <t>Textiles</t>
        </is>
      </c>
      <c r="K596" t="inlineStr">
        <is>
          <t>West</t>
        </is>
      </c>
      <c r="L596" t="inlineStr">
        <is>
          <t>Colorado</t>
        </is>
      </c>
      <c r="M596" t="inlineStr">
        <is>
          <t>Los Angeles</t>
        </is>
      </c>
      <c r="N596" t="inlineStr">
        <is>
          <t>Mia Rodriguez</t>
        </is>
      </c>
      <c r="O596" t="n">
        <v>4</v>
      </c>
      <c r="P596" s="3" t="n">
        <v>71.31</v>
      </c>
      <c r="Q596" s="4" t="n">
        <v>0.03</v>
      </c>
      <c r="R596" s="3" t="n">
        <v>276.68</v>
      </c>
      <c r="S596" s="3" t="n">
        <v>126.64</v>
      </c>
      <c r="T596" s="3" t="n">
        <v>139.84</v>
      </c>
      <c r="U596" s="4" t="n">
        <v>0.5054</v>
      </c>
      <c r="V596" s="3" t="n">
        <v>10.2</v>
      </c>
      <c r="W596" t="inlineStr">
        <is>
          <t>PayPal</t>
        </is>
      </c>
      <c r="X596" t="inlineStr">
        <is>
          <t>Medium</t>
        </is>
      </c>
      <c r="Y596" t="n">
        <v>2025</v>
      </c>
      <c r="Z596" t="n">
        <v>8</v>
      </c>
      <c r="AA596" t="inlineStr">
        <is>
          <t>Aug</t>
        </is>
      </c>
      <c r="AB596" t="inlineStr">
        <is>
          <t>Saturday</t>
        </is>
      </c>
      <c r="AC596" t="n">
        <v>5</v>
      </c>
      <c r="AD596" t="inlineStr">
        <is>
          <t>Profitable</t>
        </is>
      </c>
      <c r="AE596" t="inlineStr">
        <is>
          <t>Medium</t>
        </is>
      </c>
      <c r="AF596" t="inlineStr">
        <is>
          <t>Small</t>
        </is>
      </c>
    </row>
    <row r="597">
      <c r="A597" t="inlineStr">
        <is>
          <t>ORD-00596</t>
        </is>
      </c>
      <c r="B597" s="2" t="n">
        <v>45630</v>
      </c>
      <c r="C597" s="2" t="n">
        <v>45637</v>
      </c>
      <c r="D597" t="inlineStr">
        <is>
          <t>CUST-00596</t>
        </is>
      </c>
      <c r="E597" t="inlineStr">
        <is>
          <t>Customer 596</t>
        </is>
      </c>
      <c r="F597" t="inlineStr">
        <is>
          <t>Consumer</t>
        </is>
      </c>
      <c r="G597" t="inlineStr">
        <is>
          <t>P1020</t>
        </is>
      </c>
      <c r="H597" t="inlineStr">
        <is>
          <t>Orbit Wireless Mouse</t>
        </is>
      </c>
      <c r="I597" t="inlineStr">
        <is>
          <t>Office Supplies</t>
        </is>
      </c>
      <c r="J597" t="inlineStr">
        <is>
          <t>Storage</t>
        </is>
      </c>
      <c r="K597" t="inlineStr">
        <is>
          <t>Central</t>
        </is>
      </c>
      <c r="L597" t="inlineStr">
        <is>
          <t>Illinois</t>
        </is>
      </c>
      <c r="M597" t="inlineStr">
        <is>
          <t>Chicago</t>
        </is>
      </c>
      <c r="N597" t="inlineStr">
        <is>
          <t>Olivia Martin</t>
        </is>
      </c>
      <c r="O597" t="n">
        <v>4</v>
      </c>
      <c r="P597" s="3" t="n">
        <v>76.40000000000001</v>
      </c>
      <c r="Q597" s="4" t="n">
        <v>0.014</v>
      </c>
      <c r="R597" s="3" t="n">
        <v>301.32</v>
      </c>
      <c r="S597" s="3" t="n">
        <v>140.49</v>
      </c>
      <c r="T597" s="3" t="n">
        <v>151.63</v>
      </c>
      <c r="U597" s="4" t="n">
        <v>0.5032</v>
      </c>
      <c r="V597" s="3" t="n">
        <v>9.199999999999999</v>
      </c>
      <c r="W597" t="inlineStr">
        <is>
          <t>Credit Card</t>
        </is>
      </c>
      <c r="X597" t="inlineStr">
        <is>
          <t>High</t>
        </is>
      </c>
      <c r="Y597" t="n">
        <v>2024</v>
      </c>
      <c r="Z597" t="n">
        <v>12</v>
      </c>
      <c r="AA597" t="inlineStr">
        <is>
          <t>Dec</t>
        </is>
      </c>
      <c r="AB597" t="inlineStr">
        <is>
          <t>Wednesday</t>
        </is>
      </c>
      <c r="AC597" t="n">
        <v>7</v>
      </c>
      <c r="AD597" t="inlineStr">
        <is>
          <t>Profitable</t>
        </is>
      </c>
      <c r="AE597" t="inlineStr">
        <is>
          <t>Low</t>
        </is>
      </c>
      <c r="AF597" t="inlineStr">
        <is>
          <t>Small</t>
        </is>
      </c>
    </row>
    <row r="598">
      <c r="A598" t="inlineStr">
        <is>
          <t>ORD-00597</t>
        </is>
      </c>
      <c r="B598" s="2" t="n">
        <v>45715</v>
      </c>
      <c r="C598" s="2" t="n">
        <v>45716</v>
      </c>
      <c r="D598" t="inlineStr">
        <is>
          <t>CUST-00597</t>
        </is>
      </c>
      <c r="E598" t="inlineStr">
        <is>
          <t>Customer 597</t>
        </is>
      </c>
      <c r="F598" t="inlineStr">
        <is>
          <t>Consumer</t>
        </is>
      </c>
      <c r="G598" t="inlineStr">
        <is>
          <t>P1015</t>
        </is>
      </c>
      <c r="H598" t="inlineStr">
        <is>
          <t>Orbit Wireless Mouse</t>
        </is>
      </c>
      <c r="I598" t="inlineStr">
        <is>
          <t>Home Decor</t>
        </is>
      </c>
      <c r="J598" t="inlineStr">
        <is>
          <t>Flooring</t>
        </is>
      </c>
      <c r="K598" t="inlineStr">
        <is>
          <t>East</t>
        </is>
      </c>
      <c r="L598" t="inlineStr">
        <is>
          <t>Virginia</t>
        </is>
      </c>
      <c r="M598" t="inlineStr">
        <is>
          <t>Boston</t>
        </is>
      </c>
      <c r="N598" t="inlineStr">
        <is>
          <t>Ava Patel</t>
        </is>
      </c>
      <c r="O598" t="n">
        <v>1</v>
      </c>
      <c r="P598" s="3" t="n">
        <v>67.84999999999999</v>
      </c>
      <c r="Q598" s="4" t="n">
        <v>0.051</v>
      </c>
      <c r="R598" s="3" t="n">
        <v>64.39</v>
      </c>
      <c r="S598" s="3" t="n">
        <v>31.16</v>
      </c>
      <c r="T598" s="3" t="n">
        <v>25.43</v>
      </c>
      <c r="U598" s="4" t="n">
        <v>0.3949</v>
      </c>
      <c r="V598" s="3" t="n">
        <v>7.8</v>
      </c>
      <c r="W598" t="inlineStr">
        <is>
          <t>Credit Card</t>
        </is>
      </c>
      <c r="X598" t="inlineStr">
        <is>
          <t>High</t>
        </is>
      </c>
      <c r="Y598" t="n">
        <v>2025</v>
      </c>
      <c r="Z598" t="n">
        <v>2</v>
      </c>
      <c r="AA598" t="inlineStr">
        <is>
          <t>Feb</t>
        </is>
      </c>
      <c r="AB598" t="inlineStr">
        <is>
          <t>Thursday</t>
        </is>
      </c>
      <c r="AC598" t="n">
        <v>1</v>
      </c>
      <c r="AD598" t="inlineStr">
        <is>
          <t>Profitable</t>
        </is>
      </c>
      <c r="AE598" t="inlineStr">
        <is>
          <t>High</t>
        </is>
      </c>
      <c r="AF598" t="inlineStr">
        <is>
          <t>Small</t>
        </is>
      </c>
    </row>
    <row r="599">
      <c r="A599" t="inlineStr">
        <is>
          <t>ORD-00598</t>
        </is>
      </c>
      <c r="B599" s="2" t="n">
        <v>45026</v>
      </c>
      <c r="C599" s="2" t="n">
        <v>45031</v>
      </c>
      <c r="D599" t="inlineStr">
        <is>
          <t>CUST-00598</t>
        </is>
      </c>
      <c r="E599" t="inlineStr">
        <is>
          <t>Customer 598</t>
        </is>
      </c>
      <c r="F599" t="inlineStr">
        <is>
          <t>Consumer</t>
        </is>
      </c>
      <c r="G599" t="inlineStr">
        <is>
          <t>P1003</t>
        </is>
      </c>
      <c r="H599" t="inlineStr">
        <is>
          <t>Lumen Desk Lamp</t>
        </is>
      </c>
      <c r="I599" t="inlineStr">
        <is>
          <t>Outdoor</t>
        </is>
      </c>
      <c r="J599" t="inlineStr">
        <is>
          <t>Accessories</t>
        </is>
      </c>
      <c r="K599" t="inlineStr">
        <is>
          <t>East</t>
        </is>
      </c>
      <c r="L599" t="inlineStr">
        <is>
          <t>New Jersey</t>
        </is>
      </c>
      <c r="M599" t="inlineStr">
        <is>
          <t>Philadelphia</t>
        </is>
      </c>
      <c r="N599" t="inlineStr">
        <is>
          <t>Ava Patel</t>
        </is>
      </c>
      <c r="O599" t="n">
        <v>4</v>
      </c>
      <c r="P599" s="3" t="n">
        <v>149.18</v>
      </c>
      <c r="Q599" s="4" t="n">
        <v>0.02</v>
      </c>
      <c r="R599" s="3" t="n">
        <v>584.79</v>
      </c>
      <c r="S599" s="3" t="n">
        <v>307.4</v>
      </c>
      <c r="T599" s="3" t="n">
        <v>267.19</v>
      </c>
      <c r="U599" s="4" t="n">
        <v>0.4569</v>
      </c>
      <c r="V599" s="3" t="n">
        <v>10.2</v>
      </c>
      <c r="W599" t="inlineStr">
        <is>
          <t>Debit Card</t>
        </is>
      </c>
      <c r="X599" t="inlineStr">
        <is>
          <t>High</t>
        </is>
      </c>
      <c r="Y599" t="n">
        <v>2023</v>
      </c>
      <c r="Z599" t="n">
        <v>4</v>
      </c>
      <c r="AA599" t="inlineStr">
        <is>
          <t>Apr</t>
        </is>
      </c>
      <c r="AB599" t="inlineStr">
        <is>
          <t>Monday</t>
        </is>
      </c>
      <c r="AC599" t="n">
        <v>5</v>
      </c>
      <c r="AD599" t="inlineStr">
        <is>
          <t>Profitable</t>
        </is>
      </c>
      <c r="AE599" t="inlineStr">
        <is>
          <t>Medium</t>
        </is>
      </c>
      <c r="AF599" t="inlineStr">
        <is>
          <t>Medium</t>
        </is>
      </c>
    </row>
    <row r="600">
      <c r="A600" t="inlineStr">
        <is>
          <t>ORD-00599</t>
        </is>
      </c>
      <c r="B600" s="2" t="n">
        <v>45091</v>
      </c>
      <c r="C600" s="2" t="n">
        <v>45094</v>
      </c>
      <c r="D600" t="inlineStr">
        <is>
          <t>CUST-00599</t>
        </is>
      </c>
      <c r="E600" t="inlineStr">
        <is>
          <t>Customer 599</t>
        </is>
      </c>
      <c r="F600" t="inlineStr">
        <is>
          <t>Corporate</t>
        </is>
      </c>
      <c r="G600" t="inlineStr">
        <is>
          <t>P1012</t>
        </is>
      </c>
      <c r="H600" t="inlineStr">
        <is>
          <t>Trail Tote</t>
        </is>
      </c>
      <c r="I600" t="inlineStr">
        <is>
          <t>Outdoor</t>
        </is>
      </c>
      <c r="J600" t="inlineStr">
        <is>
          <t>Peripherals</t>
        </is>
      </c>
      <c r="K600" t="inlineStr">
        <is>
          <t>Central</t>
        </is>
      </c>
      <c r="L600" t="inlineStr">
        <is>
          <t>Illinois</t>
        </is>
      </c>
      <c r="M600" t="inlineStr">
        <is>
          <t>Minneapolis</t>
        </is>
      </c>
      <c r="N600" t="inlineStr">
        <is>
          <t>Ethan Brooks</t>
        </is>
      </c>
      <c r="O600" t="n">
        <v>2</v>
      </c>
      <c r="P600" s="3" t="n">
        <v>139.45</v>
      </c>
      <c r="Q600" s="4" t="n">
        <v>0.026</v>
      </c>
      <c r="R600" s="3" t="n">
        <v>271.65</v>
      </c>
      <c r="S600" s="3" t="n">
        <v>137.91</v>
      </c>
      <c r="T600" s="3" t="n">
        <v>126.14</v>
      </c>
      <c r="U600" s="4" t="n">
        <v>0.4643</v>
      </c>
      <c r="V600" s="3" t="n">
        <v>7.6</v>
      </c>
      <c r="W600" t="inlineStr">
        <is>
          <t>Bank Transfer</t>
        </is>
      </c>
      <c r="X600" t="inlineStr">
        <is>
          <t>Low</t>
        </is>
      </c>
      <c r="Y600" t="n">
        <v>2023</v>
      </c>
      <c r="Z600" t="n">
        <v>6</v>
      </c>
      <c r="AA600" t="inlineStr">
        <is>
          <t>Jun</t>
        </is>
      </c>
      <c r="AB600" t="inlineStr">
        <is>
          <t>Wednesday</t>
        </is>
      </c>
      <c r="AC600" t="n">
        <v>3</v>
      </c>
      <c r="AD600" t="inlineStr">
        <is>
          <t>Profitable</t>
        </is>
      </c>
      <c r="AE600" t="inlineStr">
        <is>
          <t>Medium</t>
        </is>
      </c>
      <c r="AF600" t="inlineStr">
        <is>
          <t>Small</t>
        </is>
      </c>
    </row>
    <row r="601">
      <c r="A601" t="inlineStr">
        <is>
          <t>ORD-00600</t>
        </is>
      </c>
      <c r="B601" s="2" t="n">
        <v>45159</v>
      </c>
      <c r="C601" s="2" t="n">
        <v>45164</v>
      </c>
      <c r="D601" t="inlineStr">
        <is>
          <t>CUST-00600</t>
        </is>
      </c>
      <c r="E601" t="inlineStr">
        <is>
          <t>Customer 600</t>
        </is>
      </c>
      <c r="F601" t="inlineStr">
        <is>
          <t>Consumer</t>
        </is>
      </c>
      <c r="G601" t="inlineStr">
        <is>
          <t>P1006</t>
        </is>
      </c>
      <c r="H601" t="inlineStr">
        <is>
          <t>Nimbus Monitor Arm</t>
        </is>
      </c>
      <c r="I601" t="inlineStr">
        <is>
          <t>Office Supplies</t>
        </is>
      </c>
      <c r="J601" t="inlineStr">
        <is>
          <t>Storage</t>
        </is>
      </c>
      <c r="K601" t="inlineStr">
        <is>
          <t>West</t>
        </is>
      </c>
      <c r="L601" t="inlineStr">
        <is>
          <t>Oregon</t>
        </is>
      </c>
      <c r="M601" t="inlineStr">
        <is>
          <t>Los Angeles</t>
        </is>
      </c>
      <c r="N601" t="inlineStr">
        <is>
          <t>Ava Patel</t>
        </is>
      </c>
      <c r="O601" t="n">
        <v>3</v>
      </c>
      <c r="P601" s="3" t="n">
        <v>18.91</v>
      </c>
      <c r="Q601" s="4" t="n">
        <v>0.009000000000000001</v>
      </c>
      <c r="R601" s="3" t="n">
        <v>56.22</v>
      </c>
      <c r="S601" s="3" t="n">
        <v>24.35</v>
      </c>
      <c r="T601" s="3" t="n">
        <v>22.47</v>
      </c>
      <c r="U601" s="4" t="n">
        <v>0.3997</v>
      </c>
      <c r="V601" s="3" t="n">
        <v>9.4</v>
      </c>
      <c r="W601" t="inlineStr">
        <is>
          <t>Credit Card</t>
        </is>
      </c>
      <c r="X601" t="inlineStr">
        <is>
          <t>Low</t>
        </is>
      </c>
      <c r="Y601" t="n">
        <v>2023</v>
      </c>
      <c r="Z601" t="n">
        <v>8</v>
      </c>
      <c r="AA601" t="inlineStr">
        <is>
          <t>Aug</t>
        </is>
      </c>
      <c r="AB601" t="inlineStr">
        <is>
          <t>Monday</t>
        </is>
      </c>
      <c r="AC601" t="n">
        <v>5</v>
      </c>
      <c r="AD601" t="inlineStr">
        <is>
          <t>Profitable</t>
        </is>
      </c>
      <c r="AE601" t="inlineStr">
        <is>
          <t>Low</t>
        </is>
      </c>
      <c r="AF601" t="inlineStr">
        <is>
          <t>Small</t>
        </is>
      </c>
    </row>
    <row r="602">
      <c r="A602" t="inlineStr">
        <is>
          <t>ORD-00601</t>
        </is>
      </c>
      <c r="B602" s="2" t="n">
        <v>45254</v>
      </c>
      <c r="C602" s="2" t="n">
        <v>45258</v>
      </c>
      <c r="D602" t="inlineStr">
        <is>
          <t>CUST-00601</t>
        </is>
      </c>
      <c r="E602" t="inlineStr">
        <is>
          <t>Customer 601</t>
        </is>
      </c>
      <c r="F602" t="inlineStr">
        <is>
          <t>Consumer</t>
        </is>
      </c>
      <c r="G602" t="inlineStr">
        <is>
          <t>P1020</t>
        </is>
      </c>
      <c r="H602" t="inlineStr">
        <is>
          <t>ErgoMesh Chair</t>
        </is>
      </c>
      <c r="I602" t="inlineStr">
        <is>
          <t>Outdoor</t>
        </is>
      </c>
      <c r="J602" t="inlineStr">
        <is>
          <t>Chairs</t>
        </is>
      </c>
      <c r="K602" t="inlineStr">
        <is>
          <t>South</t>
        </is>
      </c>
      <c r="L602" t="inlineStr">
        <is>
          <t>North Carolina</t>
        </is>
      </c>
      <c r="M602" t="inlineStr">
        <is>
          <t>Dallas</t>
        </is>
      </c>
      <c r="N602" t="inlineStr">
        <is>
          <t>Noah Kim</t>
        </is>
      </c>
      <c r="O602" t="n">
        <v>1</v>
      </c>
      <c r="P602" s="3" t="n">
        <v>74.12</v>
      </c>
      <c r="Q602" s="4" t="n">
        <v>0.032</v>
      </c>
      <c r="R602" s="3" t="n">
        <v>71.75</v>
      </c>
      <c r="S602" s="3" t="n">
        <v>38.27</v>
      </c>
      <c r="T602" s="3" t="n">
        <v>26.68</v>
      </c>
      <c r="U602" s="4" t="n">
        <v>0.3718</v>
      </c>
      <c r="V602" s="3" t="n">
        <v>6.8</v>
      </c>
      <c r="W602" t="inlineStr">
        <is>
          <t>Credit Card</t>
        </is>
      </c>
      <c r="X602" t="inlineStr">
        <is>
          <t>High</t>
        </is>
      </c>
      <c r="Y602" t="n">
        <v>2023</v>
      </c>
      <c r="Z602" t="n">
        <v>11</v>
      </c>
      <c r="AA602" t="inlineStr">
        <is>
          <t>Nov</t>
        </is>
      </c>
      <c r="AB602" t="inlineStr">
        <is>
          <t>Friday</t>
        </is>
      </c>
      <c r="AC602" t="n">
        <v>4</v>
      </c>
      <c r="AD602" t="inlineStr">
        <is>
          <t>Profitable</t>
        </is>
      </c>
      <c r="AE602" t="inlineStr">
        <is>
          <t>Medium</t>
        </is>
      </c>
      <c r="AF602" t="inlineStr">
        <is>
          <t>Small</t>
        </is>
      </c>
    </row>
    <row r="603">
      <c r="A603" t="inlineStr">
        <is>
          <t>ORD-00602</t>
        </is>
      </c>
      <c r="B603" s="2" t="n">
        <v>45275</v>
      </c>
      <c r="C603" s="2" t="n">
        <v>45279</v>
      </c>
      <c r="D603" t="inlineStr">
        <is>
          <t>CUST-00602</t>
        </is>
      </c>
      <c r="E603" t="inlineStr">
        <is>
          <t>Customer 602</t>
        </is>
      </c>
      <c r="F603" t="inlineStr">
        <is>
          <t>Corporate</t>
        </is>
      </c>
      <c r="G603" t="inlineStr">
        <is>
          <t>P1005</t>
        </is>
      </c>
      <c r="H603" t="inlineStr">
        <is>
          <t>Tide Cooler</t>
        </is>
      </c>
      <c r="I603" t="inlineStr">
        <is>
          <t>Outdoor</t>
        </is>
      </c>
      <c r="J603" t="inlineStr">
        <is>
          <t>Accessories</t>
        </is>
      </c>
      <c r="K603" t="inlineStr">
        <is>
          <t>Central</t>
        </is>
      </c>
      <c r="L603" t="inlineStr">
        <is>
          <t>Minnesota</t>
        </is>
      </c>
      <c r="M603" t="inlineStr">
        <is>
          <t>Chicago</t>
        </is>
      </c>
      <c r="N603" t="inlineStr">
        <is>
          <t>Noah Kim</t>
        </is>
      </c>
      <c r="O603" t="n">
        <v>4</v>
      </c>
      <c r="P603" s="3" t="n">
        <v>13.04</v>
      </c>
      <c r="Q603" s="4" t="n">
        <v>0.021</v>
      </c>
      <c r="R603" s="3" t="n">
        <v>51.06</v>
      </c>
      <c r="S603" s="3" t="n">
        <v>25.34</v>
      </c>
      <c r="T603" s="3" t="n">
        <v>16.52</v>
      </c>
      <c r="U603" s="4" t="n">
        <v>0.3235</v>
      </c>
      <c r="V603" s="3" t="n">
        <v>9.199999999999999</v>
      </c>
      <c r="W603" t="inlineStr">
        <is>
          <t>PayPal</t>
        </is>
      </c>
      <c r="X603" t="inlineStr">
        <is>
          <t>Low</t>
        </is>
      </c>
      <c r="Y603" t="n">
        <v>2023</v>
      </c>
      <c r="Z603" t="n">
        <v>12</v>
      </c>
      <c r="AA603" t="inlineStr">
        <is>
          <t>Dec</t>
        </is>
      </c>
      <c r="AB603" t="inlineStr">
        <is>
          <t>Friday</t>
        </is>
      </c>
      <c r="AC603" t="n">
        <v>4</v>
      </c>
      <c r="AD603" t="inlineStr">
        <is>
          <t>Profitable</t>
        </is>
      </c>
      <c r="AE603" t="inlineStr">
        <is>
          <t>Medium</t>
        </is>
      </c>
      <c r="AF603" t="inlineStr">
        <is>
          <t>Small</t>
        </is>
      </c>
    </row>
    <row r="604">
      <c r="A604" t="inlineStr">
        <is>
          <t>ORD-00603</t>
        </is>
      </c>
      <c r="B604" s="2" t="n">
        <v>45084</v>
      </c>
      <c r="C604" s="2" t="n">
        <v>45091</v>
      </c>
      <c r="D604" t="inlineStr">
        <is>
          <t>CUST-00603</t>
        </is>
      </c>
      <c r="E604" t="inlineStr">
        <is>
          <t>Customer 603</t>
        </is>
      </c>
      <c r="F604" t="inlineStr">
        <is>
          <t>Corporate</t>
        </is>
      </c>
      <c r="G604" t="inlineStr">
        <is>
          <t>P1011</t>
        </is>
      </c>
      <c r="H604" t="inlineStr">
        <is>
          <t>Pulse Keyboard</t>
        </is>
      </c>
      <c r="I604" t="inlineStr">
        <is>
          <t>Outdoor</t>
        </is>
      </c>
      <c r="J604" t="inlineStr">
        <is>
          <t>Paper</t>
        </is>
      </c>
      <c r="K604" t="inlineStr">
        <is>
          <t>East</t>
        </is>
      </c>
      <c r="L604" t="inlineStr">
        <is>
          <t>Virginia</t>
        </is>
      </c>
      <c r="M604" t="inlineStr">
        <is>
          <t>Boston</t>
        </is>
      </c>
      <c r="N604" t="inlineStr">
        <is>
          <t>Ava Patel</t>
        </is>
      </c>
      <c r="O604" t="n">
        <v>3</v>
      </c>
      <c r="P604" s="3" t="n">
        <v>89.83</v>
      </c>
      <c r="Q604" s="4" t="n">
        <v>0.016</v>
      </c>
      <c r="R604" s="3" t="n">
        <v>265.18</v>
      </c>
      <c r="S604" s="3" t="n">
        <v>128.41</v>
      </c>
      <c r="T604" s="3" t="n">
        <v>127.37</v>
      </c>
      <c r="U604" s="4" t="n">
        <v>0.4803</v>
      </c>
      <c r="V604" s="3" t="n">
        <v>9.4</v>
      </c>
      <c r="W604" t="inlineStr">
        <is>
          <t>Cash on Delivery</t>
        </is>
      </c>
      <c r="X604" t="inlineStr">
        <is>
          <t>Medium</t>
        </is>
      </c>
      <c r="Y604" t="n">
        <v>2023</v>
      </c>
      <c r="Z604" t="n">
        <v>6</v>
      </c>
      <c r="AA604" t="inlineStr">
        <is>
          <t>Jun</t>
        </is>
      </c>
      <c r="AB604" t="inlineStr">
        <is>
          <t>Wednesday</t>
        </is>
      </c>
      <c r="AC604" t="n">
        <v>7</v>
      </c>
      <c r="AD604" t="inlineStr">
        <is>
          <t>Profitable</t>
        </is>
      </c>
      <c r="AE604" t="inlineStr">
        <is>
          <t>Low</t>
        </is>
      </c>
      <c r="AF604" t="inlineStr">
        <is>
          <t>Small</t>
        </is>
      </c>
    </row>
    <row r="605">
      <c r="A605" t="inlineStr">
        <is>
          <t>ORD-00604</t>
        </is>
      </c>
      <c r="B605" s="2" t="n">
        <v>44933</v>
      </c>
      <c r="C605" s="2" t="n">
        <v>44936</v>
      </c>
      <c r="D605" t="inlineStr">
        <is>
          <t>CUST-00604</t>
        </is>
      </c>
      <c r="E605" t="inlineStr">
        <is>
          <t>Customer 604</t>
        </is>
      </c>
      <c r="F605" t="inlineStr">
        <is>
          <t>Consumer</t>
        </is>
      </c>
      <c r="G605" t="inlineStr">
        <is>
          <t>P1012</t>
        </is>
      </c>
      <c r="H605" t="inlineStr">
        <is>
          <t>Echo Web Camera</t>
        </is>
      </c>
      <c r="I605" t="inlineStr">
        <is>
          <t>Outdoor</t>
        </is>
      </c>
      <c r="J605" t="inlineStr">
        <is>
          <t>Writing</t>
        </is>
      </c>
      <c r="K605" t="inlineStr">
        <is>
          <t>West</t>
        </is>
      </c>
      <c r="L605" t="inlineStr">
        <is>
          <t>Oregon</t>
        </is>
      </c>
      <c r="M605" t="inlineStr">
        <is>
          <t>Los Angeles</t>
        </is>
      </c>
      <c r="N605" t="inlineStr">
        <is>
          <t>Noah Kim</t>
        </is>
      </c>
      <c r="O605" t="n">
        <v>5</v>
      </c>
      <c r="P605" s="3" t="n">
        <v>136.55</v>
      </c>
      <c r="Q605" s="4" t="n">
        <v>0.028</v>
      </c>
      <c r="R605" s="3" t="n">
        <v>663.63</v>
      </c>
      <c r="S605" s="3" t="n">
        <v>331.61</v>
      </c>
      <c r="T605" s="3" t="n">
        <v>321.02</v>
      </c>
      <c r="U605" s="4" t="n">
        <v>0.4837</v>
      </c>
      <c r="V605" s="3" t="n">
        <v>11</v>
      </c>
      <c r="W605" t="inlineStr">
        <is>
          <t>Bank Transfer</t>
        </is>
      </c>
      <c r="X605" t="inlineStr">
        <is>
          <t>Medium</t>
        </is>
      </c>
      <c r="Y605" t="n">
        <v>2023</v>
      </c>
      <c r="Z605" t="n">
        <v>1</v>
      </c>
      <c r="AA605" t="inlineStr">
        <is>
          <t>Jan</t>
        </is>
      </c>
      <c r="AB605" t="inlineStr">
        <is>
          <t>Saturday</t>
        </is>
      </c>
      <c r="AC605" t="n">
        <v>3</v>
      </c>
      <c r="AD605" t="inlineStr">
        <is>
          <t>Profitable</t>
        </is>
      </c>
      <c r="AE605" t="inlineStr">
        <is>
          <t>Medium</t>
        </is>
      </c>
      <c r="AF605" t="inlineStr">
        <is>
          <t>Medium</t>
        </is>
      </c>
    </row>
    <row r="606">
      <c r="A606" t="inlineStr">
        <is>
          <t>ORD-00605</t>
        </is>
      </c>
      <c r="B606" s="2" t="n">
        <v>45238</v>
      </c>
      <c r="C606" s="2" t="n">
        <v>45241</v>
      </c>
      <c r="D606" t="inlineStr">
        <is>
          <t>CUST-00605</t>
        </is>
      </c>
      <c r="E606" t="inlineStr">
        <is>
          <t>Customer 605</t>
        </is>
      </c>
      <c r="F606" t="inlineStr">
        <is>
          <t>Corporate</t>
        </is>
      </c>
      <c r="G606" t="inlineStr">
        <is>
          <t>P1007</t>
        </is>
      </c>
      <c r="H606" t="inlineStr">
        <is>
          <t>ErgoMesh Chair</t>
        </is>
      </c>
      <c r="I606" t="inlineStr">
        <is>
          <t>Home Decor</t>
        </is>
      </c>
      <c r="J606" t="inlineStr">
        <is>
          <t>Textiles</t>
        </is>
      </c>
      <c r="K606" t="inlineStr">
        <is>
          <t>South</t>
        </is>
      </c>
      <c r="L606" t="inlineStr">
        <is>
          <t>Texas</t>
        </is>
      </c>
      <c r="M606" t="inlineStr">
        <is>
          <t>Atlanta</t>
        </is>
      </c>
      <c r="N606" t="inlineStr">
        <is>
          <t>James Carter</t>
        </is>
      </c>
      <c r="O606" t="n">
        <v>2</v>
      </c>
      <c r="P606" s="3" t="n">
        <v>26.37</v>
      </c>
      <c r="Q606" s="4" t="n">
        <v>0.036</v>
      </c>
      <c r="R606" s="3" t="n">
        <v>50.84</v>
      </c>
      <c r="S606" s="3" t="n">
        <v>23.49</v>
      </c>
      <c r="T606" s="3" t="n">
        <v>19.75</v>
      </c>
      <c r="U606" s="4" t="n">
        <v>0.3885</v>
      </c>
      <c r="V606" s="3" t="n">
        <v>7.6</v>
      </c>
      <c r="W606" t="inlineStr">
        <is>
          <t>Credit Card</t>
        </is>
      </c>
      <c r="X606" t="inlineStr">
        <is>
          <t>Medium</t>
        </is>
      </c>
      <c r="Y606" t="n">
        <v>2023</v>
      </c>
      <c r="Z606" t="n">
        <v>11</v>
      </c>
      <c r="AA606" t="inlineStr">
        <is>
          <t>Nov</t>
        </is>
      </c>
      <c r="AB606" t="inlineStr">
        <is>
          <t>Wednesday</t>
        </is>
      </c>
      <c r="AC606" t="n">
        <v>3</v>
      </c>
      <c r="AD606" t="inlineStr">
        <is>
          <t>Profitable</t>
        </is>
      </c>
      <c r="AE606" t="inlineStr">
        <is>
          <t>Medium</t>
        </is>
      </c>
      <c r="AF606" t="inlineStr">
        <is>
          <t>Small</t>
        </is>
      </c>
    </row>
    <row r="607">
      <c r="A607" t="inlineStr">
        <is>
          <t>ORD-00606</t>
        </is>
      </c>
      <c r="B607" s="2" t="n">
        <v>45514</v>
      </c>
      <c r="C607" s="2" t="n">
        <v>45517</v>
      </c>
      <c r="D607" t="inlineStr">
        <is>
          <t>CUST-00606</t>
        </is>
      </c>
      <c r="E607" t="inlineStr">
        <is>
          <t>Customer 606</t>
        </is>
      </c>
      <c r="F607" t="inlineStr">
        <is>
          <t>Consumer</t>
        </is>
      </c>
      <c r="G607" t="inlineStr">
        <is>
          <t>P1009</t>
        </is>
      </c>
      <c r="H607" t="inlineStr">
        <is>
          <t>ProClip Binder</t>
        </is>
      </c>
      <c r="I607" t="inlineStr">
        <is>
          <t>Outdoor</t>
        </is>
      </c>
      <c r="J607" t="inlineStr">
        <is>
          <t>Storage</t>
        </is>
      </c>
      <c r="K607" t="inlineStr">
        <is>
          <t>Central</t>
        </is>
      </c>
      <c r="L607" t="inlineStr">
        <is>
          <t>Minnesota</t>
        </is>
      </c>
      <c r="M607" t="inlineStr">
        <is>
          <t>Kansas City</t>
        </is>
      </c>
      <c r="N607" t="inlineStr">
        <is>
          <t>Mia Rodriguez</t>
        </is>
      </c>
      <c r="O607" t="n">
        <v>3</v>
      </c>
      <c r="P607" s="3" t="n">
        <v>95.63</v>
      </c>
      <c r="Q607" s="4" t="n">
        <v>0.018</v>
      </c>
      <c r="R607" s="3" t="n">
        <v>281.73</v>
      </c>
      <c r="S607" s="3" t="n">
        <v>144.07</v>
      </c>
      <c r="T607" s="3" t="n">
        <v>129.26</v>
      </c>
      <c r="U607" s="4" t="n">
        <v>0.4588</v>
      </c>
      <c r="V607" s="3" t="n">
        <v>8.4</v>
      </c>
      <c r="W607" t="inlineStr">
        <is>
          <t>Credit Card</t>
        </is>
      </c>
      <c r="X607" t="inlineStr">
        <is>
          <t>High</t>
        </is>
      </c>
      <c r="Y607" t="n">
        <v>2024</v>
      </c>
      <c r="Z607" t="n">
        <v>8</v>
      </c>
      <c r="AA607" t="inlineStr">
        <is>
          <t>Aug</t>
        </is>
      </c>
      <c r="AB607" t="inlineStr">
        <is>
          <t>Saturday</t>
        </is>
      </c>
      <c r="AC607" t="n">
        <v>3</v>
      </c>
      <c r="AD607" t="inlineStr">
        <is>
          <t>Profitable</t>
        </is>
      </c>
      <c r="AE607" t="inlineStr">
        <is>
          <t>Low</t>
        </is>
      </c>
      <c r="AF607" t="inlineStr">
        <is>
          <t>Small</t>
        </is>
      </c>
    </row>
    <row r="608">
      <c r="A608" t="inlineStr">
        <is>
          <t>ORD-00607</t>
        </is>
      </c>
      <c r="B608" s="2" t="n">
        <v>45035</v>
      </c>
      <c r="C608" s="2" t="n">
        <v>45040</v>
      </c>
      <c r="D608" t="inlineStr">
        <is>
          <t>CUST-00607</t>
        </is>
      </c>
      <c r="E608" t="inlineStr">
        <is>
          <t>Customer 607</t>
        </is>
      </c>
      <c r="F608" t="inlineStr">
        <is>
          <t>Home Office</t>
        </is>
      </c>
      <c r="G608" t="inlineStr">
        <is>
          <t>P1018</t>
        </is>
      </c>
      <c r="H608" t="inlineStr">
        <is>
          <t>Atlas Throw Pillow</t>
        </is>
      </c>
      <c r="I608" t="inlineStr">
        <is>
          <t>Furniture</t>
        </is>
      </c>
      <c r="J608" t="inlineStr">
        <is>
          <t>Chairs</t>
        </is>
      </c>
      <c r="K608" t="inlineStr">
        <is>
          <t>South</t>
        </is>
      </c>
      <c r="L608" t="inlineStr">
        <is>
          <t>Georgia</t>
        </is>
      </c>
      <c r="M608" t="inlineStr">
        <is>
          <t>Atlanta</t>
        </is>
      </c>
      <c r="N608" t="inlineStr">
        <is>
          <t>Ava Patel</t>
        </is>
      </c>
      <c r="O608" t="n">
        <v>3</v>
      </c>
      <c r="P608" s="3" t="n">
        <v>84.36</v>
      </c>
      <c r="Q608" s="4" t="n">
        <v>0.036</v>
      </c>
      <c r="R608" s="3" t="n">
        <v>243.97</v>
      </c>
      <c r="S608" s="3" t="n">
        <v>114.8</v>
      </c>
      <c r="T608" s="3" t="n">
        <v>120.77</v>
      </c>
      <c r="U608" s="4" t="n">
        <v>0.495</v>
      </c>
      <c r="V608" s="3" t="n">
        <v>8.4</v>
      </c>
      <c r="W608" t="inlineStr">
        <is>
          <t>Bank Transfer</t>
        </is>
      </c>
      <c r="X608" t="inlineStr">
        <is>
          <t>High</t>
        </is>
      </c>
      <c r="Y608" t="n">
        <v>2023</v>
      </c>
      <c r="Z608" t="n">
        <v>4</v>
      </c>
      <c r="AA608" t="inlineStr">
        <is>
          <t>Apr</t>
        </is>
      </c>
      <c r="AB608" t="inlineStr">
        <is>
          <t>Wednesday</t>
        </is>
      </c>
      <c r="AC608" t="n">
        <v>5</v>
      </c>
      <c r="AD608" t="inlineStr">
        <is>
          <t>Profitable</t>
        </is>
      </c>
      <c r="AE608" t="inlineStr">
        <is>
          <t>Medium</t>
        </is>
      </c>
      <c r="AF608" t="inlineStr">
        <is>
          <t>Small</t>
        </is>
      </c>
    </row>
    <row r="609">
      <c r="A609" t="inlineStr">
        <is>
          <t>ORD-00608</t>
        </is>
      </c>
      <c r="B609" s="2" t="n">
        <v>45492</v>
      </c>
      <c r="C609" s="2" t="n">
        <v>45497</v>
      </c>
      <c r="D609" t="inlineStr">
        <is>
          <t>CUST-00608</t>
        </is>
      </c>
      <c r="E609" t="inlineStr">
        <is>
          <t>Customer 608</t>
        </is>
      </c>
      <c r="F609" t="inlineStr">
        <is>
          <t>Consumer</t>
        </is>
      </c>
      <c r="G609" t="inlineStr">
        <is>
          <t>P1014</t>
        </is>
      </c>
      <c r="H609" t="inlineStr">
        <is>
          <t>Trail Tote</t>
        </is>
      </c>
      <c r="I609" t="inlineStr">
        <is>
          <t>Furniture</t>
        </is>
      </c>
      <c r="J609" t="inlineStr">
        <is>
          <t>Accessories</t>
        </is>
      </c>
      <c r="K609" t="inlineStr">
        <is>
          <t>East</t>
        </is>
      </c>
      <c r="L609" t="inlineStr">
        <is>
          <t>Massachusetts</t>
        </is>
      </c>
      <c r="M609" t="inlineStr">
        <is>
          <t>Washington</t>
        </is>
      </c>
      <c r="N609" t="inlineStr">
        <is>
          <t>Mia Rodriguez</t>
        </is>
      </c>
      <c r="O609" t="n">
        <v>4</v>
      </c>
      <c r="P609" s="3" t="n">
        <v>43.7</v>
      </c>
      <c r="Q609" s="4" t="n">
        <v>0.007</v>
      </c>
      <c r="R609" s="3" t="n">
        <v>173.58</v>
      </c>
      <c r="S609" s="3" t="n">
        <v>78.23999999999999</v>
      </c>
      <c r="T609" s="3" t="n">
        <v>85.14</v>
      </c>
      <c r="U609" s="4" t="n">
        <v>0.4905</v>
      </c>
      <c r="V609" s="3" t="n">
        <v>10.2</v>
      </c>
      <c r="W609" t="inlineStr">
        <is>
          <t>Bank Transfer</t>
        </is>
      </c>
      <c r="X609" t="inlineStr">
        <is>
          <t>Low</t>
        </is>
      </c>
      <c r="Y609" t="n">
        <v>2024</v>
      </c>
      <c r="Z609" t="n">
        <v>7</v>
      </c>
      <c r="AA609" t="inlineStr">
        <is>
          <t>Jul</t>
        </is>
      </c>
      <c r="AB609" t="inlineStr">
        <is>
          <t>Friday</t>
        </is>
      </c>
      <c r="AC609" t="n">
        <v>5</v>
      </c>
      <c r="AD609" t="inlineStr">
        <is>
          <t>Profitable</t>
        </is>
      </c>
      <c r="AE609" t="inlineStr">
        <is>
          <t>Low</t>
        </is>
      </c>
      <c r="AF609" t="inlineStr">
        <is>
          <t>Small</t>
        </is>
      </c>
    </row>
    <row r="610">
      <c r="A610" t="inlineStr">
        <is>
          <t>ORD-00609</t>
        </is>
      </c>
      <c r="B610" s="2" t="n">
        <v>45567</v>
      </c>
      <c r="C610" s="2" t="n">
        <v>45569</v>
      </c>
      <c r="D610" t="inlineStr">
        <is>
          <t>CUST-00609</t>
        </is>
      </c>
      <c r="E610" t="inlineStr">
        <is>
          <t>Customer 609</t>
        </is>
      </c>
      <c r="F610" t="inlineStr">
        <is>
          <t>Home Office</t>
        </is>
      </c>
      <c r="G610" t="inlineStr">
        <is>
          <t>P1004</t>
        </is>
      </c>
      <c r="H610" t="inlineStr">
        <is>
          <t>Nimbus Monitor Arm</t>
        </is>
      </c>
      <c r="I610" t="inlineStr">
        <is>
          <t>Office Supplies</t>
        </is>
      </c>
      <c r="J610" t="inlineStr">
        <is>
          <t>Binders</t>
        </is>
      </c>
      <c r="K610" t="inlineStr">
        <is>
          <t>West</t>
        </is>
      </c>
      <c r="L610" t="inlineStr">
        <is>
          <t>Colorado</t>
        </is>
      </c>
      <c r="M610" t="inlineStr">
        <is>
          <t>Los Angeles</t>
        </is>
      </c>
      <c r="N610" t="inlineStr">
        <is>
          <t>James Carter</t>
        </is>
      </c>
      <c r="O610" t="n">
        <v>3</v>
      </c>
      <c r="P610" s="3" t="n">
        <v>691.99</v>
      </c>
      <c r="Q610" s="4" t="n">
        <v>0.026</v>
      </c>
      <c r="R610" s="3" t="n">
        <v>2021.99</v>
      </c>
      <c r="S610" s="3" t="n">
        <v>1279.86</v>
      </c>
      <c r="T610" s="3" t="n">
        <v>732.73</v>
      </c>
      <c r="U610" s="4" t="n">
        <v>0.3624</v>
      </c>
      <c r="V610" s="3" t="n">
        <v>9.4</v>
      </c>
      <c r="W610" t="inlineStr">
        <is>
          <t>Debit Card</t>
        </is>
      </c>
      <c r="X610" t="inlineStr">
        <is>
          <t>Medium</t>
        </is>
      </c>
      <c r="Y610" t="n">
        <v>2024</v>
      </c>
      <c r="Z610" t="n">
        <v>10</v>
      </c>
      <c r="AA610" t="inlineStr">
        <is>
          <t>Oct</t>
        </is>
      </c>
      <c r="AB610" t="inlineStr">
        <is>
          <t>Wednesday</t>
        </is>
      </c>
      <c r="AC610" t="n">
        <v>2</v>
      </c>
      <c r="AD610" t="inlineStr">
        <is>
          <t>Profitable</t>
        </is>
      </c>
      <c r="AE610" t="inlineStr">
        <is>
          <t>Medium</t>
        </is>
      </c>
      <c r="AF610" t="inlineStr">
        <is>
          <t>Large</t>
        </is>
      </c>
    </row>
    <row r="611">
      <c r="A611" t="inlineStr">
        <is>
          <t>ORD-00610</t>
        </is>
      </c>
      <c r="B611" s="2" t="n">
        <v>45945</v>
      </c>
      <c r="C611" s="2" t="n">
        <v>45951</v>
      </c>
      <c r="D611" t="inlineStr">
        <is>
          <t>CUST-00610</t>
        </is>
      </c>
      <c r="E611" t="inlineStr">
        <is>
          <t>Customer 610</t>
        </is>
      </c>
      <c r="F611" t="inlineStr">
        <is>
          <t>Home Office</t>
        </is>
      </c>
      <c r="G611" t="inlineStr">
        <is>
          <t>P1008</t>
        </is>
      </c>
      <c r="H611" t="inlineStr">
        <is>
          <t>Summit Patio Set</t>
        </is>
      </c>
      <c r="I611" t="inlineStr">
        <is>
          <t>Home Decor</t>
        </is>
      </c>
      <c r="J611" t="inlineStr">
        <is>
          <t>Video</t>
        </is>
      </c>
      <c r="K611" t="inlineStr">
        <is>
          <t>West</t>
        </is>
      </c>
      <c r="L611" t="inlineStr">
        <is>
          <t>Oregon</t>
        </is>
      </c>
      <c r="M611" t="inlineStr">
        <is>
          <t>Denver</t>
        </is>
      </c>
      <c r="N611" t="inlineStr">
        <is>
          <t>Mia Rodriguez</t>
        </is>
      </c>
      <c r="O611" t="n">
        <v>3</v>
      </c>
      <c r="P611" s="3" t="n">
        <v>41.08</v>
      </c>
      <c r="Q611" s="4" t="n">
        <v>0.059</v>
      </c>
      <c r="R611" s="3" t="n">
        <v>115.97</v>
      </c>
      <c r="S611" s="3" t="n">
        <v>49.63</v>
      </c>
      <c r="T611" s="3" t="n">
        <v>56.94</v>
      </c>
      <c r="U611" s="4" t="n">
        <v>0.491</v>
      </c>
      <c r="V611" s="3" t="n">
        <v>9.4</v>
      </c>
      <c r="W611" t="inlineStr">
        <is>
          <t>Credit Card</t>
        </is>
      </c>
      <c r="X611" t="inlineStr">
        <is>
          <t>High</t>
        </is>
      </c>
      <c r="Y611" t="n">
        <v>2025</v>
      </c>
      <c r="Z611" t="n">
        <v>10</v>
      </c>
      <c r="AA611" t="inlineStr">
        <is>
          <t>Oct</t>
        </is>
      </c>
      <c r="AB611" t="inlineStr">
        <is>
          <t>Wednesday</t>
        </is>
      </c>
      <c r="AC611" t="n">
        <v>6</v>
      </c>
      <c r="AD611" t="inlineStr">
        <is>
          <t>Profitable</t>
        </is>
      </c>
      <c r="AE611" t="inlineStr">
        <is>
          <t>High</t>
        </is>
      </c>
      <c r="AF611" t="inlineStr">
        <is>
          <t>Small</t>
        </is>
      </c>
    </row>
    <row r="612">
      <c r="A612" t="inlineStr">
        <is>
          <t>ORD-00611</t>
        </is>
      </c>
      <c r="B612" s="2" t="n">
        <v>45108</v>
      </c>
      <c r="C612" s="2" t="n">
        <v>45115</v>
      </c>
      <c r="D612" t="inlineStr">
        <is>
          <t>CUST-00611</t>
        </is>
      </c>
      <c r="E612" t="inlineStr">
        <is>
          <t>Customer 611</t>
        </is>
      </c>
      <c r="F612" t="inlineStr">
        <is>
          <t>Corporate</t>
        </is>
      </c>
      <c r="G612" t="inlineStr">
        <is>
          <t>P1016</t>
        </is>
      </c>
      <c r="H612" t="inlineStr">
        <is>
          <t>Atlas Throw Pillow</t>
        </is>
      </c>
      <c r="I612" t="inlineStr">
        <is>
          <t>Furniture</t>
        </is>
      </c>
      <c r="J612" t="inlineStr">
        <is>
          <t>Plants</t>
        </is>
      </c>
      <c r="K612" t="inlineStr">
        <is>
          <t>Central</t>
        </is>
      </c>
      <c r="L612" t="inlineStr">
        <is>
          <t>Minnesota</t>
        </is>
      </c>
      <c r="M612" t="inlineStr">
        <is>
          <t>Chicago</t>
        </is>
      </c>
      <c r="N612" t="inlineStr">
        <is>
          <t>Noah Kim</t>
        </is>
      </c>
      <c r="O612" t="n">
        <v>5</v>
      </c>
      <c r="P612" s="3" t="n">
        <v>39.3</v>
      </c>
      <c r="Q612" s="4" t="n">
        <v>0.03</v>
      </c>
      <c r="R612" s="3" t="n">
        <v>190.6</v>
      </c>
      <c r="S612" s="3" t="n">
        <v>79.81</v>
      </c>
      <c r="T612" s="3" t="n">
        <v>100.79</v>
      </c>
      <c r="U612" s="4" t="n">
        <v>0.5288</v>
      </c>
      <c r="V612" s="3" t="n">
        <v>10</v>
      </c>
      <c r="W612" t="inlineStr">
        <is>
          <t>Bank Transfer</t>
        </is>
      </c>
      <c r="X612" t="inlineStr">
        <is>
          <t>Medium</t>
        </is>
      </c>
      <c r="Y612" t="n">
        <v>2023</v>
      </c>
      <c r="Z612" t="n">
        <v>7</v>
      </c>
      <c r="AA612" t="inlineStr">
        <is>
          <t>Jul</t>
        </is>
      </c>
      <c r="AB612" t="inlineStr">
        <is>
          <t>Saturday</t>
        </is>
      </c>
      <c r="AC612" t="n">
        <v>7</v>
      </c>
      <c r="AD612" t="inlineStr">
        <is>
          <t>Profitable</t>
        </is>
      </c>
      <c r="AE612" t="inlineStr">
        <is>
          <t>Medium</t>
        </is>
      </c>
      <c r="AF612" t="inlineStr">
        <is>
          <t>Small</t>
        </is>
      </c>
    </row>
    <row r="613">
      <c r="A613" t="inlineStr">
        <is>
          <t>ORD-00612</t>
        </is>
      </c>
      <c r="B613" s="2" t="n">
        <v>45787</v>
      </c>
      <c r="C613" s="2" t="n">
        <v>45793</v>
      </c>
      <c r="D613" t="inlineStr">
        <is>
          <t>CUST-00612</t>
        </is>
      </c>
      <c r="E613" t="inlineStr">
        <is>
          <t>Customer 612</t>
        </is>
      </c>
      <c r="F613" t="inlineStr">
        <is>
          <t>Consumer</t>
        </is>
      </c>
      <c r="G613" t="inlineStr">
        <is>
          <t>P1004</t>
        </is>
      </c>
      <c r="H613" t="inlineStr">
        <is>
          <t>Pulse Keyboard</t>
        </is>
      </c>
      <c r="I613" t="inlineStr">
        <is>
          <t>Technology</t>
        </is>
      </c>
      <c r="J613" t="inlineStr">
        <is>
          <t>Furniture</t>
        </is>
      </c>
      <c r="K613" t="inlineStr">
        <is>
          <t>West</t>
        </is>
      </c>
      <c r="L613" t="inlineStr">
        <is>
          <t>California</t>
        </is>
      </c>
      <c r="M613" t="inlineStr">
        <is>
          <t>Los Angeles</t>
        </is>
      </c>
      <c r="N613" t="inlineStr">
        <is>
          <t>Olivia Martin</t>
        </is>
      </c>
      <c r="O613" t="n">
        <v>2</v>
      </c>
      <c r="P613" s="3" t="n">
        <v>617.52</v>
      </c>
      <c r="Q613" s="4" t="n">
        <v>0.016</v>
      </c>
      <c r="R613" s="3" t="n">
        <v>1215.28</v>
      </c>
      <c r="S613" s="3" t="n">
        <v>775.8200000000001</v>
      </c>
      <c r="T613" s="3" t="n">
        <v>430.86</v>
      </c>
      <c r="U613" s="4" t="n">
        <v>0.3545</v>
      </c>
      <c r="V613" s="3" t="n">
        <v>8.6</v>
      </c>
      <c r="W613" t="inlineStr">
        <is>
          <t>Debit Card</t>
        </is>
      </c>
      <c r="X613" t="inlineStr">
        <is>
          <t>Medium</t>
        </is>
      </c>
      <c r="Y613" t="n">
        <v>2025</v>
      </c>
      <c r="Z613" t="n">
        <v>5</v>
      </c>
      <c r="AA613" t="inlineStr">
        <is>
          <t>May</t>
        </is>
      </c>
      <c r="AB613" t="inlineStr">
        <is>
          <t>Saturday</t>
        </is>
      </c>
      <c r="AC613" t="n">
        <v>6</v>
      </c>
      <c r="AD613" t="inlineStr">
        <is>
          <t>Profitable</t>
        </is>
      </c>
      <c r="AE613" t="inlineStr">
        <is>
          <t>Low</t>
        </is>
      </c>
      <c r="AF613" t="inlineStr">
        <is>
          <t>Medium</t>
        </is>
      </c>
    </row>
    <row r="614">
      <c r="A614" t="inlineStr">
        <is>
          <t>ORD-00613</t>
        </is>
      </c>
      <c r="B614" s="2" t="n">
        <v>45632</v>
      </c>
      <c r="C614" s="2" t="n">
        <v>45633</v>
      </c>
      <c r="D614" t="inlineStr">
        <is>
          <t>CUST-00613</t>
        </is>
      </c>
      <c r="E614" t="inlineStr">
        <is>
          <t>Customer 613</t>
        </is>
      </c>
      <c r="F614" t="inlineStr">
        <is>
          <t>Corporate</t>
        </is>
      </c>
      <c r="G614" t="inlineStr">
        <is>
          <t>P1019</t>
        </is>
      </c>
      <c r="H614" t="inlineStr">
        <is>
          <t>Atlas Throw Pillow</t>
        </is>
      </c>
      <c r="I614" t="inlineStr">
        <is>
          <t>Furniture</t>
        </is>
      </c>
      <c r="J614" t="inlineStr">
        <is>
          <t>Coolers</t>
        </is>
      </c>
      <c r="K614" t="inlineStr">
        <is>
          <t>North</t>
        </is>
      </c>
      <c r="L614" t="inlineStr">
        <is>
          <t>Ontario</t>
        </is>
      </c>
      <c r="M614" t="inlineStr">
        <is>
          <t>Montreal</t>
        </is>
      </c>
      <c r="N614" t="inlineStr">
        <is>
          <t>Sophia Singh</t>
        </is>
      </c>
      <c r="O614" t="n">
        <v>3</v>
      </c>
      <c r="P614" s="3" t="n">
        <v>60.42</v>
      </c>
      <c r="Q614" s="4" t="n">
        <v>0.039</v>
      </c>
      <c r="R614" s="3" t="n">
        <v>174.19</v>
      </c>
      <c r="S614" s="3" t="n">
        <v>80.97</v>
      </c>
      <c r="T614" s="3" t="n">
        <v>84.81999999999999</v>
      </c>
      <c r="U614" s="4" t="n">
        <v>0.4869</v>
      </c>
      <c r="V614" s="3" t="n">
        <v>8.4</v>
      </c>
      <c r="W614" t="inlineStr">
        <is>
          <t>Bank Transfer</t>
        </is>
      </c>
      <c r="X614" t="inlineStr">
        <is>
          <t>High</t>
        </is>
      </c>
      <c r="Y614" t="n">
        <v>2024</v>
      </c>
      <c r="Z614" t="n">
        <v>12</v>
      </c>
      <c r="AA614" t="inlineStr">
        <is>
          <t>Dec</t>
        </is>
      </c>
      <c r="AB614" t="inlineStr">
        <is>
          <t>Friday</t>
        </is>
      </c>
      <c r="AC614" t="n">
        <v>1</v>
      </c>
      <c r="AD614" t="inlineStr">
        <is>
          <t>Profitable</t>
        </is>
      </c>
      <c r="AE614" t="inlineStr">
        <is>
          <t>Medium</t>
        </is>
      </c>
      <c r="AF614" t="inlineStr">
        <is>
          <t>Small</t>
        </is>
      </c>
    </row>
    <row r="615">
      <c r="A615" t="inlineStr">
        <is>
          <t>ORD-00614</t>
        </is>
      </c>
      <c r="B615" s="2" t="n">
        <v>45191</v>
      </c>
      <c r="C615" s="2" t="n">
        <v>45196</v>
      </c>
      <c r="D615" t="inlineStr">
        <is>
          <t>CUST-00614</t>
        </is>
      </c>
      <c r="E615" t="inlineStr">
        <is>
          <t>Customer 614</t>
        </is>
      </c>
      <c r="F615" t="inlineStr">
        <is>
          <t>Consumer</t>
        </is>
      </c>
      <c r="G615" t="inlineStr">
        <is>
          <t>P1006</t>
        </is>
      </c>
      <c r="H615" t="inlineStr">
        <is>
          <t>Echo Web Camera</t>
        </is>
      </c>
      <c r="I615" t="inlineStr">
        <is>
          <t>Technology</t>
        </is>
      </c>
      <c r="J615" t="inlineStr">
        <is>
          <t>Furniture</t>
        </is>
      </c>
      <c r="K615" t="inlineStr">
        <is>
          <t>West</t>
        </is>
      </c>
      <c r="L615" t="inlineStr">
        <is>
          <t>Oregon</t>
        </is>
      </c>
      <c r="M615" t="inlineStr">
        <is>
          <t>San Francisco</t>
        </is>
      </c>
      <c r="N615" t="inlineStr">
        <is>
          <t>James Carter</t>
        </is>
      </c>
      <c r="O615" t="n">
        <v>3</v>
      </c>
      <c r="P615" s="3" t="n">
        <v>18.22</v>
      </c>
      <c r="Q615" s="4" t="n">
        <v>0.033</v>
      </c>
      <c r="R615" s="3" t="n">
        <v>52.86</v>
      </c>
      <c r="S615" s="3" t="n">
        <v>24.21</v>
      </c>
      <c r="T615" s="3" t="n">
        <v>19.25</v>
      </c>
      <c r="U615" s="4" t="n">
        <v>0.3642</v>
      </c>
      <c r="V615" s="3" t="n">
        <v>9.4</v>
      </c>
      <c r="W615" t="inlineStr">
        <is>
          <t>Credit Card</t>
        </is>
      </c>
      <c r="X615" t="inlineStr">
        <is>
          <t>Medium</t>
        </is>
      </c>
      <c r="Y615" t="n">
        <v>2023</v>
      </c>
      <c r="Z615" t="n">
        <v>9</v>
      </c>
      <c r="AA615" t="inlineStr">
        <is>
          <t>Sep</t>
        </is>
      </c>
      <c r="AB615" t="inlineStr">
        <is>
          <t>Friday</t>
        </is>
      </c>
      <c r="AC615" t="n">
        <v>5</v>
      </c>
      <c r="AD615" t="inlineStr">
        <is>
          <t>Profitable</t>
        </is>
      </c>
      <c r="AE615" t="inlineStr">
        <is>
          <t>Medium</t>
        </is>
      </c>
      <c r="AF615" t="inlineStr">
        <is>
          <t>Small</t>
        </is>
      </c>
    </row>
    <row r="616">
      <c r="A616" t="inlineStr">
        <is>
          <t>ORD-00615</t>
        </is>
      </c>
      <c r="B616" s="2" t="n">
        <v>45821</v>
      </c>
      <c r="C616" s="2" t="n">
        <v>45823</v>
      </c>
      <c r="D616" t="inlineStr">
        <is>
          <t>CUST-00615</t>
        </is>
      </c>
      <c r="E616" t="inlineStr">
        <is>
          <t>Customer 615</t>
        </is>
      </c>
      <c r="F616" t="inlineStr">
        <is>
          <t>Home Office</t>
        </is>
      </c>
      <c r="G616" t="inlineStr">
        <is>
          <t>P1019</t>
        </is>
      </c>
      <c r="H616" t="inlineStr">
        <is>
          <t>ErgoMesh Chair</t>
        </is>
      </c>
      <c r="I616" t="inlineStr">
        <is>
          <t>Furniture</t>
        </is>
      </c>
      <c r="J616" t="inlineStr">
        <is>
          <t>Video</t>
        </is>
      </c>
      <c r="K616" t="inlineStr">
        <is>
          <t>East</t>
        </is>
      </c>
      <c r="L616" t="inlineStr">
        <is>
          <t>New York</t>
        </is>
      </c>
      <c r="M616" t="inlineStr">
        <is>
          <t>Philadelphia</t>
        </is>
      </c>
      <c r="N616" t="inlineStr">
        <is>
          <t>Sophia Singh</t>
        </is>
      </c>
      <c r="O616" t="n">
        <v>1</v>
      </c>
      <c r="P616" s="3" t="n">
        <v>59.25</v>
      </c>
      <c r="Q616" s="4" t="n">
        <v>0.057</v>
      </c>
      <c r="R616" s="3" t="n">
        <v>55.87</v>
      </c>
      <c r="S616" s="3" t="n">
        <v>32.4</v>
      </c>
      <c r="T616" s="3" t="n">
        <v>15.67</v>
      </c>
      <c r="U616" s="4" t="n">
        <v>0.2805</v>
      </c>
      <c r="V616" s="3" t="n">
        <v>7.8</v>
      </c>
      <c r="W616" t="inlineStr">
        <is>
          <t>Debit Card</t>
        </is>
      </c>
      <c r="X616" t="inlineStr">
        <is>
          <t>High</t>
        </is>
      </c>
      <c r="Y616" t="n">
        <v>2025</v>
      </c>
      <c r="Z616" t="n">
        <v>6</v>
      </c>
      <c r="AA616" t="inlineStr">
        <is>
          <t>Jun</t>
        </is>
      </c>
      <c r="AB616" t="inlineStr">
        <is>
          <t>Friday</t>
        </is>
      </c>
      <c r="AC616" t="n">
        <v>2</v>
      </c>
      <c r="AD616" t="inlineStr">
        <is>
          <t>Profitable</t>
        </is>
      </c>
      <c r="AE616" t="inlineStr">
        <is>
          <t>High</t>
        </is>
      </c>
      <c r="AF616" t="inlineStr">
        <is>
          <t>Small</t>
        </is>
      </c>
    </row>
    <row r="617">
      <c r="A617" t="inlineStr">
        <is>
          <t>ORD-00616</t>
        </is>
      </c>
      <c r="B617" s="2" t="n">
        <v>45787</v>
      </c>
      <c r="C617" s="2" t="n">
        <v>45789</v>
      </c>
      <c r="D617" t="inlineStr">
        <is>
          <t>CUST-00616</t>
        </is>
      </c>
      <c r="E617" t="inlineStr">
        <is>
          <t>Customer 616</t>
        </is>
      </c>
      <c r="F617" t="inlineStr">
        <is>
          <t>Corporate</t>
        </is>
      </c>
      <c r="G617" t="inlineStr">
        <is>
          <t>P1015</t>
        </is>
      </c>
      <c r="H617" t="inlineStr">
        <is>
          <t>Pulse Keyboard</t>
        </is>
      </c>
      <c r="I617" t="inlineStr">
        <is>
          <t>Technology</t>
        </is>
      </c>
      <c r="J617" t="inlineStr">
        <is>
          <t>Textiles</t>
        </is>
      </c>
      <c r="K617" t="inlineStr">
        <is>
          <t>South</t>
        </is>
      </c>
      <c r="L617" t="inlineStr">
        <is>
          <t>Florida</t>
        </is>
      </c>
      <c r="M617" t="inlineStr">
        <is>
          <t>Dallas</t>
        </is>
      </c>
      <c r="N617" t="inlineStr">
        <is>
          <t>Liam Chen</t>
        </is>
      </c>
      <c r="O617" t="n">
        <v>3</v>
      </c>
      <c r="P617" s="3" t="n">
        <v>65.23</v>
      </c>
      <c r="Q617" s="4" t="n">
        <v>0.04500000000000001</v>
      </c>
      <c r="R617" s="3" t="n">
        <v>186.88</v>
      </c>
      <c r="S617" s="3" t="n">
        <v>88.61</v>
      </c>
      <c r="T617" s="3" t="n">
        <v>89.87</v>
      </c>
      <c r="U617" s="4" t="n">
        <v>0.4809</v>
      </c>
      <c r="V617" s="3" t="n">
        <v>8.4</v>
      </c>
      <c r="W617" t="inlineStr">
        <is>
          <t>Debit Card</t>
        </is>
      </c>
      <c r="X617" t="inlineStr">
        <is>
          <t>High</t>
        </is>
      </c>
      <c r="Y617" t="n">
        <v>2025</v>
      </c>
      <c r="Z617" t="n">
        <v>5</v>
      </c>
      <c r="AA617" t="inlineStr">
        <is>
          <t>May</t>
        </is>
      </c>
      <c r="AB617" t="inlineStr">
        <is>
          <t>Saturday</t>
        </is>
      </c>
      <c r="AC617" t="n">
        <v>2</v>
      </c>
      <c r="AD617" t="inlineStr">
        <is>
          <t>Profitable</t>
        </is>
      </c>
      <c r="AE617" t="inlineStr">
        <is>
          <t>Medium</t>
        </is>
      </c>
      <c r="AF617" t="inlineStr">
        <is>
          <t>Small</t>
        </is>
      </c>
    </row>
    <row r="618">
      <c r="A618" t="inlineStr">
        <is>
          <t>ORD-00617</t>
        </is>
      </c>
      <c r="B618" s="2" t="n">
        <v>45211</v>
      </c>
      <c r="C618" s="2" t="n">
        <v>45215</v>
      </c>
      <c r="D618" t="inlineStr">
        <is>
          <t>CUST-00617</t>
        </is>
      </c>
      <c r="E618" t="inlineStr">
        <is>
          <t>Customer 617</t>
        </is>
      </c>
      <c r="F618" t="inlineStr">
        <is>
          <t>Home Office</t>
        </is>
      </c>
      <c r="G618" t="inlineStr">
        <is>
          <t>P1012</t>
        </is>
      </c>
      <c r="H618" t="inlineStr">
        <is>
          <t>ProClip Binder</t>
        </is>
      </c>
      <c r="I618" t="inlineStr">
        <is>
          <t>Furniture</t>
        </is>
      </c>
      <c r="J618" t="inlineStr">
        <is>
          <t>Video</t>
        </is>
      </c>
      <c r="K618" t="inlineStr">
        <is>
          <t>West</t>
        </is>
      </c>
      <c r="L618" t="inlineStr">
        <is>
          <t>Oregon</t>
        </is>
      </c>
      <c r="M618" t="inlineStr">
        <is>
          <t>Seattle</t>
        </is>
      </c>
      <c r="N618" t="inlineStr">
        <is>
          <t>James Carter</t>
        </is>
      </c>
      <c r="O618" t="n">
        <v>2</v>
      </c>
      <c r="P618" s="3" t="n">
        <v>143.27</v>
      </c>
      <c r="Q618" s="4" t="n">
        <v>0.06900000000000001</v>
      </c>
      <c r="R618" s="3" t="n">
        <v>266.77</v>
      </c>
      <c r="S618" s="3" t="n">
        <v>142.51</v>
      </c>
      <c r="T618" s="3" t="n">
        <v>115.66</v>
      </c>
      <c r="U618" s="4" t="n">
        <v>0.4336</v>
      </c>
      <c r="V618" s="3" t="n">
        <v>8.6</v>
      </c>
      <c r="W618" t="inlineStr">
        <is>
          <t>Debit Card</t>
        </is>
      </c>
      <c r="X618" t="inlineStr">
        <is>
          <t>Critical</t>
        </is>
      </c>
      <c r="Y618" t="n">
        <v>2023</v>
      </c>
      <c r="Z618" t="n">
        <v>10</v>
      </c>
      <c r="AA618" t="inlineStr">
        <is>
          <t>Oct</t>
        </is>
      </c>
      <c r="AB618" t="inlineStr">
        <is>
          <t>Thursday</t>
        </is>
      </c>
      <c r="AC618" t="n">
        <v>4</v>
      </c>
      <c r="AD618" t="inlineStr">
        <is>
          <t>Profitable</t>
        </is>
      </c>
      <c r="AE618" t="inlineStr">
        <is>
          <t>High</t>
        </is>
      </c>
      <c r="AF618" t="inlineStr">
        <is>
          <t>Small</t>
        </is>
      </c>
    </row>
    <row r="619">
      <c r="A619" t="inlineStr">
        <is>
          <t>ORD-00618</t>
        </is>
      </c>
      <c r="B619" s="2" t="n">
        <v>45040</v>
      </c>
      <c r="C619" s="2" t="n">
        <v>45045</v>
      </c>
      <c r="D619" t="inlineStr">
        <is>
          <t>CUST-00618</t>
        </is>
      </c>
      <c r="E619" t="inlineStr">
        <is>
          <t>Customer 618</t>
        </is>
      </c>
      <c r="F619" t="inlineStr">
        <is>
          <t>Corporate</t>
        </is>
      </c>
      <c r="G619" t="inlineStr">
        <is>
          <t>P1012</t>
        </is>
      </c>
      <c r="H619" t="inlineStr">
        <is>
          <t>Northstar Lantern</t>
        </is>
      </c>
      <c r="I619" t="inlineStr">
        <is>
          <t>Outdoor</t>
        </is>
      </c>
      <c r="J619" t="inlineStr">
        <is>
          <t>Desks</t>
        </is>
      </c>
      <c r="K619" t="inlineStr">
        <is>
          <t>South</t>
        </is>
      </c>
      <c r="L619" t="inlineStr">
        <is>
          <t>Texas</t>
        </is>
      </c>
      <c r="M619" t="inlineStr">
        <is>
          <t>Atlanta</t>
        </is>
      </c>
      <c r="N619" t="inlineStr">
        <is>
          <t>Olivia Martin</t>
        </is>
      </c>
      <c r="O619" t="n">
        <v>3</v>
      </c>
      <c r="P619" s="3" t="n">
        <v>130.41</v>
      </c>
      <c r="Q619" s="4" t="n">
        <v>0.028</v>
      </c>
      <c r="R619" s="3" t="n">
        <v>380.28</v>
      </c>
      <c r="S619" s="3" t="n">
        <v>193.38</v>
      </c>
      <c r="T619" s="3" t="n">
        <v>178.5</v>
      </c>
      <c r="U619" s="4" t="n">
        <v>0.4694</v>
      </c>
      <c r="V619" s="3" t="n">
        <v>8.4</v>
      </c>
      <c r="W619" t="inlineStr">
        <is>
          <t>Cash on Delivery</t>
        </is>
      </c>
      <c r="X619" t="inlineStr">
        <is>
          <t>Medium</t>
        </is>
      </c>
      <c r="Y619" t="n">
        <v>2023</v>
      </c>
      <c r="Z619" t="n">
        <v>4</v>
      </c>
      <c r="AA619" t="inlineStr">
        <is>
          <t>Apr</t>
        </is>
      </c>
      <c r="AB619" t="inlineStr">
        <is>
          <t>Monday</t>
        </is>
      </c>
      <c r="AC619" t="n">
        <v>5</v>
      </c>
      <c r="AD619" t="inlineStr">
        <is>
          <t>Profitable</t>
        </is>
      </c>
      <c r="AE619" t="inlineStr">
        <is>
          <t>Medium</t>
        </is>
      </c>
      <c r="AF619" t="inlineStr">
        <is>
          <t>Small</t>
        </is>
      </c>
    </row>
    <row r="620">
      <c r="A620" t="inlineStr">
        <is>
          <t>ORD-00619</t>
        </is>
      </c>
      <c r="B620" s="2" t="n">
        <v>45722</v>
      </c>
      <c r="C620" s="2" t="n">
        <v>45724</v>
      </c>
      <c r="D620" t="inlineStr">
        <is>
          <t>CUST-00619</t>
        </is>
      </c>
      <c r="E620" t="inlineStr">
        <is>
          <t>Customer 619</t>
        </is>
      </c>
      <c r="F620" t="inlineStr">
        <is>
          <t>Corporate</t>
        </is>
      </c>
      <c r="G620" t="inlineStr">
        <is>
          <t>P1002</t>
        </is>
      </c>
      <c r="H620" t="inlineStr">
        <is>
          <t>Echo Web Camera</t>
        </is>
      </c>
      <c r="I620" t="inlineStr">
        <is>
          <t>Outdoor</t>
        </is>
      </c>
      <c r="J620" t="inlineStr">
        <is>
          <t>Accessories</t>
        </is>
      </c>
      <c r="K620" t="inlineStr">
        <is>
          <t>North</t>
        </is>
      </c>
      <c r="L620" t="inlineStr">
        <is>
          <t>Alberta</t>
        </is>
      </c>
      <c r="M620" t="inlineStr">
        <is>
          <t>Montreal</t>
        </is>
      </c>
      <c r="N620" t="inlineStr">
        <is>
          <t>Liam Chen</t>
        </is>
      </c>
      <c r="O620" t="n">
        <v>3</v>
      </c>
      <c r="P620" s="3" t="n">
        <v>78.40000000000001</v>
      </c>
      <c r="Q620" s="4" t="n">
        <v>0.02</v>
      </c>
      <c r="R620" s="3" t="n">
        <v>230.5</v>
      </c>
      <c r="S620" s="3" t="n">
        <v>109.42</v>
      </c>
      <c r="T620" s="3" t="n">
        <v>112.68</v>
      </c>
      <c r="U620" s="4" t="n">
        <v>0.4889</v>
      </c>
      <c r="V620" s="3" t="n">
        <v>8.4</v>
      </c>
      <c r="W620" t="inlineStr">
        <is>
          <t>Bank Transfer</t>
        </is>
      </c>
      <c r="X620" t="inlineStr">
        <is>
          <t>Medium</t>
        </is>
      </c>
      <c r="Y620" t="n">
        <v>2025</v>
      </c>
      <c r="Z620" t="n">
        <v>3</v>
      </c>
      <c r="AA620" t="inlineStr">
        <is>
          <t>Mar</t>
        </is>
      </c>
      <c r="AB620" t="inlineStr">
        <is>
          <t>Thursday</t>
        </is>
      </c>
      <c r="AC620" t="n">
        <v>2</v>
      </c>
      <c r="AD620" t="inlineStr">
        <is>
          <t>Profitable</t>
        </is>
      </c>
      <c r="AE620" t="inlineStr">
        <is>
          <t>Medium</t>
        </is>
      </c>
      <c r="AF620" t="inlineStr">
        <is>
          <t>Small</t>
        </is>
      </c>
    </row>
    <row r="621">
      <c r="A621" t="inlineStr">
        <is>
          <t>ORD-00620</t>
        </is>
      </c>
      <c r="B621" s="2" t="n">
        <v>45875</v>
      </c>
      <c r="C621" s="2" t="n">
        <v>45879</v>
      </c>
      <c r="D621" t="inlineStr">
        <is>
          <t>CUST-00620</t>
        </is>
      </c>
      <c r="E621" t="inlineStr">
        <is>
          <t>Customer 620</t>
        </is>
      </c>
      <c r="F621" t="inlineStr">
        <is>
          <t>Corporate</t>
        </is>
      </c>
      <c r="G621" t="inlineStr">
        <is>
          <t>P1009</t>
        </is>
      </c>
      <c r="H621" t="inlineStr">
        <is>
          <t>Lumen Desk Lamp</t>
        </is>
      </c>
      <c r="I621" t="inlineStr">
        <is>
          <t>Home Decor</t>
        </is>
      </c>
      <c r="J621" t="inlineStr">
        <is>
          <t>Plants</t>
        </is>
      </c>
      <c r="K621" t="inlineStr">
        <is>
          <t>North</t>
        </is>
      </c>
      <c r="L621" t="inlineStr">
        <is>
          <t>British Columbia</t>
        </is>
      </c>
      <c r="M621" t="inlineStr">
        <is>
          <t>Calgary</t>
        </is>
      </c>
      <c r="N621" t="inlineStr">
        <is>
          <t>Sophia Singh</t>
        </is>
      </c>
      <c r="O621" t="n">
        <v>4</v>
      </c>
      <c r="P621" s="3" t="n">
        <v>90.05</v>
      </c>
      <c r="Q621" s="4" t="n">
        <v>0.021</v>
      </c>
      <c r="R621" s="3" t="n">
        <v>352.64</v>
      </c>
      <c r="S621" s="3" t="n">
        <v>174.8</v>
      </c>
      <c r="T621" s="3" t="n">
        <v>168.64</v>
      </c>
      <c r="U621" s="4" t="n">
        <v>0.4782</v>
      </c>
      <c r="V621" s="3" t="n">
        <v>9.199999999999999</v>
      </c>
      <c r="W621" t="inlineStr">
        <is>
          <t>Bank Transfer</t>
        </is>
      </c>
      <c r="X621" t="inlineStr">
        <is>
          <t>High</t>
        </is>
      </c>
      <c r="Y621" t="n">
        <v>2025</v>
      </c>
      <c r="Z621" t="n">
        <v>8</v>
      </c>
      <c r="AA621" t="inlineStr">
        <is>
          <t>Aug</t>
        </is>
      </c>
      <c r="AB621" t="inlineStr">
        <is>
          <t>Wednesday</t>
        </is>
      </c>
      <c r="AC621" t="n">
        <v>4</v>
      </c>
      <c r="AD621" t="inlineStr">
        <is>
          <t>Profitable</t>
        </is>
      </c>
      <c r="AE621" t="inlineStr">
        <is>
          <t>Medium</t>
        </is>
      </c>
      <c r="AF621" t="inlineStr">
        <is>
          <t>Small</t>
        </is>
      </c>
    </row>
    <row r="622">
      <c r="A622" t="inlineStr">
        <is>
          <t>ORD-00621</t>
        </is>
      </c>
      <c r="B622" s="2" t="n">
        <v>45047</v>
      </c>
      <c r="C622" s="2" t="n">
        <v>45048</v>
      </c>
      <c r="D622" t="inlineStr">
        <is>
          <t>CUST-00621</t>
        </is>
      </c>
      <c r="E622" t="inlineStr">
        <is>
          <t>Customer 621</t>
        </is>
      </c>
      <c r="F622" t="inlineStr">
        <is>
          <t>Consumer</t>
        </is>
      </c>
      <c r="G622" t="inlineStr">
        <is>
          <t>P1003</t>
        </is>
      </c>
      <c r="H622" t="inlineStr">
        <is>
          <t>Orbit Wireless Mouse</t>
        </is>
      </c>
      <c r="I622" t="inlineStr">
        <is>
          <t>Office Supplies</t>
        </is>
      </c>
      <c r="J622" t="inlineStr">
        <is>
          <t>Paper</t>
        </is>
      </c>
      <c r="K622" t="inlineStr">
        <is>
          <t>East</t>
        </is>
      </c>
      <c r="L622" t="inlineStr">
        <is>
          <t>New York</t>
        </is>
      </c>
      <c r="M622" t="inlineStr">
        <is>
          <t>New York</t>
        </is>
      </c>
      <c r="N622" t="inlineStr">
        <is>
          <t>Ava Patel</t>
        </is>
      </c>
      <c r="O622" t="n">
        <v>2</v>
      </c>
      <c r="P622" s="3" t="n">
        <v>152.33</v>
      </c>
      <c r="Q622" s="4" t="n">
        <v>0.02</v>
      </c>
      <c r="R622" s="3" t="n">
        <v>298.57</v>
      </c>
      <c r="S622" s="3" t="n">
        <v>160.81</v>
      </c>
      <c r="T622" s="3" t="n">
        <v>129.16</v>
      </c>
      <c r="U622" s="4" t="n">
        <v>0.4326</v>
      </c>
      <c r="V622" s="3" t="n">
        <v>8.6</v>
      </c>
      <c r="W622" t="inlineStr">
        <is>
          <t>Credit Card</t>
        </is>
      </c>
      <c r="X622" t="inlineStr">
        <is>
          <t>High</t>
        </is>
      </c>
      <c r="Y622" t="n">
        <v>2023</v>
      </c>
      <c r="Z622" t="n">
        <v>5</v>
      </c>
      <c r="AA622" t="inlineStr">
        <is>
          <t>May</t>
        </is>
      </c>
      <c r="AB622" t="inlineStr">
        <is>
          <t>Monday</t>
        </is>
      </c>
      <c r="AC622" t="n">
        <v>1</v>
      </c>
      <c r="AD622" t="inlineStr">
        <is>
          <t>Profitable</t>
        </is>
      </c>
      <c r="AE622" t="inlineStr">
        <is>
          <t>Medium</t>
        </is>
      </c>
      <c r="AF622" t="inlineStr">
        <is>
          <t>Small</t>
        </is>
      </c>
    </row>
    <row r="623">
      <c r="A623" t="inlineStr">
        <is>
          <t>ORD-00622</t>
        </is>
      </c>
      <c r="B623" s="2" t="n">
        <v>45181</v>
      </c>
      <c r="C623" s="2" t="n">
        <v>45185</v>
      </c>
      <c r="D623" t="inlineStr">
        <is>
          <t>CUST-00622</t>
        </is>
      </c>
      <c r="E623" t="inlineStr">
        <is>
          <t>Customer 622</t>
        </is>
      </c>
      <c r="F623" t="inlineStr">
        <is>
          <t>Consumer</t>
        </is>
      </c>
      <c r="G623" t="inlineStr">
        <is>
          <t>P1001</t>
        </is>
      </c>
      <c r="H623" t="inlineStr">
        <is>
          <t>Northstar Lantern</t>
        </is>
      </c>
      <c r="I623" t="inlineStr">
        <is>
          <t>Furniture</t>
        </is>
      </c>
      <c r="J623" t="inlineStr">
        <is>
          <t>Peripherals</t>
        </is>
      </c>
      <c r="K623" t="inlineStr">
        <is>
          <t>East</t>
        </is>
      </c>
      <c r="L623" t="inlineStr">
        <is>
          <t>New York</t>
        </is>
      </c>
      <c r="M623" t="inlineStr">
        <is>
          <t>Washington</t>
        </is>
      </c>
      <c r="N623" t="inlineStr">
        <is>
          <t>Sophia Singh</t>
        </is>
      </c>
      <c r="O623" t="n">
        <v>1</v>
      </c>
      <c r="P623" s="3" t="n">
        <v>298.04</v>
      </c>
      <c r="Q623" s="4" t="n">
        <v>0.02</v>
      </c>
      <c r="R623" s="3" t="n">
        <v>292.08</v>
      </c>
      <c r="S623" s="3" t="n">
        <v>173.43</v>
      </c>
      <c r="T623" s="3" t="n">
        <v>110.85</v>
      </c>
      <c r="U623" s="4" t="n">
        <v>0.3795</v>
      </c>
      <c r="V623" s="3" t="n">
        <v>7.8</v>
      </c>
      <c r="W623" t="inlineStr">
        <is>
          <t>Debit Card</t>
        </is>
      </c>
      <c r="X623" t="inlineStr">
        <is>
          <t>Medium</t>
        </is>
      </c>
      <c r="Y623" t="n">
        <v>2023</v>
      </c>
      <c r="Z623" t="n">
        <v>9</v>
      </c>
      <c r="AA623" t="inlineStr">
        <is>
          <t>Sep</t>
        </is>
      </c>
      <c r="AB623" t="inlineStr">
        <is>
          <t>Tuesday</t>
        </is>
      </c>
      <c r="AC623" t="n">
        <v>4</v>
      </c>
      <c r="AD623" t="inlineStr">
        <is>
          <t>Profitable</t>
        </is>
      </c>
      <c r="AE623" t="inlineStr">
        <is>
          <t>Medium</t>
        </is>
      </c>
      <c r="AF623" t="inlineStr">
        <is>
          <t>Small</t>
        </is>
      </c>
    </row>
    <row r="624">
      <c r="A624" t="inlineStr">
        <is>
          <t>ORD-00623</t>
        </is>
      </c>
      <c r="B624" s="2" t="n">
        <v>45374</v>
      </c>
      <c r="C624" s="2" t="n">
        <v>45375</v>
      </c>
      <c r="D624" t="inlineStr">
        <is>
          <t>CUST-00623</t>
        </is>
      </c>
      <c r="E624" t="inlineStr">
        <is>
          <t>Customer 623</t>
        </is>
      </c>
      <c r="F624" t="inlineStr">
        <is>
          <t>Corporate</t>
        </is>
      </c>
      <c r="G624" t="inlineStr">
        <is>
          <t>P1014</t>
        </is>
      </c>
      <c r="H624" t="inlineStr">
        <is>
          <t>Halo Planter</t>
        </is>
      </c>
      <c r="I624" t="inlineStr">
        <is>
          <t>Outdoor</t>
        </is>
      </c>
      <c r="J624" t="inlineStr">
        <is>
          <t>Coolers</t>
        </is>
      </c>
      <c r="K624" t="inlineStr">
        <is>
          <t>North</t>
        </is>
      </c>
      <c r="L624" t="inlineStr">
        <is>
          <t>Quebec</t>
        </is>
      </c>
      <c r="M624" t="inlineStr">
        <is>
          <t>Vancouver</t>
        </is>
      </c>
      <c r="N624" t="inlineStr">
        <is>
          <t>Ethan Brooks</t>
        </is>
      </c>
      <c r="O624" t="n">
        <v>3</v>
      </c>
      <c r="P624" s="3" t="n">
        <v>43.38</v>
      </c>
      <c r="Q624" s="4" t="n">
        <v>0.025</v>
      </c>
      <c r="R624" s="3" t="n">
        <v>126.89</v>
      </c>
      <c r="S624" s="3" t="n">
        <v>56.53</v>
      </c>
      <c r="T624" s="3" t="n">
        <v>61.96</v>
      </c>
      <c r="U624" s="4" t="n">
        <v>0.4883</v>
      </c>
      <c r="V624" s="3" t="n">
        <v>8.4</v>
      </c>
      <c r="W624" t="inlineStr">
        <is>
          <t>Credit Card</t>
        </is>
      </c>
      <c r="X624" t="inlineStr">
        <is>
          <t>Low</t>
        </is>
      </c>
      <c r="Y624" t="n">
        <v>2024</v>
      </c>
      <c r="Z624" t="n">
        <v>3</v>
      </c>
      <c r="AA624" t="inlineStr">
        <is>
          <t>Mar</t>
        </is>
      </c>
      <c r="AB624" t="inlineStr">
        <is>
          <t>Saturday</t>
        </is>
      </c>
      <c r="AC624" t="n">
        <v>1</v>
      </c>
      <c r="AD624" t="inlineStr">
        <is>
          <t>Profitable</t>
        </is>
      </c>
      <c r="AE624" t="inlineStr">
        <is>
          <t>Medium</t>
        </is>
      </c>
      <c r="AF624" t="inlineStr">
        <is>
          <t>Small</t>
        </is>
      </c>
    </row>
    <row r="625">
      <c r="A625" t="inlineStr">
        <is>
          <t>ORD-00624</t>
        </is>
      </c>
      <c r="B625" s="2" t="n">
        <v>45558</v>
      </c>
      <c r="C625" s="2" t="n">
        <v>45564</v>
      </c>
      <c r="D625" t="inlineStr">
        <is>
          <t>CUST-00624</t>
        </is>
      </c>
      <c r="E625" t="inlineStr">
        <is>
          <t>Customer 624</t>
        </is>
      </c>
      <c r="F625" t="inlineStr">
        <is>
          <t>Home Office</t>
        </is>
      </c>
      <c r="G625" t="inlineStr">
        <is>
          <t>P1013</t>
        </is>
      </c>
      <c r="H625" t="inlineStr">
        <is>
          <t>CloudDrive File Box</t>
        </is>
      </c>
      <c r="I625" t="inlineStr">
        <is>
          <t>Office Supplies</t>
        </is>
      </c>
      <c r="J625" t="inlineStr">
        <is>
          <t>Chairs</t>
        </is>
      </c>
      <c r="K625" t="inlineStr">
        <is>
          <t>Central</t>
        </is>
      </c>
      <c r="L625" t="inlineStr">
        <is>
          <t>Illinois</t>
        </is>
      </c>
      <c r="M625" t="inlineStr">
        <is>
          <t>St. Louis</t>
        </is>
      </c>
      <c r="N625" t="inlineStr">
        <is>
          <t>Noah Kim</t>
        </is>
      </c>
      <c r="O625" t="n">
        <v>3</v>
      </c>
      <c r="P625" s="3" t="n">
        <v>161.39</v>
      </c>
      <c r="Q625" s="4" t="n">
        <v>0.03</v>
      </c>
      <c r="R625" s="3" t="n">
        <v>469.64</v>
      </c>
      <c r="S625" s="3" t="n">
        <v>271.1</v>
      </c>
      <c r="T625" s="3" t="n">
        <v>190.14</v>
      </c>
      <c r="U625" s="4" t="n">
        <v>0.4049</v>
      </c>
      <c r="V625" s="3" t="n">
        <v>8.4</v>
      </c>
      <c r="W625" t="inlineStr">
        <is>
          <t>Cash on Delivery</t>
        </is>
      </c>
      <c r="X625" t="inlineStr">
        <is>
          <t>Medium</t>
        </is>
      </c>
      <c r="Y625" t="n">
        <v>2024</v>
      </c>
      <c r="Z625" t="n">
        <v>9</v>
      </c>
      <c r="AA625" t="inlineStr">
        <is>
          <t>Sep</t>
        </is>
      </c>
      <c r="AB625" t="inlineStr">
        <is>
          <t>Monday</t>
        </is>
      </c>
      <c r="AC625" t="n">
        <v>6</v>
      </c>
      <c r="AD625" t="inlineStr">
        <is>
          <t>Profitable</t>
        </is>
      </c>
      <c r="AE625" t="inlineStr">
        <is>
          <t>Medium</t>
        </is>
      </c>
      <c r="AF625" t="inlineStr">
        <is>
          <t>Small</t>
        </is>
      </c>
    </row>
    <row r="626">
      <c r="A626" t="inlineStr">
        <is>
          <t>ORD-00625</t>
        </is>
      </c>
      <c r="B626" s="2" t="n">
        <v>45422</v>
      </c>
      <c r="C626" s="2" t="n">
        <v>45428</v>
      </c>
      <c r="D626" t="inlineStr">
        <is>
          <t>CUST-00625</t>
        </is>
      </c>
      <c r="E626" t="inlineStr">
        <is>
          <t>Customer 625</t>
        </is>
      </c>
      <c r="F626" t="inlineStr">
        <is>
          <t>Corporate</t>
        </is>
      </c>
      <c r="G626" t="inlineStr">
        <is>
          <t>P1005</t>
        </is>
      </c>
      <c r="H626" t="inlineStr">
        <is>
          <t>Pulse Keyboard</t>
        </is>
      </c>
      <c r="I626" t="inlineStr">
        <is>
          <t>Technology</t>
        </is>
      </c>
      <c r="J626" t="inlineStr">
        <is>
          <t>Textiles</t>
        </is>
      </c>
      <c r="K626" t="inlineStr">
        <is>
          <t>West</t>
        </is>
      </c>
      <c r="L626" t="inlineStr">
        <is>
          <t>California</t>
        </is>
      </c>
      <c r="M626" t="inlineStr">
        <is>
          <t>Seattle</t>
        </is>
      </c>
      <c r="N626" t="inlineStr">
        <is>
          <t>James Carter</t>
        </is>
      </c>
      <c r="O626" t="n">
        <v>1</v>
      </c>
      <c r="P626" s="3" t="n">
        <v>13.68</v>
      </c>
      <c r="Q626" s="4" t="n">
        <v>0.027</v>
      </c>
      <c r="R626" s="3" t="n">
        <v>13.31</v>
      </c>
      <c r="S626" s="3" t="n">
        <v>13.65</v>
      </c>
      <c r="T626" s="3" t="n">
        <v>-8.140000000000001</v>
      </c>
      <c r="U626" s="4" t="n">
        <v>-0.6116</v>
      </c>
      <c r="V626" s="3" t="n">
        <v>7.8</v>
      </c>
      <c r="W626" t="inlineStr">
        <is>
          <t>Credit Card</t>
        </is>
      </c>
      <c r="X626" t="inlineStr">
        <is>
          <t>Medium</t>
        </is>
      </c>
      <c r="Y626" t="n">
        <v>2024</v>
      </c>
      <c r="Z626" t="n">
        <v>5</v>
      </c>
      <c r="AA626" t="inlineStr">
        <is>
          <t>May</t>
        </is>
      </c>
      <c r="AB626" t="inlineStr">
        <is>
          <t>Friday</t>
        </is>
      </c>
      <c r="AC626" t="n">
        <v>6</v>
      </c>
      <c r="AD626" t="inlineStr">
        <is>
          <t>Unprofitable</t>
        </is>
      </c>
      <c r="AE626" t="inlineStr">
        <is>
          <t>Medium</t>
        </is>
      </c>
      <c r="AF626" t="inlineStr">
        <is>
          <t>Small</t>
        </is>
      </c>
    </row>
    <row r="627">
      <c r="A627" t="inlineStr">
        <is>
          <t>ORD-00626</t>
        </is>
      </c>
      <c r="B627" s="2" t="n">
        <v>45316</v>
      </c>
      <c r="C627" s="2" t="n">
        <v>45319</v>
      </c>
      <c r="D627" t="inlineStr">
        <is>
          <t>CUST-00626</t>
        </is>
      </c>
      <c r="E627" t="inlineStr">
        <is>
          <t>Customer 626</t>
        </is>
      </c>
      <c r="F627" t="inlineStr">
        <is>
          <t>Home Office</t>
        </is>
      </c>
      <c r="G627" t="inlineStr">
        <is>
          <t>P1007</t>
        </is>
      </c>
      <c r="H627" t="inlineStr">
        <is>
          <t>Atlas Throw Pillow</t>
        </is>
      </c>
      <c r="I627" t="inlineStr">
        <is>
          <t>Office Supplies</t>
        </is>
      </c>
      <c r="J627" t="inlineStr">
        <is>
          <t>Coolers</t>
        </is>
      </c>
      <c r="K627" t="inlineStr">
        <is>
          <t>Central</t>
        </is>
      </c>
      <c r="L627" t="inlineStr">
        <is>
          <t>Missouri</t>
        </is>
      </c>
      <c r="M627" t="inlineStr">
        <is>
          <t>Minneapolis</t>
        </is>
      </c>
      <c r="N627" t="inlineStr">
        <is>
          <t>Sophia Singh</t>
        </is>
      </c>
      <c r="O627" t="n">
        <v>3</v>
      </c>
      <c r="P627" s="3" t="n">
        <v>23.91</v>
      </c>
      <c r="Q627" s="4" t="n">
        <v>0.008999999999999999</v>
      </c>
      <c r="R627" s="3" t="n">
        <v>71.08</v>
      </c>
      <c r="S627" s="3" t="n">
        <v>28.34</v>
      </c>
      <c r="T627" s="3" t="n">
        <v>34.34</v>
      </c>
      <c r="U627" s="4" t="n">
        <v>0.4831</v>
      </c>
      <c r="V627" s="3" t="n">
        <v>8.4</v>
      </c>
      <c r="W627" t="inlineStr">
        <is>
          <t>Credit Card</t>
        </is>
      </c>
      <c r="X627" t="inlineStr">
        <is>
          <t>Low</t>
        </is>
      </c>
      <c r="Y627" t="n">
        <v>2024</v>
      </c>
      <c r="Z627" t="n">
        <v>1</v>
      </c>
      <c r="AA627" t="inlineStr">
        <is>
          <t>Jan</t>
        </is>
      </c>
      <c r="AB627" t="inlineStr">
        <is>
          <t>Thursday</t>
        </is>
      </c>
      <c r="AC627" t="n">
        <v>3</v>
      </c>
      <c r="AD627" t="inlineStr">
        <is>
          <t>Profitable</t>
        </is>
      </c>
      <c r="AE627" t="inlineStr">
        <is>
          <t>Low</t>
        </is>
      </c>
      <c r="AF627" t="inlineStr">
        <is>
          <t>Small</t>
        </is>
      </c>
    </row>
    <row r="628">
      <c r="A628" t="inlineStr">
        <is>
          <t>ORD-00627</t>
        </is>
      </c>
      <c r="B628" s="2" t="n">
        <v>45365</v>
      </c>
      <c r="C628" s="2" t="n">
        <v>45368</v>
      </c>
      <c r="D628" t="inlineStr">
        <is>
          <t>CUST-00627</t>
        </is>
      </c>
      <c r="E628" t="inlineStr">
        <is>
          <t>Customer 627</t>
        </is>
      </c>
      <c r="F628" t="inlineStr">
        <is>
          <t>Home Office</t>
        </is>
      </c>
      <c r="G628" t="inlineStr">
        <is>
          <t>P1014</t>
        </is>
      </c>
      <c r="H628" t="inlineStr">
        <is>
          <t>Harbor Rug</t>
        </is>
      </c>
      <c r="I628" t="inlineStr">
        <is>
          <t>Furniture</t>
        </is>
      </c>
      <c r="J628" t="inlineStr">
        <is>
          <t>Flooring</t>
        </is>
      </c>
      <c r="K628" t="inlineStr">
        <is>
          <t>Central</t>
        </is>
      </c>
      <c r="L628" t="inlineStr">
        <is>
          <t>Missouri</t>
        </is>
      </c>
      <c r="M628" t="inlineStr">
        <is>
          <t>St. Louis</t>
        </is>
      </c>
      <c r="N628" t="inlineStr">
        <is>
          <t>Ava Patel</t>
        </is>
      </c>
      <c r="O628" t="n">
        <v>2</v>
      </c>
      <c r="P628" s="3" t="n">
        <v>43.86</v>
      </c>
      <c r="Q628" s="4" t="n">
        <v>0.014</v>
      </c>
      <c r="R628" s="3" t="n">
        <v>86.48999999999999</v>
      </c>
      <c r="S628" s="3" t="n">
        <v>40.35</v>
      </c>
      <c r="T628" s="3" t="n">
        <v>38.54</v>
      </c>
      <c r="U628" s="4" t="n">
        <v>0.4456</v>
      </c>
      <c r="V628" s="3" t="n">
        <v>7.6</v>
      </c>
      <c r="W628" t="inlineStr">
        <is>
          <t>Credit Card</t>
        </is>
      </c>
      <c r="X628" t="inlineStr">
        <is>
          <t>Medium</t>
        </is>
      </c>
      <c r="Y628" t="n">
        <v>2024</v>
      </c>
      <c r="Z628" t="n">
        <v>3</v>
      </c>
      <c r="AA628" t="inlineStr">
        <is>
          <t>Mar</t>
        </is>
      </c>
      <c r="AB628" t="inlineStr">
        <is>
          <t>Thursday</t>
        </is>
      </c>
      <c r="AC628" t="n">
        <v>3</v>
      </c>
      <c r="AD628" t="inlineStr">
        <is>
          <t>Profitable</t>
        </is>
      </c>
      <c r="AE628" t="inlineStr">
        <is>
          <t>Low</t>
        </is>
      </c>
      <c r="AF628" t="inlineStr">
        <is>
          <t>Small</t>
        </is>
      </c>
    </row>
    <row r="629">
      <c r="A629" t="inlineStr">
        <is>
          <t>ORD-00628</t>
        </is>
      </c>
      <c r="B629" s="2" t="n">
        <v>46006</v>
      </c>
      <c r="C629" s="2" t="n">
        <v>46013</v>
      </c>
      <c r="D629" t="inlineStr">
        <is>
          <t>CUST-00628</t>
        </is>
      </c>
      <c r="E629" t="inlineStr">
        <is>
          <t>Customer 628</t>
        </is>
      </c>
      <c r="F629" t="inlineStr">
        <is>
          <t>Corporate</t>
        </is>
      </c>
      <c r="G629" t="inlineStr">
        <is>
          <t>P1016</t>
        </is>
      </c>
      <c r="H629" t="inlineStr">
        <is>
          <t>Harbor Rug</t>
        </is>
      </c>
      <c r="I629" t="inlineStr">
        <is>
          <t>Technology</t>
        </is>
      </c>
      <c r="J629" t="inlineStr">
        <is>
          <t>Bags</t>
        </is>
      </c>
      <c r="K629" t="inlineStr">
        <is>
          <t>West</t>
        </is>
      </c>
      <c r="L629" t="inlineStr">
        <is>
          <t>Washington</t>
        </is>
      </c>
      <c r="M629" t="inlineStr">
        <is>
          <t>San Francisco</t>
        </is>
      </c>
      <c r="N629" t="inlineStr">
        <is>
          <t>Ava Patel</t>
        </is>
      </c>
      <c r="O629" t="n">
        <v>3</v>
      </c>
      <c r="P629" s="3" t="n">
        <v>43</v>
      </c>
      <c r="Q629" s="4" t="n">
        <v>0.042</v>
      </c>
      <c r="R629" s="3" t="n">
        <v>123.58</v>
      </c>
      <c r="S629" s="3" t="n">
        <v>55.44</v>
      </c>
      <c r="T629" s="3" t="n">
        <v>58.74</v>
      </c>
      <c r="U629" s="4" t="n">
        <v>0.4753</v>
      </c>
      <c r="V629" s="3" t="n">
        <v>9.4</v>
      </c>
      <c r="W629" t="inlineStr">
        <is>
          <t>PayPal</t>
        </is>
      </c>
      <c r="X629" t="inlineStr">
        <is>
          <t>Medium</t>
        </is>
      </c>
      <c r="Y629" t="n">
        <v>2025</v>
      </c>
      <c r="Z629" t="n">
        <v>12</v>
      </c>
      <c r="AA629" t="inlineStr">
        <is>
          <t>Dec</t>
        </is>
      </c>
      <c r="AB629" t="inlineStr">
        <is>
          <t>Monday</t>
        </is>
      </c>
      <c r="AC629" t="n">
        <v>7</v>
      </c>
      <c r="AD629" t="inlineStr">
        <is>
          <t>Profitable</t>
        </is>
      </c>
      <c r="AE629" t="inlineStr">
        <is>
          <t>Medium</t>
        </is>
      </c>
      <c r="AF629" t="inlineStr">
        <is>
          <t>Small</t>
        </is>
      </c>
    </row>
    <row r="630">
      <c r="A630" t="inlineStr">
        <is>
          <t>ORD-00629</t>
        </is>
      </c>
      <c r="B630" s="2" t="n">
        <v>45258</v>
      </c>
      <c r="C630" s="2" t="n">
        <v>45262</v>
      </c>
      <c r="D630" t="inlineStr">
        <is>
          <t>CUST-00629</t>
        </is>
      </c>
      <c r="E630" t="inlineStr">
        <is>
          <t>Customer 629</t>
        </is>
      </c>
      <c r="F630" t="inlineStr">
        <is>
          <t>Consumer</t>
        </is>
      </c>
      <c r="G630" t="inlineStr">
        <is>
          <t>P1018</t>
        </is>
      </c>
      <c r="H630" t="inlineStr">
        <is>
          <t>FlexNote Notebook</t>
        </is>
      </c>
      <c r="I630" t="inlineStr">
        <is>
          <t>Technology</t>
        </is>
      </c>
      <c r="J630" t="inlineStr">
        <is>
          <t>Textiles</t>
        </is>
      </c>
      <c r="K630" t="inlineStr">
        <is>
          <t>North</t>
        </is>
      </c>
      <c r="L630" t="inlineStr">
        <is>
          <t>British Columbia</t>
        </is>
      </c>
      <c r="M630" t="inlineStr">
        <is>
          <t>Toronto</t>
        </is>
      </c>
      <c r="N630" t="inlineStr">
        <is>
          <t>Liam Chen</t>
        </is>
      </c>
      <c r="O630" t="n">
        <v>2</v>
      </c>
      <c r="P630" s="3" t="n">
        <v>95.84999999999999</v>
      </c>
      <c r="Q630" s="4" t="n">
        <v>0.06900000000000001</v>
      </c>
      <c r="R630" s="3" t="n">
        <v>178.47</v>
      </c>
      <c r="S630" s="3" t="n">
        <v>87.42</v>
      </c>
      <c r="T630" s="3" t="n">
        <v>83.45</v>
      </c>
      <c r="U630" s="4" t="n">
        <v>0.4676</v>
      </c>
      <c r="V630" s="3" t="n">
        <v>7.6</v>
      </c>
      <c r="W630" t="inlineStr">
        <is>
          <t>Credit Card</t>
        </is>
      </c>
      <c r="X630" t="inlineStr">
        <is>
          <t>Critical</t>
        </is>
      </c>
      <c r="Y630" t="n">
        <v>2023</v>
      </c>
      <c r="Z630" t="n">
        <v>11</v>
      </c>
      <c r="AA630" t="inlineStr">
        <is>
          <t>Nov</t>
        </is>
      </c>
      <c r="AB630" t="inlineStr">
        <is>
          <t>Tuesday</t>
        </is>
      </c>
      <c r="AC630" t="n">
        <v>4</v>
      </c>
      <c r="AD630" t="inlineStr">
        <is>
          <t>Profitable</t>
        </is>
      </c>
      <c r="AE630" t="inlineStr">
        <is>
          <t>High</t>
        </is>
      </c>
      <c r="AF630" t="inlineStr">
        <is>
          <t>Small</t>
        </is>
      </c>
    </row>
    <row r="631">
      <c r="A631" t="inlineStr">
        <is>
          <t>ORD-00630</t>
        </is>
      </c>
      <c r="B631" s="2" t="n">
        <v>45039</v>
      </c>
      <c r="C631" s="2" t="n">
        <v>45046</v>
      </c>
      <c r="D631" t="inlineStr">
        <is>
          <t>CUST-00630</t>
        </is>
      </c>
      <c r="E631" t="inlineStr">
        <is>
          <t>Customer 630</t>
        </is>
      </c>
      <c r="F631" t="inlineStr">
        <is>
          <t>Corporate</t>
        </is>
      </c>
      <c r="G631" t="inlineStr">
        <is>
          <t>P1014</t>
        </is>
      </c>
      <c r="H631" t="inlineStr">
        <is>
          <t>Echo Web Camera</t>
        </is>
      </c>
      <c r="I631" t="inlineStr">
        <is>
          <t>Home Decor</t>
        </is>
      </c>
      <c r="J631" t="inlineStr">
        <is>
          <t>Textiles</t>
        </is>
      </c>
      <c r="K631" t="inlineStr">
        <is>
          <t>West</t>
        </is>
      </c>
      <c r="L631" t="inlineStr">
        <is>
          <t>Colorado</t>
        </is>
      </c>
      <c r="M631" t="inlineStr">
        <is>
          <t>Los Angeles</t>
        </is>
      </c>
      <c r="N631" t="inlineStr">
        <is>
          <t>Liam Chen</t>
        </is>
      </c>
      <c r="O631" t="n">
        <v>3</v>
      </c>
      <c r="P631" s="3" t="n">
        <v>42.79</v>
      </c>
      <c r="Q631" s="4" t="n">
        <v>0.027</v>
      </c>
      <c r="R631" s="3" t="n">
        <v>124.9</v>
      </c>
      <c r="S631" s="3" t="n">
        <v>60.35</v>
      </c>
      <c r="T631" s="3" t="n">
        <v>55.15</v>
      </c>
      <c r="U631" s="4" t="n">
        <v>0.4416</v>
      </c>
      <c r="V631" s="3" t="n">
        <v>9.4</v>
      </c>
      <c r="W631" t="inlineStr">
        <is>
          <t>Credit Card</t>
        </is>
      </c>
      <c r="X631" t="inlineStr">
        <is>
          <t>Medium</t>
        </is>
      </c>
      <c r="Y631" t="n">
        <v>2023</v>
      </c>
      <c r="Z631" t="n">
        <v>4</v>
      </c>
      <c r="AA631" t="inlineStr">
        <is>
          <t>Apr</t>
        </is>
      </c>
      <c r="AB631" t="inlineStr">
        <is>
          <t>Sunday</t>
        </is>
      </c>
      <c r="AC631" t="n">
        <v>7</v>
      </c>
      <c r="AD631" t="inlineStr">
        <is>
          <t>Profitable</t>
        </is>
      </c>
      <c r="AE631" t="inlineStr">
        <is>
          <t>Medium</t>
        </is>
      </c>
      <c r="AF631" t="inlineStr">
        <is>
          <t>Small</t>
        </is>
      </c>
    </row>
    <row r="632">
      <c r="A632" t="inlineStr">
        <is>
          <t>ORD-00631</t>
        </is>
      </c>
      <c r="B632" s="2" t="n">
        <v>45985</v>
      </c>
      <c r="C632" s="2" t="n">
        <v>45988</v>
      </c>
      <c r="D632" t="inlineStr">
        <is>
          <t>CUST-00631</t>
        </is>
      </c>
      <c r="E632" t="inlineStr">
        <is>
          <t>Customer 631</t>
        </is>
      </c>
      <c r="F632" t="inlineStr">
        <is>
          <t>Consumer</t>
        </is>
      </c>
      <c r="G632" t="inlineStr">
        <is>
          <t>P1001</t>
        </is>
      </c>
      <c r="H632" t="inlineStr">
        <is>
          <t>Orbit Wireless Mouse</t>
        </is>
      </c>
      <c r="I632" t="inlineStr">
        <is>
          <t>Technology</t>
        </is>
      </c>
      <c r="J632" t="inlineStr">
        <is>
          <t>Accessories</t>
        </is>
      </c>
      <c r="K632" t="inlineStr">
        <is>
          <t>West</t>
        </is>
      </c>
      <c r="L632" t="inlineStr">
        <is>
          <t>California</t>
        </is>
      </c>
      <c r="M632" t="inlineStr">
        <is>
          <t>Denver</t>
        </is>
      </c>
      <c r="N632" t="inlineStr">
        <is>
          <t>Ava Patel</t>
        </is>
      </c>
      <c r="O632" t="n">
        <v>4</v>
      </c>
      <c r="P632" s="3" t="n">
        <v>322.31</v>
      </c>
      <c r="Q632" s="4" t="n">
        <v>0.039</v>
      </c>
      <c r="R632" s="3" t="n">
        <v>1238.96</v>
      </c>
      <c r="S632" s="3" t="n">
        <v>726.91</v>
      </c>
      <c r="T632" s="3" t="n">
        <v>501.85</v>
      </c>
      <c r="U632" s="4" t="n">
        <v>0.4051</v>
      </c>
      <c r="V632" s="3" t="n">
        <v>10.2</v>
      </c>
      <c r="W632" t="inlineStr">
        <is>
          <t>Debit Card</t>
        </is>
      </c>
      <c r="X632" t="inlineStr">
        <is>
          <t>Critical</t>
        </is>
      </c>
      <c r="Y632" t="n">
        <v>2025</v>
      </c>
      <c r="Z632" t="n">
        <v>11</v>
      </c>
      <c r="AA632" t="inlineStr">
        <is>
          <t>Nov</t>
        </is>
      </c>
      <c r="AB632" t="inlineStr">
        <is>
          <t>Monday</t>
        </is>
      </c>
      <c r="AC632" t="n">
        <v>3</v>
      </c>
      <c r="AD632" t="inlineStr">
        <is>
          <t>Profitable</t>
        </is>
      </c>
      <c r="AE632" t="inlineStr">
        <is>
          <t>Medium</t>
        </is>
      </c>
      <c r="AF632" t="inlineStr">
        <is>
          <t>Medium</t>
        </is>
      </c>
    </row>
    <row r="633">
      <c r="A633" t="inlineStr">
        <is>
          <t>ORD-00632</t>
        </is>
      </c>
      <c r="B633" s="2" t="n">
        <v>45904</v>
      </c>
      <c r="C633" s="2" t="n">
        <v>45909</v>
      </c>
      <c r="D633" t="inlineStr">
        <is>
          <t>CUST-00632</t>
        </is>
      </c>
      <c r="E633" t="inlineStr">
        <is>
          <t>Customer 632</t>
        </is>
      </c>
      <c r="F633" t="inlineStr">
        <is>
          <t>Consumer</t>
        </is>
      </c>
      <c r="G633" t="inlineStr">
        <is>
          <t>P1006</t>
        </is>
      </c>
      <c r="H633" t="inlineStr">
        <is>
          <t>Northstar Lantern</t>
        </is>
      </c>
      <c r="I633" t="inlineStr">
        <is>
          <t>Home Decor</t>
        </is>
      </c>
      <c r="J633" t="inlineStr">
        <is>
          <t>Coolers</t>
        </is>
      </c>
      <c r="K633" t="inlineStr">
        <is>
          <t>South</t>
        </is>
      </c>
      <c r="L633" t="inlineStr">
        <is>
          <t>Texas</t>
        </is>
      </c>
      <c r="M633" t="inlineStr">
        <is>
          <t>Dallas</t>
        </is>
      </c>
      <c r="N633" t="inlineStr">
        <is>
          <t>Mia Rodriguez</t>
        </is>
      </c>
      <c r="O633" t="n">
        <v>4</v>
      </c>
      <c r="P633" s="3" t="n">
        <v>18.2</v>
      </c>
      <c r="Q633" s="4" t="n">
        <v>0.031</v>
      </c>
      <c r="R633" s="3" t="n">
        <v>70.54000000000001</v>
      </c>
      <c r="S633" s="3" t="n">
        <v>26.46</v>
      </c>
      <c r="T633" s="3" t="n">
        <v>34.88</v>
      </c>
      <c r="U633" s="4" t="n">
        <v>0.4945</v>
      </c>
      <c r="V633" s="3" t="n">
        <v>9.199999999999999</v>
      </c>
      <c r="W633" t="inlineStr">
        <is>
          <t>PayPal</t>
        </is>
      </c>
      <c r="X633" t="inlineStr">
        <is>
          <t>High</t>
        </is>
      </c>
      <c r="Y633" t="n">
        <v>2025</v>
      </c>
      <c r="Z633" t="n">
        <v>9</v>
      </c>
      <c r="AA633" t="inlineStr">
        <is>
          <t>Sep</t>
        </is>
      </c>
      <c r="AB633" t="inlineStr">
        <is>
          <t>Thursday</t>
        </is>
      </c>
      <c r="AC633" t="n">
        <v>5</v>
      </c>
      <c r="AD633" t="inlineStr">
        <is>
          <t>Profitable</t>
        </is>
      </c>
      <c r="AE633" t="inlineStr">
        <is>
          <t>Medium</t>
        </is>
      </c>
      <c r="AF633" t="inlineStr">
        <is>
          <t>Small</t>
        </is>
      </c>
    </row>
    <row r="634">
      <c r="A634" t="inlineStr">
        <is>
          <t>ORD-00633</t>
        </is>
      </c>
      <c r="B634" s="2" t="n">
        <v>45651</v>
      </c>
      <c r="C634" s="2" t="n">
        <v>45655</v>
      </c>
      <c r="D634" t="inlineStr">
        <is>
          <t>CUST-00633</t>
        </is>
      </c>
      <c r="E634" t="inlineStr">
        <is>
          <t>Customer 633</t>
        </is>
      </c>
      <c r="F634" t="inlineStr">
        <is>
          <t>Consumer</t>
        </is>
      </c>
      <c r="G634" t="inlineStr">
        <is>
          <t>P1010</t>
        </is>
      </c>
      <c r="H634" t="inlineStr">
        <is>
          <t>Summit Patio Set</t>
        </is>
      </c>
      <c r="I634" t="inlineStr">
        <is>
          <t>Technology</t>
        </is>
      </c>
      <c r="J634" t="inlineStr">
        <is>
          <t>Peripherals</t>
        </is>
      </c>
      <c r="K634" t="inlineStr">
        <is>
          <t>East</t>
        </is>
      </c>
      <c r="L634" t="inlineStr">
        <is>
          <t>Massachusetts</t>
        </is>
      </c>
      <c r="M634" t="inlineStr">
        <is>
          <t>Boston</t>
        </is>
      </c>
      <c r="N634" t="inlineStr">
        <is>
          <t>James Carter</t>
        </is>
      </c>
      <c r="O634" t="n">
        <v>3</v>
      </c>
      <c r="P634" s="3" t="n">
        <v>60.38</v>
      </c>
      <c r="Q634" s="4" t="n">
        <v>0.005</v>
      </c>
      <c r="R634" s="3" t="n">
        <v>180.23</v>
      </c>
      <c r="S634" s="3" t="n">
        <v>82.45999999999999</v>
      </c>
      <c r="T634" s="3" t="n">
        <v>88.37</v>
      </c>
      <c r="U634" s="4" t="n">
        <v>0.4903</v>
      </c>
      <c r="V634" s="3" t="n">
        <v>9.4</v>
      </c>
      <c r="W634" t="inlineStr">
        <is>
          <t>PayPal</t>
        </is>
      </c>
      <c r="X634" t="inlineStr">
        <is>
          <t>Medium</t>
        </is>
      </c>
      <c r="Y634" t="n">
        <v>2024</v>
      </c>
      <c r="Z634" t="n">
        <v>12</v>
      </c>
      <c r="AA634" t="inlineStr">
        <is>
          <t>Dec</t>
        </is>
      </c>
      <c r="AB634" t="inlineStr">
        <is>
          <t>Wednesday</t>
        </is>
      </c>
      <c r="AC634" t="n">
        <v>4</v>
      </c>
      <c r="AD634" t="inlineStr">
        <is>
          <t>Profitable</t>
        </is>
      </c>
      <c r="AE634" t="inlineStr">
        <is>
          <t>Low</t>
        </is>
      </c>
      <c r="AF634" t="inlineStr">
        <is>
          <t>Small</t>
        </is>
      </c>
    </row>
    <row r="635">
      <c r="A635" t="inlineStr">
        <is>
          <t>ORD-00634</t>
        </is>
      </c>
      <c r="B635" s="2" t="n">
        <v>45444</v>
      </c>
      <c r="C635" s="2" t="n">
        <v>45446</v>
      </c>
      <c r="D635" t="inlineStr">
        <is>
          <t>CUST-00634</t>
        </is>
      </c>
      <c r="E635" t="inlineStr">
        <is>
          <t>Customer 634</t>
        </is>
      </c>
      <c r="F635" t="inlineStr">
        <is>
          <t>Home Office</t>
        </is>
      </c>
      <c r="G635" t="inlineStr">
        <is>
          <t>P1006</t>
        </is>
      </c>
      <c r="H635" t="inlineStr">
        <is>
          <t>ErgoMesh Chair</t>
        </is>
      </c>
      <c r="I635" t="inlineStr">
        <is>
          <t>Technology</t>
        </is>
      </c>
      <c r="J635" t="inlineStr">
        <is>
          <t>Flooring</t>
        </is>
      </c>
      <c r="K635" t="inlineStr">
        <is>
          <t>South</t>
        </is>
      </c>
      <c r="L635" t="inlineStr">
        <is>
          <t>Florida</t>
        </is>
      </c>
      <c r="M635" t="inlineStr">
        <is>
          <t>Dallas</t>
        </is>
      </c>
      <c r="N635" t="inlineStr">
        <is>
          <t>Ethan Brooks</t>
        </is>
      </c>
      <c r="O635" t="n">
        <v>3</v>
      </c>
      <c r="P635" s="3" t="n">
        <v>18.98</v>
      </c>
      <c r="Q635" s="4" t="n">
        <v>0.04</v>
      </c>
      <c r="R635" s="3" t="n">
        <v>54.66</v>
      </c>
      <c r="S635" s="3" t="n">
        <v>26.18</v>
      </c>
      <c r="T635" s="3" t="n">
        <v>20.08</v>
      </c>
      <c r="U635" s="4" t="n">
        <v>0.3674</v>
      </c>
      <c r="V635" s="3" t="n">
        <v>8.4</v>
      </c>
      <c r="W635" t="inlineStr">
        <is>
          <t>Credit Card</t>
        </is>
      </c>
      <c r="X635" t="inlineStr">
        <is>
          <t>High</t>
        </is>
      </c>
      <c r="Y635" t="n">
        <v>2024</v>
      </c>
      <c r="Z635" t="n">
        <v>6</v>
      </c>
      <c r="AA635" t="inlineStr">
        <is>
          <t>Jun</t>
        </is>
      </c>
      <c r="AB635" t="inlineStr">
        <is>
          <t>Saturday</t>
        </is>
      </c>
      <c r="AC635" t="n">
        <v>2</v>
      </c>
      <c r="AD635" t="inlineStr">
        <is>
          <t>Profitable</t>
        </is>
      </c>
      <c r="AE635" t="inlineStr">
        <is>
          <t>Medium</t>
        </is>
      </c>
      <c r="AF635" t="inlineStr">
        <is>
          <t>Small</t>
        </is>
      </c>
    </row>
    <row r="636">
      <c r="A636" t="inlineStr">
        <is>
          <t>ORD-00635</t>
        </is>
      </c>
      <c r="B636" s="2" t="n">
        <v>45177</v>
      </c>
      <c r="C636" s="2" t="n">
        <v>45182</v>
      </c>
      <c r="D636" t="inlineStr">
        <is>
          <t>CUST-00635</t>
        </is>
      </c>
      <c r="E636" t="inlineStr">
        <is>
          <t>Customer 635</t>
        </is>
      </c>
      <c r="F636" t="inlineStr">
        <is>
          <t>Consumer</t>
        </is>
      </c>
      <c r="G636" t="inlineStr">
        <is>
          <t>P1002</t>
        </is>
      </c>
      <c r="H636" t="inlineStr">
        <is>
          <t>Halo Planter</t>
        </is>
      </c>
      <c r="I636" t="inlineStr">
        <is>
          <t>Office Supplies</t>
        </is>
      </c>
      <c r="J636" t="inlineStr">
        <is>
          <t>Lighting</t>
        </is>
      </c>
      <c r="K636" t="inlineStr">
        <is>
          <t>Central</t>
        </is>
      </c>
      <c r="L636" t="inlineStr">
        <is>
          <t>Minnesota</t>
        </is>
      </c>
      <c r="M636" t="inlineStr">
        <is>
          <t>Chicago</t>
        </is>
      </c>
      <c r="N636" t="inlineStr">
        <is>
          <t>James Carter</t>
        </is>
      </c>
      <c r="O636" t="n">
        <v>4</v>
      </c>
      <c r="P636" s="3" t="n">
        <v>82.8</v>
      </c>
      <c r="Q636" s="4" t="n">
        <v>0.024</v>
      </c>
      <c r="R636" s="3" t="n">
        <v>323.25</v>
      </c>
      <c r="S636" s="3" t="n">
        <v>151.02</v>
      </c>
      <c r="T636" s="3" t="n">
        <v>163.03</v>
      </c>
      <c r="U636" s="4" t="n">
        <v>0.5043</v>
      </c>
      <c r="V636" s="3" t="n">
        <v>9.199999999999999</v>
      </c>
      <c r="W636" t="inlineStr">
        <is>
          <t>Bank Transfer</t>
        </is>
      </c>
      <c r="X636" t="inlineStr">
        <is>
          <t>Medium</t>
        </is>
      </c>
      <c r="Y636" t="n">
        <v>2023</v>
      </c>
      <c r="Z636" t="n">
        <v>9</v>
      </c>
      <c r="AA636" t="inlineStr">
        <is>
          <t>Sep</t>
        </is>
      </c>
      <c r="AB636" t="inlineStr">
        <is>
          <t>Friday</t>
        </is>
      </c>
      <c r="AC636" t="n">
        <v>5</v>
      </c>
      <c r="AD636" t="inlineStr">
        <is>
          <t>Profitable</t>
        </is>
      </c>
      <c r="AE636" t="inlineStr">
        <is>
          <t>Medium</t>
        </is>
      </c>
      <c r="AF636" t="inlineStr">
        <is>
          <t>Small</t>
        </is>
      </c>
    </row>
    <row r="637">
      <c r="A637" t="inlineStr">
        <is>
          <t>ORD-00636</t>
        </is>
      </c>
      <c r="B637" s="2" t="n">
        <v>45325</v>
      </c>
      <c r="C637" s="2" t="n">
        <v>45332</v>
      </c>
      <c r="D637" t="inlineStr">
        <is>
          <t>CUST-00636</t>
        </is>
      </c>
      <c r="E637" t="inlineStr">
        <is>
          <t>Customer 636</t>
        </is>
      </c>
      <c r="F637" t="inlineStr">
        <is>
          <t>Corporate</t>
        </is>
      </c>
      <c r="G637" t="inlineStr">
        <is>
          <t>P1007</t>
        </is>
      </c>
      <c r="H637" t="inlineStr">
        <is>
          <t>Atlas Throw Pillow</t>
        </is>
      </c>
      <c r="I637" t="inlineStr">
        <is>
          <t>Outdoor</t>
        </is>
      </c>
      <c r="J637" t="inlineStr">
        <is>
          <t>Accessories</t>
        </is>
      </c>
      <c r="K637" t="inlineStr">
        <is>
          <t>East</t>
        </is>
      </c>
      <c r="L637" t="inlineStr">
        <is>
          <t>Massachusetts</t>
        </is>
      </c>
      <c r="M637" t="inlineStr">
        <is>
          <t>Washington</t>
        </is>
      </c>
      <c r="N637" t="inlineStr">
        <is>
          <t>Liam Chen</t>
        </is>
      </c>
      <c r="O637" t="n">
        <v>3</v>
      </c>
      <c r="P637" s="3" t="n">
        <v>24.04</v>
      </c>
      <c r="Q637" s="4" t="n">
        <v>0.039</v>
      </c>
      <c r="R637" s="3" t="n">
        <v>69.31</v>
      </c>
      <c r="S637" s="3" t="n">
        <v>28.81</v>
      </c>
      <c r="T637" s="3" t="n">
        <v>31.1</v>
      </c>
      <c r="U637" s="4" t="n">
        <v>0.4487</v>
      </c>
      <c r="V637" s="3" t="n">
        <v>9.4</v>
      </c>
      <c r="W637" t="inlineStr">
        <is>
          <t>Credit Card</t>
        </is>
      </c>
      <c r="X637" t="inlineStr">
        <is>
          <t>Medium</t>
        </is>
      </c>
      <c r="Y637" t="n">
        <v>2024</v>
      </c>
      <c r="Z637" t="n">
        <v>2</v>
      </c>
      <c r="AA637" t="inlineStr">
        <is>
          <t>Feb</t>
        </is>
      </c>
      <c r="AB637" t="inlineStr">
        <is>
          <t>Saturday</t>
        </is>
      </c>
      <c r="AC637" t="n">
        <v>7</v>
      </c>
      <c r="AD637" t="inlineStr">
        <is>
          <t>Profitable</t>
        </is>
      </c>
      <c r="AE637" t="inlineStr">
        <is>
          <t>Medium</t>
        </is>
      </c>
      <c r="AF637" t="inlineStr">
        <is>
          <t>Small</t>
        </is>
      </c>
    </row>
    <row r="638">
      <c r="A638" t="inlineStr">
        <is>
          <t>ORD-00637</t>
        </is>
      </c>
      <c r="B638" s="2" t="n">
        <v>45457</v>
      </c>
      <c r="C638" s="2" t="n">
        <v>45461</v>
      </c>
      <c r="D638" t="inlineStr">
        <is>
          <t>CUST-00637</t>
        </is>
      </c>
      <c r="E638" t="inlineStr">
        <is>
          <t>Customer 637</t>
        </is>
      </c>
      <c r="F638" t="inlineStr">
        <is>
          <t>Home Office</t>
        </is>
      </c>
      <c r="G638" t="inlineStr">
        <is>
          <t>P1017</t>
        </is>
      </c>
      <c r="H638" t="inlineStr">
        <is>
          <t>Trail Tote</t>
        </is>
      </c>
      <c r="I638" t="inlineStr">
        <is>
          <t>Outdoor</t>
        </is>
      </c>
      <c r="J638" t="inlineStr">
        <is>
          <t>Chairs</t>
        </is>
      </c>
      <c r="K638" t="inlineStr">
        <is>
          <t>West</t>
        </is>
      </c>
      <c r="L638" t="inlineStr">
        <is>
          <t>California</t>
        </is>
      </c>
      <c r="M638" t="inlineStr">
        <is>
          <t>Denver</t>
        </is>
      </c>
      <c r="N638" t="inlineStr">
        <is>
          <t>Olivia Martin</t>
        </is>
      </c>
      <c r="O638" t="n">
        <v>3</v>
      </c>
      <c r="P638" s="3" t="n">
        <v>616.75</v>
      </c>
      <c r="Q638" s="4" t="n">
        <v>0.024</v>
      </c>
      <c r="R638" s="3" t="n">
        <v>1805.84</v>
      </c>
      <c r="S638" s="3" t="n">
        <v>1202</v>
      </c>
      <c r="T638" s="3" t="n">
        <v>594.4400000000001</v>
      </c>
      <c r="U638" s="4" t="n">
        <v>0.3292</v>
      </c>
      <c r="V638" s="3" t="n">
        <v>9.4</v>
      </c>
      <c r="W638" t="inlineStr">
        <is>
          <t>Cash on Delivery</t>
        </is>
      </c>
      <c r="X638" t="inlineStr">
        <is>
          <t>Medium</t>
        </is>
      </c>
      <c r="Y638" t="n">
        <v>2024</v>
      </c>
      <c r="Z638" t="n">
        <v>6</v>
      </c>
      <c r="AA638" t="inlineStr">
        <is>
          <t>Jun</t>
        </is>
      </c>
      <c r="AB638" t="inlineStr">
        <is>
          <t>Friday</t>
        </is>
      </c>
      <c r="AC638" t="n">
        <v>4</v>
      </c>
      <c r="AD638" t="inlineStr">
        <is>
          <t>Profitable</t>
        </is>
      </c>
      <c r="AE638" t="inlineStr">
        <is>
          <t>Medium</t>
        </is>
      </c>
      <c r="AF638" t="inlineStr">
        <is>
          <t>Large</t>
        </is>
      </c>
    </row>
    <row r="639">
      <c r="A639" t="inlineStr">
        <is>
          <t>ORD-00638</t>
        </is>
      </c>
      <c r="B639" s="2" t="n">
        <v>45277</v>
      </c>
      <c r="C639" s="2" t="n">
        <v>45284</v>
      </c>
      <c r="D639" t="inlineStr">
        <is>
          <t>CUST-00638</t>
        </is>
      </c>
      <c r="E639" t="inlineStr">
        <is>
          <t>Customer 638</t>
        </is>
      </c>
      <c r="F639" t="inlineStr">
        <is>
          <t>Corporate</t>
        </is>
      </c>
      <c r="G639" t="inlineStr">
        <is>
          <t>P1014</t>
        </is>
      </c>
      <c r="H639" t="inlineStr">
        <is>
          <t>Orbit Wireless Mouse</t>
        </is>
      </c>
      <c r="I639" t="inlineStr">
        <is>
          <t>Technology</t>
        </is>
      </c>
      <c r="J639" t="inlineStr">
        <is>
          <t>Chairs</t>
        </is>
      </c>
      <c r="K639" t="inlineStr">
        <is>
          <t>South</t>
        </is>
      </c>
      <c r="L639" t="inlineStr">
        <is>
          <t>Georgia</t>
        </is>
      </c>
      <c r="M639" t="inlineStr">
        <is>
          <t>Atlanta</t>
        </is>
      </c>
      <c r="N639" t="inlineStr">
        <is>
          <t>Ethan Brooks</t>
        </is>
      </c>
      <c r="O639" t="n">
        <v>4</v>
      </c>
      <c r="P639" s="3" t="n">
        <v>45.06</v>
      </c>
      <c r="Q639" s="4" t="n">
        <v>0.08099999999999999</v>
      </c>
      <c r="R639" s="3" t="n">
        <v>165.64</v>
      </c>
      <c r="S639" s="3" t="n">
        <v>74.41</v>
      </c>
      <c r="T639" s="3" t="n">
        <v>82.03</v>
      </c>
      <c r="U639" s="4" t="n">
        <v>0.4952</v>
      </c>
      <c r="V639" s="3" t="n">
        <v>9.199999999999999</v>
      </c>
      <c r="W639" t="inlineStr">
        <is>
          <t>Credit Card</t>
        </is>
      </c>
      <c r="X639" t="inlineStr">
        <is>
          <t>Critical</t>
        </is>
      </c>
      <c r="Y639" t="n">
        <v>2023</v>
      </c>
      <c r="Z639" t="n">
        <v>12</v>
      </c>
      <c r="AA639" t="inlineStr">
        <is>
          <t>Dec</t>
        </is>
      </c>
      <c r="AB639" t="inlineStr">
        <is>
          <t>Sunday</t>
        </is>
      </c>
      <c r="AC639" t="n">
        <v>7</v>
      </c>
      <c r="AD639" t="inlineStr">
        <is>
          <t>Profitable</t>
        </is>
      </c>
      <c r="AE639" t="inlineStr">
        <is>
          <t>High</t>
        </is>
      </c>
      <c r="AF639" t="inlineStr">
        <is>
          <t>Small</t>
        </is>
      </c>
    </row>
    <row r="640">
      <c r="A640" t="inlineStr">
        <is>
          <t>ORD-00639</t>
        </is>
      </c>
      <c r="B640" s="2" t="n">
        <v>45140</v>
      </c>
      <c r="C640" s="2" t="n">
        <v>45146</v>
      </c>
      <c r="D640" t="inlineStr">
        <is>
          <t>CUST-00639</t>
        </is>
      </c>
      <c r="E640" t="inlineStr">
        <is>
          <t>Customer 639</t>
        </is>
      </c>
      <c r="F640" t="inlineStr">
        <is>
          <t>Corporate</t>
        </is>
      </c>
      <c r="G640" t="inlineStr">
        <is>
          <t>P1007</t>
        </is>
      </c>
      <c r="H640" t="inlineStr">
        <is>
          <t>Orbit Wireless Mouse</t>
        </is>
      </c>
      <c r="I640" t="inlineStr">
        <is>
          <t>Office Supplies</t>
        </is>
      </c>
      <c r="J640" t="inlineStr">
        <is>
          <t>Plants</t>
        </is>
      </c>
      <c r="K640" t="inlineStr">
        <is>
          <t>North</t>
        </is>
      </c>
      <c r="L640" t="inlineStr">
        <is>
          <t>Alberta</t>
        </is>
      </c>
      <c r="M640" t="inlineStr">
        <is>
          <t>Montreal</t>
        </is>
      </c>
      <c r="N640" t="inlineStr">
        <is>
          <t>Noah Kim</t>
        </is>
      </c>
      <c r="O640" t="n">
        <v>4</v>
      </c>
      <c r="P640" s="3" t="n">
        <v>25.87</v>
      </c>
      <c r="Q640" s="4" t="n">
        <v>0.02</v>
      </c>
      <c r="R640" s="3" t="n">
        <v>101.41</v>
      </c>
      <c r="S640" s="3" t="n">
        <v>39.32</v>
      </c>
      <c r="T640" s="3" t="n">
        <v>52.89</v>
      </c>
      <c r="U640" s="4" t="n">
        <v>0.5215</v>
      </c>
      <c r="V640" s="3" t="n">
        <v>9.199999999999999</v>
      </c>
      <c r="W640" t="inlineStr">
        <is>
          <t>Debit Card</t>
        </is>
      </c>
      <c r="X640" t="inlineStr">
        <is>
          <t>Low</t>
        </is>
      </c>
      <c r="Y640" t="n">
        <v>2023</v>
      </c>
      <c r="Z640" t="n">
        <v>8</v>
      </c>
      <c r="AA640" t="inlineStr">
        <is>
          <t>Aug</t>
        </is>
      </c>
      <c r="AB640" t="inlineStr">
        <is>
          <t>Wednesday</t>
        </is>
      </c>
      <c r="AC640" t="n">
        <v>6</v>
      </c>
      <c r="AD640" t="inlineStr">
        <is>
          <t>Profitable</t>
        </is>
      </c>
      <c r="AE640" t="inlineStr">
        <is>
          <t>Medium</t>
        </is>
      </c>
      <c r="AF640" t="inlineStr">
        <is>
          <t>Small</t>
        </is>
      </c>
    </row>
    <row r="641">
      <c r="A641" t="inlineStr">
        <is>
          <t>ORD-00640</t>
        </is>
      </c>
      <c r="B641" s="2" t="n">
        <v>45427</v>
      </c>
      <c r="C641" s="2" t="n">
        <v>45428</v>
      </c>
      <c r="D641" t="inlineStr">
        <is>
          <t>CUST-00640</t>
        </is>
      </c>
      <c r="E641" t="inlineStr">
        <is>
          <t>Customer 640</t>
        </is>
      </c>
      <c r="F641" t="inlineStr">
        <is>
          <t>Corporate</t>
        </is>
      </c>
      <c r="G641" t="inlineStr">
        <is>
          <t>P1009</t>
        </is>
      </c>
      <c r="H641" t="inlineStr">
        <is>
          <t>Summit Patio Set</t>
        </is>
      </c>
      <c r="I641" t="inlineStr">
        <is>
          <t>Furniture</t>
        </is>
      </c>
      <c r="J641" t="inlineStr">
        <is>
          <t>Accessories</t>
        </is>
      </c>
      <c r="K641" t="inlineStr">
        <is>
          <t>Central</t>
        </is>
      </c>
      <c r="L641" t="inlineStr">
        <is>
          <t>Missouri</t>
        </is>
      </c>
      <c r="M641" t="inlineStr">
        <is>
          <t>Chicago</t>
        </is>
      </c>
      <c r="N641" t="inlineStr">
        <is>
          <t>Mia Rodriguez</t>
        </is>
      </c>
      <c r="O641" t="n">
        <v>3</v>
      </c>
      <c r="P641" s="3" t="n">
        <v>92.09</v>
      </c>
      <c r="Q641" s="4" t="n">
        <v>0.019</v>
      </c>
      <c r="R641" s="3" t="n">
        <v>271.02</v>
      </c>
      <c r="S641" s="3" t="n">
        <v>133.39</v>
      </c>
      <c r="T641" s="3" t="n">
        <v>129.23</v>
      </c>
      <c r="U641" s="4" t="n">
        <v>0.4768</v>
      </c>
      <c r="V641" s="3" t="n">
        <v>8.4</v>
      </c>
      <c r="W641" t="inlineStr">
        <is>
          <t>Credit Card</t>
        </is>
      </c>
      <c r="X641" t="inlineStr">
        <is>
          <t>Medium</t>
        </is>
      </c>
      <c r="Y641" t="n">
        <v>2024</v>
      </c>
      <c r="Z641" t="n">
        <v>5</v>
      </c>
      <c r="AA641" t="inlineStr">
        <is>
          <t>May</t>
        </is>
      </c>
      <c r="AB641" t="inlineStr">
        <is>
          <t>Wednesday</t>
        </is>
      </c>
      <c r="AC641" t="n">
        <v>1</v>
      </c>
      <c r="AD641" t="inlineStr">
        <is>
          <t>Profitable</t>
        </is>
      </c>
      <c r="AE641" t="inlineStr">
        <is>
          <t>Low</t>
        </is>
      </c>
      <c r="AF641" t="inlineStr">
        <is>
          <t>Small</t>
        </is>
      </c>
    </row>
    <row r="642">
      <c r="A642" t="inlineStr">
        <is>
          <t>ORD-00641</t>
        </is>
      </c>
      <c r="B642" s="2" t="n">
        <v>44991</v>
      </c>
      <c r="C642" s="2" t="n">
        <v>44998</v>
      </c>
      <c r="D642" t="inlineStr">
        <is>
          <t>CUST-00641</t>
        </is>
      </c>
      <c r="E642" t="inlineStr">
        <is>
          <t>Customer 641</t>
        </is>
      </c>
      <c r="F642" t="inlineStr">
        <is>
          <t>Consumer</t>
        </is>
      </c>
      <c r="G642" t="inlineStr">
        <is>
          <t>P1019</t>
        </is>
      </c>
      <c r="H642" t="inlineStr">
        <is>
          <t>Summit Patio Set</t>
        </is>
      </c>
      <c r="I642" t="inlineStr">
        <is>
          <t>Office Supplies</t>
        </is>
      </c>
      <c r="J642" t="inlineStr">
        <is>
          <t>Desks</t>
        </is>
      </c>
      <c r="K642" t="inlineStr">
        <is>
          <t>East</t>
        </is>
      </c>
      <c r="L642" t="inlineStr">
        <is>
          <t>Massachusetts</t>
        </is>
      </c>
      <c r="M642" t="inlineStr">
        <is>
          <t>Washington</t>
        </is>
      </c>
      <c r="N642" t="inlineStr">
        <is>
          <t>Olivia Martin</t>
        </is>
      </c>
      <c r="O642" t="n">
        <v>2</v>
      </c>
      <c r="P642" s="3" t="n">
        <v>58.04</v>
      </c>
      <c r="Q642" s="4" t="n">
        <v>0.004</v>
      </c>
      <c r="R642" s="3" t="n">
        <v>115.62</v>
      </c>
      <c r="S642" s="3" t="n">
        <v>57.19</v>
      </c>
      <c r="T642" s="3" t="n">
        <v>49.83</v>
      </c>
      <c r="U642" s="4" t="n">
        <v>0.431</v>
      </c>
      <c r="V642" s="3" t="n">
        <v>8.6</v>
      </c>
      <c r="W642" t="inlineStr">
        <is>
          <t>Debit Card</t>
        </is>
      </c>
      <c r="X642" t="inlineStr">
        <is>
          <t>Low</t>
        </is>
      </c>
      <c r="Y642" t="n">
        <v>2023</v>
      </c>
      <c r="Z642" t="n">
        <v>3</v>
      </c>
      <c r="AA642" t="inlineStr">
        <is>
          <t>Mar</t>
        </is>
      </c>
      <c r="AB642" t="inlineStr">
        <is>
          <t>Monday</t>
        </is>
      </c>
      <c r="AC642" t="n">
        <v>7</v>
      </c>
      <c r="AD642" t="inlineStr">
        <is>
          <t>Profitable</t>
        </is>
      </c>
      <c r="AE642" t="inlineStr">
        <is>
          <t>Low</t>
        </is>
      </c>
      <c r="AF642" t="inlineStr">
        <is>
          <t>Small</t>
        </is>
      </c>
    </row>
    <row r="643">
      <c r="A643" t="inlineStr">
        <is>
          <t>ORD-00642</t>
        </is>
      </c>
      <c r="B643" s="2" t="n">
        <v>45570</v>
      </c>
      <c r="C643" s="2" t="n">
        <v>45573</v>
      </c>
      <c r="D643" t="inlineStr">
        <is>
          <t>CUST-00642</t>
        </is>
      </c>
      <c r="E643" t="inlineStr">
        <is>
          <t>Customer 642</t>
        </is>
      </c>
      <c r="F643" t="inlineStr">
        <is>
          <t>Consumer</t>
        </is>
      </c>
      <c r="G643" t="inlineStr">
        <is>
          <t>P1011</t>
        </is>
      </c>
      <c r="H643" t="inlineStr">
        <is>
          <t>Lumen Desk Lamp</t>
        </is>
      </c>
      <c r="I643" t="inlineStr">
        <is>
          <t>Office Supplies</t>
        </is>
      </c>
      <c r="J643" t="inlineStr">
        <is>
          <t>Video</t>
        </is>
      </c>
      <c r="K643" t="inlineStr">
        <is>
          <t>South</t>
        </is>
      </c>
      <c r="L643" t="inlineStr">
        <is>
          <t>Florida</t>
        </is>
      </c>
      <c r="M643" t="inlineStr">
        <is>
          <t>Miami</t>
        </is>
      </c>
      <c r="N643" t="inlineStr">
        <is>
          <t>Olivia Martin</t>
        </is>
      </c>
      <c r="O643" t="n">
        <v>3</v>
      </c>
      <c r="P643" s="3" t="n">
        <v>94.75</v>
      </c>
      <c r="Q643" s="4" t="n">
        <v>0.004</v>
      </c>
      <c r="R643" s="3" t="n">
        <v>283.11</v>
      </c>
      <c r="S643" s="3" t="n">
        <v>134.35</v>
      </c>
      <c r="T643" s="3" t="n">
        <v>140.36</v>
      </c>
      <c r="U643" s="4" t="n">
        <v>0.4958</v>
      </c>
      <c r="V643" s="3" t="n">
        <v>8.4</v>
      </c>
      <c r="W643" t="inlineStr">
        <is>
          <t>Credit Card</t>
        </is>
      </c>
      <c r="X643" t="inlineStr">
        <is>
          <t>Medium</t>
        </is>
      </c>
      <c r="Y643" t="n">
        <v>2024</v>
      </c>
      <c r="Z643" t="n">
        <v>10</v>
      </c>
      <c r="AA643" t="inlineStr">
        <is>
          <t>Oct</t>
        </is>
      </c>
      <c r="AB643" t="inlineStr">
        <is>
          <t>Saturday</t>
        </is>
      </c>
      <c r="AC643" t="n">
        <v>3</v>
      </c>
      <c r="AD643" t="inlineStr">
        <is>
          <t>Profitable</t>
        </is>
      </c>
      <c r="AE643" t="inlineStr">
        <is>
          <t>Low</t>
        </is>
      </c>
      <c r="AF643" t="inlineStr">
        <is>
          <t>Small</t>
        </is>
      </c>
    </row>
    <row r="644">
      <c r="A644" t="inlineStr">
        <is>
          <t>ORD-00643</t>
        </is>
      </c>
      <c r="B644" s="2" t="n">
        <v>45183</v>
      </c>
      <c r="C644" s="2" t="n">
        <v>45186</v>
      </c>
      <c r="D644" t="inlineStr">
        <is>
          <t>CUST-00643</t>
        </is>
      </c>
      <c r="E644" t="inlineStr">
        <is>
          <t>Customer 643</t>
        </is>
      </c>
      <c r="F644" t="inlineStr">
        <is>
          <t>Home Office</t>
        </is>
      </c>
      <c r="G644" t="inlineStr">
        <is>
          <t>P1003</t>
        </is>
      </c>
      <c r="H644" t="inlineStr">
        <is>
          <t>Nova Laptop Stand</t>
        </is>
      </c>
      <c r="I644" t="inlineStr">
        <is>
          <t>Outdoor</t>
        </is>
      </c>
      <c r="J644" t="inlineStr">
        <is>
          <t>Video</t>
        </is>
      </c>
      <c r="K644" t="inlineStr">
        <is>
          <t>East</t>
        </is>
      </c>
      <c r="L644" t="inlineStr">
        <is>
          <t>Massachusetts</t>
        </is>
      </c>
      <c r="M644" t="inlineStr">
        <is>
          <t>Philadelphia</t>
        </is>
      </c>
      <c r="N644" t="inlineStr">
        <is>
          <t>Olivia Martin</t>
        </is>
      </c>
      <c r="O644" t="n">
        <v>1</v>
      </c>
      <c r="P644" s="3" t="n">
        <v>154.67</v>
      </c>
      <c r="Q644" s="4" t="n">
        <v>0.002</v>
      </c>
      <c r="R644" s="3" t="n">
        <v>154.36</v>
      </c>
      <c r="S644" s="3" t="n">
        <v>86.5</v>
      </c>
      <c r="T644" s="3" t="n">
        <v>60.06</v>
      </c>
      <c r="U644" s="4" t="n">
        <v>0.3891</v>
      </c>
      <c r="V644" s="3" t="n">
        <v>7.8</v>
      </c>
      <c r="W644" t="inlineStr">
        <is>
          <t>Bank Transfer</t>
        </is>
      </c>
      <c r="X644" t="inlineStr">
        <is>
          <t>Low</t>
        </is>
      </c>
      <c r="Y644" t="n">
        <v>2023</v>
      </c>
      <c r="Z644" t="n">
        <v>9</v>
      </c>
      <c r="AA644" t="inlineStr">
        <is>
          <t>Sep</t>
        </is>
      </c>
      <c r="AB644" t="inlineStr">
        <is>
          <t>Thursday</t>
        </is>
      </c>
      <c r="AC644" t="n">
        <v>3</v>
      </c>
      <c r="AD644" t="inlineStr">
        <is>
          <t>Profitable</t>
        </is>
      </c>
      <c r="AE644" t="inlineStr">
        <is>
          <t>Low</t>
        </is>
      </c>
      <c r="AF644" t="inlineStr">
        <is>
          <t>Small</t>
        </is>
      </c>
    </row>
    <row r="645">
      <c r="A645" t="inlineStr">
        <is>
          <t>ORD-00644</t>
        </is>
      </c>
      <c r="B645" s="2" t="n">
        <v>45462</v>
      </c>
      <c r="C645" s="2" t="n">
        <v>45465</v>
      </c>
      <c r="D645" t="inlineStr">
        <is>
          <t>CUST-00644</t>
        </is>
      </c>
      <c r="E645" t="inlineStr">
        <is>
          <t>Customer 644</t>
        </is>
      </c>
      <c r="F645" t="inlineStr">
        <is>
          <t>Consumer</t>
        </is>
      </c>
      <c r="G645" t="inlineStr">
        <is>
          <t>P1004</t>
        </is>
      </c>
      <c r="H645" t="inlineStr">
        <is>
          <t>Aero Standing Desk</t>
        </is>
      </c>
      <c r="I645" t="inlineStr">
        <is>
          <t>Outdoor</t>
        </is>
      </c>
      <c r="J645" t="inlineStr">
        <is>
          <t>Decor</t>
        </is>
      </c>
      <c r="K645" t="inlineStr">
        <is>
          <t>West</t>
        </is>
      </c>
      <c r="L645" t="inlineStr">
        <is>
          <t>Colorado</t>
        </is>
      </c>
      <c r="M645" t="inlineStr">
        <is>
          <t>Seattle</t>
        </is>
      </c>
      <c r="N645" t="inlineStr">
        <is>
          <t>Noah Kim</t>
        </is>
      </c>
      <c r="O645" t="n">
        <v>3</v>
      </c>
      <c r="P645" s="3" t="n">
        <v>644.8</v>
      </c>
      <c r="Q645" s="4" t="n">
        <v>0.028</v>
      </c>
      <c r="R645" s="3" t="n">
        <v>1880.24</v>
      </c>
      <c r="S645" s="3" t="n">
        <v>1195.62</v>
      </c>
      <c r="T645" s="3" t="n">
        <v>675.22</v>
      </c>
      <c r="U645" s="4" t="n">
        <v>0.3591</v>
      </c>
      <c r="V645" s="3" t="n">
        <v>9.4</v>
      </c>
      <c r="W645" t="inlineStr">
        <is>
          <t>Debit Card</t>
        </is>
      </c>
      <c r="X645" t="inlineStr">
        <is>
          <t>Critical</t>
        </is>
      </c>
      <c r="Y645" t="n">
        <v>2024</v>
      </c>
      <c r="Z645" t="n">
        <v>6</v>
      </c>
      <c r="AA645" t="inlineStr">
        <is>
          <t>Jun</t>
        </is>
      </c>
      <c r="AB645" t="inlineStr">
        <is>
          <t>Wednesday</t>
        </is>
      </c>
      <c r="AC645" t="n">
        <v>3</v>
      </c>
      <c r="AD645" t="inlineStr">
        <is>
          <t>Profitable</t>
        </is>
      </c>
      <c r="AE645" t="inlineStr">
        <is>
          <t>Medium</t>
        </is>
      </c>
      <c r="AF645" t="inlineStr">
        <is>
          <t>Large</t>
        </is>
      </c>
    </row>
    <row r="646">
      <c r="A646" t="inlineStr">
        <is>
          <t>ORD-00645</t>
        </is>
      </c>
      <c r="B646" s="2" t="n">
        <v>45269</v>
      </c>
      <c r="C646" s="2" t="n">
        <v>45273</v>
      </c>
      <c r="D646" t="inlineStr">
        <is>
          <t>CUST-00645</t>
        </is>
      </c>
      <c r="E646" t="inlineStr">
        <is>
          <t>Customer 645</t>
        </is>
      </c>
      <c r="F646" t="inlineStr">
        <is>
          <t>Corporate</t>
        </is>
      </c>
      <c r="G646" t="inlineStr">
        <is>
          <t>P1005</t>
        </is>
      </c>
      <c r="H646" t="inlineStr">
        <is>
          <t>SmartInk Pen Set</t>
        </is>
      </c>
      <c r="I646" t="inlineStr">
        <is>
          <t>Furniture</t>
        </is>
      </c>
      <c r="J646" t="inlineStr">
        <is>
          <t>Peripherals</t>
        </is>
      </c>
      <c r="K646" t="inlineStr">
        <is>
          <t>South</t>
        </is>
      </c>
      <c r="L646" t="inlineStr">
        <is>
          <t>Georgia</t>
        </is>
      </c>
      <c r="M646" t="inlineStr">
        <is>
          <t>Dallas</t>
        </is>
      </c>
      <c r="N646" t="inlineStr">
        <is>
          <t>Olivia Martin</t>
        </is>
      </c>
      <c r="O646" t="n">
        <v>3</v>
      </c>
      <c r="P646" s="3" t="n">
        <v>12.62</v>
      </c>
      <c r="Q646" s="4" t="n">
        <v>0.02</v>
      </c>
      <c r="R646" s="3" t="n">
        <v>37.1</v>
      </c>
      <c r="S646" s="3" t="n">
        <v>19.59</v>
      </c>
      <c r="T646" s="3" t="n">
        <v>9.109999999999999</v>
      </c>
      <c r="U646" s="4" t="n">
        <v>0.2456</v>
      </c>
      <c r="V646" s="3" t="n">
        <v>8.4</v>
      </c>
      <c r="W646" t="inlineStr">
        <is>
          <t>Debit Card</t>
        </is>
      </c>
      <c r="X646" t="inlineStr">
        <is>
          <t>Medium</t>
        </is>
      </c>
      <c r="Y646" t="n">
        <v>2023</v>
      </c>
      <c r="Z646" t="n">
        <v>12</v>
      </c>
      <c r="AA646" t="inlineStr">
        <is>
          <t>Dec</t>
        </is>
      </c>
      <c r="AB646" t="inlineStr">
        <is>
          <t>Saturday</t>
        </is>
      </c>
      <c r="AC646" t="n">
        <v>4</v>
      </c>
      <c r="AD646" t="inlineStr">
        <is>
          <t>Profitable</t>
        </is>
      </c>
      <c r="AE646" t="inlineStr">
        <is>
          <t>Medium</t>
        </is>
      </c>
      <c r="AF646" t="inlineStr">
        <is>
          <t>Small</t>
        </is>
      </c>
    </row>
    <row r="647">
      <c r="A647" t="inlineStr">
        <is>
          <t>ORD-00646</t>
        </is>
      </c>
      <c r="B647" s="2" t="n">
        <v>45665</v>
      </c>
      <c r="C647" s="2" t="n">
        <v>45670</v>
      </c>
      <c r="D647" t="inlineStr">
        <is>
          <t>CUST-00646</t>
        </is>
      </c>
      <c r="E647" t="inlineStr">
        <is>
          <t>Customer 646</t>
        </is>
      </c>
      <c r="F647" t="inlineStr">
        <is>
          <t>Corporate</t>
        </is>
      </c>
      <c r="G647" t="inlineStr">
        <is>
          <t>P1004</t>
        </is>
      </c>
      <c r="H647" t="inlineStr">
        <is>
          <t>FlexNote Notebook</t>
        </is>
      </c>
      <c r="I647" t="inlineStr">
        <is>
          <t>Home Decor</t>
        </is>
      </c>
      <c r="J647" t="inlineStr">
        <is>
          <t>Binders</t>
        </is>
      </c>
      <c r="K647" t="inlineStr">
        <is>
          <t>East</t>
        </is>
      </c>
      <c r="L647" t="inlineStr">
        <is>
          <t>Virginia</t>
        </is>
      </c>
      <c r="M647" t="inlineStr">
        <is>
          <t>Washington</t>
        </is>
      </c>
      <c r="N647" t="inlineStr">
        <is>
          <t>Noah Kim</t>
        </is>
      </c>
      <c r="O647" t="n">
        <v>3</v>
      </c>
      <c r="P647" s="3" t="n">
        <v>585.6799999999999</v>
      </c>
      <c r="Q647" s="4" t="n">
        <v>0.058</v>
      </c>
      <c r="R647" s="3" t="n">
        <v>1655.13</v>
      </c>
      <c r="S647" s="3" t="n">
        <v>1054.53</v>
      </c>
      <c r="T647" s="3" t="n">
        <v>591.2</v>
      </c>
      <c r="U647" s="4" t="n">
        <v>0.3572</v>
      </c>
      <c r="V647" s="3" t="n">
        <v>9.4</v>
      </c>
      <c r="W647" t="inlineStr">
        <is>
          <t>Cash on Delivery</t>
        </is>
      </c>
      <c r="X647" t="inlineStr">
        <is>
          <t>High</t>
        </is>
      </c>
      <c r="Y647" t="n">
        <v>2025</v>
      </c>
      <c r="Z647" t="n">
        <v>1</v>
      </c>
      <c r="AA647" t="inlineStr">
        <is>
          <t>Jan</t>
        </is>
      </c>
      <c r="AB647" t="inlineStr">
        <is>
          <t>Wednesday</t>
        </is>
      </c>
      <c r="AC647" t="n">
        <v>5</v>
      </c>
      <c r="AD647" t="inlineStr">
        <is>
          <t>Profitable</t>
        </is>
      </c>
      <c r="AE647" t="inlineStr">
        <is>
          <t>High</t>
        </is>
      </c>
      <c r="AF647" t="inlineStr">
        <is>
          <t>Large</t>
        </is>
      </c>
    </row>
    <row r="648">
      <c r="A648" t="inlineStr">
        <is>
          <t>ORD-00647</t>
        </is>
      </c>
      <c r="B648" s="2" t="n">
        <v>45415</v>
      </c>
      <c r="C648" s="2" t="n">
        <v>45416</v>
      </c>
      <c r="D648" t="inlineStr">
        <is>
          <t>CUST-00647</t>
        </is>
      </c>
      <c r="E648" t="inlineStr">
        <is>
          <t>Customer 647</t>
        </is>
      </c>
      <c r="F648" t="inlineStr">
        <is>
          <t>Consumer</t>
        </is>
      </c>
      <c r="G648" t="inlineStr">
        <is>
          <t>P1013</t>
        </is>
      </c>
      <c r="H648" t="inlineStr">
        <is>
          <t>Northstar Lantern</t>
        </is>
      </c>
      <c r="I648" t="inlineStr">
        <is>
          <t>Technology</t>
        </is>
      </c>
      <c r="J648" t="inlineStr">
        <is>
          <t>Decor</t>
        </is>
      </c>
      <c r="K648" t="inlineStr">
        <is>
          <t>Central</t>
        </is>
      </c>
      <c r="L648" t="inlineStr">
        <is>
          <t>Illinois</t>
        </is>
      </c>
      <c r="M648" t="inlineStr">
        <is>
          <t>Kansas City</t>
        </is>
      </c>
      <c r="N648" t="inlineStr">
        <is>
          <t>Ethan Brooks</t>
        </is>
      </c>
      <c r="O648" t="n">
        <v>4</v>
      </c>
      <c r="P648" s="3" t="n">
        <v>151.43</v>
      </c>
      <c r="Q648" s="4" t="n">
        <v>0.022</v>
      </c>
      <c r="R648" s="3" t="n">
        <v>592.39</v>
      </c>
      <c r="S648" s="3" t="n">
        <v>336.75</v>
      </c>
      <c r="T648" s="3" t="n">
        <v>246.44</v>
      </c>
      <c r="U648" s="4" t="n">
        <v>0.416</v>
      </c>
      <c r="V648" s="3" t="n">
        <v>9.199999999999999</v>
      </c>
      <c r="W648" t="inlineStr">
        <is>
          <t>Debit Card</t>
        </is>
      </c>
      <c r="X648" t="inlineStr">
        <is>
          <t>High</t>
        </is>
      </c>
      <c r="Y648" t="n">
        <v>2024</v>
      </c>
      <c r="Z648" t="n">
        <v>5</v>
      </c>
      <c r="AA648" t="inlineStr">
        <is>
          <t>May</t>
        </is>
      </c>
      <c r="AB648" t="inlineStr">
        <is>
          <t>Friday</t>
        </is>
      </c>
      <c r="AC648" t="n">
        <v>1</v>
      </c>
      <c r="AD648" t="inlineStr">
        <is>
          <t>Profitable</t>
        </is>
      </c>
      <c r="AE648" t="inlineStr">
        <is>
          <t>Medium</t>
        </is>
      </c>
      <c r="AF648" t="inlineStr">
        <is>
          <t>Medium</t>
        </is>
      </c>
    </row>
    <row r="649">
      <c r="A649" t="inlineStr">
        <is>
          <t>ORD-00648</t>
        </is>
      </c>
      <c r="B649" s="2" t="n">
        <v>46009</v>
      </c>
      <c r="C649" s="2" t="n">
        <v>46012</v>
      </c>
      <c r="D649" t="inlineStr">
        <is>
          <t>CUST-00648</t>
        </is>
      </c>
      <c r="E649" t="inlineStr">
        <is>
          <t>Customer 648</t>
        </is>
      </c>
      <c r="F649" t="inlineStr">
        <is>
          <t>Home Office</t>
        </is>
      </c>
      <c r="G649" t="inlineStr">
        <is>
          <t>P1009</t>
        </is>
      </c>
      <c r="H649" t="inlineStr">
        <is>
          <t>Aero Standing Desk</t>
        </is>
      </c>
      <c r="I649" t="inlineStr">
        <is>
          <t>Technology</t>
        </is>
      </c>
      <c r="J649" t="inlineStr">
        <is>
          <t>Lighting</t>
        </is>
      </c>
      <c r="K649" t="inlineStr">
        <is>
          <t>Central</t>
        </is>
      </c>
      <c r="L649" t="inlineStr">
        <is>
          <t>Minnesota</t>
        </is>
      </c>
      <c r="M649" t="inlineStr">
        <is>
          <t>Minneapolis</t>
        </is>
      </c>
      <c r="N649" t="inlineStr">
        <is>
          <t>James Carter</t>
        </is>
      </c>
      <c r="O649" t="n">
        <v>2</v>
      </c>
      <c r="P649" s="3" t="n">
        <v>94.69</v>
      </c>
      <c r="Q649" s="4" t="n">
        <v>0.018</v>
      </c>
      <c r="R649" s="3" t="n">
        <v>185.97</v>
      </c>
      <c r="S649" s="3" t="n">
        <v>98.72</v>
      </c>
      <c r="T649" s="3" t="n">
        <v>79.65000000000001</v>
      </c>
      <c r="U649" s="4" t="n">
        <v>0.4283</v>
      </c>
      <c r="V649" s="3" t="n">
        <v>7.6</v>
      </c>
      <c r="W649" t="inlineStr">
        <is>
          <t>Credit Card</t>
        </is>
      </c>
      <c r="X649" t="inlineStr">
        <is>
          <t>Low</t>
        </is>
      </c>
      <c r="Y649" t="n">
        <v>2025</v>
      </c>
      <c r="Z649" t="n">
        <v>12</v>
      </c>
      <c r="AA649" t="inlineStr">
        <is>
          <t>Dec</t>
        </is>
      </c>
      <c r="AB649" t="inlineStr">
        <is>
          <t>Thursday</t>
        </is>
      </c>
      <c r="AC649" t="n">
        <v>3</v>
      </c>
      <c r="AD649" t="inlineStr">
        <is>
          <t>Profitable</t>
        </is>
      </c>
      <c r="AE649" t="inlineStr">
        <is>
          <t>Low</t>
        </is>
      </c>
      <c r="AF649" t="inlineStr">
        <is>
          <t>Small</t>
        </is>
      </c>
    </row>
    <row r="650">
      <c r="A650" t="inlineStr">
        <is>
          <t>ORD-00649</t>
        </is>
      </c>
      <c r="B650" s="2" t="n">
        <v>45785</v>
      </c>
      <c r="C650" s="2" t="n">
        <v>45790</v>
      </c>
      <c r="D650" t="inlineStr">
        <is>
          <t>CUST-00649</t>
        </is>
      </c>
      <c r="E650" t="inlineStr">
        <is>
          <t>Customer 649</t>
        </is>
      </c>
      <c r="F650" t="inlineStr">
        <is>
          <t>Corporate</t>
        </is>
      </c>
      <c r="G650" t="inlineStr">
        <is>
          <t>P1014</t>
        </is>
      </c>
      <c r="H650" t="inlineStr">
        <is>
          <t>Tide Cooler</t>
        </is>
      </c>
      <c r="I650" t="inlineStr">
        <is>
          <t>Outdoor</t>
        </is>
      </c>
      <c r="J650" t="inlineStr">
        <is>
          <t>Accessories</t>
        </is>
      </c>
      <c r="K650" t="inlineStr">
        <is>
          <t>West</t>
        </is>
      </c>
      <c r="L650" t="inlineStr">
        <is>
          <t>Colorado</t>
        </is>
      </c>
      <c r="M650" t="inlineStr">
        <is>
          <t>Seattle</t>
        </is>
      </c>
      <c r="N650" t="inlineStr">
        <is>
          <t>Ava Patel</t>
        </is>
      </c>
      <c r="O650" t="n">
        <v>3</v>
      </c>
      <c r="P650" s="3" t="n">
        <v>44.56</v>
      </c>
      <c r="Q650" s="4" t="n">
        <v>0.034</v>
      </c>
      <c r="R650" s="3" t="n">
        <v>129.13</v>
      </c>
      <c r="S650" s="3" t="n">
        <v>55.05</v>
      </c>
      <c r="T650" s="3" t="n">
        <v>64.68000000000001</v>
      </c>
      <c r="U650" s="4" t="n">
        <v>0.5009</v>
      </c>
      <c r="V650" s="3" t="n">
        <v>9.4</v>
      </c>
      <c r="W650" t="inlineStr">
        <is>
          <t>Credit Card</t>
        </is>
      </c>
      <c r="X650" t="inlineStr">
        <is>
          <t>Low</t>
        </is>
      </c>
      <c r="Y650" t="n">
        <v>2025</v>
      </c>
      <c r="Z650" t="n">
        <v>5</v>
      </c>
      <c r="AA650" t="inlineStr">
        <is>
          <t>May</t>
        </is>
      </c>
      <c r="AB650" t="inlineStr">
        <is>
          <t>Thursday</t>
        </is>
      </c>
      <c r="AC650" t="n">
        <v>5</v>
      </c>
      <c r="AD650" t="inlineStr">
        <is>
          <t>Profitable</t>
        </is>
      </c>
      <c r="AE650" t="inlineStr">
        <is>
          <t>Medium</t>
        </is>
      </c>
      <c r="AF650" t="inlineStr">
        <is>
          <t>Small</t>
        </is>
      </c>
    </row>
    <row r="651">
      <c r="A651" t="inlineStr">
        <is>
          <t>ORD-00650</t>
        </is>
      </c>
      <c r="B651" s="2" t="n">
        <v>45398</v>
      </c>
      <c r="C651" s="2" t="n">
        <v>45405</v>
      </c>
      <c r="D651" t="inlineStr">
        <is>
          <t>CUST-00650</t>
        </is>
      </c>
      <c r="E651" t="inlineStr">
        <is>
          <t>Customer 650</t>
        </is>
      </c>
      <c r="F651" t="inlineStr">
        <is>
          <t>Consumer</t>
        </is>
      </c>
      <c r="G651" t="inlineStr">
        <is>
          <t>P1016</t>
        </is>
      </c>
      <c r="H651" t="inlineStr">
        <is>
          <t>Nimbus Monitor Arm</t>
        </is>
      </c>
      <c r="I651" t="inlineStr">
        <is>
          <t>Technology</t>
        </is>
      </c>
      <c r="J651" t="inlineStr">
        <is>
          <t>Coolers</t>
        </is>
      </c>
      <c r="K651" t="inlineStr">
        <is>
          <t>West</t>
        </is>
      </c>
      <c r="L651" t="inlineStr">
        <is>
          <t>Colorado</t>
        </is>
      </c>
      <c r="M651" t="inlineStr">
        <is>
          <t>Seattle</t>
        </is>
      </c>
      <c r="N651" t="inlineStr">
        <is>
          <t>Mia Rodriguez</t>
        </is>
      </c>
      <c r="O651" t="n">
        <v>3</v>
      </c>
      <c r="P651" s="3" t="n">
        <v>38.1</v>
      </c>
      <c r="Q651" s="4" t="n">
        <v>0.018</v>
      </c>
      <c r="R651" s="3" t="n">
        <v>112.24</v>
      </c>
      <c r="S651" s="3" t="n">
        <v>48.51</v>
      </c>
      <c r="T651" s="3" t="n">
        <v>54.33</v>
      </c>
      <c r="U651" s="4" t="n">
        <v>0.4841</v>
      </c>
      <c r="V651" s="3" t="n">
        <v>9.4</v>
      </c>
      <c r="W651" t="inlineStr">
        <is>
          <t>Bank Transfer</t>
        </is>
      </c>
      <c r="X651" t="inlineStr">
        <is>
          <t>Medium</t>
        </is>
      </c>
      <c r="Y651" t="n">
        <v>2024</v>
      </c>
      <c r="Z651" t="n">
        <v>4</v>
      </c>
      <c r="AA651" t="inlineStr">
        <is>
          <t>Apr</t>
        </is>
      </c>
      <c r="AB651" t="inlineStr">
        <is>
          <t>Tuesday</t>
        </is>
      </c>
      <c r="AC651" t="n">
        <v>7</v>
      </c>
      <c r="AD651" t="inlineStr">
        <is>
          <t>Profitable</t>
        </is>
      </c>
      <c r="AE651" t="inlineStr">
        <is>
          <t>Low</t>
        </is>
      </c>
      <c r="AF651" t="inlineStr">
        <is>
          <t>Small</t>
        </is>
      </c>
    </row>
    <row r="652">
      <c r="A652" t="inlineStr">
        <is>
          <t>ORD-00651</t>
        </is>
      </c>
      <c r="B652" s="2" t="n">
        <v>45153</v>
      </c>
      <c r="C652" s="2" t="n">
        <v>45155</v>
      </c>
      <c r="D652" t="inlineStr">
        <is>
          <t>CUST-00651</t>
        </is>
      </c>
      <c r="E652" t="inlineStr">
        <is>
          <t>Customer 651</t>
        </is>
      </c>
      <c r="F652" t="inlineStr">
        <is>
          <t>Home Office</t>
        </is>
      </c>
      <c r="G652" t="inlineStr">
        <is>
          <t>P1006</t>
        </is>
      </c>
      <c r="H652" t="inlineStr">
        <is>
          <t>Aero Standing Desk</t>
        </is>
      </c>
      <c r="I652" t="inlineStr">
        <is>
          <t>Office Supplies</t>
        </is>
      </c>
      <c r="J652" t="inlineStr">
        <is>
          <t>Storage</t>
        </is>
      </c>
      <c r="K652" t="inlineStr">
        <is>
          <t>Central</t>
        </is>
      </c>
      <c r="L652" t="inlineStr">
        <is>
          <t>Missouri</t>
        </is>
      </c>
      <c r="M652" t="inlineStr">
        <is>
          <t>Kansas City</t>
        </is>
      </c>
      <c r="N652" t="inlineStr">
        <is>
          <t>James Carter</t>
        </is>
      </c>
      <c r="O652" t="n">
        <v>2</v>
      </c>
      <c r="P652" s="3" t="n">
        <v>19.37</v>
      </c>
      <c r="Q652" s="4" t="n">
        <v>0.006</v>
      </c>
      <c r="R652" s="3" t="n">
        <v>38.51</v>
      </c>
      <c r="S652" s="3" t="n">
        <v>18.7</v>
      </c>
      <c r="T652" s="3" t="n">
        <v>12.21</v>
      </c>
      <c r="U652" s="4" t="n">
        <v>0.3171</v>
      </c>
      <c r="V652" s="3" t="n">
        <v>7.6</v>
      </c>
      <c r="W652" t="inlineStr">
        <is>
          <t>Credit Card</t>
        </is>
      </c>
      <c r="X652" t="inlineStr">
        <is>
          <t>Medium</t>
        </is>
      </c>
      <c r="Y652" t="n">
        <v>2023</v>
      </c>
      <c r="Z652" t="n">
        <v>8</v>
      </c>
      <c r="AA652" t="inlineStr">
        <is>
          <t>Aug</t>
        </is>
      </c>
      <c r="AB652" t="inlineStr">
        <is>
          <t>Tuesday</t>
        </is>
      </c>
      <c r="AC652" t="n">
        <v>2</v>
      </c>
      <c r="AD652" t="inlineStr">
        <is>
          <t>Profitable</t>
        </is>
      </c>
      <c r="AE652" t="inlineStr">
        <is>
          <t>Low</t>
        </is>
      </c>
      <c r="AF652" t="inlineStr">
        <is>
          <t>Small</t>
        </is>
      </c>
    </row>
    <row r="653">
      <c r="A653" t="inlineStr">
        <is>
          <t>ORD-00652</t>
        </is>
      </c>
      <c r="B653" s="2" t="n">
        <v>45617</v>
      </c>
      <c r="C653" s="2" t="n">
        <v>45623</v>
      </c>
      <c r="D653" t="inlineStr">
        <is>
          <t>CUST-00652</t>
        </is>
      </c>
      <c r="E653" t="inlineStr">
        <is>
          <t>Customer 652</t>
        </is>
      </c>
      <c r="F653" t="inlineStr">
        <is>
          <t>Corporate</t>
        </is>
      </c>
      <c r="G653" t="inlineStr">
        <is>
          <t>P1010</t>
        </is>
      </c>
      <c r="H653" t="inlineStr">
        <is>
          <t>Cove Wall Clock</t>
        </is>
      </c>
      <c r="I653" t="inlineStr">
        <is>
          <t>Furniture</t>
        </is>
      </c>
      <c r="J653" t="inlineStr">
        <is>
          <t>Lighting</t>
        </is>
      </c>
      <c r="K653" t="inlineStr">
        <is>
          <t>East</t>
        </is>
      </c>
      <c r="L653" t="inlineStr">
        <is>
          <t>New York</t>
        </is>
      </c>
      <c r="M653" t="inlineStr">
        <is>
          <t>New York</t>
        </is>
      </c>
      <c r="N653" t="inlineStr">
        <is>
          <t>Liam Chen</t>
        </is>
      </c>
      <c r="O653" t="n">
        <v>2</v>
      </c>
      <c r="P653" s="3" t="n">
        <v>60.02</v>
      </c>
      <c r="Q653" s="4" t="n">
        <v>0.027</v>
      </c>
      <c r="R653" s="3" t="n">
        <v>116.8</v>
      </c>
      <c r="S653" s="3" t="n">
        <v>58.19</v>
      </c>
      <c r="T653" s="3" t="n">
        <v>50.01</v>
      </c>
      <c r="U653" s="4" t="n">
        <v>0.4282</v>
      </c>
      <c r="V653" s="3" t="n">
        <v>8.6</v>
      </c>
      <c r="W653" t="inlineStr">
        <is>
          <t>PayPal</t>
        </is>
      </c>
      <c r="X653" t="inlineStr">
        <is>
          <t>Medium</t>
        </is>
      </c>
      <c r="Y653" t="n">
        <v>2024</v>
      </c>
      <c r="Z653" t="n">
        <v>11</v>
      </c>
      <c r="AA653" t="inlineStr">
        <is>
          <t>Nov</t>
        </is>
      </c>
      <c r="AB653" t="inlineStr">
        <is>
          <t>Thursday</t>
        </is>
      </c>
      <c r="AC653" t="n">
        <v>6</v>
      </c>
      <c r="AD653" t="inlineStr">
        <is>
          <t>Profitable</t>
        </is>
      </c>
      <c r="AE653" t="inlineStr">
        <is>
          <t>Medium</t>
        </is>
      </c>
      <c r="AF653" t="inlineStr">
        <is>
          <t>Small</t>
        </is>
      </c>
    </row>
    <row r="654">
      <c r="A654" t="inlineStr">
        <is>
          <t>ORD-00653</t>
        </is>
      </c>
      <c r="B654" s="2" t="n">
        <v>45337</v>
      </c>
      <c r="C654" s="2" t="n">
        <v>45339</v>
      </c>
      <c r="D654" t="inlineStr">
        <is>
          <t>CUST-00653</t>
        </is>
      </c>
      <c r="E654" t="inlineStr">
        <is>
          <t>Customer 653</t>
        </is>
      </c>
      <c r="F654" t="inlineStr">
        <is>
          <t>Consumer</t>
        </is>
      </c>
      <c r="G654" t="inlineStr">
        <is>
          <t>P1013</t>
        </is>
      </c>
      <c r="H654" t="inlineStr">
        <is>
          <t>Cove Wall Clock</t>
        </is>
      </c>
      <c r="I654" t="inlineStr">
        <is>
          <t>Home Decor</t>
        </is>
      </c>
      <c r="J654" t="inlineStr">
        <is>
          <t>Bags</t>
        </is>
      </c>
      <c r="K654" t="inlineStr">
        <is>
          <t>East</t>
        </is>
      </c>
      <c r="L654" t="inlineStr">
        <is>
          <t>New Jersey</t>
        </is>
      </c>
      <c r="M654" t="inlineStr">
        <is>
          <t>Washington</t>
        </is>
      </c>
      <c r="N654" t="inlineStr">
        <is>
          <t>Ava Patel</t>
        </is>
      </c>
      <c r="O654" t="n">
        <v>3</v>
      </c>
      <c r="P654" s="3" t="n">
        <v>167.31</v>
      </c>
      <c r="Q654" s="4" t="n">
        <v>0.027</v>
      </c>
      <c r="R654" s="3" t="n">
        <v>488.38</v>
      </c>
      <c r="S654" s="3" t="n">
        <v>282.04</v>
      </c>
      <c r="T654" s="3" t="n">
        <v>196.94</v>
      </c>
      <c r="U654" s="4" t="n">
        <v>0.4033</v>
      </c>
      <c r="V654" s="3" t="n">
        <v>9.4</v>
      </c>
      <c r="W654" t="inlineStr">
        <is>
          <t>Cash on Delivery</t>
        </is>
      </c>
      <c r="X654" t="inlineStr">
        <is>
          <t>High</t>
        </is>
      </c>
      <c r="Y654" t="n">
        <v>2024</v>
      </c>
      <c r="Z654" t="n">
        <v>2</v>
      </c>
      <c r="AA654" t="inlineStr">
        <is>
          <t>Feb</t>
        </is>
      </c>
      <c r="AB654" t="inlineStr">
        <is>
          <t>Thursday</t>
        </is>
      </c>
      <c r="AC654" t="n">
        <v>2</v>
      </c>
      <c r="AD654" t="inlineStr">
        <is>
          <t>Profitable</t>
        </is>
      </c>
      <c r="AE654" t="inlineStr">
        <is>
          <t>Medium</t>
        </is>
      </c>
      <c r="AF654" t="inlineStr">
        <is>
          <t>Small</t>
        </is>
      </c>
    </row>
    <row r="655">
      <c r="A655" t="inlineStr">
        <is>
          <t>ORD-00654</t>
        </is>
      </c>
      <c r="B655" s="2" t="n">
        <v>46007</v>
      </c>
      <c r="C655" s="2" t="n">
        <v>46008</v>
      </c>
      <c r="D655" t="inlineStr">
        <is>
          <t>CUST-00654</t>
        </is>
      </c>
      <c r="E655" t="inlineStr">
        <is>
          <t>Customer 654</t>
        </is>
      </c>
      <c r="F655" t="inlineStr">
        <is>
          <t>Corporate</t>
        </is>
      </c>
      <c r="G655" t="inlineStr">
        <is>
          <t>P1003</t>
        </is>
      </c>
      <c r="H655" t="inlineStr">
        <is>
          <t>Summit Patio Set</t>
        </is>
      </c>
      <c r="I655" t="inlineStr">
        <is>
          <t>Furniture</t>
        </is>
      </c>
      <c r="J655" t="inlineStr">
        <is>
          <t>Textiles</t>
        </is>
      </c>
      <c r="K655" t="inlineStr">
        <is>
          <t>West</t>
        </is>
      </c>
      <c r="L655" t="inlineStr">
        <is>
          <t>Washington</t>
        </is>
      </c>
      <c r="M655" t="inlineStr">
        <is>
          <t>Los Angeles</t>
        </is>
      </c>
      <c r="N655" t="inlineStr">
        <is>
          <t>Sophia Singh</t>
        </is>
      </c>
      <c r="O655" t="n">
        <v>2</v>
      </c>
      <c r="P655" s="3" t="n">
        <v>168.59</v>
      </c>
      <c r="Q655" s="4" t="n">
        <v>0.02</v>
      </c>
      <c r="R655" s="3" t="n">
        <v>330.44</v>
      </c>
      <c r="S655" s="3" t="n">
        <v>178.01</v>
      </c>
      <c r="T655" s="3" t="n">
        <v>143.83</v>
      </c>
      <c r="U655" s="4" t="n">
        <v>0.4353</v>
      </c>
      <c r="V655" s="3" t="n">
        <v>8.6</v>
      </c>
      <c r="W655" t="inlineStr">
        <is>
          <t>Debit Card</t>
        </is>
      </c>
      <c r="X655" t="inlineStr">
        <is>
          <t>Medium</t>
        </is>
      </c>
      <c r="Y655" t="n">
        <v>2025</v>
      </c>
      <c r="Z655" t="n">
        <v>12</v>
      </c>
      <c r="AA655" t="inlineStr">
        <is>
          <t>Dec</t>
        </is>
      </c>
      <c r="AB655" t="inlineStr">
        <is>
          <t>Tuesday</t>
        </is>
      </c>
      <c r="AC655" t="n">
        <v>1</v>
      </c>
      <c r="AD655" t="inlineStr">
        <is>
          <t>Profitable</t>
        </is>
      </c>
      <c r="AE655" t="inlineStr">
        <is>
          <t>Medium</t>
        </is>
      </c>
      <c r="AF655" t="inlineStr">
        <is>
          <t>Small</t>
        </is>
      </c>
    </row>
    <row r="656">
      <c r="A656" t="inlineStr">
        <is>
          <t>ORD-00655</t>
        </is>
      </c>
      <c r="B656" s="2" t="n">
        <v>45621</v>
      </c>
      <c r="C656" s="2" t="n">
        <v>45624</v>
      </c>
      <c r="D656" t="inlineStr">
        <is>
          <t>CUST-00655</t>
        </is>
      </c>
      <c r="E656" t="inlineStr">
        <is>
          <t>Customer 655</t>
        </is>
      </c>
      <c r="F656" t="inlineStr">
        <is>
          <t>Consumer</t>
        </is>
      </c>
      <c r="G656" t="inlineStr">
        <is>
          <t>P1011</t>
        </is>
      </c>
      <c r="H656" t="inlineStr">
        <is>
          <t>Nova Laptop Stand</t>
        </is>
      </c>
      <c r="I656" t="inlineStr">
        <is>
          <t>Office Supplies</t>
        </is>
      </c>
      <c r="J656" t="inlineStr">
        <is>
          <t>Decor</t>
        </is>
      </c>
      <c r="K656" t="inlineStr">
        <is>
          <t>West</t>
        </is>
      </c>
      <c r="L656" t="inlineStr">
        <is>
          <t>Washington</t>
        </is>
      </c>
      <c r="M656" t="inlineStr">
        <is>
          <t>Denver</t>
        </is>
      </c>
      <c r="N656" t="inlineStr">
        <is>
          <t>Liam Chen</t>
        </is>
      </c>
      <c r="O656" t="n">
        <v>4</v>
      </c>
      <c r="P656" s="3" t="n">
        <v>99.66</v>
      </c>
      <c r="Q656" s="4" t="n">
        <v>0.053</v>
      </c>
      <c r="R656" s="3" t="n">
        <v>377.51</v>
      </c>
      <c r="S656" s="3" t="n">
        <v>184.71</v>
      </c>
      <c r="T656" s="3" t="n">
        <v>182.6</v>
      </c>
      <c r="U656" s="4" t="n">
        <v>0.4837</v>
      </c>
      <c r="V656" s="3" t="n">
        <v>10.2</v>
      </c>
      <c r="W656" t="inlineStr">
        <is>
          <t>Credit Card</t>
        </is>
      </c>
      <c r="X656" t="inlineStr">
        <is>
          <t>High</t>
        </is>
      </c>
      <c r="Y656" t="n">
        <v>2024</v>
      </c>
      <c r="Z656" t="n">
        <v>11</v>
      </c>
      <c r="AA656" t="inlineStr">
        <is>
          <t>Nov</t>
        </is>
      </c>
      <c r="AB656" t="inlineStr">
        <is>
          <t>Monday</t>
        </is>
      </c>
      <c r="AC656" t="n">
        <v>3</v>
      </c>
      <c r="AD656" t="inlineStr">
        <is>
          <t>Profitable</t>
        </is>
      </c>
      <c r="AE656" t="inlineStr">
        <is>
          <t>High</t>
        </is>
      </c>
      <c r="AF656" t="inlineStr">
        <is>
          <t>Small</t>
        </is>
      </c>
    </row>
    <row r="657">
      <c r="A657" t="inlineStr">
        <is>
          <t>ORD-00656</t>
        </is>
      </c>
      <c r="B657" s="2" t="n">
        <v>44986</v>
      </c>
      <c r="C657" s="2" t="n">
        <v>44988</v>
      </c>
      <c r="D657" t="inlineStr">
        <is>
          <t>CUST-00656</t>
        </is>
      </c>
      <c r="E657" t="inlineStr">
        <is>
          <t>Customer 656</t>
        </is>
      </c>
      <c r="F657" t="inlineStr">
        <is>
          <t>Corporate</t>
        </is>
      </c>
      <c r="G657" t="inlineStr">
        <is>
          <t>P1003</t>
        </is>
      </c>
      <c r="H657" t="inlineStr">
        <is>
          <t>Northstar Lantern</t>
        </is>
      </c>
      <c r="I657" t="inlineStr">
        <is>
          <t>Home Decor</t>
        </is>
      </c>
      <c r="J657" t="inlineStr">
        <is>
          <t>Lighting</t>
        </is>
      </c>
      <c r="K657" t="inlineStr">
        <is>
          <t>North</t>
        </is>
      </c>
      <c r="L657" t="inlineStr">
        <is>
          <t>Ontario</t>
        </is>
      </c>
      <c r="M657" t="inlineStr">
        <is>
          <t>Calgary</t>
        </is>
      </c>
      <c r="N657" t="inlineStr">
        <is>
          <t>Sophia Singh</t>
        </is>
      </c>
      <c r="O657" t="n">
        <v>6</v>
      </c>
      <c r="P657" s="3" t="n">
        <v>156.43</v>
      </c>
      <c r="Q657" s="4" t="n">
        <v>0.028</v>
      </c>
      <c r="R657" s="3" t="n">
        <v>912.3</v>
      </c>
      <c r="S657" s="3" t="n">
        <v>469.69</v>
      </c>
      <c r="T657" s="3" t="n">
        <v>431.81</v>
      </c>
      <c r="U657" s="4" t="n">
        <v>0.4733</v>
      </c>
      <c r="V657" s="3" t="n">
        <v>10.8</v>
      </c>
      <c r="W657" t="inlineStr">
        <is>
          <t>Bank Transfer</t>
        </is>
      </c>
      <c r="X657" t="inlineStr">
        <is>
          <t>Medium</t>
        </is>
      </c>
      <c r="Y657" t="n">
        <v>2023</v>
      </c>
      <c r="Z657" t="n">
        <v>3</v>
      </c>
      <c r="AA657" t="inlineStr">
        <is>
          <t>Mar</t>
        </is>
      </c>
      <c r="AB657" t="inlineStr">
        <is>
          <t>Wednesday</t>
        </is>
      </c>
      <c r="AC657" t="n">
        <v>2</v>
      </c>
      <c r="AD657" t="inlineStr">
        <is>
          <t>Profitable</t>
        </is>
      </c>
      <c r="AE657" t="inlineStr">
        <is>
          <t>Medium</t>
        </is>
      </c>
      <c r="AF657" t="inlineStr">
        <is>
          <t>Medium</t>
        </is>
      </c>
    </row>
    <row r="658">
      <c r="A658" t="inlineStr">
        <is>
          <t>ORD-00657</t>
        </is>
      </c>
      <c r="B658" s="2" t="n">
        <v>45209</v>
      </c>
      <c r="C658" s="2" t="n">
        <v>45215</v>
      </c>
      <c r="D658" t="inlineStr">
        <is>
          <t>CUST-00657</t>
        </is>
      </c>
      <c r="E658" t="inlineStr">
        <is>
          <t>Customer 657</t>
        </is>
      </c>
      <c r="F658" t="inlineStr">
        <is>
          <t>Consumer</t>
        </is>
      </c>
      <c r="G658" t="inlineStr">
        <is>
          <t>P1007</t>
        </is>
      </c>
      <c r="H658" t="inlineStr">
        <is>
          <t>Nimbus Monitor Arm</t>
        </is>
      </c>
      <c r="I658" t="inlineStr">
        <is>
          <t>Furniture</t>
        </is>
      </c>
      <c r="J658" t="inlineStr">
        <is>
          <t>Bags</t>
        </is>
      </c>
      <c r="K658" t="inlineStr">
        <is>
          <t>East</t>
        </is>
      </c>
      <c r="L658" t="inlineStr">
        <is>
          <t>New Jersey</t>
        </is>
      </c>
      <c r="M658" t="inlineStr">
        <is>
          <t>Philadelphia</t>
        </is>
      </c>
      <c r="N658" t="inlineStr">
        <is>
          <t>Ava Patel</t>
        </is>
      </c>
      <c r="O658" t="n">
        <v>2</v>
      </c>
      <c r="P658" s="3" t="n">
        <v>27.17</v>
      </c>
      <c r="Q658" s="4" t="n">
        <v>0.018</v>
      </c>
      <c r="R658" s="3" t="n">
        <v>53.36</v>
      </c>
      <c r="S658" s="3" t="n">
        <v>24.22</v>
      </c>
      <c r="T658" s="3" t="n">
        <v>20.54</v>
      </c>
      <c r="U658" s="4" t="n">
        <v>0.3849</v>
      </c>
      <c r="V658" s="3" t="n">
        <v>8.6</v>
      </c>
      <c r="W658" t="inlineStr">
        <is>
          <t>Debit Card</t>
        </is>
      </c>
      <c r="X658" t="inlineStr">
        <is>
          <t>Medium</t>
        </is>
      </c>
      <c r="Y658" t="n">
        <v>2023</v>
      </c>
      <c r="Z658" t="n">
        <v>10</v>
      </c>
      <c r="AA658" t="inlineStr">
        <is>
          <t>Oct</t>
        </is>
      </c>
      <c r="AB658" t="inlineStr">
        <is>
          <t>Tuesday</t>
        </is>
      </c>
      <c r="AC658" t="n">
        <v>6</v>
      </c>
      <c r="AD658" t="inlineStr">
        <is>
          <t>Profitable</t>
        </is>
      </c>
      <c r="AE658" t="inlineStr">
        <is>
          <t>Low</t>
        </is>
      </c>
      <c r="AF658" t="inlineStr">
        <is>
          <t>Small</t>
        </is>
      </c>
    </row>
    <row r="659">
      <c r="A659" t="inlineStr">
        <is>
          <t>ORD-00658</t>
        </is>
      </c>
      <c r="B659" s="2" t="n">
        <v>45462</v>
      </c>
      <c r="C659" s="2" t="n">
        <v>45467</v>
      </c>
      <c r="D659" t="inlineStr">
        <is>
          <t>CUST-00658</t>
        </is>
      </c>
      <c r="E659" t="inlineStr">
        <is>
          <t>Customer 658</t>
        </is>
      </c>
      <c r="F659" t="inlineStr">
        <is>
          <t>Corporate</t>
        </is>
      </c>
      <c r="G659" t="inlineStr">
        <is>
          <t>P1010</t>
        </is>
      </c>
      <c r="H659" t="inlineStr">
        <is>
          <t>Halo Planter</t>
        </is>
      </c>
      <c r="I659" t="inlineStr">
        <is>
          <t>Home Decor</t>
        </is>
      </c>
      <c r="J659" t="inlineStr">
        <is>
          <t>Desks</t>
        </is>
      </c>
      <c r="K659" t="inlineStr">
        <is>
          <t>West</t>
        </is>
      </c>
      <c r="L659" t="inlineStr">
        <is>
          <t>Washington</t>
        </is>
      </c>
      <c r="M659" t="inlineStr">
        <is>
          <t>San Francisco</t>
        </is>
      </c>
      <c r="N659" t="inlineStr">
        <is>
          <t>Noah Kim</t>
        </is>
      </c>
      <c r="O659" t="n">
        <v>3</v>
      </c>
      <c r="P659" s="3" t="n">
        <v>56.08</v>
      </c>
      <c r="Q659" s="4" t="n">
        <v>0.047</v>
      </c>
      <c r="R659" s="3" t="n">
        <v>160.33</v>
      </c>
      <c r="S659" s="3" t="n">
        <v>77.52</v>
      </c>
      <c r="T659" s="3" t="n">
        <v>73.41</v>
      </c>
      <c r="U659" s="4" t="n">
        <v>0.4579</v>
      </c>
      <c r="V659" s="3" t="n">
        <v>9.4</v>
      </c>
      <c r="W659" t="inlineStr">
        <is>
          <t>Credit Card</t>
        </is>
      </c>
      <c r="X659" t="inlineStr">
        <is>
          <t>High</t>
        </is>
      </c>
      <c r="Y659" t="n">
        <v>2024</v>
      </c>
      <c r="Z659" t="n">
        <v>6</v>
      </c>
      <c r="AA659" t="inlineStr">
        <is>
          <t>Jun</t>
        </is>
      </c>
      <c r="AB659" t="inlineStr">
        <is>
          <t>Wednesday</t>
        </is>
      </c>
      <c r="AC659" t="n">
        <v>5</v>
      </c>
      <c r="AD659" t="inlineStr">
        <is>
          <t>Profitable</t>
        </is>
      </c>
      <c r="AE659" t="inlineStr">
        <is>
          <t>Medium</t>
        </is>
      </c>
      <c r="AF659" t="inlineStr">
        <is>
          <t>Small</t>
        </is>
      </c>
    </row>
    <row r="660">
      <c r="A660" t="inlineStr">
        <is>
          <t>ORD-00659</t>
        </is>
      </c>
      <c r="B660" s="2" t="n">
        <v>45448</v>
      </c>
      <c r="C660" s="2" t="n">
        <v>45453</v>
      </c>
      <c r="D660" t="inlineStr">
        <is>
          <t>CUST-00659</t>
        </is>
      </c>
      <c r="E660" t="inlineStr">
        <is>
          <t>Customer 659</t>
        </is>
      </c>
      <c r="F660" t="inlineStr">
        <is>
          <t>Corporate</t>
        </is>
      </c>
      <c r="G660" t="inlineStr">
        <is>
          <t>P1001</t>
        </is>
      </c>
      <c r="H660" t="inlineStr">
        <is>
          <t>ErgoMesh Chair</t>
        </is>
      </c>
      <c r="I660" t="inlineStr">
        <is>
          <t>Outdoor</t>
        </is>
      </c>
      <c r="J660" t="inlineStr">
        <is>
          <t>Binders</t>
        </is>
      </c>
      <c r="K660" t="inlineStr">
        <is>
          <t>Central</t>
        </is>
      </c>
      <c r="L660" t="inlineStr">
        <is>
          <t>Illinois</t>
        </is>
      </c>
      <c r="M660" t="inlineStr">
        <is>
          <t>Minneapolis</t>
        </is>
      </c>
      <c r="N660" t="inlineStr">
        <is>
          <t>Olivia Martin</t>
        </is>
      </c>
      <c r="O660" t="n">
        <v>1</v>
      </c>
      <c r="P660" s="3" t="n">
        <v>297.32</v>
      </c>
      <c r="Q660" s="4" t="n">
        <v>0.043</v>
      </c>
      <c r="R660" s="3" t="n">
        <v>284.54</v>
      </c>
      <c r="S660" s="3" t="n">
        <v>171.42</v>
      </c>
      <c r="T660" s="3" t="n">
        <v>106.32</v>
      </c>
      <c r="U660" s="4" t="n">
        <v>0.3737</v>
      </c>
      <c r="V660" s="3" t="n">
        <v>6.8</v>
      </c>
      <c r="W660" t="inlineStr">
        <is>
          <t>PayPal</t>
        </is>
      </c>
      <c r="X660" t="inlineStr">
        <is>
          <t>High</t>
        </is>
      </c>
      <c r="Y660" t="n">
        <v>2024</v>
      </c>
      <c r="Z660" t="n">
        <v>6</v>
      </c>
      <c r="AA660" t="inlineStr">
        <is>
          <t>Jun</t>
        </is>
      </c>
      <c r="AB660" t="inlineStr">
        <is>
          <t>Wednesday</t>
        </is>
      </c>
      <c r="AC660" t="n">
        <v>5</v>
      </c>
      <c r="AD660" t="inlineStr">
        <is>
          <t>Profitable</t>
        </is>
      </c>
      <c r="AE660" t="inlineStr">
        <is>
          <t>Medium</t>
        </is>
      </c>
      <c r="AF660" t="inlineStr">
        <is>
          <t>Small</t>
        </is>
      </c>
    </row>
    <row r="661">
      <c r="A661" t="inlineStr">
        <is>
          <t>ORD-00660</t>
        </is>
      </c>
      <c r="B661" s="2" t="n">
        <v>45614</v>
      </c>
      <c r="C661" s="2" t="n">
        <v>45616</v>
      </c>
      <c r="D661" t="inlineStr">
        <is>
          <t>CUST-00660</t>
        </is>
      </c>
      <c r="E661" t="inlineStr">
        <is>
          <t>Customer 660</t>
        </is>
      </c>
      <c r="F661" t="inlineStr">
        <is>
          <t>Home Office</t>
        </is>
      </c>
      <c r="G661" t="inlineStr">
        <is>
          <t>P1004</t>
        </is>
      </c>
      <c r="H661" t="inlineStr">
        <is>
          <t>Northstar Lantern</t>
        </is>
      </c>
      <c r="I661" t="inlineStr">
        <is>
          <t>Home Decor</t>
        </is>
      </c>
      <c r="J661" t="inlineStr">
        <is>
          <t>Video</t>
        </is>
      </c>
      <c r="K661" t="inlineStr">
        <is>
          <t>Central</t>
        </is>
      </c>
      <c r="L661" t="inlineStr">
        <is>
          <t>Missouri</t>
        </is>
      </c>
      <c r="M661" t="inlineStr">
        <is>
          <t>Minneapolis</t>
        </is>
      </c>
      <c r="N661" t="inlineStr">
        <is>
          <t>Noah Kim</t>
        </is>
      </c>
      <c r="O661" t="n">
        <v>2</v>
      </c>
      <c r="P661" s="3" t="n">
        <v>623.1900000000001</v>
      </c>
      <c r="Q661" s="4" t="n">
        <v>0.045</v>
      </c>
      <c r="R661" s="3" t="n">
        <v>1190.29</v>
      </c>
      <c r="S661" s="3" t="n">
        <v>757.49</v>
      </c>
      <c r="T661" s="3" t="n">
        <v>425.2</v>
      </c>
      <c r="U661" s="4" t="n">
        <v>0.3572</v>
      </c>
      <c r="V661" s="3" t="n">
        <v>7.6</v>
      </c>
      <c r="W661" t="inlineStr">
        <is>
          <t>PayPal</t>
        </is>
      </c>
      <c r="X661" t="inlineStr">
        <is>
          <t>High</t>
        </is>
      </c>
      <c r="Y661" t="n">
        <v>2024</v>
      </c>
      <c r="Z661" t="n">
        <v>11</v>
      </c>
      <c r="AA661" t="inlineStr">
        <is>
          <t>Nov</t>
        </is>
      </c>
      <c r="AB661" t="inlineStr">
        <is>
          <t>Monday</t>
        </is>
      </c>
      <c r="AC661" t="n">
        <v>2</v>
      </c>
      <c r="AD661" t="inlineStr">
        <is>
          <t>Profitable</t>
        </is>
      </c>
      <c r="AE661" t="inlineStr">
        <is>
          <t>Medium</t>
        </is>
      </c>
      <c r="AF661" t="inlineStr">
        <is>
          <t>Medium</t>
        </is>
      </c>
    </row>
    <row r="662">
      <c r="A662" t="inlineStr">
        <is>
          <t>ORD-00661</t>
        </is>
      </c>
      <c r="B662" s="2" t="n">
        <v>45629</v>
      </c>
      <c r="C662" s="2" t="n">
        <v>45636</v>
      </c>
      <c r="D662" t="inlineStr">
        <is>
          <t>CUST-00661</t>
        </is>
      </c>
      <c r="E662" t="inlineStr">
        <is>
          <t>Customer 661</t>
        </is>
      </c>
      <c r="F662" t="inlineStr">
        <is>
          <t>Corporate</t>
        </is>
      </c>
      <c r="G662" t="inlineStr">
        <is>
          <t>P1008</t>
        </is>
      </c>
      <c r="H662" t="inlineStr">
        <is>
          <t>Aero Standing Desk</t>
        </is>
      </c>
      <c r="I662" t="inlineStr">
        <is>
          <t>Outdoor</t>
        </is>
      </c>
      <c r="J662" t="inlineStr">
        <is>
          <t>Peripherals</t>
        </is>
      </c>
      <c r="K662" t="inlineStr">
        <is>
          <t>South</t>
        </is>
      </c>
      <c r="L662" t="inlineStr">
        <is>
          <t>Texas</t>
        </is>
      </c>
      <c r="M662" t="inlineStr">
        <is>
          <t>Houston</t>
        </is>
      </c>
      <c r="N662" t="inlineStr">
        <is>
          <t>Mia Rodriguez</t>
        </is>
      </c>
      <c r="O662" t="n">
        <v>4</v>
      </c>
      <c r="P662" s="3" t="n">
        <v>37.37</v>
      </c>
      <c r="Q662" s="4" t="n">
        <v>0.028</v>
      </c>
      <c r="R662" s="3" t="n">
        <v>145.29</v>
      </c>
      <c r="S662" s="3" t="n">
        <v>60.65</v>
      </c>
      <c r="T662" s="3" t="n">
        <v>75.44</v>
      </c>
      <c r="U662" s="4" t="n">
        <v>0.5192</v>
      </c>
      <c r="V662" s="3" t="n">
        <v>9.199999999999999</v>
      </c>
      <c r="W662" t="inlineStr">
        <is>
          <t>PayPal</t>
        </is>
      </c>
      <c r="X662" t="inlineStr">
        <is>
          <t>Medium</t>
        </is>
      </c>
      <c r="Y662" t="n">
        <v>2024</v>
      </c>
      <c r="Z662" t="n">
        <v>12</v>
      </c>
      <c r="AA662" t="inlineStr">
        <is>
          <t>Dec</t>
        </is>
      </c>
      <c r="AB662" t="inlineStr">
        <is>
          <t>Tuesday</t>
        </is>
      </c>
      <c r="AC662" t="n">
        <v>7</v>
      </c>
      <c r="AD662" t="inlineStr">
        <is>
          <t>Profitable</t>
        </is>
      </c>
      <c r="AE662" t="inlineStr">
        <is>
          <t>Medium</t>
        </is>
      </c>
      <c r="AF662" t="inlineStr">
        <is>
          <t>Small</t>
        </is>
      </c>
    </row>
    <row r="663">
      <c r="A663" t="inlineStr">
        <is>
          <t>ORD-00662</t>
        </is>
      </c>
      <c r="B663" s="2" t="n">
        <v>45720</v>
      </c>
      <c r="C663" s="2" t="n">
        <v>45727</v>
      </c>
      <c r="D663" t="inlineStr">
        <is>
          <t>CUST-00662</t>
        </is>
      </c>
      <c r="E663" t="inlineStr">
        <is>
          <t>Customer 662</t>
        </is>
      </c>
      <c r="F663" t="inlineStr">
        <is>
          <t>Consumer</t>
        </is>
      </c>
      <c r="G663" t="inlineStr">
        <is>
          <t>P1020</t>
        </is>
      </c>
      <c r="H663" t="inlineStr">
        <is>
          <t>Cove Wall Clock</t>
        </is>
      </c>
      <c r="I663" t="inlineStr">
        <is>
          <t>Office Supplies</t>
        </is>
      </c>
      <c r="J663" t="inlineStr">
        <is>
          <t>Accessories</t>
        </is>
      </c>
      <c r="K663" t="inlineStr">
        <is>
          <t>West</t>
        </is>
      </c>
      <c r="L663" t="inlineStr">
        <is>
          <t>Washington</t>
        </is>
      </c>
      <c r="M663" t="inlineStr">
        <is>
          <t>Denver</t>
        </is>
      </c>
      <c r="N663" t="inlineStr">
        <is>
          <t>James Carter</t>
        </is>
      </c>
      <c r="O663" t="n">
        <v>2</v>
      </c>
      <c r="P663" s="3" t="n">
        <v>78.61</v>
      </c>
      <c r="Q663" s="4" t="n">
        <v>0.007</v>
      </c>
      <c r="R663" s="3" t="n">
        <v>156.12</v>
      </c>
      <c r="S663" s="3" t="n">
        <v>82.06</v>
      </c>
      <c r="T663" s="3" t="n">
        <v>65.45999999999999</v>
      </c>
      <c r="U663" s="4" t="n">
        <v>0.4193</v>
      </c>
      <c r="V663" s="3" t="n">
        <v>8.6</v>
      </c>
      <c r="W663" t="inlineStr">
        <is>
          <t>Bank Transfer</t>
        </is>
      </c>
      <c r="X663" t="inlineStr">
        <is>
          <t>Low</t>
        </is>
      </c>
      <c r="Y663" t="n">
        <v>2025</v>
      </c>
      <c r="Z663" t="n">
        <v>3</v>
      </c>
      <c r="AA663" t="inlineStr">
        <is>
          <t>Mar</t>
        </is>
      </c>
      <c r="AB663" t="inlineStr">
        <is>
          <t>Tuesday</t>
        </is>
      </c>
      <c r="AC663" t="n">
        <v>7</v>
      </c>
      <c r="AD663" t="inlineStr">
        <is>
          <t>Profitable</t>
        </is>
      </c>
      <c r="AE663" t="inlineStr">
        <is>
          <t>Low</t>
        </is>
      </c>
      <c r="AF663" t="inlineStr">
        <is>
          <t>Small</t>
        </is>
      </c>
    </row>
    <row r="664">
      <c r="A664" t="inlineStr">
        <is>
          <t>ORD-00663</t>
        </is>
      </c>
      <c r="B664" s="2" t="n">
        <v>45447</v>
      </c>
      <c r="C664" s="2" t="n">
        <v>45450</v>
      </c>
      <c r="D664" t="inlineStr">
        <is>
          <t>CUST-00663</t>
        </is>
      </c>
      <c r="E664" t="inlineStr">
        <is>
          <t>Customer 663</t>
        </is>
      </c>
      <c r="F664" t="inlineStr">
        <is>
          <t>Home Office</t>
        </is>
      </c>
      <c r="G664" t="inlineStr">
        <is>
          <t>P1017</t>
        </is>
      </c>
      <c r="H664" t="inlineStr">
        <is>
          <t>Tide Cooler</t>
        </is>
      </c>
      <c r="I664" t="inlineStr">
        <is>
          <t>Furniture</t>
        </is>
      </c>
      <c r="J664" t="inlineStr">
        <is>
          <t>Accessories</t>
        </is>
      </c>
      <c r="K664" t="inlineStr">
        <is>
          <t>East</t>
        </is>
      </c>
      <c r="L664" t="inlineStr">
        <is>
          <t>New York</t>
        </is>
      </c>
      <c r="M664" t="inlineStr">
        <is>
          <t>New York</t>
        </is>
      </c>
      <c r="N664" t="inlineStr">
        <is>
          <t>Liam Chen</t>
        </is>
      </c>
      <c r="O664" t="n">
        <v>4</v>
      </c>
      <c r="P664" s="3" t="n">
        <v>589.53</v>
      </c>
      <c r="Q664" s="4" t="n">
        <v>0.017</v>
      </c>
      <c r="R664" s="3" t="n">
        <v>2318.03</v>
      </c>
      <c r="S664" s="3" t="n">
        <v>1533.99</v>
      </c>
      <c r="T664" s="3" t="n">
        <v>773.84</v>
      </c>
      <c r="U664" s="4" t="n">
        <v>0.3338</v>
      </c>
      <c r="V664" s="3" t="n">
        <v>10.2</v>
      </c>
      <c r="W664" t="inlineStr">
        <is>
          <t>PayPal</t>
        </is>
      </c>
      <c r="X664" t="inlineStr">
        <is>
          <t>Medium</t>
        </is>
      </c>
      <c r="Y664" t="n">
        <v>2024</v>
      </c>
      <c r="Z664" t="n">
        <v>6</v>
      </c>
      <c r="AA664" t="inlineStr">
        <is>
          <t>Jun</t>
        </is>
      </c>
      <c r="AB664" t="inlineStr">
        <is>
          <t>Tuesday</t>
        </is>
      </c>
      <c r="AC664" t="n">
        <v>3</v>
      </c>
      <c r="AD664" t="inlineStr">
        <is>
          <t>Profitable</t>
        </is>
      </c>
      <c r="AE664" t="inlineStr">
        <is>
          <t>Low</t>
        </is>
      </c>
      <c r="AF664" t="inlineStr">
        <is>
          <t>Large</t>
        </is>
      </c>
    </row>
    <row r="665">
      <c r="A665" t="inlineStr">
        <is>
          <t>ORD-00664</t>
        </is>
      </c>
      <c r="B665" s="2" t="n">
        <v>45118</v>
      </c>
      <c r="C665" s="2" t="n">
        <v>45124</v>
      </c>
      <c r="D665" t="inlineStr">
        <is>
          <t>CUST-00664</t>
        </is>
      </c>
      <c r="E665" t="inlineStr">
        <is>
          <t>Customer 664</t>
        </is>
      </c>
      <c r="F665" t="inlineStr">
        <is>
          <t>Corporate</t>
        </is>
      </c>
      <c r="G665" t="inlineStr">
        <is>
          <t>P1005</t>
        </is>
      </c>
      <c r="H665" t="inlineStr">
        <is>
          <t>Echo Web Camera</t>
        </is>
      </c>
      <c r="I665" t="inlineStr">
        <is>
          <t>Furniture</t>
        </is>
      </c>
      <c r="J665" t="inlineStr">
        <is>
          <t>Chairs</t>
        </is>
      </c>
      <c r="K665" t="inlineStr">
        <is>
          <t>North</t>
        </is>
      </c>
      <c r="L665" t="inlineStr">
        <is>
          <t>Ontario</t>
        </is>
      </c>
      <c r="M665" t="inlineStr">
        <is>
          <t>Montreal</t>
        </is>
      </c>
      <c r="N665" t="inlineStr">
        <is>
          <t>Olivia Martin</t>
        </is>
      </c>
      <c r="O665" t="n">
        <v>3</v>
      </c>
      <c r="P665" s="3" t="n">
        <v>13.52</v>
      </c>
      <c r="Q665" s="4" t="n">
        <v>0.023</v>
      </c>
      <c r="R665" s="3" t="n">
        <v>39.63</v>
      </c>
      <c r="S665" s="3" t="n">
        <v>21.49</v>
      </c>
      <c r="T665" s="3" t="n">
        <v>9.74</v>
      </c>
      <c r="U665" s="4" t="n">
        <v>0.2458</v>
      </c>
      <c r="V665" s="3" t="n">
        <v>8.4</v>
      </c>
      <c r="W665" t="inlineStr">
        <is>
          <t>Credit Card</t>
        </is>
      </c>
      <c r="X665" t="inlineStr">
        <is>
          <t>High</t>
        </is>
      </c>
      <c r="Y665" t="n">
        <v>2023</v>
      </c>
      <c r="Z665" t="n">
        <v>7</v>
      </c>
      <c r="AA665" t="inlineStr">
        <is>
          <t>Jul</t>
        </is>
      </c>
      <c r="AB665" t="inlineStr">
        <is>
          <t>Tuesday</t>
        </is>
      </c>
      <c r="AC665" t="n">
        <v>6</v>
      </c>
      <c r="AD665" t="inlineStr">
        <is>
          <t>Profitable</t>
        </is>
      </c>
      <c r="AE665" t="inlineStr">
        <is>
          <t>Medium</t>
        </is>
      </c>
      <c r="AF665" t="inlineStr">
        <is>
          <t>Small</t>
        </is>
      </c>
    </row>
    <row r="666">
      <c r="A666" t="inlineStr">
        <is>
          <t>ORD-00665</t>
        </is>
      </c>
      <c r="B666" s="2" t="n">
        <v>45086</v>
      </c>
      <c r="C666" s="2" t="n">
        <v>45087</v>
      </c>
      <c r="D666" t="inlineStr">
        <is>
          <t>CUST-00665</t>
        </is>
      </c>
      <c r="E666" t="inlineStr">
        <is>
          <t>Customer 665</t>
        </is>
      </c>
      <c r="F666" t="inlineStr">
        <is>
          <t>Corporate</t>
        </is>
      </c>
      <c r="G666" t="inlineStr">
        <is>
          <t>P1017</t>
        </is>
      </c>
      <c r="H666" t="inlineStr">
        <is>
          <t>ProClip Binder</t>
        </is>
      </c>
      <c r="I666" t="inlineStr">
        <is>
          <t>Outdoor</t>
        </is>
      </c>
      <c r="J666" t="inlineStr">
        <is>
          <t>Decor</t>
        </is>
      </c>
      <c r="K666" t="inlineStr">
        <is>
          <t>West</t>
        </is>
      </c>
      <c r="L666" t="inlineStr">
        <is>
          <t>California</t>
        </is>
      </c>
      <c r="M666" t="inlineStr">
        <is>
          <t>San Francisco</t>
        </is>
      </c>
      <c r="N666" t="inlineStr">
        <is>
          <t>Sophia Singh</t>
        </is>
      </c>
      <c r="O666" t="n">
        <v>3</v>
      </c>
      <c r="P666" s="3" t="n">
        <v>617.0700000000001</v>
      </c>
      <c r="Q666" s="4" t="n">
        <v>0.031</v>
      </c>
      <c r="R666" s="3" t="n">
        <v>1793.82</v>
      </c>
      <c r="S666" s="3" t="n">
        <v>1188.57</v>
      </c>
      <c r="T666" s="3" t="n">
        <v>595.85</v>
      </c>
      <c r="U666" s="4" t="n">
        <v>0.3322</v>
      </c>
      <c r="V666" s="3" t="n">
        <v>9.4</v>
      </c>
      <c r="W666" t="inlineStr">
        <is>
          <t>Bank Transfer</t>
        </is>
      </c>
      <c r="X666" t="inlineStr">
        <is>
          <t>Low</t>
        </is>
      </c>
      <c r="Y666" t="n">
        <v>2023</v>
      </c>
      <c r="Z666" t="n">
        <v>6</v>
      </c>
      <c r="AA666" t="inlineStr">
        <is>
          <t>Jun</t>
        </is>
      </c>
      <c r="AB666" t="inlineStr">
        <is>
          <t>Friday</t>
        </is>
      </c>
      <c r="AC666" t="n">
        <v>1</v>
      </c>
      <c r="AD666" t="inlineStr">
        <is>
          <t>Profitable</t>
        </is>
      </c>
      <c r="AE666" t="inlineStr">
        <is>
          <t>Medium</t>
        </is>
      </c>
      <c r="AF666" t="inlineStr">
        <is>
          <t>Large</t>
        </is>
      </c>
    </row>
    <row r="667">
      <c r="A667" t="inlineStr">
        <is>
          <t>ORD-00666</t>
        </is>
      </c>
      <c r="B667" s="2" t="n">
        <v>45078</v>
      </c>
      <c r="C667" s="2" t="n">
        <v>45081</v>
      </c>
      <c r="D667" t="inlineStr">
        <is>
          <t>CUST-00666</t>
        </is>
      </c>
      <c r="E667" t="inlineStr">
        <is>
          <t>Customer 666</t>
        </is>
      </c>
      <c r="F667" t="inlineStr">
        <is>
          <t>Consumer</t>
        </is>
      </c>
      <c r="G667" t="inlineStr">
        <is>
          <t>P1009</t>
        </is>
      </c>
      <c r="H667" t="inlineStr">
        <is>
          <t>Orbit Wireless Mouse</t>
        </is>
      </c>
      <c r="I667" t="inlineStr">
        <is>
          <t>Outdoor</t>
        </is>
      </c>
      <c r="J667" t="inlineStr">
        <is>
          <t>Storage</t>
        </is>
      </c>
      <c r="K667" t="inlineStr">
        <is>
          <t>Central</t>
        </is>
      </c>
      <c r="L667" t="inlineStr">
        <is>
          <t>Minnesota</t>
        </is>
      </c>
      <c r="M667" t="inlineStr">
        <is>
          <t>Kansas City</t>
        </is>
      </c>
      <c r="N667" t="inlineStr">
        <is>
          <t>Sophia Singh</t>
        </is>
      </c>
      <c r="O667" t="n">
        <v>2</v>
      </c>
      <c r="P667" s="3" t="n">
        <v>94.59999999999999</v>
      </c>
      <c r="Q667" s="4" t="n">
        <v>0.024</v>
      </c>
      <c r="R667" s="3" t="n">
        <v>184.66</v>
      </c>
      <c r="S667" s="3" t="n">
        <v>98.59</v>
      </c>
      <c r="T667" s="3" t="n">
        <v>78.47</v>
      </c>
      <c r="U667" s="4" t="n">
        <v>0.4249</v>
      </c>
      <c r="V667" s="3" t="n">
        <v>7.6</v>
      </c>
      <c r="W667" t="inlineStr">
        <is>
          <t>Cash on Delivery</t>
        </is>
      </c>
      <c r="X667" t="inlineStr">
        <is>
          <t>High</t>
        </is>
      </c>
      <c r="Y667" t="n">
        <v>2023</v>
      </c>
      <c r="Z667" t="n">
        <v>6</v>
      </c>
      <c r="AA667" t="inlineStr">
        <is>
          <t>Jun</t>
        </is>
      </c>
      <c r="AB667" t="inlineStr">
        <is>
          <t>Thursday</t>
        </is>
      </c>
      <c r="AC667" t="n">
        <v>3</v>
      </c>
      <c r="AD667" t="inlineStr">
        <is>
          <t>Profitable</t>
        </is>
      </c>
      <c r="AE667" t="inlineStr">
        <is>
          <t>Medium</t>
        </is>
      </c>
      <c r="AF667" t="inlineStr">
        <is>
          <t>Small</t>
        </is>
      </c>
    </row>
    <row r="668">
      <c r="A668" t="inlineStr">
        <is>
          <t>ORD-00667</t>
        </is>
      </c>
      <c r="B668" s="2" t="n">
        <v>44954</v>
      </c>
      <c r="C668" s="2" t="n">
        <v>44958</v>
      </c>
      <c r="D668" t="inlineStr">
        <is>
          <t>CUST-00667</t>
        </is>
      </c>
      <c r="E668" t="inlineStr">
        <is>
          <t>Customer 667</t>
        </is>
      </c>
      <c r="F668" t="inlineStr">
        <is>
          <t>Home Office</t>
        </is>
      </c>
      <c r="G668" t="inlineStr">
        <is>
          <t>P1008</t>
        </is>
      </c>
      <c r="H668" t="inlineStr">
        <is>
          <t>Aero Standing Desk</t>
        </is>
      </c>
      <c r="I668" t="inlineStr">
        <is>
          <t>Office Supplies</t>
        </is>
      </c>
      <c r="J668" t="inlineStr">
        <is>
          <t>Coolers</t>
        </is>
      </c>
      <c r="K668" t="inlineStr">
        <is>
          <t>Central</t>
        </is>
      </c>
      <c r="L668" t="inlineStr">
        <is>
          <t>Kansas</t>
        </is>
      </c>
      <c r="M668" t="inlineStr">
        <is>
          <t>Minneapolis</t>
        </is>
      </c>
      <c r="N668" t="inlineStr">
        <is>
          <t>James Carter</t>
        </is>
      </c>
      <c r="O668" t="n">
        <v>3</v>
      </c>
      <c r="P668" s="3" t="n">
        <v>36.46</v>
      </c>
      <c r="Q668" s="4" t="n">
        <v>0.062</v>
      </c>
      <c r="R668" s="3" t="n">
        <v>102.6</v>
      </c>
      <c r="S668" s="3" t="n">
        <v>44.03</v>
      </c>
      <c r="T668" s="3" t="n">
        <v>50.17</v>
      </c>
      <c r="U668" s="4" t="n">
        <v>0.489</v>
      </c>
      <c r="V668" s="3" t="n">
        <v>8.4</v>
      </c>
      <c r="W668" t="inlineStr">
        <is>
          <t>Credit Card</t>
        </is>
      </c>
      <c r="X668" t="inlineStr">
        <is>
          <t>Critical</t>
        </is>
      </c>
      <c r="Y668" t="n">
        <v>2023</v>
      </c>
      <c r="Z668" t="n">
        <v>1</v>
      </c>
      <c r="AA668" t="inlineStr">
        <is>
          <t>Jan</t>
        </is>
      </c>
      <c r="AB668" t="inlineStr">
        <is>
          <t>Saturday</t>
        </is>
      </c>
      <c r="AC668" t="n">
        <v>4</v>
      </c>
      <c r="AD668" t="inlineStr">
        <is>
          <t>Profitable</t>
        </is>
      </c>
      <c r="AE668" t="inlineStr">
        <is>
          <t>High</t>
        </is>
      </c>
      <c r="AF668" t="inlineStr">
        <is>
          <t>Small</t>
        </is>
      </c>
    </row>
    <row r="669">
      <c r="A669" t="inlineStr">
        <is>
          <t>ORD-00668</t>
        </is>
      </c>
      <c r="B669" s="2" t="n">
        <v>45224</v>
      </c>
      <c r="C669" s="2" t="n">
        <v>45226</v>
      </c>
      <c r="D669" t="inlineStr">
        <is>
          <t>CUST-00668</t>
        </is>
      </c>
      <c r="E669" t="inlineStr">
        <is>
          <t>Customer 668</t>
        </is>
      </c>
      <c r="F669" t="inlineStr">
        <is>
          <t>Home Office</t>
        </is>
      </c>
      <c r="G669" t="inlineStr">
        <is>
          <t>P1007</t>
        </is>
      </c>
      <c r="H669" t="inlineStr">
        <is>
          <t>Atlas Throw Pillow</t>
        </is>
      </c>
      <c r="I669" t="inlineStr">
        <is>
          <t>Technology</t>
        </is>
      </c>
      <c r="J669" t="inlineStr">
        <is>
          <t>Video</t>
        </is>
      </c>
      <c r="K669" t="inlineStr">
        <is>
          <t>West</t>
        </is>
      </c>
      <c r="L669" t="inlineStr">
        <is>
          <t>Oregon</t>
        </is>
      </c>
      <c r="M669" t="inlineStr">
        <is>
          <t>San Francisco</t>
        </is>
      </c>
      <c r="N669" t="inlineStr">
        <is>
          <t>Mia Rodriguez</t>
        </is>
      </c>
      <c r="O669" t="n">
        <v>2</v>
      </c>
      <c r="P669" s="3" t="n">
        <v>27.01</v>
      </c>
      <c r="Q669" s="4" t="n">
        <v>0.018</v>
      </c>
      <c r="R669" s="3" t="n">
        <v>53.05</v>
      </c>
      <c r="S669" s="3" t="n">
        <v>25.61</v>
      </c>
      <c r="T669" s="3" t="n">
        <v>18.84</v>
      </c>
      <c r="U669" s="4" t="n">
        <v>0.3551</v>
      </c>
      <c r="V669" s="3" t="n">
        <v>8.6</v>
      </c>
      <c r="W669" t="inlineStr">
        <is>
          <t>Credit Card</t>
        </is>
      </c>
      <c r="X669" t="inlineStr">
        <is>
          <t>Medium</t>
        </is>
      </c>
      <c r="Y669" t="n">
        <v>2023</v>
      </c>
      <c r="Z669" t="n">
        <v>10</v>
      </c>
      <c r="AA669" t="inlineStr">
        <is>
          <t>Oct</t>
        </is>
      </c>
      <c r="AB669" t="inlineStr">
        <is>
          <t>Wednesday</t>
        </is>
      </c>
      <c r="AC669" t="n">
        <v>2</v>
      </c>
      <c r="AD669" t="inlineStr">
        <is>
          <t>Profitable</t>
        </is>
      </c>
      <c r="AE669" t="inlineStr">
        <is>
          <t>Low</t>
        </is>
      </c>
      <c r="AF669" t="inlineStr">
        <is>
          <t>Small</t>
        </is>
      </c>
    </row>
    <row r="670">
      <c r="A670" t="inlineStr">
        <is>
          <t>ORD-00669</t>
        </is>
      </c>
      <c r="B670" s="2" t="n">
        <v>45093</v>
      </c>
      <c r="C670" s="2" t="n">
        <v>45097</v>
      </c>
      <c r="D670" t="inlineStr">
        <is>
          <t>CUST-00669</t>
        </is>
      </c>
      <c r="E670" t="inlineStr">
        <is>
          <t>Customer 669</t>
        </is>
      </c>
      <c r="F670" t="inlineStr">
        <is>
          <t>Corporate</t>
        </is>
      </c>
      <c r="G670" t="inlineStr">
        <is>
          <t>P1005</t>
        </is>
      </c>
      <c r="H670" t="inlineStr">
        <is>
          <t>ErgoMesh Chair</t>
        </is>
      </c>
      <c r="I670" t="inlineStr">
        <is>
          <t>Furniture</t>
        </is>
      </c>
      <c r="J670" t="inlineStr">
        <is>
          <t>Video</t>
        </is>
      </c>
      <c r="K670" t="inlineStr">
        <is>
          <t>Central</t>
        </is>
      </c>
      <c r="L670" t="inlineStr">
        <is>
          <t>Illinois</t>
        </is>
      </c>
      <c r="M670" t="inlineStr">
        <is>
          <t>St. Louis</t>
        </is>
      </c>
      <c r="N670" t="inlineStr">
        <is>
          <t>Ethan Brooks</t>
        </is>
      </c>
      <c r="O670" t="n">
        <v>2</v>
      </c>
      <c r="P670" s="3" t="n">
        <v>12.46</v>
      </c>
      <c r="Q670" s="4" t="n">
        <v>0.035</v>
      </c>
      <c r="R670" s="3" t="n">
        <v>24.05</v>
      </c>
      <c r="S670" s="3" t="n">
        <v>19</v>
      </c>
      <c r="T670" s="3" t="n">
        <v>-2.55</v>
      </c>
      <c r="U670" s="4" t="n">
        <v>-0.106</v>
      </c>
      <c r="V670" s="3" t="n">
        <v>7.6</v>
      </c>
      <c r="W670" t="inlineStr">
        <is>
          <t>Debit Card</t>
        </is>
      </c>
      <c r="X670" t="inlineStr">
        <is>
          <t>Medium</t>
        </is>
      </c>
      <c r="Y670" t="n">
        <v>2023</v>
      </c>
      <c r="Z670" t="n">
        <v>6</v>
      </c>
      <c r="AA670" t="inlineStr">
        <is>
          <t>Jun</t>
        </is>
      </c>
      <c r="AB670" t="inlineStr">
        <is>
          <t>Friday</t>
        </is>
      </c>
      <c r="AC670" t="n">
        <v>4</v>
      </c>
      <c r="AD670" t="inlineStr">
        <is>
          <t>Unprofitable</t>
        </is>
      </c>
      <c r="AE670" t="inlineStr">
        <is>
          <t>Medium</t>
        </is>
      </c>
      <c r="AF670" t="inlineStr">
        <is>
          <t>Small</t>
        </is>
      </c>
    </row>
    <row r="671">
      <c r="A671" t="inlineStr">
        <is>
          <t>ORD-00670</t>
        </is>
      </c>
      <c r="B671" s="2" t="n">
        <v>45025</v>
      </c>
      <c r="C671" s="2" t="n">
        <v>45027</v>
      </c>
      <c r="D671" t="inlineStr">
        <is>
          <t>CUST-00670</t>
        </is>
      </c>
      <c r="E671" t="inlineStr">
        <is>
          <t>Customer 670</t>
        </is>
      </c>
      <c r="F671" t="inlineStr">
        <is>
          <t>Home Office</t>
        </is>
      </c>
      <c r="G671" t="inlineStr">
        <is>
          <t>P1004</t>
        </is>
      </c>
      <c r="H671" t="inlineStr">
        <is>
          <t>Nimbus Monitor Arm</t>
        </is>
      </c>
      <c r="I671" t="inlineStr">
        <is>
          <t>Technology</t>
        </is>
      </c>
      <c r="J671" t="inlineStr">
        <is>
          <t>Peripherals</t>
        </is>
      </c>
      <c r="K671" t="inlineStr">
        <is>
          <t>West</t>
        </is>
      </c>
      <c r="L671" t="inlineStr">
        <is>
          <t>California</t>
        </is>
      </c>
      <c r="M671" t="inlineStr">
        <is>
          <t>Seattle</t>
        </is>
      </c>
      <c r="N671" t="inlineStr">
        <is>
          <t>Ethan Brooks</t>
        </is>
      </c>
      <c r="O671" t="n">
        <v>1</v>
      </c>
      <c r="P671" s="3" t="n">
        <v>611.33</v>
      </c>
      <c r="Q671" s="4" t="n">
        <v>0.011</v>
      </c>
      <c r="R671" s="3" t="n">
        <v>604.61</v>
      </c>
      <c r="S671" s="3" t="n">
        <v>390.79</v>
      </c>
      <c r="T671" s="3" t="n">
        <v>206.02</v>
      </c>
      <c r="U671" s="4" t="n">
        <v>0.3407</v>
      </c>
      <c r="V671" s="3" t="n">
        <v>7.8</v>
      </c>
      <c r="W671" t="inlineStr">
        <is>
          <t>Cash on Delivery</t>
        </is>
      </c>
      <c r="X671" t="inlineStr">
        <is>
          <t>Low</t>
        </is>
      </c>
      <c r="Y671" t="n">
        <v>2023</v>
      </c>
      <c r="Z671" t="n">
        <v>4</v>
      </c>
      <c r="AA671" t="inlineStr">
        <is>
          <t>Apr</t>
        </is>
      </c>
      <c r="AB671" t="inlineStr">
        <is>
          <t>Sunday</t>
        </is>
      </c>
      <c r="AC671" t="n">
        <v>2</v>
      </c>
      <c r="AD671" t="inlineStr">
        <is>
          <t>Profitable</t>
        </is>
      </c>
      <c r="AE671" t="inlineStr">
        <is>
          <t>Low</t>
        </is>
      </c>
      <c r="AF671" t="inlineStr">
        <is>
          <t>Medium</t>
        </is>
      </c>
    </row>
    <row r="672">
      <c r="A672" t="inlineStr">
        <is>
          <t>ORD-00671</t>
        </is>
      </c>
      <c r="B672" s="2" t="n">
        <v>45241</v>
      </c>
      <c r="C672" s="2" t="n">
        <v>45242</v>
      </c>
      <c r="D672" t="inlineStr">
        <is>
          <t>CUST-00671</t>
        </is>
      </c>
      <c r="E672" t="inlineStr">
        <is>
          <t>Customer 671</t>
        </is>
      </c>
      <c r="F672" t="inlineStr">
        <is>
          <t>Consumer</t>
        </is>
      </c>
      <c r="G672" t="inlineStr">
        <is>
          <t>P1003</t>
        </is>
      </c>
      <c r="H672" t="inlineStr">
        <is>
          <t>SmartInk Pen Set</t>
        </is>
      </c>
      <c r="I672" t="inlineStr">
        <is>
          <t>Home Decor</t>
        </is>
      </c>
      <c r="J672" t="inlineStr">
        <is>
          <t>Desks</t>
        </is>
      </c>
      <c r="K672" t="inlineStr">
        <is>
          <t>Central</t>
        </is>
      </c>
      <c r="L672" t="inlineStr">
        <is>
          <t>Missouri</t>
        </is>
      </c>
      <c r="M672" t="inlineStr">
        <is>
          <t>Chicago</t>
        </is>
      </c>
      <c r="N672" t="inlineStr">
        <is>
          <t>Olivia Martin</t>
        </is>
      </c>
      <c r="O672" t="n">
        <v>6</v>
      </c>
      <c r="P672" s="3" t="n">
        <v>160.07</v>
      </c>
      <c r="Q672" s="4" t="n">
        <v>0.04</v>
      </c>
      <c r="R672" s="3" t="n">
        <v>922</v>
      </c>
      <c r="S672" s="3" t="n">
        <v>474.49</v>
      </c>
      <c r="T672" s="3" t="n">
        <v>436.71</v>
      </c>
      <c r="U672" s="4" t="n">
        <v>0.4737</v>
      </c>
      <c r="V672" s="3" t="n">
        <v>10.8</v>
      </c>
      <c r="W672" t="inlineStr">
        <is>
          <t>Credit Card</t>
        </is>
      </c>
      <c r="X672" t="inlineStr">
        <is>
          <t>High</t>
        </is>
      </c>
      <c r="Y672" t="n">
        <v>2023</v>
      </c>
      <c r="Z672" t="n">
        <v>11</v>
      </c>
      <c r="AA672" t="inlineStr">
        <is>
          <t>Nov</t>
        </is>
      </c>
      <c r="AB672" t="inlineStr">
        <is>
          <t>Saturday</t>
        </is>
      </c>
      <c r="AC672" t="n">
        <v>1</v>
      </c>
      <c r="AD672" t="inlineStr">
        <is>
          <t>Profitable</t>
        </is>
      </c>
      <c r="AE672" t="inlineStr">
        <is>
          <t>Medium</t>
        </is>
      </c>
      <c r="AF672" t="inlineStr">
        <is>
          <t>Medium</t>
        </is>
      </c>
    </row>
    <row r="673">
      <c r="A673" t="inlineStr">
        <is>
          <t>ORD-00672</t>
        </is>
      </c>
      <c r="B673" s="2" t="n">
        <v>45967</v>
      </c>
      <c r="C673" s="2" t="n">
        <v>45970</v>
      </c>
      <c r="D673" t="inlineStr">
        <is>
          <t>CUST-00672</t>
        </is>
      </c>
      <c r="E673" t="inlineStr">
        <is>
          <t>Customer 672</t>
        </is>
      </c>
      <c r="F673" t="inlineStr">
        <is>
          <t>Home Office</t>
        </is>
      </c>
      <c r="G673" t="inlineStr">
        <is>
          <t>P1008</t>
        </is>
      </c>
      <c r="H673" t="inlineStr">
        <is>
          <t>Nimbus Monitor Arm</t>
        </is>
      </c>
      <c r="I673" t="inlineStr">
        <is>
          <t>Technology</t>
        </is>
      </c>
      <c r="J673" t="inlineStr">
        <is>
          <t>Bags</t>
        </is>
      </c>
      <c r="K673" t="inlineStr">
        <is>
          <t>South</t>
        </is>
      </c>
      <c r="L673" t="inlineStr">
        <is>
          <t>Texas</t>
        </is>
      </c>
      <c r="M673" t="inlineStr">
        <is>
          <t>Miami</t>
        </is>
      </c>
      <c r="N673" t="inlineStr">
        <is>
          <t>Liam Chen</t>
        </is>
      </c>
      <c r="O673" t="n">
        <v>2</v>
      </c>
      <c r="P673" s="3" t="n">
        <v>35.41</v>
      </c>
      <c r="Q673" s="4" t="n">
        <v>0.004</v>
      </c>
      <c r="R673" s="3" t="n">
        <v>70.54000000000001</v>
      </c>
      <c r="S673" s="3" t="n">
        <v>38.66</v>
      </c>
      <c r="T673" s="3" t="n">
        <v>24.28</v>
      </c>
      <c r="U673" s="4" t="n">
        <v>0.3442</v>
      </c>
      <c r="V673" s="3" t="n">
        <v>7.6</v>
      </c>
      <c r="W673" t="inlineStr">
        <is>
          <t>Debit Card</t>
        </is>
      </c>
      <c r="X673" t="inlineStr">
        <is>
          <t>Low</t>
        </is>
      </c>
      <c r="Y673" t="n">
        <v>2025</v>
      </c>
      <c r="Z673" t="n">
        <v>11</v>
      </c>
      <c r="AA673" t="inlineStr">
        <is>
          <t>Nov</t>
        </is>
      </c>
      <c r="AB673" t="inlineStr">
        <is>
          <t>Thursday</t>
        </is>
      </c>
      <c r="AC673" t="n">
        <v>3</v>
      </c>
      <c r="AD673" t="inlineStr">
        <is>
          <t>Profitable</t>
        </is>
      </c>
      <c r="AE673" t="inlineStr">
        <is>
          <t>Low</t>
        </is>
      </c>
      <c r="AF673" t="inlineStr">
        <is>
          <t>Small</t>
        </is>
      </c>
    </row>
    <row r="674">
      <c r="A674" t="inlineStr">
        <is>
          <t>ORD-00673</t>
        </is>
      </c>
      <c r="B674" s="2" t="n">
        <v>45134</v>
      </c>
      <c r="C674" s="2" t="n">
        <v>45140</v>
      </c>
      <c r="D674" t="inlineStr">
        <is>
          <t>CUST-00673</t>
        </is>
      </c>
      <c r="E674" t="inlineStr">
        <is>
          <t>Customer 673</t>
        </is>
      </c>
      <c r="F674" t="inlineStr">
        <is>
          <t>Consumer</t>
        </is>
      </c>
      <c r="G674" t="inlineStr">
        <is>
          <t>P1005</t>
        </is>
      </c>
      <c r="H674" t="inlineStr">
        <is>
          <t>Halo Planter</t>
        </is>
      </c>
      <c r="I674" t="inlineStr">
        <is>
          <t>Technology</t>
        </is>
      </c>
      <c r="J674" t="inlineStr">
        <is>
          <t>Paper</t>
        </is>
      </c>
      <c r="K674" t="inlineStr">
        <is>
          <t>East</t>
        </is>
      </c>
      <c r="L674" t="inlineStr">
        <is>
          <t>Massachusetts</t>
        </is>
      </c>
      <c r="M674" t="inlineStr">
        <is>
          <t>New York</t>
        </is>
      </c>
      <c r="N674" t="inlineStr">
        <is>
          <t>Noah Kim</t>
        </is>
      </c>
      <c r="O674" t="n">
        <v>4</v>
      </c>
      <c r="P674" s="3" t="n">
        <v>13.77</v>
      </c>
      <c r="Q674" s="4" t="n">
        <v>0.002</v>
      </c>
      <c r="R674" s="3" t="n">
        <v>54.97</v>
      </c>
      <c r="S674" s="3" t="n">
        <v>28.58</v>
      </c>
      <c r="T674" s="3" t="n">
        <v>16.19</v>
      </c>
      <c r="U674" s="4" t="n">
        <v>0.2945</v>
      </c>
      <c r="V674" s="3" t="n">
        <v>10.2</v>
      </c>
      <c r="W674" t="inlineStr">
        <is>
          <t>Credit Card</t>
        </is>
      </c>
      <c r="X674" t="inlineStr">
        <is>
          <t>Low</t>
        </is>
      </c>
      <c r="Y674" t="n">
        <v>2023</v>
      </c>
      <c r="Z674" t="n">
        <v>7</v>
      </c>
      <c r="AA674" t="inlineStr">
        <is>
          <t>Jul</t>
        </is>
      </c>
      <c r="AB674" t="inlineStr">
        <is>
          <t>Thursday</t>
        </is>
      </c>
      <c r="AC674" t="n">
        <v>6</v>
      </c>
      <c r="AD674" t="inlineStr">
        <is>
          <t>Profitable</t>
        </is>
      </c>
      <c r="AE674" t="inlineStr">
        <is>
          <t>Low</t>
        </is>
      </c>
      <c r="AF674" t="inlineStr">
        <is>
          <t>Small</t>
        </is>
      </c>
    </row>
    <row r="675">
      <c r="A675" t="inlineStr">
        <is>
          <t>ORD-00674</t>
        </is>
      </c>
      <c r="B675" s="2" t="n">
        <v>45429</v>
      </c>
      <c r="C675" s="2" t="n">
        <v>45436</v>
      </c>
      <c r="D675" t="inlineStr">
        <is>
          <t>CUST-00674</t>
        </is>
      </c>
      <c r="E675" t="inlineStr">
        <is>
          <t>Customer 674</t>
        </is>
      </c>
      <c r="F675" t="inlineStr">
        <is>
          <t>Consumer</t>
        </is>
      </c>
      <c r="G675" t="inlineStr">
        <is>
          <t>P1005</t>
        </is>
      </c>
      <c r="H675" t="inlineStr">
        <is>
          <t>ProClip Binder</t>
        </is>
      </c>
      <c r="I675" t="inlineStr">
        <is>
          <t>Home Decor</t>
        </is>
      </c>
      <c r="J675" t="inlineStr">
        <is>
          <t>Storage</t>
        </is>
      </c>
      <c r="K675" t="inlineStr">
        <is>
          <t>Central</t>
        </is>
      </c>
      <c r="L675" t="inlineStr">
        <is>
          <t>Illinois</t>
        </is>
      </c>
      <c r="M675" t="inlineStr">
        <is>
          <t>Kansas City</t>
        </is>
      </c>
      <c r="N675" t="inlineStr">
        <is>
          <t>Ethan Brooks</t>
        </is>
      </c>
      <c r="O675" t="n">
        <v>2</v>
      </c>
      <c r="P675" s="3" t="n">
        <v>12.79</v>
      </c>
      <c r="Q675" s="4" t="n">
        <v>0.003</v>
      </c>
      <c r="R675" s="3" t="n">
        <v>25.5</v>
      </c>
      <c r="S675" s="3" t="n">
        <v>18.68</v>
      </c>
      <c r="T675" s="3" t="n">
        <v>-0.78</v>
      </c>
      <c r="U675" s="4" t="n">
        <v>-0.0306</v>
      </c>
      <c r="V675" s="3" t="n">
        <v>7.6</v>
      </c>
      <c r="W675" t="inlineStr">
        <is>
          <t>Debit Card</t>
        </is>
      </c>
      <c r="X675" t="inlineStr">
        <is>
          <t>Medium</t>
        </is>
      </c>
      <c r="Y675" t="n">
        <v>2024</v>
      </c>
      <c r="Z675" t="n">
        <v>5</v>
      </c>
      <c r="AA675" t="inlineStr">
        <is>
          <t>May</t>
        </is>
      </c>
      <c r="AB675" t="inlineStr">
        <is>
          <t>Friday</t>
        </is>
      </c>
      <c r="AC675" t="n">
        <v>7</v>
      </c>
      <c r="AD675" t="inlineStr">
        <is>
          <t>Unprofitable</t>
        </is>
      </c>
      <c r="AE675" t="inlineStr">
        <is>
          <t>Low</t>
        </is>
      </c>
      <c r="AF675" t="inlineStr">
        <is>
          <t>Small</t>
        </is>
      </c>
    </row>
    <row r="676">
      <c r="A676" t="inlineStr">
        <is>
          <t>ORD-00675</t>
        </is>
      </c>
      <c r="B676" s="2" t="n">
        <v>45562</v>
      </c>
      <c r="C676" s="2" t="n">
        <v>45569</v>
      </c>
      <c r="D676" t="inlineStr">
        <is>
          <t>CUST-00675</t>
        </is>
      </c>
      <c r="E676" t="inlineStr">
        <is>
          <t>Customer 675</t>
        </is>
      </c>
      <c r="F676" t="inlineStr">
        <is>
          <t>Corporate</t>
        </is>
      </c>
      <c r="G676" t="inlineStr">
        <is>
          <t>P1017</t>
        </is>
      </c>
      <c r="H676" t="inlineStr">
        <is>
          <t>Atlas Throw Pillow</t>
        </is>
      </c>
      <c r="I676" t="inlineStr">
        <is>
          <t>Furniture</t>
        </is>
      </c>
      <c r="J676" t="inlineStr">
        <is>
          <t>Lighting</t>
        </is>
      </c>
      <c r="K676" t="inlineStr">
        <is>
          <t>North</t>
        </is>
      </c>
      <c r="L676" t="inlineStr">
        <is>
          <t>Ontario</t>
        </is>
      </c>
      <c r="M676" t="inlineStr">
        <is>
          <t>Montreal</t>
        </is>
      </c>
      <c r="N676" t="inlineStr">
        <is>
          <t>Ava Patel</t>
        </is>
      </c>
      <c r="O676" t="n">
        <v>3</v>
      </c>
      <c r="P676" s="3" t="n">
        <v>540.73</v>
      </c>
      <c r="Q676" s="4" t="n">
        <v>0.029</v>
      </c>
      <c r="R676" s="3" t="n">
        <v>1575.15</v>
      </c>
      <c r="S676" s="3" t="n">
        <v>1044.4</v>
      </c>
      <c r="T676" s="3" t="n">
        <v>522.35</v>
      </c>
      <c r="U676" s="4" t="n">
        <v>0.3316</v>
      </c>
      <c r="V676" s="3" t="n">
        <v>8.4</v>
      </c>
      <c r="W676" t="inlineStr">
        <is>
          <t>Debit Card</t>
        </is>
      </c>
      <c r="X676" t="inlineStr">
        <is>
          <t>Medium</t>
        </is>
      </c>
      <c r="Y676" t="n">
        <v>2024</v>
      </c>
      <c r="Z676" t="n">
        <v>9</v>
      </c>
      <c r="AA676" t="inlineStr">
        <is>
          <t>Sep</t>
        </is>
      </c>
      <c r="AB676" t="inlineStr">
        <is>
          <t>Friday</t>
        </is>
      </c>
      <c r="AC676" t="n">
        <v>7</v>
      </c>
      <c r="AD676" t="inlineStr">
        <is>
          <t>Profitable</t>
        </is>
      </c>
      <c r="AE676" t="inlineStr">
        <is>
          <t>Medium</t>
        </is>
      </c>
      <c r="AF676" t="inlineStr">
        <is>
          <t>Large</t>
        </is>
      </c>
    </row>
    <row r="677">
      <c r="A677" t="inlineStr">
        <is>
          <t>ORD-00676</t>
        </is>
      </c>
      <c r="B677" s="2" t="n">
        <v>45789</v>
      </c>
      <c r="C677" s="2" t="n">
        <v>45792</v>
      </c>
      <c r="D677" t="inlineStr">
        <is>
          <t>CUST-00676</t>
        </is>
      </c>
      <c r="E677" t="inlineStr">
        <is>
          <t>Customer 676</t>
        </is>
      </c>
      <c r="F677" t="inlineStr">
        <is>
          <t>Corporate</t>
        </is>
      </c>
      <c r="G677" t="inlineStr">
        <is>
          <t>P1015</t>
        </is>
      </c>
      <c r="H677" t="inlineStr">
        <is>
          <t>Summit Patio Set</t>
        </is>
      </c>
      <c r="I677" t="inlineStr">
        <is>
          <t>Furniture</t>
        </is>
      </c>
      <c r="J677" t="inlineStr">
        <is>
          <t>Binders</t>
        </is>
      </c>
      <c r="K677" t="inlineStr">
        <is>
          <t>South</t>
        </is>
      </c>
      <c r="L677" t="inlineStr">
        <is>
          <t>North Carolina</t>
        </is>
      </c>
      <c r="M677" t="inlineStr">
        <is>
          <t>Houston</t>
        </is>
      </c>
      <c r="N677" t="inlineStr">
        <is>
          <t>Mia Rodriguez</t>
        </is>
      </c>
      <c r="O677" t="n">
        <v>4</v>
      </c>
      <c r="P677" s="3" t="n">
        <v>66.01000000000001</v>
      </c>
      <c r="Q677" s="4" t="n">
        <v>0.077</v>
      </c>
      <c r="R677" s="3" t="n">
        <v>243.71</v>
      </c>
      <c r="S677" s="3" t="n">
        <v>113.31</v>
      </c>
      <c r="T677" s="3" t="n">
        <v>121.2</v>
      </c>
      <c r="U677" s="4" t="n">
        <v>0.4973</v>
      </c>
      <c r="V677" s="3" t="n">
        <v>9.199999999999999</v>
      </c>
      <c r="W677" t="inlineStr">
        <is>
          <t>PayPal</t>
        </is>
      </c>
      <c r="X677" t="inlineStr">
        <is>
          <t>Critical</t>
        </is>
      </c>
      <c r="Y677" t="n">
        <v>2025</v>
      </c>
      <c r="Z677" t="n">
        <v>5</v>
      </c>
      <c r="AA677" t="inlineStr">
        <is>
          <t>May</t>
        </is>
      </c>
      <c r="AB677" t="inlineStr">
        <is>
          <t>Monday</t>
        </is>
      </c>
      <c r="AC677" t="n">
        <v>3</v>
      </c>
      <c r="AD677" t="inlineStr">
        <is>
          <t>Profitable</t>
        </is>
      </c>
      <c r="AE677" t="inlineStr">
        <is>
          <t>High</t>
        </is>
      </c>
      <c r="AF677" t="inlineStr">
        <is>
          <t>Small</t>
        </is>
      </c>
    </row>
    <row r="678">
      <c r="A678" t="inlineStr">
        <is>
          <t>ORD-00677</t>
        </is>
      </c>
      <c r="B678" s="2" t="n">
        <v>45038</v>
      </c>
      <c r="C678" s="2" t="n">
        <v>45040</v>
      </c>
      <c r="D678" t="inlineStr">
        <is>
          <t>CUST-00677</t>
        </is>
      </c>
      <c r="E678" t="inlineStr">
        <is>
          <t>Customer 677</t>
        </is>
      </c>
      <c r="F678" t="inlineStr">
        <is>
          <t>Consumer</t>
        </is>
      </c>
      <c r="G678" t="inlineStr">
        <is>
          <t>P1008</t>
        </is>
      </c>
      <c r="H678" t="inlineStr">
        <is>
          <t>Lumen Desk Lamp</t>
        </is>
      </c>
      <c r="I678" t="inlineStr">
        <is>
          <t>Technology</t>
        </is>
      </c>
      <c r="J678" t="inlineStr">
        <is>
          <t>Textiles</t>
        </is>
      </c>
      <c r="K678" t="inlineStr">
        <is>
          <t>Central</t>
        </is>
      </c>
      <c r="L678" t="inlineStr">
        <is>
          <t>Missouri</t>
        </is>
      </c>
      <c r="M678" t="inlineStr">
        <is>
          <t>Kansas City</t>
        </is>
      </c>
      <c r="N678" t="inlineStr">
        <is>
          <t>Olivia Martin</t>
        </is>
      </c>
      <c r="O678" t="n">
        <v>3</v>
      </c>
      <c r="P678" s="3" t="n">
        <v>36.67</v>
      </c>
      <c r="Q678" s="4" t="n">
        <v>0.023</v>
      </c>
      <c r="R678" s="3" t="n">
        <v>107.48</v>
      </c>
      <c r="S678" s="3" t="n">
        <v>48.06</v>
      </c>
      <c r="T678" s="3" t="n">
        <v>51.02</v>
      </c>
      <c r="U678" s="4" t="n">
        <v>0.4747</v>
      </c>
      <c r="V678" s="3" t="n">
        <v>8.4</v>
      </c>
      <c r="W678" t="inlineStr">
        <is>
          <t>Credit Card</t>
        </is>
      </c>
      <c r="X678" t="inlineStr">
        <is>
          <t>Medium</t>
        </is>
      </c>
      <c r="Y678" t="n">
        <v>2023</v>
      </c>
      <c r="Z678" t="n">
        <v>4</v>
      </c>
      <c r="AA678" t="inlineStr">
        <is>
          <t>Apr</t>
        </is>
      </c>
      <c r="AB678" t="inlineStr">
        <is>
          <t>Saturday</t>
        </is>
      </c>
      <c r="AC678" t="n">
        <v>2</v>
      </c>
      <c r="AD678" t="inlineStr">
        <is>
          <t>Profitable</t>
        </is>
      </c>
      <c r="AE678" t="inlineStr">
        <is>
          <t>Medium</t>
        </is>
      </c>
      <c r="AF678" t="inlineStr">
        <is>
          <t>Small</t>
        </is>
      </c>
    </row>
    <row r="679">
      <c r="A679" t="inlineStr">
        <is>
          <t>ORD-00678</t>
        </is>
      </c>
      <c r="B679" s="2" t="n">
        <v>45573</v>
      </c>
      <c r="C679" s="2" t="n">
        <v>45580</v>
      </c>
      <c r="D679" t="inlineStr">
        <is>
          <t>CUST-00678</t>
        </is>
      </c>
      <c r="E679" t="inlineStr">
        <is>
          <t>Customer 678</t>
        </is>
      </c>
      <c r="F679" t="inlineStr">
        <is>
          <t>Consumer</t>
        </is>
      </c>
      <c r="G679" t="inlineStr">
        <is>
          <t>P1007</t>
        </is>
      </c>
      <c r="H679" t="inlineStr">
        <is>
          <t>Orbit Wireless Mouse</t>
        </is>
      </c>
      <c r="I679" t="inlineStr">
        <is>
          <t>Furniture</t>
        </is>
      </c>
      <c r="J679" t="inlineStr">
        <is>
          <t>Accessories</t>
        </is>
      </c>
      <c r="K679" t="inlineStr">
        <is>
          <t>Central</t>
        </is>
      </c>
      <c r="L679" t="inlineStr">
        <is>
          <t>Illinois</t>
        </is>
      </c>
      <c r="M679" t="inlineStr">
        <is>
          <t>St. Louis</t>
        </is>
      </c>
      <c r="N679" t="inlineStr">
        <is>
          <t>Ava Patel</t>
        </is>
      </c>
      <c r="O679" t="n">
        <v>1</v>
      </c>
      <c r="P679" s="3" t="n">
        <v>25.76</v>
      </c>
      <c r="Q679" s="4" t="n">
        <v>0.047</v>
      </c>
      <c r="R679" s="3" t="n">
        <v>24.55</v>
      </c>
      <c r="S679" s="3" t="n">
        <v>14.17</v>
      </c>
      <c r="T679" s="3" t="n">
        <v>3.58</v>
      </c>
      <c r="U679" s="4" t="n">
        <v>0.1458</v>
      </c>
      <c r="V679" s="3" t="n">
        <v>6.8</v>
      </c>
      <c r="W679" t="inlineStr">
        <is>
          <t>Bank Transfer</t>
        </is>
      </c>
      <c r="X679" t="inlineStr">
        <is>
          <t>High</t>
        </is>
      </c>
      <c r="Y679" t="n">
        <v>2024</v>
      </c>
      <c r="Z679" t="n">
        <v>10</v>
      </c>
      <c r="AA679" t="inlineStr">
        <is>
          <t>Oct</t>
        </is>
      </c>
      <c r="AB679" t="inlineStr">
        <is>
          <t>Tuesday</t>
        </is>
      </c>
      <c r="AC679" t="n">
        <v>7</v>
      </c>
      <c r="AD679" t="inlineStr">
        <is>
          <t>Profitable</t>
        </is>
      </c>
      <c r="AE679" t="inlineStr">
        <is>
          <t>Medium</t>
        </is>
      </c>
      <c r="AF679" t="inlineStr">
        <is>
          <t>Small</t>
        </is>
      </c>
    </row>
    <row r="680">
      <c r="A680" t="inlineStr">
        <is>
          <t>ORD-00679</t>
        </is>
      </c>
      <c r="B680" s="2" t="n">
        <v>45673</v>
      </c>
      <c r="C680" s="2" t="n">
        <v>45678</v>
      </c>
      <c r="D680" t="inlineStr">
        <is>
          <t>CUST-00679</t>
        </is>
      </c>
      <c r="E680" t="inlineStr">
        <is>
          <t>Customer 679</t>
        </is>
      </c>
      <c r="F680" t="inlineStr">
        <is>
          <t>Consumer</t>
        </is>
      </c>
      <c r="G680" t="inlineStr">
        <is>
          <t>P1017</t>
        </is>
      </c>
      <c r="H680" t="inlineStr">
        <is>
          <t>Pulse Keyboard</t>
        </is>
      </c>
      <c r="I680" t="inlineStr">
        <is>
          <t>Outdoor</t>
        </is>
      </c>
      <c r="J680" t="inlineStr">
        <is>
          <t>Peripherals</t>
        </is>
      </c>
      <c r="K680" t="inlineStr">
        <is>
          <t>Central</t>
        </is>
      </c>
      <c r="L680" t="inlineStr">
        <is>
          <t>Illinois</t>
        </is>
      </c>
      <c r="M680" t="inlineStr">
        <is>
          <t>St. Louis</t>
        </is>
      </c>
      <c r="N680" t="inlineStr">
        <is>
          <t>Ava Patel</t>
        </is>
      </c>
      <c r="O680" t="n">
        <v>2</v>
      </c>
      <c r="P680" s="3" t="n">
        <v>552.45</v>
      </c>
      <c r="Q680" s="4" t="n">
        <v>0.057</v>
      </c>
      <c r="R680" s="3" t="n">
        <v>1041.92</v>
      </c>
      <c r="S680" s="3" t="n">
        <v>699.1900000000001</v>
      </c>
      <c r="T680" s="3" t="n">
        <v>335.13</v>
      </c>
      <c r="U680" s="4" t="n">
        <v>0.3216</v>
      </c>
      <c r="V680" s="3" t="n">
        <v>7.6</v>
      </c>
      <c r="W680" t="inlineStr">
        <is>
          <t>Bank Transfer</t>
        </is>
      </c>
      <c r="X680" t="inlineStr">
        <is>
          <t>Critical</t>
        </is>
      </c>
      <c r="Y680" t="n">
        <v>2025</v>
      </c>
      <c r="Z680" t="n">
        <v>1</v>
      </c>
      <c r="AA680" t="inlineStr">
        <is>
          <t>Jan</t>
        </is>
      </c>
      <c r="AB680" t="inlineStr">
        <is>
          <t>Thursday</t>
        </is>
      </c>
      <c r="AC680" t="n">
        <v>5</v>
      </c>
      <c r="AD680" t="inlineStr">
        <is>
          <t>Profitable</t>
        </is>
      </c>
      <c r="AE680" t="inlineStr">
        <is>
          <t>High</t>
        </is>
      </c>
      <c r="AF680" t="inlineStr">
        <is>
          <t>Medium</t>
        </is>
      </c>
    </row>
    <row r="681">
      <c r="A681" t="inlineStr">
        <is>
          <t>ORD-00680</t>
        </is>
      </c>
      <c r="B681" s="2" t="n">
        <v>45693</v>
      </c>
      <c r="C681" s="2" t="n">
        <v>45697</v>
      </c>
      <c r="D681" t="inlineStr">
        <is>
          <t>CUST-00680</t>
        </is>
      </c>
      <c r="E681" t="inlineStr">
        <is>
          <t>Customer 680</t>
        </is>
      </c>
      <c r="F681" t="inlineStr">
        <is>
          <t>Consumer</t>
        </is>
      </c>
      <c r="G681" t="inlineStr">
        <is>
          <t>P1012</t>
        </is>
      </c>
      <c r="H681" t="inlineStr">
        <is>
          <t>ProClip Binder</t>
        </is>
      </c>
      <c r="I681" t="inlineStr">
        <is>
          <t>Furniture</t>
        </is>
      </c>
      <c r="J681" t="inlineStr">
        <is>
          <t>Accessories</t>
        </is>
      </c>
      <c r="K681" t="inlineStr">
        <is>
          <t>West</t>
        </is>
      </c>
      <c r="L681" t="inlineStr">
        <is>
          <t>Colorado</t>
        </is>
      </c>
      <c r="M681" t="inlineStr">
        <is>
          <t>Denver</t>
        </is>
      </c>
      <c r="N681" t="inlineStr">
        <is>
          <t>Olivia Martin</t>
        </is>
      </c>
      <c r="O681" t="n">
        <v>4</v>
      </c>
      <c r="P681" s="3" t="n">
        <v>135.9</v>
      </c>
      <c r="Q681" s="4" t="n">
        <v>0.009000000000000001</v>
      </c>
      <c r="R681" s="3" t="n">
        <v>538.71</v>
      </c>
      <c r="S681" s="3" t="n">
        <v>274.02</v>
      </c>
      <c r="T681" s="3" t="n">
        <v>254.49</v>
      </c>
      <c r="U681" s="4" t="n">
        <v>0.4724</v>
      </c>
      <c r="V681" s="3" t="n">
        <v>10.2</v>
      </c>
      <c r="W681" t="inlineStr">
        <is>
          <t>Cash on Delivery</t>
        </is>
      </c>
      <c r="X681" t="inlineStr">
        <is>
          <t>Low</t>
        </is>
      </c>
      <c r="Y681" t="n">
        <v>2025</v>
      </c>
      <c r="Z681" t="n">
        <v>2</v>
      </c>
      <c r="AA681" t="inlineStr">
        <is>
          <t>Feb</t>
        </is>
      </c>
      <c r="AB681" t="inlineStr">
        <is>
          <t>Wednesday</t>
        </is>
      </c>
      <c r="AC681" t="n">
        <v>4</v>
      </c>
      <c r="AD681" t="inlineStr">
        <is>
          <t>Profitable</t>
        </is>
      </c>
      <c r="AE681" t="inlineStr">
        <is>
          <t>Low</t>
        </is>
      </c>
      <c r="AF681" t="inlineStr">
        <is>
          <t>Medium</t>
        </is>
      </c>
    </row>
    <row r="682">
      <c r="A682" t="inlineStr">
        <is>
          <t>ORD-00681</t>
        </is>
      </c>
      <c r="B682" s="2" t="n">
        <v>45678</v>
      </c>
      <c r="C682" s="2" t="n">
        <v>45684</v>
      </c>
      <c r="D682" t="inlineStr">
        <is>
          <t>CUST-00681</t>
        </is>
      </c>
      <c r="E682" t="inlineStr">
        <is>
          <t>Customer 681</t>
        </is>
      </c>
      <c r="F682" t="inlineStr">
        <is>
          <t>Consumer</t>
        </is>
      </c>
      <c r="G682" t="inlineStr">
        <is>
          <t>P1004</t>
        </is>
      </c>
      <c r="H682" t="inlineStr">
        <is>
          <t>Tide Cooler</t>
        </is>
      </c>
      <c r="I682" t="inlineStr">
        <is>
          <t>Furniture</t>
        </is>
      </c>
      <c r="J682" t="inlineStr">
        <is>
          <t>Decor</t>
        </is>
      </c>
      <c r="K682" t="inlineStr">
        <is>
          <t>Central</t>
        </is>
      </c>
      <c r="L682" t="inlineStr">
        <is>
          <t>Illinois</t>
        </is>
      </c>
      <c r="M682" t="inlineStr">
        <is>
          <t>Minneapolis</t>
        </is>
      </c>
      <c r="N682" t="inlineStr">
        <is>
          <t>Mia Rodriguez</t>
        </is>
      </c>
      <c r="O682" t="n">
        <v>3</v>
      </c>
      <c r="P682" s="3" t="n">
        <v>607.26</v>
      </c>
      <c r="Q682" s="4" t="n">
        <v>0.005</v>
      </c>
      <c r="R682" s="3" t="n">
        <v>1812.67</v>
      </c>
      <c r="S682" s="3" t="n">
        <v>1150.63</v>
      </c>
      <c r="T682" s="3" t="n">
        <v>653.64</v>
      </c>
      <c r="U682" s="4" t="n">
        <v>0.3606</v>
      </c>
      <c r="V682" s="3" t="n">
        <v>8.4</v>
      </c>
      <c r="W682" t="inlineStr">
        <is>
          <t>Credit Card</t>
        </is>
      </c>
      <c r="X682" t="inlineStr">
        <is>
          <t>Medium</t>
        </is>
      </c>
      <c r="Y682" t="n">
        <v>2025</v>
      </c>
      <c r="Z682" t="n">
        <v>1</v>
      </c>
      <c r="AA682" t="inlineStr">
        <is>
          <t>Jan</t>
        </is>
      </c>
      <c r="AB682" t="inlineStr">
        <is>
          <t>Tuesday</t>
        </is>
      </c>
      <c r="AC682" t="n">
        <v>6</v>
      </c>
      <c r="AD682" t="inlineStr">
        <is>
          <t>Profitable</t>
        </is>
      </c>
      <c r="AE682" t="inlineStr">
        <is>
          <t>Low</t>
        </is>
      </c>
      <c r="AF682" t="inlineStr">
        <is>
          <t>Large</t>
        </is>
      </c>
    </row>
    <row r="683">
      <c r="A683" t="inlineStr">
        <is>
          <t>ORD-00682</t>
        </is>
      </c>
      <c r="B683" s="2" t="n">
        <v>44986</v>
      </c>
      <c r="C683" s="2" t="n">
        <v>44992</v>
      </c>
      <c r="D683" t="inlineStr">
        <is>
          <t>CUST-00682</t>
        </is>
      </c>
      <c r="E683" t="inlineStr">
        <is>
          <t>Customer 682</t>
        </is>
      </c>
      <c r="F683" t="inlineStr">
        <is>
          <t>Consumer</t>
        </is>
      </c>
      <c r="G683" t="inlineStr">
        <is>
          <t>P1020</t>
        </is>
      </c>
      <c r="H683" t="inlineStr">
        <is>
          <t>Halo Planter</t>
        </is>
      </c>
      <c r="I683" t="inlineStr">
        <is>
          <t>Furniture</t>
        </is>
      </c>
      <c r="J683" t="inlineStr">
        <is>
          <t>Paper</t>
        </is>
      </c>
      <c r="K683" t="inlineStr">
        <is>
          <t>South</t>
        </is>
      </c>
      <c r="L683" t="inlineStr">
        <is>
          <t>Florida</t>
        </is>
      </c>
      <c r="M683" t="inlineStr">
        <is>
          <t>Miami</t>
        </is>
      </c>
      <c r="N683" t="inlineStr">
        <is>
          <t>Sophia Singh</t>
        </is>
      </c>
      <c r="O683" t="n">
        <v>3</v>
      </c>
      <c r="P683" s="3" t="n">
        <v>72.95999999999999</v>
      </c>
      <c r="Q683" s="4" t="n">
        <v>0.055</v>
      </c>
      <c r="R683" s="3" t="n">
        <v>206.84</v>
      </c>
      <c r="S683" s="3" t="n">
        <v>98.84</v>
      </c>
      <c r="T683" s="3" t="n">
        <v>99.59999999999999</v>
      </c>
      <c r="U683" s="4" t="n">
        <v>0.4815</v>
      </c>
      <c r="V683" s="3" t="n">
        <v>8.4</v>
      </c>
      <c r="W683" t="inlineStr">
        <is>
          <t>Bank Transfer</t>
        </is>
      </c>
      <c r="X683" t="inlineStr">
        <is>
          <t>Critical</t>
        </is>
      </c>
      <c r="Y683" t="n">
        <v>2023</v>
      </c>
      <c r="Z683" t="n">
        <v>3</v>
      </c>
      <c r="AA683" t="inlineStr">
        <is>
          <t>Mar</t>
        </is>
      </c>
      <c r="AB683" t="inlineStr">
        <is>
          <t>Wednesday</t>
        </is>
      </c>
      <c r="AC683" t="n">
        <v>6</v>
      </c>
      <c r="AD683" t="inlineStr">
        <is>
          <t>Profitable</t>
        </is>
      </c>
      <c r="AE683" t="inlineStr">
        <is>
          <t>High</t>
        </is>
      </c>
      <c r="AF683" t="inlineStr">
        <is>
          <t>Small</t>
        </is>
      </c>
    </row>
    <row r="684">
      <c r="A684" t="inlineStr">
        <is>
          <t>ORD-00683</t>
        </is>
      </c>
      <c r="B684" s="2" t="n">
        <v>44974</v>
      </c>
      <c r="C684" s="2" t="n">
        <v>44981</v>
      </c>
      <c r="D684" t="inlineStr">
        <is>
          <t>CUST-00683</t>
        </is>
      </c>
      <c r="E684" t="inlineStr">
        <is>
          <t>Customer 683</t>
        </is>
      </c>
      <c r="F684" t="inlineStr">
        <is>
          <t>Consumer</t>
        </is>
      </c>
      <c r="G684" t="inlineStr">
        <is>
          <t>P1018</t>
        </is>
      </c>
      <c r="H684" t="inlineStr">
        <is>
          <t>Atlas Throw Pillow</t>
        </is>
      </c>
      <c r="I684" t="inlineStr">
        <is>
          <t>Office Supplies</t>
        </is>
      </c>
      <c r="J684" t="inlineStr">
        <is>
          <t>Binders</t>
        </is>
      </c>
      <c r="K684" t="inlineStr">
        <is>
          <t>West</t>
        </is>
      </c>
      <c r="L684" t="inlineStr">
        <is>
          <t>Colorado</t>
        </is>
      </c>
      <c r="M684" t="inlineStr">
        <is>
          <t>Denver</t>
        </is>
      </c>
      <c r="N684" t="inlineStr">
        <is>
          <t>Liam Chen</t>
        </is>
      </c>
      <c r="O684" t="n">
        <v>1</v>
      </c>
      <c r="P684" s="3" t="n">
        <v>89.17</v>
      </c>
      <c r="Q684" s="4" t="n">
        <v>0.025</v>
      </c>
      <c r="R684" s="3" t="n">
        <v>86.94</v>
      </c>
      <c r="S684" s="3" t="n">
        <v>44.38</v>
      </c>
      <c r="T684" s="3" t="n">
        <v>34.76</v>
      </c>
      <c r="U684" s="4" t="n">
        <v>0.3998</v>
      </c>
      <c r="V684" s="3" t="n">
        <v>7.8</v>
      </c>
      <c r="W684" t="inlineStr">
        <is>
          <t>PayPal</t>
        </is>
      </c>
      <c r="X684" t="inlineStr">
        <is>
          <t>Medium</t>
        </is>
      </c>
      <c r="Y684" t="n">
        <v>2023</v>
      </c>
      <c r="Z684" t="n">
        <v>2</v>
      </c>
      <c r="AA684" t="inlineStr">
        <is>
          <t>Feb</t>
        </is>
      </c>
      <c r="AB684" t="inlineStr">
        <is>
          <t>Friday</t>
        </is>
      </c>
      <c r="AC684" t="n">
        <v>7</v>
      </c>
      <c r="AD684" t="inlineStr">
        <is>
          <t>Profitable</t>
        </is>
      </c>
      <c r="AE684" t="inlineStr">
        <is>
          <t>Medium</t>
        </is>
      </c>
      <c r="AF684" t="inlineStr">
        <is>
          <t>Small</t>
        </is>
      </c>
    </row>
    <row r="685">
      <c r="A685" t="inlineStr">
        <is>
          <t>ORD-00684</t>
        </is>
      </c>
      <c r="B685" s="2" t="n">
        <v>46015</v>
      </c>
      <c r="C685" s="2" t="n">
        <v>46018</v>
      </c>
      <c r="D685" t="inlineStr">
        <is>
          <t>CUST-00684</t>
        </is>
      </c>
      <c r="E685" t="inlineStr">
        <is>
          <t>Customer 684</t>
        </is>
      </c>
      <c r="F685" t="inlineStr">
        <is>
          <t>Home Office</t>
        </is>
      </c>
      <c r="G685" t="inlineStr">
        <is>
          <t>P1004</t>
        </is>
      </c>
      <c r="H685" t="inlineStr">
        <is>
          <t>Harbor Rug</t>
        </is>
      </c>
      <c r="I685" t="inlineStr">
        <is>
          <t>Office Supplies</t>
        </is>
      </c>
      <c r="J685" t="inlineStr">
        <is>
          <t>Chairs</t>
        </is>
      </c>
      <c r="K685" t="inlineStr">
        <is>
          <t>East</t>
        </is>
      </c>
      <c r="L685" t="inlineStr">
        <is>
          <t>Massachusetts</t>
        </is>
      </c>
      <c r="M685" t="inlineStr">
        <is>
          <t>Philadelphia</t>
        </is>
      </c>
      <c r="N685" t="inlineStr">
        <is>
          <t>James Carter</t>
        </is>
      </c>
      <c r="O685" t="n">
        <v>3</v>
      </c>
      <c r="P685" s="3" t="n">
        <v>685.9</v>
      </c>
      <c r="Q685" s="4" t="n">
        <v>0.024</v>
      </c>
      <c r="R685" s="3" t="n">
        <v>2008.32</v>
      </c>
      <c r="S685" s="3" t="n">
        <v>1271.36</v>
      </c>
      <c r="T685" s="3" t="n">
        <v>727.5599999999999</v>
      </c>
      <c r="U685" s="4" t="n">
        <v>0.3623</v>
      </c>
      <c r="V685" s="3" t="n">
        <v>9.4</v>
      </c>
      <c r="W685" t="inlineStr">
        <is>
          <t>Credit Card</t>
        </is>
      </c>
      <c r="X685" t="inlineStr">
        <is>
          <t>Medium</t>
        </is>
      </c>
      <c r="Y685" t="n">
        <v>2025</v>
      </c>
      <c r="Z685" t="n">
        <v>12</v>
      </c>
      <c r="AA685" t="inlineStr">
        <is>
          <t>Dec</t>
        </is>
      </c>
      <c r="AB685" t="inlineStr">
        <is>
          <t>Wednesday</t>
        </is>
      </c>
      <c r="AC685" t="n">
        <v>3</v>
      </c>
      <c r="AD685" t="inlineStr">
        <is>
          <t>Profitable</t>
        </is>
      </c>
      <c r="AE685" t="inlineStr">
        <is>
          <t>Medium</t>
        </is>
      </c>
      <c r="AF685" t="inlineStr">
        <is>
          <t>Large</t>
        </is>
      </c>
    </row>
    <row r="686">
      <c r="A686" t="inlineStr">
        <is>
          <t>ORD-00685</t>
        </is>
      </c>
      <c r="B686" s="2" t="n">
        <v>45798</v>
      </c>
      <c r="C686" s="2" t="n">
        <v>45801</v>
      </c>
      <c r="D686" t="inlineStr">
        <is>
          <t>CUST-00685</t>
        </is>
      </c>
      <c r="E686" t="inlineStr">
        <is>
          <t>Customer 685</t>
        </is>
      </c>
      <c r="F686" t="inlineStr">
        <is>
          <t>Corporate</t>
        </is>
      </c>
      <c r="G686" t="inlineStr">
        <is>
          <t>P1010</t>
        </is>
      </c>
      <c r="H686" t="inlineStr">
        <is>
          <t>Atlas Throw Pillow</t>
        </is>
      </c>
      <c r="I686" t="inlineStr">
        <is>
          <t>Outdoor</t>
        </is>
      </c>
      <c r="J686" t="inlineStr">
        <is>
          <t>Flooring</t>
        </is>
      </c>
      <c r="K686" t="inlineStr">
        <is>
          <t>North</t>
        </is>
      </c>
      <c r="L686" t="inlineStr">
        <is>
          <t>British Columbia</t>
        </is>
      </c>
      <c r="M686" t="inlineStr">
        <is>
          <t>Vancouver</t>
        </is>
      </c>
      <c r="N686" t="inlineStr">
        <is>
          <t>Sophia Singh</t>
        </is>
      </c>
      <c r="O686" t="n">
        <v>3</v>
      </c>
      <c r="P686" s="3" t="n">
        <v>54.04</v>
      </c>
      <c r="Q686" s="4" t="n">
        <v>0.038</v>
      </c>
      <c r="R686" s="3" t="n">
        <v>155.96</v>
      </c>
      <c r="S686" s="3" t="n">
        <v>71.73</v>
      </c>
      <c r="T686" s="3" t="n">
        <v>75.83</v>
      </c>
      <c r="U686" s="4" t="n">
        <v>0.4862</v>
      </c>
      <c r="V686" s="3" t="n">
        <v>8.4</v>
      </c>
      <c r="W686" t="inlineStr">
        <is>
          <t>Credit Card</t>
        </is>
      </c>
      <c r="X686" t="inlineStr">
        <is>
          <t>Medium</t>
        </is>
      </c>
      <c r="Y686" t="n">
        <v>2025</v>
      </c>
      <c r="Z686" t="n">
        <v>5</v>
      </c>
      <c r="AA686" t="inlineStr">
        <is>
          <t>May</t>
        </is>
      </c>
      <c r="AB686" t="inlineStr">
        <is>
          <t>Wednesday</t>
        </is>
      </c>
      <c r="AC686" t="n">
        <v>3</v>
      </c>
      <c r="AD686" t="inlineStr">
        <is>
          <t>Profitable</t>
        </is>
      </c>
      <c r="AE686" t="inlineStr">
        <is>
          <t>Medium</t>
        </is>
      </c>
      <c r="AF686" t="inlineStr">
        <is>
          <t>Small</t>
        </is>
      </c>
    </row>
    <row r="687">
      <c r="A687" t="inlineStr">
        <is>
          <t>ORD-00686</t>
        </is>
      </c>
      <c r="B687" s="2" t="n">
        <v>45359</v>
      </c>
      <c r="C687" s="2" t="n">
        <v>45361</v>
      </c>
      <c r="D687" t="inlineStr">
        <is>
          <t>CUST-00686</t>
        </is>
      </c>
      <c r="E687" t="inlineStr">
        <is>
          <t>Customer 686</t>
        </is>
      </c>
      <c r="F687" t="inlineStr">
        <is>
          <t>Consumer</t>
        </is>
      </c>
      <c r="G687" t="inlineStr">
        <is>
          <t>P1003</t>
        </is>
      </c>
      <c r="H687" t="inlineStr">
        <is>
          <t>Lumen Desk Lamp</t>
        </is>
      </c>
      <c r="I687" t="inlineStr">
        <is>
          <t>Furniture</t>
        </is>
      </c>
      <c r="J687" t="inlineStr">
        <is>
          <t>Accessories</t>
        </is>
      </c>
      <c r="K687" t="inlineStr">
        <is>
          <t>West</t>
        </is>
      </c>
      <c r="L687" t="inlineStr">
        <is>
          <t>Colorado</t>
        </is>
      </c>
      <c r="M687" t="inlineStr">
        <is>
          <t>Los Angeles</t>
        </is>
      </c>
      <c r="N687" t="inlineStr">
        <is>
          <t>Noah Kim</t>
        </is>
      </c>
      <c r="O687" t="n">
        <v>3</v>
      </c>
      <c r="P687" s="3" t="n">
        <v>152.28</v>
      </c>
      <c r="Q687" s="4" t="n">
        <v>0.017</v>
      </c>
      <c r="R687" s="3" t="n">
        <v>449.07</v>
      </c>
      <c r="S687" s="3" t="n">
        <v>233.49</v>
      </c>
      <c r="T687" s="3" t="n">
        <v>206.18</v>
      </c>
      <c r="U687" s="4" t="n">
        <v>0.4591</v>
      </c>
      <c r="V687" s="3" t="n">
        <v>9.4</v>
      </c>
      <c r="W687" t="inlineStr">
        <is>
          <t>Credit Card</t>
        </is>
      </c>
      <c r="X687" t="inlineStr">
        <is>
          <t>High</t>
        </is>
      </c>
      <c r="Y687" t="n">
        <v>2024</v>
      </c>
      <c r="Z687" t="n">
        <v>3</v>
      </c>
      <c r="AA687" t="inlineStr">
        <is>
          <t>Mar</t>
        </is>
      </c>
      <c r="AB687" t="inlineStr">
        <is>
          <t>Friday</t>
        </is>
      </c>
      <c r="AC687" t="n">
        <v>2</v>
      </c>
      <c r="AD687" t="inlineStr">
        <is>
          <t>Profitable</t>
        </is>
      </c>
      <c r="AE687" t="inlineStr">
        <is>
          <t>Low</t>
        </is>
      </c>
      <c r="AF687" t="inlineStr">
        <is>
          <t>Small</t>
        </is>
      </c>
    </row>
    <row r="688">
      <c r="A688" t="inlineStr">
        <is>
          <t>ORD-00687</t>
        </is>
      </c>
      <c r="B688" s="2" t="n">
        <v>45392</v>
      </c>
      <c r="C688" s="2" t="n">
        <v>45397</v>
      </c>
      <c r="D688" t="inlineStr">
        <is>
          <t>CUST-00687</t>
        </is>
      </c>
      <c r="E688" t="inlineStr">
        <is>
          <t>Customer 687</t>
        </is>
      </c>
      <c r="F688" t="inlineStr">
        <is>
          <t>Home Office</t>
        </is>
      </c>
      <c r="G688" t="inlineStr">
        <is>
          <t>P1005</t>
        </is>
      </c>
      <c r="H688" t="inlineStr">
        <is>
          <t>Trail Tote</t>
        </is>
      </c>
      <c r="I688" t="inlineStr">
        <is>
          <t>Furniture</t>
        </is>
      </c>
      <c r="J688" t="inlineStr">
        <is>
          <t>Accessories</t>
        </is>
      </c>
      <c r="K688" t="inlineStr">
        <is>
          <t>East</t>
        </is>
      </c>
      <c r="L688" t="inlineStr">
        <is>
          <t>Virginia</t>
        </is>
      </c>
      <c r="M688" t="inlineStr">
        <is>
          <t>Boston</t>
        </is>
      </c>
      <c r="N688" t="inlineStr">
        <is>
          <t>Liam Chen</t>
        </is>
      </c>
      <c r="O688" t="n">
        <v>2</v>
      </c>
      <c r="P688" s="3" t="n">
        <v>12.9</v>
      </c>
      <c r="Q688" s="4" t="n">
        <v>0.015</v>
      </c>
      <c r="R688" s="3" t="n">
        <v>25.41</v>
      </c>
      <c r="S688" s="3" t="n">
        <v>17.31</v>
      </c>
      <c r="T688" s="3" t="n">
        <v>-0.5</v>
      </c>
      <c r="U688" s="4" t="n">
        <v>-0.0197</v>
      </c>
      <c r="V688" s="3" t="n">
        <v>8.6</v>
      </c>
      <c r="W688" t="inlineStr">
        <is>
          <t>Credit Card</t>
        </is>
      </c>
      <c r="X688" t="inlineStr">
        <is>
          <t>High</t>
        </is>
      </c>
      <c r="Y688" t="n">
        <v>2024</v>
      </c>
      <c r="Z688" t="n">
        <v>4</v>
      </c>
      <c r="AA688" t="inlineStr">
        <is>
          <t>Apr</t>
        </is>
      </c>
      <c r="AB688" t="inlineStr">
        <is>
          <t>Wednesday</t>
        </is>
      </c>
      <c r="AC688" t="n">
        <v>5</v>
      </c>
      <c r="AD688" t="inlineStr">
        <is>
          <t>Unprofitable</t>
        </is>
      </c>
      <c r="AE688" t="inlineStr">
        <is>
          <t>Low</t>
        </is>
      </c>
      <c r="AF688" t="inlineStr">
        <is>
          <t>Small</t>
        </is>
      </c>
    </row>
    <row r="689">
      <c r="A689" t="inlineStr">
        <is>
          <t>ORD-00688</t>
        </is>
      </c>
      <c r="B689" s="2" t="n">
        <v>45278</v>
      </c>
      <c r="C689" s="2" t="n">
        <v>45282</v>
      </c>
      <c r="D689" t="inlineStr">
        <is>
          <t>CUST-00688</t>
        </is>
      </c>
      <c r="E689" t="inlineStr">
        <is>
          <t>Customer 688</t>
        </is>
      </c>
      <c r="F689" t="inlineStr">
        <is>
          <t>Corporate</t>
        </is>
      </c>
      <c r="G689" t="inlineStr">
        <is>
          <t>P1012</t>
        </is>
      </c>
      <c r="H689" t="inlineStr">
        <is>
          <t>Echo Web Camera</t>
        </is>
      </c>
      <c r="I689" t="inlineStr">
        <is>
          <t>Office Supplies</t>
        </is>
      </c>
      <c r="J689" t="inlineStr">
        <is>
          <t>Binders</t>
        </is>
      </c>
      <c r="K689" t="inlineStr">
        <is>
          <t>East</t>
        </is>
      </c>
      <c r="L689" t="inlineStr">
        <is>
          <t>New York</t>
        </is>
      </c>
      <c r="M689" t="inlineStr">
        <is>
          <t>Boston</t>
        </is>
      </c>
      <c r="N689" t="inlineStr">
        <is>
          <t>Olivia Martin</t>
        </is>
      </c>
      <c r="O689" t="n">
        <v>4</v>
      </c>
      <c r="P689" s="3" t="n">
        <v>135.22</v>
      </c>
      <c r="Q689" s="4" t="n">
        <v>0.075</v>
      </c>
      <c r="R689" s="3" t="n">
        <v>500.31</v>
      </c>
      <c r="S689" s="3" t="n">
        <v>250.56</v>
      </c>
      <c r="T689" s="3" t="n">
        <v>239.55</v>
      </c>
      <c r="U689" s="4" t="n">
        <v>0.4788</v>
      </c>
      <c r="V689" s="3" t="n">
        <v>10.2</v>
      </c>
      <c r="W689" t="inlineStr">
        <is>
          <t>Bank Transfer</t>
        </is>
      </c>
      <c r="X689" t="inlineStr">
        <is>
          <t>Critical</t>
        </is>
      </c>
      <c r="Y689" t="n">
        <v>2023</v>
      </c>
      <c r="Z689" t="n">
        <v>12</v>
      </c>
      <c r="AA689" t="inlineStr">
        <is>
          <t>Dec</t>
        </is>
      </c>
      <c r="AB689" t="inlineStr">
        <is>
          <t>Monday</t>
        </is>
      </c>
      <c r="AC689" t="n">
        <v>4</v>
      </c>
      <c r="AD689" t="inlineStr">
        <is>
          <t>Profitable</t>
        </is>
      </c>
      <c r="AE689" t="inlineStr">
        <is>
          <t>High</t>
        </is>
      </c>
      <c r="AF689" t="inlineStr">
        <is>
          <t>Medium</t>
        </is>
      </c>
    </row>
    <row r="690">
      <c r="A690" t="inlineStr">
        <is>
          <t>ORD-00689</t>
        </is>
      </c>
      <c r="B690" s="2" t="n">
        <v>45853</v>
      </c>
      <c r="C690" s="2" t="n">
        <v>45858</v>
      </c>
      <c r="D690" t="inlineStr">
        <is>
          <t>CUST-00689</t>
        </is>
      </c>
      <c r="E690" t="inlineStr">
        <is>
          <t>Customer 689</t>
        </is>
      </c>
      <c r="F690" t="inlineStr">
        <is>
          <t>Consumer</t>
        </is>
      </c>
      <c r="G690" t="inlineStr">
        <is>
          <t>P1005</t>
        </is>
      </c>
      <c r="H690" t="inlineStr">
        <is>
          <t>Cove Wall Clock</t>
        </is>
      </c>
      <c r="I690" t="inlineStr">
        <is>
          <t>Technology</t>
        </is>
      </c>
      <c r="J690" t="inlineStr">
        <is>
          <t>Bags</t>
        </is>
      </c>
      <c r="K690" t="inlineStr">
        <is>
          <t>East</t>
        </is>
      </c>
      <c r="L690" t="inlineStr">
        <is>
          <t>Virginia</t>
        </is>
      </c>
      <c r="M690" t="inlineStr">
        <is>
          <t>Boston</t>
        </is>
      </c>
      <c r="N690" t="inlineStr">
        <is>
          <t>Mia Rodriguez</t>
        </is>
      </c>
      <c r="O690" t="n">
        <v>3</v>
      </c>
      <c r="P690" s="3" t="n">
        <v>12.75</v>
      </c>
      <c r="Q690" s="4" t="n">
        <v>0.02</v>
      </c>
      <c r="R690" s="3" t="n">
        <v>37.48</v>
      </c>
      <c r="S690" s="3" t="n">
        <v>17.55</v>
      </c>
      <c r="T690" s="3" t="n">
        <v>10.53</v>
      </c>
      <c r="U690" s="4" t="n">
        <v>0.2809</v>
      </c>
      <c r="V690" s="3" t="n">
        <v>9.4</v>
      </c>
      <c r="W690" t="inlineStr">
        <is>
          <t>Credit Card</t>
        </is>
      </c>
      <c r="X690" t="inlineStr">
        <is>
          <t>Critical</t>
        </is>
      </c>
      <c r="Y690" t="n">
        <v>2025</v>
      </c>
      <c r="Z690" t="n">
        <v>7</v>
      </c>
      <c r="AA690" t="inlineStr">
        <is>
          <t>Jul</t>
        </is>
      </c>
      <c r="AB690" t="inlineStr">
        <is>
          <t>Tuesday</t>
        </is>
      </c>
      <c r="AC690" t="n">
        <v>5</v>
      </c>
      <c r="AD690" t="inlineStr">
        <is>
          <t>Profitable</t>
        </is>
      </c>
      <c r="AE690" t="inlineStr">
        <is>
          <t>Medium</t>
        </is>
      </c>
      <c r="AF690" t="inlineStr">
        <is>
          <t>Small</t>
        </is>
      </c>
    </row>
    <row r="691">
      <c r="A691" t="inlineStr">
        <is>
          <t>ORD-00690</t>
        </is>
      </c>
      <c r="B691" s="2" t="n">
        <v>45097</v>
      </c>
      <c r="C691" s="2" t="n">
        <v>45103</v>
      </c>
      <c r="D691" t="inlineStr">
        <is>
          <t>CUST-00690</t>
        </is>
      </c>
      <c r="E691" t="inlineStr">
        <is>
          <t>Customer 690</t>
        </is>
      </c>
      <c r="F691" t="inlineStr">
        <is>
          <t>Consumer</t>
        </is>
      </c>
      <c r="G691" t="inlineStr">
        <is>
          <t>P1005</t>
        </is>
      </c>
      <c r="H691" t="inlineStr">
        <is>
          <t>CloudDrive File Box</t>
        </is>
      </c>
      <c r="I691" t="inlineStr">
        <is>
          <t>Home Decor</t>
        </is>
      </c>
      <c r="J691" t="inlineStr">
        <is>
          <t>Storage</t>
        </is>
      </c>
      <c r="K691" t="inlineStr">
        <is>
          <t>East</t>
        </is>
      </c>
      <c r="L691" t="inlineStr">
        <is>
          <t>Massachusetts</t>
        </is>
      </c>
      <c r="M691" t="inlineStr">
        <is>
          <t>Philadelphia</t>
        </is>
      </c>
      <c r="N691" t="inlineStr">
        <is>
          <t>Olivia Martin</t>
        </is>
      </c>
      <c r="O691" t="n">
        <v>3</v>
      </c>
      <c r="P691" s="3" t="n">
        <v>13.79</v>
      </c>
      <c r="Q691" s="4" t="n">
        <v>0.011</v>
      </c>
      <c r="R691" s="3" t="n">
        <v>40.91</v>
      </c>
      <c r="S691" s="3" t="n">
        <v>18.41</v>
      </c>
      <c r="T691" s="3" t="n">
        <v>13.1</v>
      </c>
      <c r="U691" s="4" t="n">
        <v>0.3202</v>
      </c>
      <c r="V691" s="3" t="n">
        <v>9.4</v>
      </c>
      <c r="W691" t="inlineStr">
        <is>
          <t>Cash on Delivery</t>
        </is>
      </c>
      <c r="X691" t="inlineStr">
        <is>
          <t>High</t>
        </is>
      </c>
      <c r="Y691" t="n">
        <v>2023</v>
      </c>
      <c r="Z691" t="n">
        <v>6</v>
      </c>
      <c r="AA691" t="inlineStr">
        <is>
          <t>Jun</t>
        </is>
      </c>
      <c r="AB691" t="inlineStr">
        <is>
          <t>Tuesday</t>
        </is>
      </c>
      <c r="AC691" t="n">
        <v>6</v>
      </c>
      <c r="AD691" t="inlineStr">
        <is>
          <t>Profitable</t>
        </is>
      </c>
      <c r="AE691" t="inlineStr">
        <is>
          <t>Low</t>
        </is>
      </c>
      <c r="AF691" t="inlineStr">
        <is>
          <t>Small</t>
        </is>
      </c>
    </row>
    <row r="692">
      <c r="A692" t="inlineStr">
        <is>
          <t>ORD-00691</t>
        </is>
      </c>
      <c r="B692" s="2" t="n">
        <v>45609</v>
      </c>
      <c r="C692" s="2" t="n">
        <v>45614</v>
      </c>
      <c r="D692" t="inlineStr">
        <is>
          <t>CUST-00691</t>
        </is>
      </c>
      <c r="E692" t="inlineStr">
        <is>
          <t>Customer 691</t>
        </is>
      </c>
      <c r="F692" t="inlineStr">
        <is>
          <t>Consumer</t>
        </is>
      </c>
      <c r="G692" t="inlineStr">
        <is>
          <t>P1004</t>
        </is>
      </c>
      <c r="H692" t="inlineStr">
        <is>
          <t>ProClip Binder</t>
        </is>
      </c>
      <c r="I692" t="inlineStr">
        <is>
          <t>Office Supplies</t>
        </is>
      </c>
      <c r="J692" t="inlineStr">
        <is>
          <t>Desks</t>
        </is>
      </c>
      <c r="K692" t="inlineStr">
        <is>
          <t>West</t>
        </is>
      </c>
      <c r="L692" t="inlineStr">
        <is>
          <t>Colorado</t>
        </is>
      </c>
      <c r="M692" t="inlineStr">
        <is>
          <t>Los Angeles</t>
        </is>
      </c>
      <c r="N692" t="inlineStr">
        <is>
          <t>Mia Rodriguez</t>
        </is>
      </c>
      <c r="O692" t="n">
        <v>2</v>
      </c>
      <c r="P692" s="3" t="n">
        <v>711.4</v>
      </c>
      <c r="Q692" s="4" t="n">
        <v>0.024</v>
      </c>
      <c r="R692" s="3" t="n">
        <v>1388.65</v>
      </c>
      <c r="S692" s="3" t="n">
        <v>882.6</v>
      </c>
      <c r="T692" s="3" t="n">
        <v>497.45</v>
      </c>
      <c r="U692" s="4" t="n">
        <v>0.3582</v>
      </c>
      <c r="V692" s="3" t="n">
        <v>8.6</v>
      </c>
      <c r="W692" t="inlineStr">
        <is>
          <t>Debit Card</t>
        </is>
      </c>
      <c r="X692" t="inlineStr">
        <is>
          <t>High</t>
        </is>
      </c>
      <c r="Y692" t="n">
        <v>2024</v>
      </c>
      <c r="Z692" t="n">
        <v>11</v>
      </c>
      <c r="AA692" t="inlineStr">
        <is>
          <t>Nov</t>
        </is>
      </c>
      <c r="AB692" t="inlineStr">
        <is>
          <t>Wednesday</t>
        </is>
      </c>
      <c r="AC692" t="n">
        <v>5</v>
      </c>
      <c r="AD692" t="inlineStr">
        <is>
          <t>Profitable</t>
        </is>
      </c>
      <c r="AE692" t="inlineStr">
        <is>
          <t>Medium</t>
        </is>
      </c>
      <c r="AF692" t="inlineStr">
        <is>
          <t>Medium</t>
        </is>
      </c>
    </row>
    <row r="693">
      <c r="A693" t="inlineStr">
        <is>
          <t>ORD-00692</t>
        </is>
      </c>
      <c r="B693" s="2" t="n">
        <v>45470</v>
      </c>
      <c r="C693" s="2" t="n">
        <v>45477</v>
      </c>
      <c r="D693" t="inlineStr">
        <is>
          <t>CUST-00692</t>
        </is>
      </c>
      <c r="E693" t="inlineStr">
        <is>
          <t>Customer 692</t>
        </is>
      </c>
      <c r="F693" t="inlineStr">
        <is>
          <t>Consumer</t>
        </is>
      </c>
      <c r="G693" t="inlineStr">
        <is>
          <t>P1006</t>
        </is>
      </c>
      <c r="H693" t="inlineStr">
        <is>
          <t>Cove Wall Clock</t>
        </is>
      </c>
      <c r="I693" t="inlineStr">
        <is>
          <t>Technology</t>
        </is>
      </c>
      <c r="J693" t="inlineStr">
        <is>
          <t>Binders</t>
        </is>
      </c>
      <c r="K693" t="inlineStr">
        <is>
          <t>Central</t>
        </is>
      </c>
      <c r="L693" t="inlineStr">
        <is>
          <t>Kansas</t>
        </is>
      </c>
      <c r="M693" t="inlineStr">
        <is>
          <t>Kansas City</t>
        </is>
      </c>
      <c r="N693" t="inlineStr">
        <is>
          <t>Mia Rodriguez</t>
        </is>
      </c>
      <c r="O693" t="n">
        <v>2</v>
      </c>
      <c r="P693" s="3" t="n">
        <v>19.38</v>
      </c>
      <c r="Q693" s="4" t="n">
        <v>0.019</v>
      </c>
      <c r="R693" s="3" t="n">
        <v>38.02</v>
      </c>
      <c r="S693" s="3" t="n">
        <v>21.08</v>
      </c>
      <c r="T693" s="3" t="n">
        <v>9.34</v>
      </c>
      <c r="U693" s="4" t="n">
        <v>0.2457</v>
      </c>
      <c r="V693" s="3" t="n">
        <v>7.6</v>
      </c>
      <c r="W693" t="inlineStr">
        <is>
          <t>Bank Transfer</t>
        </is>
      </c>
      <c r="X693" t="inlineStr">
        <is>
          <t>Low</t>
        </is>
      </c>
      <c r="Y693" t="n">
        <v>2024</v>
      </c>
      <c r="Z693" t="n">
        <v>6</v>
      </c>
      <c r="AA693" t="inlineStr">
        <is>
          <t>Jun</t>
        </is>
      </c>
      <c r="AB693" t="inlineStr">
        <is>
          <t>Thursday</t>
        </is>
      </c>
      <c r="AC693" t="n">
        <v>7</v>
      </c>
      <c r="AD693" t="inlineStr">
        <is>
          <t>Profitable</t>
        </is>
      </c>
      <c r="AE693" t="inlineStr">
        <is>
          <t>Low</t>
        </is>
      </c>
      <c r="AF693" t="inlineStr">
        <is>
          <t>Small</t>
        </is>
      </c>
    </row>
    <row r="694">
      <c r="A694" t="inlineStr">
        <is>
          <t>ORD-00693</t>
        </is>
      </c>
      <c r="B694" s="2" t="n">
        <v>45422</v>
      </c>
      <c r="C694" s="2" t="n">
        <v>45424</v>
      </c>
      <c r="D694" t="inlineStr">
        <is>
          <t>CUST-00693</t>
        </is>
      </c>
      <c r="E694" t="inlineStr">
        <is>
          <t>Customer 693</t>
        </is>
      </c>
      <c r="F694" t="inlineStr">
        <is>
          <t>Consumer</t>
        </is>
      </c>
      <c r="G694" t="inlineStr">
        <is>
          <t>P1010</t>
        </is>
      </c>
      <c r="H694" t="inlineStr">
        <is>
          <t>Halo Planter</t>
        </is>
      </c>
      <c r="I694" t="inlineStr">
        <is>
          <t>Home Decor</t>
        </is>
      </c>
      <c r="J694" t="inlineStr">
        <is>
          <t>Video</t>
        </is>
      </c>
      <c r="K694" t="inlineStr">
        <is>
          <t>East</t>
        </is>
      </c>
      <c r="L694" t="inlineStr">
        <is>
          <t>Virginia</t>
        </is>
      </c>
      <c r="M694" t="inlineStr">
        <is>
          <t>New York</t>
        </is>
      </c>
      <c r="N694" t="inlineStr">
        <is>
          <t>Ava Patel</t>
        </is>
      </c>
      <c r="O694" t="n">
        <v>3</v>
      </c>
      <c r="P694" s="3" t="n">
        <v>53.7</v>
      </c>
      <c r="Q694" s="4" t="n">
        <v>0.019</v>
      </c>
      <c r="R694" s="3" t="n">
        <v>158.04</v>
      </c>
      <c r="S694" s="3" t="n">
        <v>72.92</v>
      </c>
      <c r="T694" s="3" t="n">
        <v>75.72</v>
      </c>
      <c r="U694" s="4" t="n">
        <v>0.4791</v>
      </c>
      <c r="V694" s="3" t="n">
        <v>9.4</v>
      </c>
      <c r="W694" t="inlineStr">
        <is>
          <t>PayPal</t>
        </is>
      </c>
      <c r="X694" t="inlineStr">
        <is>
          <t>High</t>
        </is>
      </c>
      <c r="Y694" t="n">
        <v>2024</v>
      </c>
      <c r="Z694" t="n">
        <v>5</v>
      </c>
      <c r="AA694" t="inlineStr">
        <is>
          <t>May</t>
        </is>
      </c>
      <c r="AB694" t="inlineStr">
        <is>
          <t>Friday</t>
        </is>
      </c>
      <c r="AC694" t="n">
        <v>2</v>
      </c>
      <c r="AD694" t="inlineStr">
        <is>
          <t>Profitable</t>
        </is>
      </c>
      <c r="AE694" t="inlineStr">
        <is>
          <t>Low</t>
        </is>
      </c>
      <c r="AF694" t="inlineStr">
        <is>
          <t>Small</t>
        </is>
      </c>
    </row>
    <row r="695">
      <c r="A695" t="inlineStr">
        <is>
          <t>ORD-00694</t>
        </is>
      </c>
      <c r="B695" s="2" t="n">
        <v>45025</v>
      </c>
      <c r="C695" s="2" t="n">
        <v>45030</v>
      </c>
      <c r="D695" t="inlineStr">
        <is>
          <t>CUST-00694</t>
        </is>
      </c>
      <c r="E695" t="inlineStr">
        <is>
          <t>Customer 694</t>
        </is>
      </c>
      <c r="F695" t="inlineStr">
        <is>
          <t>Corporate</t>
        </is>
      </c>
      <c r="G695" t="inlineStr">
        <is>
          <t>P1006</t>
        </is>
      </c>
      <c r="H695" t="inlineStr">
        <is>
          <t>Trail Tote</t>
        </is>
      </c>
      <c r="I695" t="inlineStr">
        <is>
          <t>Home Decor</t>
        </is>
      </c>
      <c r="J695" t="inlineStr">
        <is>
          <t>Video</t>
        </is>
      </c>
      <c r="K695" t="inlineStr">
        <is>
          <t>North</t>
        </is>
      </c>
      <c r="L695" t="inlineStr">
        <is>
          <t>Alberta</t>
        </is>
      </c>
      <c r="M695" t="inlineStr">
        <is>
          <t>Toronto</t>
        </is>
      </c>
      <c r="N695" t="inlineStr">
        <is>
          <t>Olivia Martin</t>
        </is>
      </c>
      <c r="O695" t="n">
        <v>3</v>
      </c>
      <c r="P695" s="3" t="n">
        <v>18.49</v>
      </c>
      <c r="Q695" s="4" t="n">
        <v>0.018</v>
      </c>
      <c r="R695" s="3" t="n">
        <v>54.47</v>
      </c>
      <c r="S695" s="3" t="n">
        <v>21.16</v>
      </c>
      <c r="T695" s="3" t="n">
        <v>24.91</v>
      </c>
      <c r="U695" s="4" t="n">
        <v>0.4573</v>
      </c>
      <c r="V695" s="3" t="n">
        <v>8.4</v>
      </c>
      <c r="W695" t="inlineStr">
        <is>
          <t>PayPal</t>
        </is>
      </c>
      <c r="X695" t="inlineStr">
        <is>
          <t>Medium</t>
        </is>
      </c>
      <c r="Y695" t="n">
        <v>2023</v>
      </c>
      <c r="Z695" t="n">
        <v>4</v>
      </c>
      <c r="AA695" t="inlineStr">
        <is>
          <t>Apr</t>
        </is>
      </c>
      <c r="AB695" t="inlineStr">
        <is>
          <t>Sunday</t>
        </is>
      </c>
      <c r="AC695" t="n">
        <v>5</v>
      </c>
      <c r="AD695" t="inlineStr">
        <is>
          <t>Profitable</t>
        </is>
      </c>
      <c r="AE695" t="inlineStr">
        <is>
          <t>Low</t>
        </is>
      </c>
      <c r="AF695" t="inlineStr">
        <is>
          <t>Small</t>
        </is>
      </c>
    </row>
    <row r="696">
      <c r="A696" t="inlineStr">
        <is>
          <t>ORD-00695</t>
        </is>
      </c>
      <c r="B696" s="2" t="n">
        <v>45090</v>
      </c>
      <c r="C696" s="2" t="n">
        <v>45094</v>
      </c>
      <c r="D696" t="inlineStr">
        <is>
          <t>CUST-00695</t>
        </is>
      </c>
      <c r="E696" t="inlineStr">
        <is>
          <t>Customer 695</t>
        </is>
      </c>
      <c r="F696" t="inlineStr">
        <is>
          <t>Corporate</t>
        </is>
      </c>
      <c r="G696" t="inlineStr">
        <is>
          <t>P1001</t>
        </is>
      </c>
      <c r="H696" t="inlineStr">
        <is>
          <t>Nimbus Monitor Arm</t>
        </is>
      </c>
      <c r="I696" t="inlineStr">
        <is>
          <t>Outdoor</t>
        </is>
      </c>
      <c r="J696" t="inlineStr">
        <is>
          <t>Writing</t>
        </is>
      </c>
      <c r="K696" t="inlineStr">
        <is>
          <t>East</t>
        </is>
      </c>
      <c r="L696" t="inlineStr">
        <is>
          <t>Virginia</t>
        </is>
      </c>
      <c r="M696" t="inlineStr">
        <is>
          <t>Boston</t>
        </is>
      </c>
      <c r="N696" t="inlineStr">
        <is>
          <t>James Carter</t>
        </is>
      </c>
      <c r="O696" t="n">
        <v>3</v>
      </c>
      <c r="P696" s="3" t="n">
        <v>314.57</v>
      </c>
      <c r="Q696" s="4" t="n">
        <v>0.024</v>
      </c>
      <c r="R696" s="3" t="n">
        <v>921.0599999999999</v>
      </c>
      <c r="S696" s="3" t="n">
        <v>543.17</v>
      </c>
      <c r="T696" s="3" t="n">
        <v>368.49</v>
      </c>
      <c r="U696" s="4" t="n">
        <v>0.4001</v>
      </c>
      <c r="V696" s="3" t="n">
        <v>9.4</v>
      </c>
      <c r="W696" t="inlineStr">
        <is>
          <t>Debit Card</t>
        </is>
      </c>
      <c r="X696" t="inlineStr">
        <is>
          <t>High</t>
        </is>
      </c>
      <c r="Y696" t="n">
        <v>2023</v>
      </c>
      <c r="Z696" t="n">
        <v>6</v>
      </c>
      <c r="AA696" t="inlineStr">
        <is>
          <t>Jun</t>
        </is>
      </c>
      <c r="AB696" t="inlineStr">
        <is>
          <t>Tuesday</t>
        </is>
      </c>
      <c r="AC696" t="n">
        <v>4</v>
      </c>
      <c r="AD696" t="inlineStr">
        <is>
          <t>Profitable</t>
        </is>
      </c>
      <c r="AE696" t="inlineStr">
        <is>
          <t>Medium</t>
        </is>
      </c>
      <c r="AF696" t="inlineStr">
        <is>
          <t>Medium</t>
        </is>
      </c>
    </row>
    <row r="697">
      <c r="A697" t="inlineStr">
        <is>
          <t>ORD-00696</t>
        </is>
      </c>
      <c r="B697" s="2" t="n">
        <v>45415</v>
      </c>
      <c r="C697" s="2" t="n">
        <v>45421</v>
      </c>
      <c r="D697" t="inlineStr">
        <is>
          <t>CUST-00696</t>
        </is>
      </c>
      <c r="E697" t="inlineStr">
        <is>
          <t>Customer 696</t>
        </is>
      </c>
      <c r="F697" t="inlineStr">
        <is>
          <t>Corporate</t>
        </is>
      </c>
      <c r="G697" t="inlineStr">
        <is>
          <t>P1016</t>
        </is>
      </c>
      <c r="H697" t="inlineStr">
        <is>
          <t>SmartInk Pen Set</t>
        </is>
      </c>
      <c r="I697" t="inlineStr">
        <is>
          <t>Office Supplies</t>
        </is>
      </c>
      <c r="J697" t="inlineStr">
        <is>
          <t>Textiles</t>
        </is>
      </c>
      <c r="K697" t="inlineStr">
        <is>
          <t>Central</t>
        </is>
      </c>
      <c r="L697" t="inlineStr">
        <is>
          <t>Illinois</t>
        </is>
      </c>
      <c r="M697" t="inlineStr">
        <is>
          <t>St. Louis</t>
        </is>
      </c>
      <c r="N697" t="inlineStr">
        <is>
          <t>Mia Rodriguez</t>
        </is>
      </c>
      <c r="O697" t="n">
        <v>2</v>
      </c>
      <c r="P697" s="3" t="n">
        <v>36.12</v>
      </c>
      <c r="Q697" s="4" t="n">
        <v>0.043</v>
      </c>
      <c r="R697" s="3" t="n">
        <v>69.13</v>
      </c>
      <c r="S697" s="3" t="n">
        <v>31.28</v>
      </c>
      <c r="T697" s="3" t="n">
        <v>30.25</v>
      </c>
      <c r="U697" s="4" t="n">
        <v>0.4376</v>
      </c>
      <c r="V697" s="3" t="n">
        <v>7.6</v>
      </c>
      <c r="W697" t="inlineStr">
        <is>
          <t>Debit Card</t>
        </is>
      </c>
      <c r="X697" t="inlineStr">
        <is>
          <t>Critical</t>
        </is>
      </c>
      <c r="Y697" t="n">
        <v>2024</v>
      </c>
      <c r="Z697" t="n">
        <v>5</v>
      </c>
      <c r="AA697" t="inlineStr">
        <is>
          <t>May</t>
        </is>
      </c>
      <c r="AB697" t="inlineStr">
        <is>
          <t>Friday</t>
        </is>
      </c>
      <c r="AC697" t="n">
        <v>6</v>
      </c>
      <c r="AD697" t="inlineStr">
        <is>
          <t>Profitable</t>
        </is>
      </c>
      <c r="AE697" t="inlineStr">
        <is>
          <t>Medium</t>
        </is>
      </c>
      <c r="AF697" t="inlineStr">
        <is>
          <t>Small</t>
        </is>
      </c>
    </row>
    <row r="698">
      <c r="A698" t="inlineStr">
        <is>
          <t>ORD-00697</t>
        </is>
      </c>
      <c r="B698" s="2" t="n">
        <v>45191</v>
      </c>
      <c r="C698" s="2" t="n">
        <v>45192</v>
      </c>
      <c r="D698" t="inlineStr">
        <is>
          <t>CUST-00697</t>
        </is>
      </c>
      <c r="E698" t="inlineStr">
        <is>
          <t>Customer 697</t>
        </is>
      </c>
      <c r="F698" t="inlineStr">
        <is>
          <t>Consumer</t>
        </is>
      </c>
      <c r="G698" t="inlineStr">
        <is>
          <t>P1011</t>
        </is>
      </c>
      <c r="H698" t="inlineStr">
        <is>
          <t>Atlas Throw Pillow</t>
        </is>
      </c>
      <c r="I698" t="inlineStr">
        <is>
          <t>Furniture</t>
        </is>
      </c>
      <c r="J698" t="inlineStr">
        <is>
          <t>Writing</t>
        </is>
      </c>
      <c r="K698" t="inlineStr">
        <is>
          <t>Central</t>
        </is>
      </c>
      <c r="L698" t="inlineStr">
        <is>
          <t>Missouri</t>
        </is>
      </c>
      <c r="M698" t="inlineStr">
        <is>
          <t>Kansas City</t>
        </is>
      </c>
      <c r="N698" t="inlineStr">
        <is>
          <t>Noah Kim</t>
        </is>
      </c>
      <c r="O698" t="n">
        <v>4</v>
      </c>
      <c r="P698" s="3" t="n">
        <v>88.55</v>
      </c>
      <c r="Q698" s="4" t="n">
        <v>0.013</v>
      </c>
      <c r="R698" s="3" t="n">
        <v>349.6</v>
      </c>
      <c r="S698" s="3" t="n">
        <v>170</v>
      </c>
      <c r="T698" s="3" t="n">
        <v>170.4</v>
      </c>
      <c r="U698" s="4" t="n">
        <v>0.4874</v>
      </c>
      <c r="V698" s="3" t="n">
        <v>9.199999999999999</v>
      </c>
      <c r="W698" t="inlineStr">
        <is>
          <t>Cash on Delivery</t>
        </is>
      </c>
      <c r="X698" t="inlineStr">
        <is>
          <t>Medium</t>
        </is>
      </c>
      <c r="Y698" t="n">
        <v>2023</v>
      </c>
      <c r="Z698" t="n">
        <v>9</v>
      </c>
      <c r="AA698" t="inlineStr">
        <is>
          <t>Sep</t>
        </is>
      </c>
      <c r="AB698" t="inlineStr">
        <is>
          <t>Friday</t>
        </is>
      </c>
      <c r="AC698" t="n">
        <v>1</v>
      </c>
      <c r="AD698" t="inlineStr">
        <is>
          <t>Profitable</t>
        </is>
      </c>
      <c r="AE698" t="inlineStr">
        <is>
          <t>Low</t>
        </is>
      </c>
      <c r="AF698" t="inlineStr">
        <is>
          <t>Small</t>
        </is>
      </c>
    </row>
    <row r="699">
      <c r="A699" t="inlineStr">
        <is>
          <t>ORD-00698</t>
        </is>
      </c>
      <c r="B699" s="2" t="n">
        <v>45439</v>
      </c>
      <c r="C699" s="2" t="n">
        <v>45445</v>
      </c>
      <c r="D699" t="inlineStr">
        <is>
          <t>CUST-00698</t>
        </is>
      </c>
      <c r="E699" t="inlineStr">
        <is>
          <t>Customer 698</t>
        </is>
      </c>
      <c r="F699" t="inlineStr">
        <is>
          <t>Corporate</t>
        </is>
      </c>
      <c r="G699" t="inlineStr">
        <is>
          <t>P1006</t>
        </is>
      </c>
      <c r="H699" t="inlineStr">
        <is>
          <t>Lumen Desk Lamp</t>
        </is>
      </c>
      <c r="I699" t="inlineStr">
        <is>
          <t>Furniture</t>
        </is>
      </c>
      <c r="J699" t="inlineStr">
        <is>
          <t>Accessories</t>
        </is>
      </c>
      <c r="K699" t="inlineStr">
        <is>
          <t>Central</t>
        </is>
      </c>
      <c r="L699" t="inlineStr">
        <is>
          <t>Kansas</t>
        </is>
      </c>
      <c r="M699" t="inlineStr">
        <is>
          <t>Kansas City</t>
        </is>
      </c>
      <c r="N699" t="inlineStr">
        <is>
          <t>Noah Kim</t>
        </is>
      </c>
      <c r="O699" t="n">
        <v>2</v>
      </c>
      <c r="P699" s="3" t="n">
        <v>17.41</v>
      </c>
      <c r="Q699" s="4" t="n">
        <v>0.061</v>
      </c>
      <c r="R699" s="3" t="n">
        <v>32.7</v>
      </c>
      <c r="S699" s="3" t="n">
        <v>19.27</v>
      </c>
      <c r="T699" s="3" t="n">
        <v>5.83</v>
      </c>
      <c r="U699" s="4" t="n">
        <v>0.1783</v>
      </c>
      <c r="V699" s="3" t="n">
        <v>7.6</v>
      </c>
      <c r="W699" t="inlineStr">
        <is>
          <t>PayPal</t>
        </is>
      </c>
      <c r="X699" t="inlineStr">
        <is>
          <t>Critical</t>
        </is>
      </c>
      <c r="Y699" t="n">
        <v>2024</v>
      </c>
      <c r="Z699" t="n">
        <v>5</v>
      </c>
      <c r="AA699" t="inlineStr">
        <is>
          <t>May</t>
        </is>
      </c>
      <c r="AB699" t="inlineStr">
        <is>
          <t>Monday</t>
        </is>
      </c>
      <c r="AC699" t="n">
        <v>6</v>
      </c>
      <c r="AD699" t="inlineStr">
        <is>
          <t>Profitable</t>
        </is>
      </c>
      <c r="AE699" t="inlineStr">
        <is>
          <t>High</t>
        </is>
      </c>
      <c r="AF699" t="inlineStr">
        <is>
          <t>Small</t>
        </is>
      </c>
    </row>
    <row r="700">
      <c r="A700" t="inlineStr">
        <is>
          <t>ORD-00699</t>
        </is>
      </c>
      <c r="B700" s="2" t="n">
        <v>45161</v>
      </c>
      <c r="C700" s="2" t="n">
        <v>45162</v>
      </c>
      <c r="D700" t="inlineStr">
        <is>
          <t>CUST-00699</t>
        </is>
      </c>
      <c r="E700" t="inlineStr">
        <is>
          <t>Customer 699</t>
        </is>
      </c>
      <c r="F700" t="inlineStr">
        <is>
          <t>Corporate</t>
        </is>
      </c>
      <c r="G700" t="inlineStr">
        <is>
          <t>P1020</t>
        </is>
      </c>
      <c r="H700" t="inlineStr">
        <is>
          <t>Summit Patio Set</t>
        </is>
      </c>
      <c r="I700" t="inlineStr">
        <is>
          <t>Outdoor</t>
        </is>
      </c>
      <c r="J700" t="inlineStr">
        <is>
          <t>Flooring</t>
        </is>
      </c>
      <c r="K700" t="inlineStr">
        <is>
          <t>West</t>
        </is>
      </c>
      <c r="L700" t="inlineStr">
        <is>
          <t>Washington</t>
        </is>
      </c>
      <c r="M700" t="inlineStr">
        <is>
          <t>Seattle</t>
        </is>
      </c>
      <c r="N700" t="inlineStr">
        <is>
          <t>Mia Rodriguez</t>
        </is>
      </c>
      <c r="O700" t="n">
        <v>3</v>
      </c>
      <c r="P700" s="3" t="n">
        <v>77.47</v>
      </c>
      <c r="Q700" s="4" t="n">
        <v>0.062</v>
      </c>
      <c r="R700" s="3" t="n">
        <v>218</v>
      </c>
      <c r="S700" s="3" t="n">
        <v>107.35</v>
      </c>
      <c r="T700" s="3" t="n">
        <v>101.25</v>
      </c>
      <c r="U700" s="4" t="n">
        <v>0.4644</v>
      </c>
      <c r="V700" s="3" t="n">
        <v>9.4</v>
      </c>
      <c r="W700" t="inlineStr">
        <is>
          <t>PayPal</t>
        </is>
      </c>
      <c r="X700" t="inlineStr">
        <is>
          <t>High</t>
        </is>
      </c>
      <c r="Y700" t="n">
        <v>2023</v>
      </c>
      <c r="Z700" t="n">
        <v>8</v>
      </c>
      <c r="AA700" t="inlineStr">
        <is>
          <t>Aug</t>
        </is>
      </c>
      <c r="AB700" t="inlineStr">
        <is>
          <t>Wednesday</t>
        </is>
      </c>
      <c r="AC700" t="n">
        <v>1</v>
      </c>
      <c r="AD700" t="inlineStr">
        <is>
          <t>Profitable</t>
        </is>
      </c>
      <c r="AE700" t="inlineStr">
        <is>
          <t>High</t>
        </is>
      </c>
      <c r="AF700" t="inlineStr">
        <is>
          <t>Small</t>
        </is>
      </c>
    </row>
    <row r="701">
      <c r="A701" t="inlineStr">
        <is>
          <t>ORD-00700</t>
        </is>
      </c>
      <c r="B701" s="2" t="n">
        <v>45325</v>
      </c>
      <c r="C701" s="2" t="n">
        <v>45329</v>
      </c>
      <c r="D701" t="inlineStr">
        <is>
          <t>CUST-00700</t>
        </is>
      </c>
      <c r="E701" t="inlineStr">
        <is>
          <t>Customer 700</t>
        </is>
      </c>
      <c r="F701" t="inlineStr">
        <is>
          <t>Home Office</t>
        </is>
      </c>
      <c r="G701" t="inlineStr">
        <is>
          <t>P1018</t>
        </is>
      </c>
      <c r="H701" t="inlineStr">
        <is>
          <t>Pulse Keyboard</t>
        </is>
      </c>
      <c r="I701" t="inlineStr">
        <is>
          <t>Outdoor</t>
        </is>
      </c>
      <c r="J701" t="inlineStr">
        <is>
          <t>Bags</t>
        </is>
      </c>
      <c r="K701" t="inlineStr">
        <is>
          <t>Central</t>
        </is>
      </c>
      <c r="L701" t="inlineStr">
        <is>
          <t>Illinois</t>
        </is>
      </c>
      <c r="M701" t="inlineStr">
        <is>
          <t>Minneapolis</t>
        </is>
      </c>
      <c r="N701" t="inlineStr">
        <is>
          <t>Olivia Martin</t>
        </is>
      </c>
      <c r="O701" t="n">
        <v>5</v>
      </c>
      <c r="P701" s="3" t="n">
        <v>85.13</v>
      </c>
      <c r="Q701" s="4" t="n">
        <v>0.01</v>
      </c>
      <c r="R701" s="3" t="n">
        <v>421.39</v>
      </c>
      <c r="S701" s="3" t="n">
        <v>186.78</v>
      </c>
      <c r="T701" s="3" t="n">
        <v>224.61</v>
      </c>
      <c r="U701" s="4" t="n">
        <v>0.533</v>
      </c>
      <c r="V701" s="3" t="n">
        <v>10</v>
      </c>
      <c r="W701" t="inlineStr">
        <is>
          <t>Debit Card</t>
        </is>
      </c>
      <c r="X701" t="inlineStr">
        <is>
          <t>Medium</t>
        </is>
      </c>
      <c r="Y701" t="n">
        <v>2024</v>
      </c>
      <c r="Z701" t="n">
        <v>2</v>
      </c>
      <c r="AA701" t="inlineStr">
        <is>
          <t>Feb</t>
        </is>
      </c>
      <c r="AB701" t="inlineStr">
        <is>
          <t>Saturday</t>
        </is>
      </c>
      <c r="AC701" t="n">
        <v>4</v>
      </c>
      <c r="AD701" t="inlineStr">
        <is>
          <t>Profitable</t>
        </is>
      </c>
      <c r="AE701" t="inlineStr">
        <is>
          <t>Low</t>
        </is>
      </c>
      <c r="AF701" t="inlineStr">
        <is>
          <t>Small</t>
        </is>
      </c>
    </row>
    <row r="702">
      <c r="A702" t="inlineStr">
        <is>
          <t>ORD-00701</t>
        </is>
      </c>
      <c r="B702" s="2" t="n">
        <v>45383</v>
      </c>
      <c r="C702" s="2" t="n">
        <v>45389</v>
      </c>
      <c r="D702" t="inlineStr">
        <is>
          <t>CUST-00701</t>
        </is>
      </c>
      <c r="E702" t="inlineStr">
        <is>
          <t>Customer 701</t>
        </is>
      </c>
      <c r="F702" t="inlineStr">
        <is>
          <t>Consumer</t>
        </is>
      </c>
      <c r="G702" t="inlineStr">
        <is>
          <t>P1006</t>
        </is>
      </c>
      <c r="H702" t="inlineStr">
        <is>
          <t>Nimbus Monitor Arm</t>
        </is>
      </c>
      <c r="I702" t="inlineStr">
        <is>
          <t>Office Supplies</t>
        </is>
      </c>
      <c r="J702" t="inlineStr">
        <is>
          <t>Accessories</t>
        </is>
      </c>
      <c r="K702" t="inlineStr">
        <is>
          <t>West</t>
        </is>
      </c>
      <c r="L702" t="inlineStr">
        <is>
          <t>Oregon</t>
        </is>
      </c>
      <c r="M702" t="inlineStr">
        <is>
          <t>Denver</t>
        </is>
      </c>
      <c r="N702" t="inlineStr">
        <is>
          <t>Liam Chen</t>
        </is>
      </c>
      <c r="O702" t="n">
        <v>3</v>
      </c>
      <c r="P702" s="3" t="n">
        <v>18.32</v>
      </c>
      <c r="Q702" s="4" t="n">
        <v>0.025</v>
      </c>
      <c r="R702" s="3" t="n">
        <v>53.59</v>
      </c>
      <c r="S702" s="3" t="n">
        <v>24.71</v>
      </c>
      <c r="T702" s="3" t="n">
        <v>19.48</v>
      </c>
      <c r="U702" s="4" t="n">
        <v>0.3635</v>
      </c>
      <c r="V702" s="3" t="n">
        <v>9.4</v>
      </c>
      <c r="W702" t="inlineStr">
        <is>
          <t>Credit Card</t>
        </is>
      </c>
      <c r="X702" t="inlineStr">
        <is>
          <t>Low</t>
        </is>
      </c>
      <c r="Y702" t="n">
        <v>2024</v>
      </c>
      <c r="Z702" t="n">
        <v>4</v>
      </c>
      <c r="AA702" t="inlineStr">
        <is>
          <t>Apr</t>
        </is>
      </c>
      <c r="AB702" t="inlineStr">
        <is>
          <t>Monday</t>
        </is>
      </c>
      <c r="AC702" t="n">
        <v>6</v>
      </c>
      <c r="AD702" t="inlineStr">
        <is>
          <t>Profitable</t>
        </is>
      </c>
      <c r="AE702" t="inlineStr">
        <is>
          <t>Medium</t>
        </is>
      </c>
      <c r="AF702" t="inlineStr">
        <is>
          <t>Small</t>
        </is>
      </c>
    </row>
    <row r="703">
      <c r="A703" t="inlineStr">
        <is>
          <t>ORD-00702</t>
        </is>
      </c>
      <c r="B703" s="2" t="n">
        <v>45079</v>
      </c>
      <c r="C703" s="2" t="n">
        <v>45085</v>
      </c>
      <c r="D703" t="inlineStr">
        <is>
          <t>CUST-00702</t>
        </is>
      </c>
      <c r="E703" t="inlineStr">
        <is>
          <t>Customer 702</t>
        </is>
      </c>
      <c r="F703" t="inlineStr">
        <is>
          <t>Home Office</t>
        </is>
      </c>
      <c r="G703" t="inlineStr">
        <is>
          <t>P1017</t>
        </is>
      </c>
      <c r="H703" t="inlineStr">
        <is>
          <t>CloudDrive File Box</t>
        </is>
      </c>
      <c r="I703" t="inlineStr">
        <is>
          <t>Office Supplies</t>
        </is>
      </c>
      <c r="J703" t="inlineStr">
        <is>
          <t>Peripherals</t>
        </is>
      </c>
      <c r="K703" t="inlineStr">
        <is>
          <t>East</t>
        </is>
      </c>
      <c r="L703" t="inlineStr">
        <is>
          <t>New York</t>
        </is>
      </c>
      <c r="M703" t="inlineStr">
        <is>
          <t>Philadelphia</t>
        </is>
      </c>
      <c r="N703" t="inlineStr">
        <is>
          <t>Olivia Martin</t>
        </is>
      </c>
      <c r="O703" t="n">
        <v>2</v>
      </c>
      <c r="P703" s="3" t="n">
        <v>583.58</v>
      </c>
      <c r="Q703" s="4" t="n">
        <v>0.014</v>
      </c>
      <c r="R703" s="3" t="n">
        <v>1150.82</v>
      </c>
      <c r="S703" s="3" t="n">
        <v>766.67</v>
      </c>
      <c r="T703" s="3" t="n">
        <v>375.55</v>
      </c>
      <c r="U703" s="4" t="n">
        <v>0.3263</v>
      </c>
      <c r="V703" s="3" t="n">
        <v>8.6</v>
      </c>
      <c r="W703" t="inlineStr">
        <is>
          <t>Credit Card</t>
        </is>
      </c>
      <c r="X703" t="inlineStr">
        <is>
          <t>High</t>
        </is>
      </c>
      <c r="Y703" t="n">
        <v>2023</v>
      </c>
      <c r="Z703" t="n">
        <v>6</v>
      </c>
      <c r="AA703" t="inlineStr">
        <is>
          <t>Jun</t>
        </is>
      </c>
      <c r="AB703" t="inlineStr">
        <is>
          <t>Friday</t>
        </is>
      </c>
      <c r="AC703" t="n">
        <v>6</v>
      </c>
      <c r="AD703" t="inlineStr">
        <is>
          <t>Profitable</t>
        </is>
      </c>
      <c r="AE703" t="inlineStr">
        <is>
          <t>Low</t>
        </is>
      </c>
      <c r="AF703" t="inlineStr">
        <is>
          <t>Medium</t>
        </is>
      </c>
    </row>
    <row r="704">
      <c r="A704" t="inlineStr">
        <is>
          <t>ORD-00703</t>
        </is>
      </c>
      <c r="B704" s="2" t="n">
        <v>45637</v>
      </c>
      <c r="C704" s="2" t="n">
        <v>45643</v>
      </c>
      <c r="D704" t="inlineStr">
        <is>
          <t>CUST-00703</t>
        </is>
      </c>
      <c r="E704" t="inlineStr">
        <is>
          <t>Customer 703</t>
        </is>
      </c>
      <c r="F704" t="inlineStr">
        <is>
          <t>Home Office</t>
        </is>
      </c>
      <c r="G704" t="inlineStr">
        <is>
          <t>P1012</t>
        </is>
      </c>
      <c r="H704" t="inlineStr">
        <is>
          <t>Northstar Lantern</t>
        </is>
      </c>
      <c r="I704" t="inlineStr">
        <is>
          <t>Home Decor</t>
        </is>
      </c>
      <c r="J704" t="inlineStr">
        <is>
          <t>Writing</t>
        </is>
      </c>
      <c r="K704" t="inlineStr">
        <is>
          <t>East</t>
        </is>
      </c>
      <c r="L704" t="inlineStr">
        <is>
          <t>Virginia</t>
        </is>
      </c>
      <c r="M704" t="inlineStr">
        <is>
          <t>Washington</t>
        </is>
      </c>
      <c r="N704" t="inlineStr">
        <is>
          <t>Noah Kim</t>
        </is>
      </c>
      <c r="O704" t="n">
        <v>2</v>
      </c>
      <c r="P704" s="3" t="n">
        <v>135.68</v>
      </c>
      <c r="Q704" s="4" t="n">
        <v>0.012</v>
      </c>
      <c r="R704" s="3" t="n">
        <v>268.1</v>
      </c>
      <c r="S704" s="3" t="n">
        <v>137.37</v>
      </c>
      <c r="T704" s="3" t="n">
        <v>122.13</v>
      </c>
      <c r="U704" s="4" t="n">
        <v>0.4555</v>
      </c>
      <c r="V704" s="3" t="n">
        <v>8.6</v>
      </c>
      <c r="W704" t="inlineStr">
        <is>
          <t>Cash on Delivery</t>
        </is>
      </c>
      <c r="X704" t="inlineStr">
        <is>
          <t>High</t>
        </is>
      </c>
      <c r="Y704" t="n">
        <v>2024</v>
      </c>
      <c r="Z704" t="n">
        <v>12</v>
      </c>
      <c r="AA704" t="inlineStr">
        <is>
          <t>Dec</t>
        </is>
      </c>
      <c r="AB704" t="inlineStr">
        <is>
          <t>Wednesday</t>
        </is>
      </c>
      <c r="AC704" t="n">
        <v>6</v>
      </c>
      <c r="AD704" t="inlineStr">
        <is>
          <t>Profitable</t>
        </is>
      </c>
      <c r="AE704" t="inlineStr">
        <is>
          <t>Low</t>
        </is>
      </c>
      <c r="AF704" t="inlineStr">
        <is>
          <t>Small</t>
        </is>
      </c>
    </row>
    <row r="705">
      <c r="A705" t="inlineStr">
        <is>
          <t>ORD-00704</t>
        </is>
      </c>
      <c r="B705" s="2" t="n">
        <v>45091</v>
      </c>
      <c r="C705" s="2" t="n">
        <v>45097</v>
      </c>
      <c r="D705" t="inlineStr">
        <is>
          <t>CUST-00704</t>
        </is>
      </c>
      <c r="E705" t="inlineStr">
        <is>
          <t>Customer 704</t>
        </is>
      </c>
      <c r="F705" t="inlineStr">
        <is>
          <t>Corporate</t>
        </is>
      </c>
      <c r="G705" t="inlineStr">
        <is>
          <t>P1017</t>
        </is>
      </c>
      <c r="H705" t="inlineStr">
        <is>
          <t>Tide Cooler</t>
        </is>
      </c>
      <c r="I705" t="inlineStr">
        <is>
          <t>Outdoor</t>
        </is>
      </c>
      <c r="J705" t="inlineStr">
        <is>
          <t>Plants</t>
        </is>
      </c>
      <c r="K705" t="inlineStr">
        <is>
          <t>East</t>
        </is>
      </c>
      <c r="L705" t="inlineStr">
        <is>
          <t>Massachusetts</t>
        </is>
      </c>
      <c r="M705" t="inlineStr">
        <is>
          <t>New York</t>
        </is>
      </c>
      <c r="N705" t="inlineStr">
        <is>
          <t>Liam Chen</t>
        </is>
      </c>
      <c r="O705" t="n">
        <v>4</v>
      </c>
      <c r="P705" s="3" t="n">
        <v>607.11</v>
      </c>
      <c r="Q705" s="4" t="n">
        <v>0.018</v>
      </c>
      <c r="R705" s="3" t="n">
        <v>2384.73</v>
      </c>
      <c r="S705" s="3" t="n">
        <v>1585.57</v>
      </c>
      <c r="T705" s="3" t="n">
        <v>788.96</v>
      </c>
      <c r="U705" s="4" t="n">
        <v>0.3308</v>
      </c>
      <c r="V705" s="3" t="n">
        <v>10.2</v>
      </c>
      <c r="W705" t="inlineStr">
        <is>
          <t>Bank Transfer</t>
        </is>
      </c>
      <c r="X705" t="inlineStr">
        <is>
          <t>Medium</t>
        </is>
      </c>
      <c r="Y705" t="n">
        <v>2023</v>
      </c>
      <c r="Z705" t="n">
        <v>6</v>
      </c>
      <c r="AA705" t="inlineStr">
        <is>
          <t>Jun</t>
        </is>
      </c>
      <c r="AB705" t="inlineStr">
        <is>
          <t>Wednesday</t>
        </is>
      </c>
      <c r="AC705" t="n">
        <v>6</v>
      </c>
      <c r="AD705" t="inlineStr">
        <is>
          <t>Profitable</t>
        </is>
      </c>
      <c r="AE705" t="inlineStr">
        <is>
          <t>Low</t>
        </is>
      </c>
      <c r="AF705" t="inlineStr">
        <is>
          <t>Large</t>
        </is>
      </c>
    </row>
    <row r="706">
      <c r="A706" t="inlineStr">
        <is>
          <t>ORD-00705</t>
        </is>
      </c>
      <c r="B706" s="2" t="n">
        <v>45179</v>
      </c>
      <c r="C706" s="2" t="n">
        <v>45181</v>
      </c>
      <c r="D706" t="inlineStr">
        <is>
          <t>CUST-00705</t>
        </is>
      </c>
      <c r="E706" t="inlineStr">
        <is>
          <t>Customer 705</t>
        </is>
      </c>
      <c r="F706" t="inlineStr">
        <is>
          <t>Corporate</t>
        </is>
      </c>
      <c r="G706" t="inlineStr">
        <is>
          <t>P1018</t>
        </is>
      </c>
      <c r="H706" t="inlineStr">
        <is>
          <t>SmartInk Pen Set</t>
        </is>
      </c>
      <c r="I706" t="inlineStr">
        <is>
          <t>Home Decor</t>
        </is>
      </c>
      <c r="J706" t="inlineStr">
        <is>
          <t>Chairs</t>
        </is>
      </c>
      <c r="K706" t="inlineStr">
        <is>
          <t>West</t>
        </is>
      </c>
      <c r="L706" t="inlineStr">
        <is>
          <t>Washington</t>
        </is>
      </c>
      <c r="M706" t="inlineStr">
        <is>
          <t>Denver</t>
        </is>
      </c>
      <c r="N706" t="inlineStr">
        <is>
          <t>James Carter</t>
        </is>
      </c>
      <c r="O706" t="n">
        <v>3</v>
      </c>
      <c r="P706" s="3" t="n">
        <v>92.43000000000001</v>
      </c>
      <c r="Q706" s="4" t="n">
        <v>0.018</v>
      </c>
      <c r="R706" s="3" t="n">
        <v>272.3</v>
      </c>
      <c r="S706" s="3" t="n">
        <v>128.73</v>
      </c>
      <c r="T706" s="3" t="n">
        <v>134.17</v>
      </c>
      <c r="U706" s="4" t="n">
        <v>0.4927</v>
      </c>
      <c r="V706" s="3" t="n">
        <v>9.4</v>
      </c>
      <c r="W706" t="inlineStr">
        <is>
          <t>Cash on Delivery</t>
        </is>
      </c>
      <c r="X706" t="inlineStr">
        <is>
          <t>Medium</t>
        </is>
      </c>
      <c r="Y706" t="n">
        <v>2023</v>
      </c>
      <c r="Z706" t="n">
        <v>9</v>
      </c>
      <c r="AA706" t="inlineStr">
        <is>
          <t>Sep</t>
        </is>
      </c>
      <c r="AB706" t="inlineStr">
        <is>
          <t>Sunday</t>
        </is>
      </c>
      <c r="AC706" t="n">
        <v>2</v>
      </c>
      <c r="AD706" t="inlineStr">
        <is>
          <t>Profitable</t>
        </is>
      </c>
      <c r="AE706" t="inlineStr">
        <is>
          <t>Low</t>
        </is>
      </c>
      <c r="AF706" t="inlineStr">
        <is>
          <t>Small</t>
        </is>
      </c>
    </row>
    <row r="707">
      <c r="A707" t="inlineStr">
        <is>
          <t>ORD-00706</t>
        </is>
      </c>
      <c r="B707" s="2" t="n">
        <v>45754</v>
      </c>
      <c r="C707" s="2" t="n">
        <v>45757</v>
      </c>
      <c r="D707" t="inlineStr">
        <is>
          <t>CUST-00706</t>
        </is>
      </c>
      <c r="E707" t="inlineStr">
        <is>
          <t>Customer 706</t>
        </is>
      </c>
      <c r="F707" t="inlineStr">
        <is>
          <t>Consumer</t>
        </is>
      </c>
      <c r="G707" t="inlineStr">
        <is>
          <t>P1010</t>
        </is>
      </c>
      <c r="H707" t="inlineStr">
        <is>
          <t>Atlas Throw Pillow</t>
        </is>
      </c>
      <c r="I707" t="inlineStr">
        <is>
          <t>Furniture</t>
        </is>
      </c>
      <c r="J707" t="inlineStr">
        <is>
          <t>Lighting</t>
        </is>
      </c>
      <c r="K707" t="inlineStr">
        <is>
          <t>Central</t>
        </is>
      </c>
      <c r="L707" t="inlineStr">
        <is>
          <t>Minnesota</t>
        </is>
      </c>
      <c r="M707" t="inlineStr">
        <is>
          <t>Chicago</t>
        </is>
      </c>
      <c r="N707" t="inlineStr">
        <is>
          <t>Liam Chen</t>
        </is>
      </c>
      <c r="O707" t="n">
        <v>3</v>
      </c>
      <c r="P707" s="3" t="n">
        <v>51.32</v>
      </c>
      <c r="Q707" s="4" t="n">
        <v>0.024</v>
      </c>
      <c r="R707" s="3" t="n">
        <v>150.26</v>
      </c>
      <c r="S707" s="3" t="n">
        <v>70.03</v>
      </c>
      <c r="T707" s="3" t="n">
        <v>71.83</v>
      </c>
      <c r="U707" s="4" t="n">
        <v>0.478</v>
      </c>
      <c r="V707" s="3" t="n">
        <v>8.4</v>
      </c>
      <c r="W707" t="inlineStr">
        <is>
          <t>Bank Transfer</t>
        </is>
      </c>
      <c r="X707" t="inlineStr">
        <is>
          <t>Medium</t>
        </is>
      </c>
      <c r="Y707" t="n">
        <v>2025</v>
      </c>
      <c r="Z707" t="n">
        <v>4</v>
      </c>
      <c r="AA707" t="inlineStr">
        <is>
          <t>Apr</t>
        </is>
      </c>
      <c r="AB707" t="inlineStr">
        <is>
          <t>Monday</t>
        </is>
      </c>
      <c r="AC707" t="n">
        <v>3</v>
      </c>
      <c r="AD707" t="inlineStr">
        <is>
          <t>Profitable</t>
        </is>
      </c>
      <c r="AE707" t="inlineStr">
        <is>
          <t>Medium</t>
        </is>
      </c>
      <c r="AF707" t="inlineStr">
        <is>
          <t>Small</t>
        </is>
      </c>
    </row>
    <row r="708">
      <c r="A708" t="inlineStr">
        <is>
          <t>ORD-00707</t>
        </is>
      </c>
      <c r="B708" s="2" t="n">
        <v>45374</v>
      </c>
      <c r="C708" s="2" t="n">
        <v>45380</v>
      </c>
      <c r="D708" t="inlineStr">
        <is>
          <t>CUST-00707</t>
        </is>
      </c>
      <c r="E708" t="inlineStr">
        <is>
          <t>Customer 707</t>
        </is>
      </c>
      <c r="F708" t="inlineStr">
        <is>
          <t>Home Office</t>
        </is>
      </c>
      <c r="G708" t="inlineStr">
        <is>
          <t>P1020</t>
        </is>
      </c>
      <c r="H708" t="inlineStr">
        <is>
          <t>Cove Wall Clock</t>
        </is>
      </c>
      <c r="I708" t="inlineStr">
        <is>
          <t>Technology</t>
        </is>
      </c>
      <c r="J708" t="inlineStr">
        <is>
          <t>Chairs</t>
        </is>
      </c>
      <c r="K708" t="inlineStr">
        <is>
          <t>North</t>
        </is>
      </c>
      <c r="L708" t="inlineStr">
        <is>
          <t>British Columbia</t>
        </is>
      </c>
      <c r="M708" t="inlineStr">
        <is>
          <t>Calgary</t>
        </is>
      </c>
      <c r="N708" t="inlineStr">
        <is>
          <t>James Carter</t>
        </is>
      </c>
      <c r="O708" t="n">
        <v>3</v>
      </c>
      <c r="P708" s="3" t="n">
        <v>74.18000000000001</v>
      </c>
      <c r="Q708" s="4" t="n">
        <v>0.043</v>
      </c>
      <c r="R708" s="3" t="n">
        <v>212.97</v>
      </c>
      <c r="S708" s="3" t="n">
        <v>105.29</v>
      </c>
      <c r="T708" s="3" t="n">
        <v>99.28</v>
      </c>
      <c r="U708" s="4" t="n">
        <v>0.4662</v>
      </c>
      <c r="V708" s="3" t="n">
        <v>8.4</v>
      </c>
      <c r="W708" t="inlineStr">
        <is>
          <t>Credit Card</t>
        </is>
      </c>
      <c r="X708" t="inlineStr">
        <is>
          <t>High</t>
        </is>
      </c>
      <c r="Y708" t="n">
        <v>2024</v>
      </c>
      <c r="Z708" t="n">
        <v>3</v>
      </c>
      <c r="AA708" t="inlineStr">
        <is>
          <t>Mar</t>
        </is>
      </c>
      <c r="AB708" t="inlineStr">
        <is>
          <t>Saturday</t>
        </is>
      </c>
      <c r="AC708" t="n">
        <v>6</v>
      </c>
      <c r="AD708" t="inlineStr">
        <is>
          <t>Profitable</t>
        </is>
      </c>
      <c r="AE708" t="inlineStr">
        <is>
          <t>Medium</t>
        </is>
      </c>
      <c r="AF708" t="inlineStr">
        <is>
          <t>Small</t>
        </is>
      </c>
    </row>
    <row r="709">
      <c r="A709" t="inlineStr">
        <is>
          <t>ORD-00708</t>
        </is>
      </c>
      <c r="B709" s="2" t="n">
        <v>45716</v>
      </c>
      <c r="C709" s="2" t="n">
        <v>45718</v>
      </c>
      <c r="D709" t="inlineStr">
        <is>
          <t>CUST-00708</t>
        </is>
      </c>
      <c r="E709" t="inlineStr">
        <is>
          <t>Customer 708</t>
        </is>
      </c>
      <c r="F709" t="inlineStr">
        <is>
          <t>Consumer</t>
        </is>
      </c>
      <c r="G709" t="inlineStr">
        <is>
          <t>P1012</t>
        </is>
      </c>
      <c r="H709" t="inlineStr">
        <is>
          <t>CloudDrive File Box</t>
        </is>
      </c>
      <c r="I709" t="inlineStr">
        <is>
          <t>Office Supplies</t>
        </is>
      </c>
      <c r="J709" t="inlineStr">
        <is>
          <t>Plants</t>
        </is>
      </c>
      <c r="K709" t="inlineStr">
        <is>
          <t>East</t>
        </is>
      </c>
      <c r="L709" t="inlineStr">
        <is>
          <t>Massachusetts</t>
        </is>
      </c>
      <c r="M709" t="inlineStr">
        <is>
          <t>New York</t>
        </is>
      </c>
      <c r="N709" t="inlineStr">
        <is>
          <t>Olivia Martin</t>
        </is>
      </c>
      <c r="O709" t="n">
        <v>3</v>
      </c>
      <c r="P709" s="3" t="n">
        <v>135</v>
      </c>
      <c r="Q709" s="4" t="n">
        <v>0.018</v>
      </c>
      <c r="R709" s="3" t="n">
        <v>397.71</v>
      </c>
      <c r="S709" s="3" t="n">
        <v>201.93</v>
      </c>
      <c r="T709" s="3" t="n">
        <v>186.38</v>
      </c>
      <c r="U709" s="4" t="n">
        <v>0.4686</v>
      </c>
      <c r="V709" s="3" t="n">
        <v>9.4</v>
      </c>
      <c r="W709" t="inlineStr">
        <is>
          <t>Debit Card</t>
        </is>
      </c>
      <c r="X709" t="inlineStr">
        <is>
          <t>Low</t>
        </is>
      </c>
      <c r="Y709" t="n">
        <v>2025</v>
      </c>
      <c r="Z709" t="n">
        <v>2</v>
      </c>
      <c r="AA709" t="inlineStr">
        <is>
          <t>Feb</t>
        </is>
      </c>
      <c r="AB709" t="inlineStr">
        <is>
          <t>Friday</t>
        </is>
      </c>
      <c r="AC709" t="n">
        <v>2</v>
      </c>
      <c r="AD709" t="inlineStr">
        <is>
          <t>Profitable</t>
        </is>
      </c>
      <c r="AE709" t="inlineStr">
        <is>
          <t>Low</t>
        </is>
      </c>
      <c r="AF709" t="inlineStr">
        <is>
          <t>Small</t>
        </is>
      </c>
    </row>
    <row r="710">
      <c r="A710" t="inlineStr">
        <is>
          <t>ORD-00709</t>
        </is>
      </c>
      <c r="B710" s="2" t="n">
        <v>45047</v>
      </c>
      <c r="C710" s="2" t="n">
        <v>45051</v>
      </c>
      <c r="D710" t="inlineStr">
        <is>
          <t>CUST-00709</t>
        </is>
      </c>
      <c r="E710" t="inlineStr">
        <is>
          <t>Customer 709</t>
        </is>
      </c>
      <c r="F710" t="inlineStr">
        <is>
          <t>Corporate</t>
        </is>
      </c>
      <c r="G710" t="inlineStr">
        <is>
          <t>P1004</t>
        </is>
      </c>
      <c r="H710" t="inlineStr">
        <is>
          <t>Harbor Rug</t>
        </is>
      </c>
      <c r="I710" t="inlineStr">
        <is>
          <t>Outdoor</t>
        </is>
      </c>
      <c r="J710" t="inlineStr">
        <is>
          <t>Desks</t>
        </is>
      </c>
      <c r="K710" t="inlineStr">
        <is>
          <t>West</t>
        </is>
      </c>
      <c r="L710" t="inlineStr">
        <is>
          <t>Oregon</t>
        </is>
      </c>
      <c r="M710" t="inlineStr">
        <is>
          <t>San Francisco</t>
        </is>
      </c>
      <c r="N710" t="inlineStr">
        <is>
          <t>Liam Chen</t>
        </is>
      </c>
      <c r="O710" t="n">
        <v>5</v>
      </c>
      <c r="P710" s="3" t="n">
        <v>659.5</v>
      </c>
      <c r="Q710" s="4" t="n">
        <v>0.03299999999999999</v>
      </c>
      <c r="R710" s="3" t="n">
        <v>3188.68</v>
      </c>
      <c r="S710" s="3" t="n">
        <v>2016.25</v>
      </c>
      <c r="T710" s="3" t="n">
        <v>1161.43</v>
      </c>
      <c r="U710" s="4" t="n">
        <v>0.3642</v>
      </c>
      <c r="V710" s="3" t="n">
        <v>11</v>
      </c>
      <c r="W710" t="inlineStr">
        <is>
          <t>Credit Card</t>
        </is>
      </c>
      <c r="X710" t="inlineStr">
        <is>
          <t>Medium</t>
        </is>
      </c>
      <c r="Y710" t="n">
        <v>2023</v>
      </c>
      <c r="Z710" t="n">
        <v>5</v>
      </c>
      <c r="AA710" t="inlineStr">
        <is>
          <t>May</t>
        </is>
      </c>
      <c r="AB710" t="inlineStr">
        <is>
          <t>Monday</t>
        </is>
      </c>
      <c r="AC710" t="n">
        <v>4</v>
      </c>
      <c r="AD710" t="inlineStr">
        <is>
          <t>Profitable</t>
        </is>
      </c>
      <c r="AE710" t="inlineStr">
        <is>
          <t>Medium</t>
        </is>
      </c>
      <c r="AF710" t="inlineStr">
        <is>
          <t>Large</t>
        </is>
      </c>
    </row>
    <row r="711">
      <c r="A711" t="inlineStr">
        <is>
          <t>ORD-00710</t>
        </is>
      </c>
      <c r="B711" s="2" t="n">
        <v>45742</v>
      </c>
      <c r="C711" s="2" t="n">
        <v>45748</v>
      </c>
      <c r="D711" t="inlineStr">
        <is>
          <t>CUST-00710</t>
        </is>
      </c>
      <c r="E711" t="inlineStr">
        <is>
          <t>Customer 710</t>
        </is>
      </c>
      <c r="F711" t="inlineStr">
        <is>
          <t>Consumer</t>
        </is>
      </c>
      <c r="G711" t="inlineStr">
        <is>
          <t>P1010</t>
        </is>
      </c>
      <c r="H711" t="inlineStr">
        <is>
          <t>Nimbus Monitor Arm</t>
        </is>
      </c>
      <c r="I711" t="inlineStr">
        <is>
          <t>Outdoor</t>
        </is>
      </c>
      <c r="J711" t="inlineStr">
        <is>
          <t>Desks</t>
        </is>
      </c>
      <c r="K711" t="inlineStr">
        <is>
          <t>East</t>
        </is>
      </c>
      <c r="L711" t="inlineStr">
        <is>
          <t>Massachusetts</t>
        </is>
      </c>
      <c r="M711" t="inlineStr">
        <is>
          <t>Philadelphia</t>
        </is>
      </c>
      <c r="N711" t="inlineStr">
        <is>
          <t>James Carter</t>
        </is>
      </c>
      <c r="O711" t="n">
        <v>5</v>
      </c>
      <c r="P711" s="3" t="n">
        <v>56.39</v>
      </c>
      <c r="Q711" s="4" t="n">
        <v>0.011</v>
      </c>
      <c r="R711" s="3" t="n">
        <v>278.85</v>
      </c>
      <c r="S711" s="3" t="n">
        <v>118.71</v>
      </c>
      <c r="T711" s="3" t="n">
        <v>149.14</v>
      </c>
      <c r="U711" s="4" t="n">
        <v>0.5348000000000001</v>
      </c>
      <c r="V711" s="3" t="n">
        <v>11</v>
      </c>
      <c r="W711" t="inlineStr">
        <is>
          <t>Bank Transfer</t>
        </is>
      </c>
      <c r="X711" t="inlineStr">
        <is>
          <t>Medium</t>
        </is>
      </c>
      <c r="Y711" t="n">
        <v>2025</v>
      </c>
      <c r="Z711" t="n">
        <v>3</v>
      </c>
      <c r="AA711" t="inlineStr">
        <is>
          <t>Mar</t>
        </is>
      </c>
      <c r="AB711" t="inlineStr">
        <is>
          <t>Wednesday</t>
        </is>
      </c>
      <c r="AC711" t="n">
        <v>6</v>
      </c>
      <c r="AD711" t="inlineStr">
        <is>
          <t>Profitable</t>
        </is>
      </c>
      <c r="AE711" t="inlineStr">
        <is>
          <t>Low</t>
        </is>
      </c>
      <c r="AF711" t="inlineStr">
        <is>
          <t>Small</t>
        </is>
      </c>
    </row>
    <row r="712">
      <c r="A712" t="inlineStr">
        <is>
          <t>ORD-00711</t>
        </is>
      </c>
      <c r="B712" s="2" t="n">
        <v>45723</v>
      </c>
      <c r="C712" s="2" t="n">
        <v>45728</v>
      </c>
      <c r="D712" t="inlineStr">
        <is>
          <t>CUST-00711</t>
        </is>
      </c>
      <c r="E712" t="inlineStr">
        <is>
          <t>Customer 711</t>
        </is>
      </c>
      <c r="F712" t="inlineStr">
        <is>
          <t>Consumer</t>
        </is>
      </c>
      <c r="G712" t="inlineStr">
        <is>
          <t>P1005</t>
        </is>
      </c>
      <c r="H712" t="inlineStr">
        <is>
          <t>Lumen Desk Lamp</t>
        </is>
      </c>
      <c r="I712" t="inlineStr">
        <is>
          <t>Technology</t>
        </is>
      </c>
      <c r="J712" t="inlineStr">
        <is>
          <t>Decor</t>
        </is>
      </c>
      <c r="K712" t="inlineStr">
        <is>
          <t>Central</t>
        </is>
      </c>
      <c r="L712" t="inlineStr">
        <is>
          <t>Illinois</t>
        </is>
      </c>
      <c r="M712" t="inlineStr">
        <is>
          <t>Minneapolis</t>
        </is>
      </c>
      <c r="N712" t="inlineStr">
        <is>
          <t>Mia Rodriguez</t>
        </is>
      </c>
      <c r="O712" t="n">
        <v>1</v>
      </c>
      <c r="P712" s="3" t="n">
        <v>12.48</v>
      </c>
      <c r="Q712" s="4" t="n">
        <v>0.01</v>
      </c>
      <c r="R712" s="3" t="n">
        <v>12.36</v>
      </c>
      <c r="S712" s="3" t="n">
        <v>11.1</v>
      </c>
      <c r="T712" s="3" t="n">
        <v>-5.54</v>
      </c>
      <c r="U712" s="4" t="n">
        <v>-0.4482</v>
      </c>
      <c r="V712" s="3" t="n">
        <v>6.8</v>
      </c>
      <c r="W712" t="inlineStr">
        <is>
          <t>Credit Card</t>
        </is>
      </c>
      <c r="X712" t="inlineStr">
        <is>
          <t>Low</t>
        </is>
      </c>
      <c r="Y712" t="n">
        <v>2025</v>
      </c>
      <c r="Z712" t="n">
        <v>3</v>
      </c>
      <c r="AA712" t="inlineStr">
        <is>
          <t>Mar</t>
        </is>
      </c>
      <c r="AB712" t="inlineStr">
        <is>
          <t>Friday</t>
        </is>
      </c>
      <c r="AC712" t="n">
        <v>5</v>
      </c>
      <c r="AD712" t="inlineStr">
        <is>
          <t>Unprofitable</t>
        </is>
      </c>
      <c r="AE712" t="inlineStr">
        <is>
          <t>Low</t>
        </is>
      </c>
      <c r="AF712" t="inlineStr">
        <is>
          <t>Small</t>
        </is>
      </c>
    </row>
    <row r="713">
      <c r="A713" t="inlineStr">
        <is>
          <t>ORD-00712</t>
        </is>
      </c>
      <c r="B713" s="2" t="n">
        <v>45580</v>
      </c>
      <c r="C713" s="2" t="n">
        <v>45586</v>
      </c>
      <c r="D713" t="inlineStr">
        <is>
          <t>CUST-00712</t>
        </is>
      </c>
      <c r="E713" t="inlineStr">
        <is>
          <t>Customer 712</t>
        </is>
      </c>
      <c r="F713" t="inlineStr">
        <is>
          <t>Corporate</t>
        </is>
      </c>
      <c r="G713" t="inlineStr">
        <is>
          <t>P1004</t>
        </is>
      </c>
      <c r="H713" t="inlineStr">
        <is>
          <t>Harbor Rug</t>
        </is>
      </c>
      <c r="I713" t="inlineStr">
        <is>
          <t>Office Supplies</t>
        </is>
      </c>
      <c r="J713" t="inlineStr">
        <is>
          <t>Paper</t>
        </is>
      </c>
      <c r="K713" t="inlineStr">
        <is>
          <t>North</t>
        </is>
      </c>
      <c r="L713" t="inlineStr">
        <is>
          <t>Ontario</t>
        </is>
      </c>
      <c r="M713" t="inlineStr">
        <is>
          <t>Montreal</t>
        </is>
      </c>
      <c r="N713" t="inlineStr">
        <is>
          <t>Ethan Brooks</t>
        </is>
      </c>
      <c r="O713" t="n">
        <v>3</v>
      </c>
      <c r="P713" s="3" t="n">
        <v>632.78</v>
      </c>
      <c r="Q713" s="4" t="n">
        <v>0.04</v>
      </c>
      <c r="R713" s="3" t="n">
        <v>1822.41</v>
      </c>
      <c r="S713" s="3" t="n">
        <v>1155.15</v>
      </c>
      <c r="T713" s="3" t="n">
        <v>658.86</v>
      </c>
      <c r="U713" s="4" t="n">
        <v>0.3615</v>
      </c>
      <c r="V713" s="3" t="n">
        <v>8.4</v>
      </c>
      <c r="W713" t="inlineStr">
        <is>
          <t>PayPal</t>
        </is>
      </c>
      <c r="X713" t="inlineStr">
        <is>
          <t>High</t>
        </is>
      </c>
      <c r="Y713" t="n">
        <v>2024</v>
      </c>
      <c r="Z713" t="n">
        <v>10</v>
      </c>
      <c r="AA713" t="inlineStr">
        <is>
          <t>Oct</t>
        </is>
      </c>
      <c r="AB713" t="inlineStr">
        <is>
          <t>Tuesday</t>
        </is>
      </c>
      <c r="AC713" t="n">
        <v>6</v>
      </c>
      <c r="AD713" t="inlineStr">
        <is>
          <t>Profitable</t>
        </is>
      </c>
      <c r="AE713" t="inlineStr">
        <is>
          <t>Medium</t>
        </is>
      </c>
      <c r="AF713" t="inlineStr">
        <is>
          <t>Large</t>
        </is>
      </c>
    </row>
    <row r="714">
      <c r="A714" t="inlineStr">
        <is>
          <t>ORD-00713</t>
        </is>
      </c>
      <c r="B714" s="2" t="n">
        <v>45317</v>
      </c>
      <c r="C714" s="2" t="n">
        <v>45324</v>
      </c>
      <c r="D714" t="inlineStr">
        <is>
          <t>CUST-00713</t>
        </is>
      </c>
      <c r="E714" t="inlineStr">
        <is>
          <t>Customer 713</t>
        </is>
      </c>
      <c r="F714" t="inlineStr">
        <is>
          <t>Home Office</t>
        </is>
      </c>
      <c r="G714" t="inlineStr">
        <is>
          <t>P1016</t>
        </is>
      </c>
      <c r="H714" t="inlineStr">
        <is>
          <t>Nimbus Monitor Arm</t>
        </is>
      </c>
      <c r="I714" t="inlineStr">
        <is>
          <t>Technology</t>
        </is>
      </c>
      <c r="J714" t="inlineStr">
        <is>
          <t>Chairs</t>
        </is>
      </c>
      <c r="K714" t="inlineStr">
        <is>
          <t>East</t>
        </is>
      </c>
      <c r="L714" t="inlineStr">
        <is>
          <t>New Jersey</t>
        </is>
      </c>
      <c r="M714" t="inlineStr">
        <is>
          <t>Philadelphia</t>
        </is>
      </c>
      <c r="N714" t="inlineStr">
        <is>
          <t>Ava Patel</t>
        </is>
      </c>
      <c r="O714" t="n">
        <v>3</v>
      </c>
      <c r="P714" s="3" t="n">
        <v>40.58</v>
      </c>
      <c r="Q714" s="4" t="n">
        <v>0.006</v>
      </c>
      <c r="R714" s="3" t="n">
        <v>121.01</v>
      </c>
      <c r="S714" s="3" t="n">
        <v>52.64</v>
      </c>
      <c r="T714" s="3" t="n">
        <v>58.97</v>
      </c>
      <c r="U714" s="4" t="n">
        <v>0.4873</v>
      </c>
      <c r="V714" s="3" t="n">
        <v>9.4</v>
      </c>
      <c r="W714" t="inlineStr">
        <is>
          <t>PayPal</t>
        </is>
      </c>
      <c r="X714" t="inlineStr">
        <is>
          <t>Medium</t>
        </is>
      </c>
      <c r="Y714" t="n">
        <v>2024</v>
      </c>
      <c r="Z714" t="n">
        <v>1</v>
      </c>
      <c r="AA714" t="inlineStr">
        <is>
          <t>Jan</t>
        </is>
      </c>
      <c r="AB714" t="inlineStr">
        <is>
          <t>Friday</t>
        </is>
      </c>
      <c r="AC714" t="n">
        <v>7</v>
      </c>
      <c r="AD714" t="inlineStr">
        <is>
          <t>Profitable</t>
        </is>
      </c>
      <c r="AE714" t="inlineStr">
        <is>
          <t>Low</t>
        </is>
      </c>
      <c r="AF714" t="inlineStr">
        <is>
          <t>Small</t>
        </is>
      </c>
    </row>
    <row r="715">
      <c r="A715" t="inlineStr">
        <is>
          <t>ORD-00714</t>
        </is>
      </c>
      <c r="B715" s="2" t="n">
        <v>45515</v>
      </c>
      <c r="C715" s="2" t="n">
        <v>45521</v>
      </c>
      <c r="D715" t="inlineStr">
        <is>
          <t>CUST-00714</t>
        </is>
      </c>
      <c r="E715" t="inlineStr">
        <is>
          <t>Customer 714</t>
        </is>
      </c>
      <c r="F715" t="inlineStr">
        <is>
          <t>Consumer</t>
        </is>
      </c>
      <c r="G715" t="inlineStr">
        <is>
          <t>P1005</t>
        </is>
      </c>
      <c r="H715" t="inlineStr">
        <is>
          <t>ErgoMesh Chair</t>
        </is>
      </c>
      <c r="I715" t="inlineStr">
        <is>
          <t>Outdoor</t>
        </is>
      </c>
      <c r="J715" t="inlineStr">
        <is>
          <t>Plants</t>
        </is>
      </c>
      <c r="K715" t="inlineStr">
        <is>
          <t>North</t>
        </is>
      </c>
      <c r="L715" t="inlineStr">
        <is>
          <t>Ontario</t>
        </is>
      </c>
      <c r="M715" t="inlineStr">
        <is>
          <t>Calgary</t>
        </is>
      </c>
      <c r="N715" t="inlineStr">
        <is>
          <t>Olivia Martin</t>
        </is>
      </c>
      <c r="O715" t="n">
        <v>5</v>
      </c>
      <c r="P715" s="3" t="n">
        <v>12.82</v>
      </c>
      <c r="Q715" s="4" t="n">
        <v>0.031</v>
      </c>
      <c r="R715" s="3" t="n">
        <v>62.11</v>
      </c>
      <c r="S715" s="3" t="n">
        <v>28.5</v>
      </c>
      <c r="T715" s="3" t="n">
        <v>23.61</v>
      </c>
      <c r="U715" s="4" t="n">
        <v>0.3801</v>
      </c>
      <c r="V715" s="3" t="n">
        <v>10</v>
      </c>
      <c r="W715" t="inlineStr">
        <is>
          <t>PayPal</t>
        </is>
      </c>
      <c r="X715" t="inlineStr">
        <is>
          <t>High</t>
        </is>
      </c>
      <c r="Y715" t="n">
        <v>2024</v>
      </c>
      <c r="Z715" t="n">
        <v>8</v>
      </c>
      <c r="AA715" t="inlineStr">
        <is>
          <t>Aug</t>
        </is>
      </c>
      <c r="AB715" t="inlineStr">
        <is>
          <t>Sunday</t>
        </is>
      </c>
      <c r="AC715" t="n">
        <v>6</v>
      </c>
      <c r="AD715" t="inlineStr">
        <is>
          <t>Profitable</t>
        </is>
      </c>
      <c r="AE715" t="inlineStr">
        <is>
          <t>Medium</t>
        </is>
      </c>
      <c r="AF715" t="inlineStr">
        <is>
          <t>Small</t>
        </is>
      </c>
    </row>
    <row r="716">
      <c r="A716" t="inlineStr">
        <is>
          <t>ORD-00715</t>
        </is>
      </c>
      <c r="B716" s="2" t="n">
        <v>45449</v>
      </c>
      <c r="C716" s="2" t="n">
        <v>45450</v>
      </c>
      <c r="D716" t="inlineStr">
        <is>
          <t>CUST-00715</t>
        </is>
      </c>
      <c r="E716" t="inlineStr">
        <is>
          <t>Customer 715</t>
        </is>
      </c>
      <c r="F716" t="inlineStr">
        <is>
          <t>Home Office</t>
        </is>
      </c>
      <c r="G716" t="inlineStr">
        <is>
          <t>P1019</t>
        </is>
      </c>
      <c r="H716" t="inlineStr">
        <is>
          <t>Lumen Desk Lamp</t>
        </is>
      </c>
      <c r="I716" t="inlineStr">
        <is>
          <t>Outdoor</t>
        </is>
      </c>
      <c r="J716" t="inlineStr">
        <is>
          <t>Writing</t>
        </is>
      </c>
      <c r="K716" t="inlineStr">
        <is>
          <t>West</t>
        </is>
      </c>
      <c r="L716" t="inlineStr">
        <is>
          <t>Colorado</t>
        </is>
      </c>
      <c r="M716" t="inlineStr">
        <is>
          <t>Los Angeles</t>
        </is>
      </c>
      <c r="N716" t="inlineStr">
        <is>
          <t>James Carter</t>
        </is>
      </c>
      <c r="O716" t="n">
        <v>1</v>
      </c>
      <c r="P716" s="3" t="n">
        <v>61.06</v>
      </c>
      <c r="Q716" s="4" t="n">
        <v>0.024</v>
      </c>
      <c r="R716" s="3" t="n">
        <v>59.59</v>
      </c>
      <c r="S716" s="3" t="n">
        <v>29.49</v>
      </c>
      <c r="T716" s="3" t="n">
        <v>22.3</v>
      </c>
      <c r="U716" s="4" t="n">
        <v>0.3742</v>
      </c>
      <c r="V716" s="3" t="n">
        <v>7.8</v>
      </c>
      <c r="W716" t="inlineStr">
        <is>
          <t>Bank Transfer</t>
        </is>
      </c>
      <c r="X716" t="inlineStr">
        <is>
          <t>High</t>
        </is>
      </c>
      <c r="Y716" t="n">
        <v>2024</v>
      </c>
      <c r="Z716" t="n">
        <v>6</v>
      </c>
      <c r="AA716" t="inlineStr">
        <is>
          <t>Jun</t>
        </is>
      </c>
      <c r="AB716" t="inlineStr">
        <is>
          <t>Thursday</t>
        </is>
      </c>
      <c r="AC716" t="n">
        <v>1</v>
      </c>
      <c r="AD716" t="inlineStr">
        <is>
          <t>Profitable</t>
        </is>
      </c>
      <c r="AE716" t="inlineStr">
        <is>
          <t>Medium</t>
        </is>
      </c>
      <c r="AF716" t="inlineStr">
        <is>
          <t>Small</t>
        </is>
      </c>
    </row>
    <row r="717">
      <c r="A717" t="inlineStr">
        <is>
          <t>ORD-00716</t>
        </is>
      </c>
      <c r="B717" s="2" t="n">
        <v>45865</v>
      </c>
      <c r="C717" s="2" t="n">
        <v>45870</v>
      </c>
      <c r="D717" t="inlineStr">
        <is>
          <t>CUST-00716</t>
        </is>
      </c>
      <c r="E717" t="inlineStr">
        <is>
          <t>Customer 716</t>
        </is>
      </c>
      <c r="F717" t="inlineStr">
        <is>
          <t>Corporate</t>
        </is>
      </c>
      <c r="G717" t="inlineStr">
        <is>
          <t>P1006</t>
        </is>
      </c>
      <c r="H717" t="inlineStr">
        <is>
          <t>Orbit Wireless Mouse</t>
        </is>
      </c>
      <c r="I717" t="inlineStr">
        <is>
          <t>Outdoor</t>
        </is>
      </c>
      <c r="J717" t="inlineStr">
        <is>
          <t>Textiles</t>
        </is>
      </c>
      <c r="K717" t="inlineStr">
        <is>
          <t>East</t>
        </is>
      </c>
      <c r="L717" t="inlineStr">
        <is>
          <t>New Jersey</t>
        </is>
      </c>
      <c r="M717" t="inlineStr">
        <is>
          <t>Philadelphia</t>
        </is>
      </c>
      <c r="N717" t="inlineStr">
        <is>
          <t>Mia Rodriguez</t>
        </is>
      </c>
      <c r="O717" t="n">
        <v>4</v>
      </c>
      <c r="P717" s="3" t="n">
        <v>19.92</v>
      </c>
      <c r="Q717" s="4" t="n">
        <v>0.039</v>
      </c>
      <c r="R717" s="3" t="n">
        <v>76.56999999999999</v>
      </c>
      <c r="S717" s="3" t="n">
        <v>26.29</v>
      </c>
      <c r="T717" s="3" t="n">
        <v>40.08</v>
      </c>
      <c r="U717" s="4" t="n">
        <v>0.5234</v>
      </c>
      <c r="V717" s="3" t="n">
        <v>10.2</v>
      </c>
      <c r="W717" t="inlineStr">
        <is>
          <t>Bank Transfer</t>
        </is>
      </c>
      <c r="X717" t="inlineStr">
        <is>
          <t>High</t>
        </is>
      </c>
      <c r="Y717" t="n">
        <v>2025</v>
      </c>
      <c r="Z717" t="n">
        <v>7</v>
      </c>
      <c r="AA717" t="inlineStr">
        <is>
          <t>Jul</t>
        </is>
      </c>
      <c r="AB717" t="inlineStr">
        <is>
          <t>Sunday</t>
        </is>
      </c>
      <c r="AC717" t="n">
        <v>5</v>
      </c>
      <c r="AD717" t="inlineStr">
        <is>
          <t>Profitable</t>
        </is>
      </c>
      <c r="AE717" t="inlineStr">
        <is>
          <t>Medium</t>
        </is>
      </c>
      <c r="AF717" t="inlineStr">
        <is>
          <t>Small</t>
        </is>
      </c>
    </row>
    <row r="718">
      <c r="A718" t="inlineStr">
        <is>
          <t>ORD-00717</t>
        </is>
      </c>
      <c r="B718" s="2" t="n">
        <v>45891</v>
      </c>
      <c r="C718" s="2" t="n">
        <v>45897</v>
      </c>
      <c r="D718" t="inlineStr">
        <is>
          <t>CUST-00717</t>
        </is>
      </c>
      <c r="E718" t="inlineStr">
        <is>
          <t>Customer 717</t>
        </is>
      </c>
      <c r="F718" t="inlineStr">
        <is>
          <t>Consumer</t>
        </is>
      </c>
      <c r="G718" t="inlineStr">
        <is>
          <t>P1007</t>
        </is>
      </c>
      <c r="H718" t="inlineStr">
        <is>
          <t>Pulse Keyboard</t>
        </is>
      </c>
      <c r="I718" t="inlineStr">
        <is>
          <t>Furniture</t>
        </is>
      </c>
      <c r="J718" t="inlineStr">
        <is>
          <t>Decor</t>
        </is>
      </c>
      <c r="K718" t="inlineStr">
        <is>
          <t>East</t>
        </is>
      </c>
      <c r="L718" t="inlineStr">
        <is>
          <t>Massachusetts</t>
        </is>
      </c>
      <c r="M718" t="inlineStr">
        <is>
          <t>Washington</t>
        </is>
      </c>
      <c r="N718" t="inlineStr">
        <is>
          <t>Noah Kim</t>
        </is>
      </c>
      <c r="O718" t="n">
        <v>3</v>
      </c>
      <c r="P718" s="3" t="n">
        <v>26.2</v>
      </c>
      <c r="Q718" s="4" t="n">
        <v>0.031</v>
      </c>
      <c r="R718" s="3" t="n">
        <v>76.16</v>
      </c>
      <c r="S718" s="3" t="n">
        <v>32.57</v>
      </c>
      <c r="T718" s="3" t="n">
        <v>34.19</v>
      </c>
      <c r="U718" s="4" t="n">
        <v>0.4489</v>
      </c>
      <c r="V718" s="3" t="n">
        <v>9.4</v>
      </c>
      <c r="W718" t="inlineStr">
        <is>
          <t>Credit Card</t>
        </is>
      </c>
      <c r="X718" t="inlineStr">
        <is>
          <t>High</t>
        </is>
      </c>
      <c r="Y718" t="n">
        <v>2025</v>
      </c>
      <c r="Z718" t="n">
        <v>8</v>
      </c>
      <c r="AA718" t="inlineStr">
        <is>
          <t>Aug</t>
        </is>
      </c>
      <c r="AB718" t="inlineStr">
        <is>
          <t>Friday</t>
        </is>
      </c>
      <c r="AC718" t="n">
        <v>6</v>
      </c>
      <c r="AD718" t="inlineStr">
        <is>
          <t>Profitable</t>
        </is>
      </c>
      <c r="AE718" t="inlineStr">
        <is>
          <t>Medium</t>
        </is>
      </c>
      <c r="AF718" t="inlineStr">
        <is>
          <t>Small</t>
        </is>
      </c>
    </row>
    <row r="719">
      <c r="A719" t="inlineStr">
        <is>
          <t>ORD-00718</t>
        </is>
      </c>
      <c r="B719" s="2" t="n">
        <v>45784</v>
      </c>
      <c r="C719" s="2" t="n">
        <v>45790</v>
      </c>
      <c r="D719" t="inlineStr">
        <is>
          <t>CUST-00718</t>
        </is>
      </c>
      <c r="E719" t="inlineStr">
        <is>
          <t>Customer 718</t>
        </is>
      </c>
      <c r="F719" t="inlineStr">
        <is>
          <t>Consumer</t>
        </is>
      </c>
      <c r="G719" t="inlineStr">
        <is>
          <t>P1010</t>
        </is>
      </c>
      <c r="H719" t="inlineStr">
        <is>
          <t>Nimbus Monitor Arm</t>
        </is>
      </c>
      <c r="I719" t="inlineStr">
        <is>
          <t>Furniture</t>
        </is>
      </c>
      <c r="J719" t="inlineStr">
        <is>
          <t>Plants</t>
        </is>
      </c>
      <c r="K719" t="inlineStr">
        <is>
          <t>East</t>
        </is>
      </c>
      <c r="L719" t="inlineStr">
        <is>
          <t>New Jersey</t>
        </is>
      </c>
      <c r="M719" t="inlineStr">
        <is>
          <t>Washington</t>
        </is>
      </c>
      <c r="N719" t="inlineStr">
        <is>
          <t>Noah Kim</t>
        </is>
      </c>
      <c r="O719" t="n">
        <v>4</v>
      </c>
      <c r="P719" s="3" t="n">
        <v>57.77</v>
      </c>
      <c r="Q719" s="4" t="n">
        <v>0.014</v>
      </c>
      <c r="R719" s="3" t="n">
        <v>227.84</v>
      </c>
      <c r="S719" s="3" t="n">
        <v>101.17</v>
      </c>
      <c r="T719" s="3" t="n">
        <v>116.47</v>
      </c>
      <c r="U719" s="4" t="n">
        <v>0.5112</v>
      </c>
      <c r="V719" s="3" t="n">
        <v>10.2</v>
      </c>
      <c r="W719" t="inlineStr">
        <is>
          <t>Credit Card</t>
        </is>
      </c>
      <c r="X719" t="inlineStr">
        <is>
          <t>Medium</t>
        </is>
      </c>
      <c r="Y719" t="n">
        <v>2025</v>
      </c>
      <c r="Z719" t="n">
        <v>5</v>
      </c>
      <c r="AA719" t="inlineStr">
        <is>
          <t>May</t>
        </is>
      </c>
      <c r="AB719" t="inlineStr">
        <is>
          <t>Wednesday</t>
        </is>
      </c>
      <c r="AC719" t="n">
        <v>6</v>
      </c>
      <c r="AD719" t="inlineStr">
        <is>
          <t>Profitable</t>
        </is>
      </c>
      <c r="AE719" t="inlineStr">
        <is>
          <t>Low</t>
        </is>
      </c>
      <c r="AF719" t="inlineStr">
        <is>
          <t>Small</t>
        </is>
      </c>
    </row>
    <row r="720">
      <c r="A720" t="inlineStr">
        <is>
          <t>ORD-00719</t>
        </is>
      </c>
      <c r="B720" s="2" t="n">
        <v>45053</v>
      </c>
      <c r="C720" s="2" t="n">
        <v>45059</v>
      </c>
      <c r="D720" t="inlineStr">
        <is>
          <t>CUST-00719</t>
        </is>
      </c>
      <c r="E720" t="inlineStr">
        <is>
          <t>Customer 719</t>
        </is>
      </c>
      <c r="F720" t="inlineStr">
        <is>
          <t>Corporate</t>
        </is>
      </c>
      <c r="G720" t="inlineStr">
        <is>
          <t>P1007</t>
        </is>
      </c>
      <c r="H720" t="inlineStr">
        <is>
          <t>CloudDrive File Box</t>
        </is>
      </c>
      <c r="I720" t="inlineStr">
        <is>
          <t>Technology</t>
        </is>
      </c>
      <c r="J720" t="inlineStr">
        <is>
          <t>Plants</t>
        </is>
      </c>
      <c r="K720" t="inlineStr">
        <is>
          <t>East</t>
        </is>
      </c>
      <c r="L720" t="inlineStr">
        <is>
          <t>New Jersey</t>
        </is>
      </c>
      <c r="M720" t="inlineStr">
        <is>
          <t>New York</t>
        </is>
      </c>
      <c r="N720" t="inlineStr">
        <is>
          <t>Noah Kim</t>
        </is>
      </c>
      <c r="O720" t="n">
        <v>2</v>
      </c>
      <c r="P720" s="3" t="n">
        <v>25.08</v>
      </c>
      <c r="Q720" s="4" t="n">
        <v>0.078</v>
      </c>
      <c r="R720" s="3" t="n">
        <v>46.25</v>
      </c>
      <c r="S720" s="3" t="n">
        <v>23.29</v>
      </c>
      <c r="T720" s="3" t="n">
        <v>14.36</v>
      </c>
      <c r="U720" s="4" t="n">
        <v>0.3105</v>
      </c>
      <c r="V720" s="3" t="n">
        <v>8.6</v>
      </c>
      <c r="W720" t="inlineStr">
        <is>
          <t>Credit Card</t>
        </is>
      </c>
      <c r="X720" t="inlineStr">
        <is>
          <t>Critical</t>
        </is>
      </c>
      <c r="Y720" t="n">
        <v>2023</v>
      </c>
      <c r="Z720" t="n">
        <v>5</v>
      </c>
      <c r="AA720" t="inlineStr">
        <is>
          <t>May</t>
        </is>
      </c>
      <c r="AB720" t="inlineStr">
        <is>
          <t>Sunday</t>
        </is>
      </c>
      <c r="AC720" t="n">
        <v>6</v>
      </c>
      <c r="AD720" t="inlineStr">
        <is>
          <t>Profitable</t>
        </is>
      </c>
      <c r="AE720" t="inlineStr">
        <is>
          <t>High</t>
        </is>
      </c>
      <c r="AF720" t="inlineStr">
        <is>
          <t>Small</t>
        </is>
      </c>
    </row>
    <row r="721">
      <c r="A721" t="inlineStr">
        <is>
          <t>ORD-00720</t>
        </is>
      </c>
      <c r="B721" s="2" t="n">
        <v>45931</v>
      </c>
      <c r="C721" s="2" t="n">
        <v>45933</v>
      </c>
      <c r="D721" t="inlineStr">
        <is>
          <t>CUST-00720</t>
        </is>
      </c>
      <c r="E721" t="inlineStr">
        <is>
          <t>Customer 720</t>
        </is>
      </c>
      <c r="F721" t="inlineStr">
        <is>
          <t>Consumer</t>
        </is>
      </c>
      <c r="G721" t="inlineStr">
        <is>
          <t>P1014</t>
        </is>
      </c>
      <c r="H721" t="inlineStr">
        <is>
          <t>Halo Planter</t>
        </is>
      </c>
      <c r="I721" t="inlineStr">
        <is>
          <t>Technology</t>
        </is>
      </c>
      <c r="J721" t="inlineStr">
        <is>
          <t>Bags</t>
        </is>
      </c>
      <c r="K721" t="inlineStr">
        <is>
          <t>West</t>
        </is>
      </c>
      <c r="L721" t="inlineStr">
        <is>
          <t>Oregon</t>
        </is>
      </c>
      <c r="M721" t="inlineStr">
        <is>
          <t>Los Angeles</t>
        </is>
      </c>
      <c r="N721" t="inlineStr">
        <is>
          <t>Noah Kim</t>
        </is>
      </c>
      <c r="O721" t="n">
        <v>4</v>
      </c>
      <c r="P721" s="3" t="n">
        <v>46.16</v>
      </c>
      <c r="Q721" s="4" t="n">
        <v>0.082</v>
      </c>
      <c r="R721" s="3" t="n">
        <v>169.5</v>
      </c>
      <c r="S721" s="3" t="n">
        <v>71.31999999999999</v>
      </c>
      <c r="T721" s="3" t="n">
        <v>87.98</v>
      </c>
      <c r="U721" s="4" t="n">
        <v>0.5191</v>
      </c>
      <c r="V721" s="3" t="n">
        <v>10.2</v>
      </c>
      <c r="W721" t="inlineStr">
        <is>
          <t>Cash on Delivery</t>
        </is>
      </c>
      <c r="X721" t="inlineStr">
        <is>
          <t>Critical</t>
        </is>
      </c>
      <c r="Y721" t="n">
        <v>2025</v>
      </c>
      <c r="Z721" t="n">
        <v>10</v>
      </c>
      <c r="AA721" t="inlineStr">
        <is>
          <t>Oct</t>
        </is>
      </c>
      <c r="AB721" t="inlineStr">
        <is>
          <t>Wednesday</t>
        </is>
      </c>
      <c r="AC721" t="n">
        <v>2</v>
      </c>
      <c r="AD721" t="inlineStr">
        <is>
          <t>Profitable</t>
        </is>
      </c>
      <c r="AE721" t="inlineStr">
        <is>
          <t>High</t>
        </is>
      </c>
      <c r="AF721" t="inlineStr">
        <is>
          <t>Small</t>
        </is>
      </c>
    </row>
    <row r="722">
      <c r="A722" t="inlineStr">
        <is>
          <t>ORD-00721</t>
        </is>
      </c>
      <c r="B722" s="2" t="n">
        <v>45971</v>
      </c>
      <c r="C722" s="2" t="n">
        <v>45975</v>
      </c>
      <c r="D722" t="inlineStr">
        <is>
          <t>CUST-00721</t>
        </is>
      </c>
      <c r="E722" t="inlineStr">
        <is>
          <t>Customer 721</t>
        </is>
      </c>
      <c r="F722" t="inlineStr">
        <is>
          <t>Consumer</t>
        </is>
      </c>
      <c r="G722" t="inlineStr">
        <is>
          <t>P1010</t>
        </is>
      </c>
      <c r="H722" t="inlineStr">
        <is>
          <t>FlexNote Notebook</t>
        </is>
      </c>
      <c r="I722" t="inlineStr">
        <is>
          <t>Technology</t>
        </is>
      </c>
      <c r="J722" t="inlineStr">
        <is>
          <t>Chairs</t>
        </is>
      </c>
      <c r="K722" t="inlineStr">
        <is>
          <t>South</t>
        </is>
      </c>
      <c r="L722" t="inlineStr">
        <is>
          <t>Georgia</t>
        </is>
      </c>
      <c r="M722" t="inlineStr">
        <is>
          <t>Miami</t>
        </is>
      </c>
      <c r="N722" t="inlineStr">
        <is>
          <t>Ethan Brooks</t>
        </is>
      </c>
      <c r="O722" t="n">
        <v>2</v>
      </c>
      <c r="P722" s="3" t="n">
        <v>57.03</v>
      </c>
      <c r="Q722" s="4" t="n">
        <v>0.027</v>
      </c>
      <c r="R722" s="3" t="n">
        <v>110.98</v>
      </c>
      <c r="S722" s="3" t="n">
        <v>55.18</v>
      </c>
      <c r="T722" s="3" t="n">
        <v>48.2</v>
      </c>
      <c r="U722" s="4" t="n">
        <v>0.4343</v>
      </c>
      <c r="V722" s="3" t="n">
        <v>7.6</v>
      </c>
      <c r="W722" t="inlineStr">
        <is>
          <t>Credit Card</t>
        </is>
      </c>
      <c r="X722" t="inlineStr">
        <is>
          <t>Medium</t>
        </is>
      </c>
      <c r="Y722" t="n">
        <v>2025</v>
      </c>
      <c r="Z722" t="n">
        <v>11</v>
      </c>
      <c r="AA722" t="inlineStr">
        <is>
          <t>Nov</t>
        </is>
      </c>
      <c r="AB722" t="inlineStr">
        <is>
          <t>Monday</t>
        </is>
      </c>
      <c r="AC722" t="n">
        <v>4</v>
      </c>
      <c r="AD722" t="inlineStr">
        <is>
          <t>Profitable</t>
        </is>
      </c>
      <c r="AE722" t="inlineStr">
        <is>
          <t>Medium</t>
        </is>
      </c>
      <c r="AF722" t="inlineStr">
        <is>
          <t>Small</t>
        </is>
      </c>
    </row>
    <row r="723">
      <c r="A723" t="inlineStr">
        <is>
          <t>ORD-00722</t>
        </is>
      </c>
      <c r="B723" s="2" t="n">
        <v>45037</v>
      </c>
      <c r="C723" s="2" t="n">
        <v>45038</v>
      </c>
      <c r="D723" t="inlineStr">
        <is>
          <t>CUST-00722</t>
        </is>
      </c>
      <c r="E723" t="inlineStr">
        <is>
          <t>Customer 722</t>
        </is>
      </c>
      <c r="F723" t="inlineStr">
        <is>
          <t>Consumer</t>
        </is>
      </c>
      <c r="G723" t="inlineStr">
        <is>
          <t>P1020</t>
        </is>
      </c>
      <c r="H723" t="inlineStr">
        <is>
          <t>CloudDrive File Box</t>
        </is>
      </c>
      <c r="I723" t="inlineStr">
        <is>
          <t>Furniture</t>
        </is>
      </c>
      <c r="J723" t="inlineStr">
        <is>
          <t>Lighting</t>
        </is>
      </c>
      <c r="K723" t="inlineStr">
        <is>
          <t>East</t>
        </is>
      </c>
      <c r="L723" t="inlineStr">
        <is>
          <t>Massachusetts</t>
        </is>
      </c>
      <c r="M723" t="inlineStr">
        <is>
          <t>Washington</t>
        </is>
      </c>
      <c r="N723" t="inlineStr">
        <is>
          <t>Ava Patel</t>
        </is>
      </c>
      <c r="O723" t="n">
        <v>3</v>
      </c>
      <c r="P723" s="3" t="n">
        <v>71.23999999999999</v>
      </c>
      <c r="Q723" s="4" t="n">
        <v>0.057</v>
      </c>
      <c r="R723" s="3" t="n">
        <v>201.54</v>
      </c>
      <c r="S723" s="3" t="n">
        <v>95.04000000000001</v>
      </c>
      <c r="T723" s="3" t="n">
        <v>97.09999999999999</v>
      </c>
      <c r="U723" s="4" t="n">
        <v>0.4818</v>
      </c>
      <c r="V723" s="3" t="n">
        <v>9.4</v>
      </c>
      <c r="W723" t="inlineStr">
        <is>
          <t>Debit Card</t>
        </is>
      </c>
      <c r="X723" t="inlineStr">
        <is>
          <t>High</t>
        </is>
      </c>
      <c r="Y723" t="n">
        <v>2023</v>
      </c>
      <c r="Z723" t="n">
        <v>4</v>
      </c>
      <c r="AA723" t="inlineStr">
        <is>
          <t>Apr</t>
        </is>
      </c>
      <c r="AB723" t="inlineStr">
        <is>
          <t>Friday</t>
        </is>
      </c>
      <c r="AC723" t="n">
        <v>1</v>
      </c>
      <c r="AD723" t="inlineStr">
        <is>
          <t>Profitable</t>
        </is>
      </c>
      <c r="AE723" t="inlineStr">
        <is>
          <t>High</t>
        </is>
      </c>
      <c r="AF723" t="inlineStr">
        <is>
          <t>Small</t>
        </is>
      </c>
    </row>
    <row r="724">
      <c r="A724" t="inlineStr">
        <is>
          <t>ORD-00723</t>
        </is>
      </c>
      <c r="B724" s="2" t="n">
        <v>44972</v>
      </c>
      <c r="C724" s="2" t="n">
        <v>44978</v>
      </c>
      <c r="D724" t="inlineStr">
        <is>
          <t>CUST-00723</t>
        </is>
      </c>
      <c r="E724" t="inlineStr">
        <is>
          <t>Customer 723</t>
        </is>
      </c>
      <c r="F724" t="inlineStr">
        <is>
          <t>Consumer</t>
        </is>
      </c>
      <c r="G724" t="inlineStr">
        <is>
          <t>P1011</t>
        </is>
      </c>
      <c r="H724" t="inlineStr">
        <is>
          <t>Tide Cooler</t>
        </is>
      </c>
      <c r="I724" t="inlineStr">
        <is>
          <t>Office Supplies</t>
        </is>
      </c>
      <c r="J724" t="inlineStr">
        <is>
          <t>Writing</t>
        </is>
      </c>
      <c r="K724" t="inlineStr">
        <is>
          <t>East</t>
        </is>
      </c>
      <c r="L724" t="inlineStr">
        <is>
          <t>New Jersey</t>
        </is>
      </c>
      <c r="M724" t="inlineStr">
        <is>
          <t>Washington</t>
        </is>
      </c>
      <c r="N724" t="inlineStr">
        <is>
          <t>Olivia Martin</t>
        </is>
      </c>
      <c r="O724" t="n">
        <v>4</v>
      </c>
      <c r="P724" s="3" t="n">
        <v>86.23999999999999</v>
      </c>
      <c r="Q724" s="4" t="n">
        <v>0.025</v>
      </c>
      <c r="R724" s="3" t="n">
        <v>336.34</v>
      </c>
      <c r="S724" s="3" t="n">
        <v>160.99</v>
      </c>
      <c r="T724" s="3" t="n">
        <v>165.15</v>
      </c>
      <c r="U724" s="4" t="n">
        <v>0.491</v>
      </c>
      <c r="V724" s="3" t="n">
        <v>10.2</v>
      </c>
      <c r="W724" t="inlineStr">
        <is>
          <t>Debit Card</t>
        </is>
      </c>
      <c r="X724" t="inlineStr">
        <is>
          <t>Critical</t>
        </is>
      </c>
      <c r="Y724" t="n">
        <v>2023</v>
      </c>
      <c r="Z724" t="n">
        <v>2</v>
      </c>
      <c r="AA724" t="inlineStr">
        <is>
          <t>Feb</t>
        </is>
      </c>
      <c r="AB724" t="inlineStr">
        <is>
          <t>Wednesday</t>
        </is>
      </c>
      <c r="AC724" t="n">
        <v>6</v>
      </c>
      <c r="AD724" t="inlineStr">
        <is>
          <t>Profitable</t>
        </is>
      </c>
      <c r="AE724" t="inlineStr">
        <is>
          <t>Medium</t>
        </is>
      </c>
      <c r="AF724" t="inlineStr">
        <is>
          <t>Small</t>
        </is>
      </c>
    </row>
    <row r="725">
      <c r="A725" t="inlineStr">
        <is>
          <t>ORD-00724</t>
        </is>
      </c>
      <c r="B725" s="2" t="n">
        <v>45999</v>
      </c>
      <c r="C725" s="2" t="n">
        <v>46003</v>
      </c>
      <c r="D725" t="inlineStr">
        <is>
          <t>CUST-00724</t>
        </is>
      </c>
      <c r="E725" t="inlineStr">
        <is>
          <t>Customer 724</t>
        </is>
      </c>
      <c r="F725" t="inlineStr">
        <is>
          <t>Corporate</t>
        </is>
      </c>
      <c r="G725" t="inlineStr">
        <is>
          <t>P1014</t>
        </is>
      </c>
      <c r="H725" t="inlineStr">
        <is>
          <t>Tide Cooler</t>
        </is>
      </c>
      <c r="I725" t="inlineStr">
        <is>
          <t>Office Supplies</t>
        </is>
      </c>
      <c r="J725" t="inlineStr">
        <is>
          <t>Coolers</t>
        </is>
      </c>
      <c r="K725" t="inlineStr">
        <is>
          <t>East</t>
        </is>
      </c>
      <c r="L725" t="inlineStr">
        <is>
          <t>Virginia</t>
        </is>
      </c>
      <c r="M725" t="inlineStr">
        <is>
          <t>Washington</t>
        </is>
      </c>
      <c r="N725" t="inlineStr">
        <is>
          <t>James Carter</t>
        </is>
      </c>
      <c r="O725" t="n">
        <v>4</v>
      </c>
      <c r="P725" s="3" t="n">
        <v>47.94</v>
      </c>
      <c r="Q725" s="4" t="n">
        <v>0.03</v>
      </c>
      <c r="R725" s="3" t="n">
        <v>186.01</v>
      </c>
      <c r="S725" s="3" t="n">
        <v>82.73</v>
      </c>
      <c r="T725" s="3" t="n">
        <v>93.08</v>
      </c>
      <c r="U725" s="4" t="n">
        <v>0.5004</v>
      </c>
      <c r="V725" s="3" t="n">
        <v>10.2</v>
      </c>
      <c r="W725" t="inlineStr">
        <is>
          <t>Debit Card</t>
        </is>
      </c>
      <c r="X725" t="inlineStr">
        <is>
          <t>Medium</t>
        </is>
      </c>
      <c r="Y725" t="n">
        <v>2025</v>
      </c>
      <c r="Z725" t="n">
        <v>12</v>
      </c>
      <c r="AA725" t="inlineStr">
        <is>
          <t>Dec</t>
        </is>
      </c>
      <c r="AB725" t="inlineStr">
        <is>
          <t>Monday</t>
        </is>
      </c>
      <c r="AC725" t="n">
        <v>4</v>
      </c>
      <c r="AD725" t="inlineStr">
        <is>
          <t>Profitable</t>
        </is>
      </c>
      <c r="AE725" t="inlineStr">
        <is>
          <t>Medium</t>
        </is>
      </c>
      <c r="AF725" t="inlineStr">
        <is>
          <t>Small</t>
        </is>
      </c>
    </row>
    <row r="726">
      <c r="A726" t="inlineStr">
        <is>
          <t>ORD-00725</t>
        </is>
      </c>
      <c r="B726" s="2" t="n">
        <v>45467</v>
      </c>
      <c r="C726" s="2" t="n">
        <v>45468</v>
      </c>
      <c r="D726" t="inlineStr">
        <is>
          <t>CUST-00725</t>
        </is>
      </c>
      <c r="E726" t="inlineStr">
        <is>
          <t>Customer 725</t>
        </is>
      </c>
      <c r="F726" t="inlineStr">
        <is>
          <t>Consumer</t>
        </is>
      </c>
      <c r="G726" t="inlineStr">
        <is>
          <t>P1012</t>
        </is>
      </c>
      <c r="H726" t="inlineStr">
        <is>
          <t>Echo Web Camera</t>
        </is>
      </c>
      <c r="I726" t="inlineStr">
        <is>
          <t>Technology</t>
        </is>
      </c>
      <c r="J726" t="inlineStr">
        <is>
          <t>Plants</t>
        </is>
      </c>
      <c r="K726" t="inlineStr">
        <is>
          <t>Central</t>
        </is>
      </c>
      <c r="L726" t="inlineStr">
        <is>
          <t>Illinois</t>
        </is>
      </c>
      <c r="M726" t="inlineStr">
        <is>
          <t>St. Louis</t>
        </is>
      </c>
      <c r="N726" t="inlineStr">
        <is>
          <t>Ethan Brooks</t>
        </is>
      </c>
      <c r="O726" t="n">
        <v>3</v>
      </c>
      <c r="P726" s="3" t="n">
        <v>127.53</v>
      </c>
      <c r="Q726" s="4" t="n">
        <v>0.043</v>
      </c>
      <c r="R726" s="3" t="n">
        <v>366.14</v>
      </c>
      <c r="S726" s="3" t="n">
        <v>186.49</v>
      </c>
      <c r="T726" s="3" t="n">
        <v>171.25</v>
      </c>
      <c r="U726" s="4" t="n">
        <v>0.4677</v>
      </c>
      <c r="V726" s="3" t="n">
        <v>8.4</v>
      </c>
      <c r="W726" t="inlineStr">
        <is>
          <t>PayPal</t>
        </is>
      </c>
      <c r="X726" t="inlineStr">
        <is>
          <t>High</t>
        </is>
      </c>
      <c r="Y726" t="n">
        <v>2024</v>
      </c>
      <c r="Z726" t="n">
        <v>6</v>
      </c>
      <c r="AA726" t="inlineStr">
        <is>
          <t>Jun</t>
        </is>
      </c>
      <c r="AB726" t="inlineStr">
        <is>
          <t>Monday</t>
        </is>
      </c>
      <c r="AC726" t="n">
        <v>1</v>
      </c>
      <c r="AD726" t="inlineStr">
        <is>
          <t>Profitable</t>
        </is>
      </c>
      <c r="AE726" t="inlineStr">
        <is>
          <t>Medium</t>
        </is>
      </c>
      <c r="AF726" t="inlineStr">
        <is>
          <t>Small</t>
        </is>
      </c>
    </row>
    <row r="727">
      <c r="A727" t="inlineStr">
        <is>
          <t>ORD-00726</t>
        </is>
      </c>
      <c r="B727" s="2" t="n">
        <v>45888</v>
      </c>
      <c r="C727" s="2" t="n">
        <v>45889</v>
      </c>
      <c r="D727" t="inlineStr">
        <is>
          <t>CUST-00726</t>
        </is>
      </c>
      <c r="E727" t="inlineStr">
        <is>
          <t>Customer 726</t>
        </is>
      </c>
      <c r="F727" t="inlineStr">
        <is>
          <t>Consumer</t>
        </is>
      </c>
      <c r="G727" t="inlineStr">
        <is>
          <t>P1004</t>
        </is>
      </c>
      <c r="H727" t="inlineStr">
        <is>
          <t>Aero Standing Desk</t>
        </is>
      </c>
      <c r="I727" t="inlineStr">
        <is>
          <t>Technology</t>
        </is>
      </c>
      <c r="J727" t="inlineStr">
        <is>
          <t>Flooring</t>
        </is>
      </c>
      <c r="K727" t="inlineStr">
        <is>
          <t>East</t>
        </is>
      </c>
      <c r="L727" t="inlineStr">
        <is>
          <t>Massachusetts</t>
        </is>
      </c>
      <c r="M727" t="inlineStr">
        <is>
          <t>Washington</t>
        </is>
      </c>
      <c r="N727" t="inlineStr">
        <is>
          <t>Liam Chen</t>
        </is>
      </c>
      <c r="O727" t="n">
        <v>3</v>
      </c>
      <c r="P727" s="3" t="n">
        <v>607.01</v>
      </c>
      <c r="Q727" s="4" t="n">
        <v>0.005</v>
      </c>
      <c r="R727" s="3" t="n">
        <v>1811.92</v>
      </c>
      <c r="S727" s="3" t="n">
        <v>1151.25</v>
      </c>
      <c r="T727" s="3" t="n">
        <v>651.27</v>
      </c>
      <c r="U727" s="4" t="n">
        <v>0.3594</v>
      </c>
      <c r="V727" s="3" t="n">
        <v>9.4</v>
      </c>
      <c r="W727" t="inlineStr">
        <is>
          <t>Bank Transfer</t>
        </is>
      </c>
      <c r="X727" t="inlineStr">
        <is>
          <t>Medium</t>
        </is>
      </c>
      <c r="Y727" t="n">
        <v>2025</v>
      </c>
      <c r="Z727" t="n">
        <v>8</v>
      </c>
      <c r="AA727" t="inlineStr">
        <is>
          <t>Aug</t>
        </is>
      </c>
      <c r="AB727" t="inlineStr">
        <is>
          <t>Tuesday</t>
        </is>
      </c>
      <c r="AC727" t="n">
        <v>1</v>
      </c>
      <c r="AD727" t="inlineStr">
        <is>
          <t>Profitable</t>
        </is>
      </c>
      <c r="AE727" t="inlineStr">
        <is>
          <t>Low</t>
        </is>
      </c>
      <c r="AF727" t="inlineStr">
        <is>
          <t>Large</t>
        </is>
      </c>
    </row>
    <row r="728">
      <c r="A728" t="inlineStr">
        <is>
          <t>ORD-00727</t>
        </is>
      </c>
      <c r="B728" s="2" t="n">
        <v>45080</v>
      </c>
      <c r="C728" s="2" t="n">
        <v>45087</v>
      </c>
      <c r="D728" t="inlineStr">
        <is>
          <t>CUST-00727</t>
        </is>
      </c>
      <c r="E728" t="inlineStr">
        <is>
          <t>Customer 727</t>
        </is>
      </c>
      <c r="F728" t="inlineStr">
        <is>
          <t>Consumer</t>
        </is>
      </c>
      <c r="G728" t="inlineStr">
        <is>
          <t>P1013</t>
        </is>
      </c>
      <c r="H728" t="inlineStr">
        <is>
          <t>CloudDrive File Box</t>
        </is>
      </c>
      <c r="I728" t="inlineStr">
        <is>
          <t>Outdoor</t>
        </is>
      </c>
      <c r="J728" t="inlineStr">
        <is>
          <t>Lighting</t>
        </is>
      </c>
      <c r="K728" t="inlineStr">
        <is>
          <t>East</t>
        </is>
      </c>
      <c r="L728" t="inlineStr">
        <is>
          <t>Virginia</t>
        </is>
      </c>
      <c r="M728" t="inlineStr">
        <is>
          <t>Philadelphia</t>
        </is>
      </c>
      <c r="N728" t="inlineStr">
        <is>
          <t>James Carter</t>
        </is>
      </c>
      <c r="O728" t="n">
        <v>2</v>
      </c>
      <c r="P728" s="3" t="n">
        <v>168.63</v>
      </c>
      <c r="Q728" s="4" t="n">
        <v>0.006</v>
      </c>
      <c r="R728" s="3" t="n">
        <v>335.24</v>
      </c>
      <c r="S728" s="3" t="n">
        <v>197.63</v>
      </c>
      <c r="T728" s="3" t="n">
        <v>129.01</v>
      </c>
      <c r="U728" s="4" t="n">
        <v>0.3848</v>
      </c>
      <c r="V728" s="3" t="n">
        <v>8.6</v>
      </c>
      <c r="W728" t="inlineStr">
        <is>
          <t>Credit Card</t>
        </is>
      </c>
      <c r="X728" t="inlineStr">
        <is>
          <t>Medium</t>
        </is>
      </c>
      <c r="Y728" t="n">
        <v>2023</v>
      </c>
      <c r="Z728" t="n">
        <v>6</v>
      </c>
      <c r="AA728" t="inlineStr">
        <is>
          <t>Jun</t>
        </is>
      </c>
      <c r="AB728" t="inlineStr">
        <is>
          <t>Saturday</t>
        </is>
      </c>
      <c r="AC728" t="n">
        <v>7</v>
      </c>
      <c r="AD728" t="inlineStr">
        <is>
          <t>Profitable</t>
        </is>
      </c>
      <c r="AE728" t="inlineStr">
        <is>
          <t>Low</t>
        </is>
      </c>
      <c r="AF728" t="inlineStr">
        <is>
          <t>Small</t>
        </is>
      </c>
    </row>
    <row r="729">
      <c r="A729" t="inlineStr">
        <is>
          <t>ORD-00728</t>
        </is>
      </c>
      <c r="B729" s="2" t="n">
        <v>45739</v>
      </c>
      <c r="C729" s="2" t="n">
        <v>45740</v>
      </c>
      <c r="D729" t="inlineStr">
        <is>
          <t>CUST-00728</t>
        </is>
      </c>
      <c r="E729" t="inlineStr">
        <is>
          <t>Customer 728</t>
        </is>
      </c>
      <c r="F729" t="inlineStr">
        <is>
          <t>Consumer</t>
        </is>
      </c>
      <c r="G729" t="inlineStr">
        <is>
          <t>P1003</t>
        </is>
      </c>
      <c r="H729" t="inlineStr">
        <is>
          <t>Lumen Desk Lamp</t>
        </is>
      </c>
      <c r="I729" t="inlineStr">
        <is>
          <t>Home Decor</t>
        </is>
      </c>
      <c r="J729" t="inlineStr">
        <is>
          <t>Coolers</t>
        </is>
      </c>
      <c r="K729" t="inlineStr">
        <is>
          <t>East</t>
        </is>
      </c>
      <c r="L729" t="inlineStr">
        <is>
          <t>Virginia</t>
        </is>
      </c>
      <c r="M729" t="inlineStr">
        <is>
          <t>Washington</t>
        </is>
      </c>
      <c r="N729" t="inlineStr">
        <is>
          <t>Mia Rodriguez</t>
        </is>
      </c>
      <c r="O729" t="n">
        <v>1</v>
      </c>
      <c r="P729" s="3" t="n">
        <v>155.46</v>
      </c>
      <c r="Q729" s="4" t="n">
        <v>0.06900000000000001</v>
      </c>
      <c r="R729" s="3" t="n">
        <v>144.73</v>
      </c>
      <c r="S729" s="3" t="n">
        <v>78.3</v>
      </c>
      <c r="T729" s="3" t="n">
        <v>58.63</v>
      </c>
      <c r="U729" s="4" t="n">
        <v>0.4051</v>
      </c>
      <c r="V729" s="3" t="n">
        <v>7.8</v>
      </c>
      <c r="W729" t="inlineStr">
        <is>
          <t>Credit Card</t>
        </is>
      </c>
      <c r="X729" t="inlineStr">
        <is>
          <t>Critical</t>
        </is>
      </c>
      <c r="Y729" t="n">
        <v>2025</v>
      </c>
      <c r="Z729" t="n">
        <v>3</v>
      </c>
      <c r="AA729" t="inlineStr">
        <is>
          <t>Mar</t>
        </is>
      </c>
      <c r="AB729" t="inlineStr">
        <is>
          <t>Sunday</t>
        </is>
      </c>
      <c r="AC729" t="n">
        <v>1</v>
      </c>
      <c r="AD729" t="inlineStr">
        <is>
          <t>Profitable</t>
        </is>
      </c>
      <c r="AE729" t="inlineStr">
        <is>
          <t>High</t>
        </is>
      </c>
      <c r="AF729" t="inlineStr">
        <is>
          <t>Small</t>
        </is>
      </c>
    </row>
    <row r="730">
      <c r="A730" t="inlineStr">
        <is>
          <t>ORD-00729</t>
        </is>
      </c>
      <c r="B730" s="2" t="n">
        <v>45153</v>
      </c>
      <c r="C730" s="2" t="n">
        <v>45159</v>
      </c>
      <c r="D730" t="inlineStr">
        <is>
          <t>CUST-00729</t>
        </is>
      </c>
      <c r="E730" t="inlineStr">
        <is>
          <t>Customer 729</t>
        </is>
      </c>
      <c r="F730" t="inlineStr">
        <is>
          <t>Consumer</t>
        </is>
      </c>
      <c r="G730" t="inlineStr">
        <is>
          <t>P1013</t>
        </is>
      </c>
      <c r="H730" t="inlineStr">
        <is>
          <t>Trail Tote</t>
        </is>
      </c>
      <c r="I730" t="inlineStr">
        <is>
          <t>Furniture</t>
        </is>
      </c>
      <c r="J730" t="inlineStr">
        <is>
          <t>Desks</t>
        </is>
      </c>
      <c r="K730" t="inlineStr">
        <is>
          <t>East</t>
        </is>
      </c>
      <c r="L730" t="inlineStr">
        <is>
          <t>Virginia</t>
        </is>
      </c>
      <c r="M730" t="inlineStr">
        <is>
          <t>Philadelphia</t>
        </is>
      </c>
      <c r="N730" t="inlineStr">
        <is>
          <t>Noah Kim</t>
        </is>
      </c>
      <c r="O730" t="n">
        <v>1</v>
      </c>
      <c r="P730" s="3" t="n">
        <v>162.3</v>
      </c>
      <c r="Q730" s="4" t="n">
        <v>0.016</v>
      </c>
      <c r="R730" s="3" t="n">
        <v>159.7</v>
      </c>
      <c r="S730" s="3" t="n">
        <v>100</v>
      </c>
      <c r="T730" s="3" t="n">
        <v>51.9</v>
      </c>
      <c r="U730" s="4" t="n">
        <v>0.325</v>
      </c>
      <c r="V730" s="3" t="n">
        <v>7.8</v>
      </c>
      <c r="W730" t="inlineStr">
        <is>
          <t>Bank Transfer</t>
        </is>
      </c>
      <c r="X730" t="inlineStr">
        <is>
          <t>Low</t>
        </is>
      </c>
      <c r="Y730" t="n">
        <v>2023</v>
      </c>
      <c r="Z730" t="n">
        <v>8</v>
      </c>
      <c r="AA730" t="inlineStr">
        <is>
          <t>Aug</t>
        </is>
      </c>
      <c r="AB730" t="inlineStr">
        <is>
          <t>Tuesday</t>
        </is>
      </c>
      <c r="AC730" t="n">
        <v>6</v>
      </c>
      <c r="AD730" t="inlineStr">
        <is>
          <t>Profitable</t>
        </is>
      </c>
      <c r="AE730" t="inlineStr">
        <is>
          <t>Low</t>
        </is>
      </c>
      <c r="AF730" t="inlineStr">
        <is>
          <t>Small</t>
        </is>
      </c>
    </row>
    <row r="731">
      <c r="A731" t="inlineStr">
        <is>
          <t>ORD-00730</t>
        </is>
      </c>
      <c r="B731" s="2" t="n">
        <v>45111</v>
      </c>
      <c r="C731" s="2" t="n">
        <v>45113</v>
      </c>
      <c r="D731" t="inlineStr">
        <is>
          <t>CUST-00730</t>
        </is>
      </c>
      <c r="E731" t="inlineStr">
        <is>
          <t>Customer 730</t>
        </is>
      </c>
      <c r="F731" t="inlineStr">
        <is>
          <t>Corporate</t>
        </is>
      </c>
      <c r="G731" t="inlineStr">
        <is>
          <t>P1020</t>
        </is>
      </c>
      <c r="H731" t="inlineStr">
        <is>
          <t>Nimbus Monitor Arm</t>
        </is>
      </c>
      <c r="I731" t="inlineStr">
        <is>
          <t>Technology</t>
        </is>
      </c>
      <c r="J731" t="inlineStr">
        <is>
          <t>Coolers</t>
        </is>
      </c>
      <c r="K731" t="inlineStr">
        <is>
          <t>South</t>
        </is>
      </c>
      <c r="L731" t="inlineStr">
        <is>
          <t>Texas</t>
        </is>
      </c>
      <c r="M731" t="inlineStr">
        <is>
          <t>Miami</t>
        </is>
      </c>
      <c r="N731" t="inlineStr">
        <is>
          <t>Liam Chen</t>
        </is>
      </c>
      <c r="O731" t="n">
        <v>3</v>
      </c>
      <c r="P731" s="3" t="n">
        <v>70.68000000000001</v>
      </c>
      <c r="Q731" s="4" t="n">
        <v>0.032</v>
      </c>
      <c r="R731" s="3" t="n">
        <v>205.25</v>
      </c>
      <c r="S731" s="3" t="n">
        <v>103.48</v>
      </c>
      <c r="T731" s="3" t="n">
        <v>93.37</v>
      </c>
      <c r="U731" s="4" t="n">
        <v>0.4549</v>
      </c>
      <c r="V731" s="3" t="n">
        <v>8.4</v>
      </c>
      <c r="W731" t="inlineStr">
        <is>
          <t>Debit Card</t>
        </is>
      </c>
      <c r="X731" t="inlineStr">
        <is>
          <t>Medium</t>
        </is>
      </c>
      <c r="Y731" t="n">
        <v>2023</v>
      </c>
      <c r="Z731" t="n">
        <v>7</v>
      </c>
      <c r="AA731" t="inlineStr">
        <is>
          <t>Jul</t>
        </is>
      </c>
      <c r="AB731" t="inlineStr">
        <is>
          <t>Tuesday</t>
        </is>
      </c>
      <c r="AC731" t="n">
        <v>2</v>
      </c>
      <c r="AD731" t="inlineStr">
        <is>
          <t>Profitable</t>
        </is>
      </c>
      <c r="AE731" t="inlineStr">
        <is>
          <t>Medium</t>
        </is>
      </c>
      <c r="AF731" t="inlineStr">
        <is>
          <t>Small</t>
        </is>
      </c>
    </row>
    <row r="732">
      <c r="A732" t="inlineStr">
        <is>
          <t>ORD-00731</t>
        </is>
      </c>
      <c r="B732" s="2" t="n">
        <v>45022</v>
      </c>
      <c r="C732" s="2" t="n">
        <v>45028</v>
      </c>
      <c r="D732" t="inlineStr">
        <is>
          <t>CUST-00731</t>
        </is>
      </c>
      <c r="E732" t="inlineStr">
        <is>
          <t>Customer 731</t>
        </is>
      </c>
      <c r="F732" t="inlineStr">
        <is>
          <t>Corporate</t>
        </is>
      </c>
      <c r="G732" t="inlineStr">
        <is>
          <t>P1019</t>
        </is>
      </c>
      <c r="H732" t="inlineStr">
        <is>
          <t>CloudDrive File Box</t>
        </is>
      </c>
      <c r="I732" t="inlineStr">
        <is>
          <t>Office Supplies</t>
        </is>
      </c>
      <c r="J732" t="inlineStr">
        <is>
          <t>Desks</t>
        </is>
      </c>
      <c r="K732" t="inlineStr">
        <is>
          <t>East</t>
        </is>
      </c>
      <c r="L732" t="inlineStr">
        <is>
          <t>Massachusetts</t>
        </is>
      </c>
      <c r="M732" t="inlineStr">
        <is>
          <t>Boston</t>
        </is>
      </c>
      <c r="N732" t="inlineStr">
        <is>
          <t>Mia Rodriguez</t>
        </is>
      </c>
      <c r="O732" t="n">
        <v>1</v>
      </c>
      <c r="P732" s="3" t="n">
        <v>56.14</v>
      </c>
      <c r="Q732" s="4" t="n">
        <v>0.024</v>
      </c>
      <c r="R732" s="3" t="n">
        <v>54.79</v>
      </c>
      <c r="S732" s="3" t="n">
        <v>29.17</v>
      </c>
      <c r="T732" s="3" t="n">
        <v>17.82</v>
      </c>
      <c r="U732" s="4" t="n">
        <v>0.3252</v>
      </c>
      <c r="V732" s="3" t="n">
        <v>7.8</v>
      </c>
      <c r="W732" t="inlineStr">
        <is>
          <t>Credit Card</t>
        </is>
      </c>
      <c r="X732" t="inlineStr">
        <is>
          <t>Low</t>
        </is>
      </c>
      <c r="Y732" t="n">
        <v>2023</v>
      </c>
      <c r="Z732" t="n">
        <v>4</v>
      </c>
      <c r="AA732" t="inlineStr">
        <is>
          <t>Apr</t>
        </is>
      </c>
      <c r="AB732" t="inlineStr">
        <is>
          <t>Thursday</t>
        </is>
      </c>
      <c r="AC732" t="n">
        <v>6</v>
      </c>
      <c r="AD732" t="inlineStr">
        <is>
          <t>Profitable</t>
        </is>
      </c>
      <c r="AE732" t="inlineStr">
        <is>
          <t>Medium</t>
        </is>
      </c>
      <c r="AF732" t="inlineStr">
        <is>
          <t>Small</t>
        </is>
      </c>
    </row>
    <row r="733">
      <c r="A733" t="inlineStr">
        <is>
          <t>ORD-00732</t>
        </is>
      </c>
      <c r="B733" s="2" t="n">
        <v>45863</v>
      </c>
      <c r="C733" s="2" t="n">
        <v>45869</v>
      </c>
      <c r="D733" t="inlineStr">
        <is>
          <t>CUST-00732</t>
        </is>
      </c>
      <c r="E733" t="inlineStr">
        <is>
          <t>Customer 732</t>
        </is>
      </c>
      <c r="F733" t="inlineStr">
        <is>
          <t>Consumer</t>
        </is>
      </c>
      <c r="G733" t="inlineStr">
        <is>
          <t>P1015</t>
        </is>
      </c>
      <c r="H733" t="inlineStr">
        <is>
          <t>Echo Web Camera</t>
        </is>
      </c>
      <c r="I733" t="inlineStr">
        <is>
          <t>Furniture</t>
        </is>
      </c>
      <c r="J733" t="inlineStr">
        <is>
          <t>Textiles</t>
        </is>
      </c>
      <c r="K733" t="inlineStr">
        <is>
          <t>East</t>
        </is>
      </c>
      <c r="L733" t="inlineStr">
        <is>
          <t>New Jersey</t>
        </is>
      </c>
      <c r="M733" t="inlineStr">
        <is>
          <t>New York</t>
        </is>
      </c>
      <c r="N733" t="inlineStr">
        <is>
          <t>Ava Patel</t>
        </is>
      </c>
      <c r="O733" t="n">
        <v>1</v>
      </c>
      <c r="P733" s="3" t="n">
        <v>72.65000000000001</v>
      </c>
      <c r="Q733" s="4" t="n">
        <v>0.014</v>
      </c>
      <c r="R733" s="3" t="n">
        <v>71.63</v>
      </c>
      <c r="S733" s="3" t="n">
        <v>40.68</v>
      </c>
      <c r="T733" s="3" t="n">
        <v>23.15</v>
      </c>
      <c r="U733" s="4" t="n">
        <v>0.3232</v>
      </c>
      <c r="V733" s="3" t="n">
        <v>7.8</v>
      </c>
      <c r="W733" t="inlineStr">
        <is>
          <t>PayPal</t>
        </is>
      </c>
      <c r="X733" t="inlineStr">
        <is>
          <t>Medium</t>
        </is>
      </c>
      <c r="Y733" t="n">
        <v>2025</v>
      </c>
      <c r="Z733" t="n">
        <v>7</v>
      </c>
      <c r="AA733" t="inlineStr">
        <is>
          <t>Jul</t>
        </is>
      </c>
      <c r="AB733" t="inlineStr">
        <is>
          <t>Friday</t>
        </is>
      </c>
      <c r="AC733" t="n">
        <v>6</v>
      </c>
      <c r="AD733" t="inlineStr">
        <is>
          <t>Profitable</t>
        </is>
      </c>
      <c r="AE733" t="inlineStr">
        <is>
          <t>Low</t>
        </is>
      </c>
      <c r="AF733" t="inlineStr">
        <is>
          <t>Small</t>
        </is>
      </c>
    </row>
    <row r="734">
      <c r="A734" t="inlineStr">
        <is>
          <t>ORD-00733</t>
        </is>
      </c>
      <c r="B734" s="2" t="n">
        <v>45971</v>
      </c>
      <c r="C734" s="2" t="n">
        <v>45975</v>
      </c>
      <c r="D734" t="inlineStr">
        <is>
          <t>CUST-00733</t>
        </is>
      </c>
      <c r="E734" t="inlineStr">
        <is>
          <t>Customer 733</t>
        </is>
      </c>
      <c r="F734" t="inlineStr">
        <is>
          <t>Consumer</t>
        </is>
      </c>
      <c r="G734" t="inlineStr">
        <is>
          <t>P1019</t>
        </is>
      </c>
      <c r="H734" t="inlineStr">
        <is>
          <t>Lumen Desk Lamp</t>
        </is>
      </c>
      <c r="I734" t="inlineStr">
        <is>
          <t>Outdoor</t>
        </is>
      </c>
      <c r="J734" t="inlineStr">
        <is>
          <t>Decor</t>
        </is>
      </c>
      <c r="K734" t="inlineStr">
        <is>
          <t>Central</t>
        </is>
      </c>
      <c r="L734" t="inlineStr">
        <is>
          <t>Minnesota</t>
        </is>
      </c>
      <c r="M734" t="inlineStr">
        <is>
          <t>Kansas City</t>
        </is>
      </c>
      <c r="N734" t="inlineStr">
        <is>
          <t>Sophia Singh</t>
        </is>
      </c>
      <c r="O734" t="n">
        <v>2</v>
      </c>
      <c r="P734" s="3" t="n">
        <v>63.18</v>
      </c>
      <c r="Q734" s="4" t="n">
        <v>0.037</v>
      </c>
      <c r="R734" s="3" t="n">
        <v>121.68</v>
      </c>
      <c r="S734" s="3" t="n">
        <v>57.94</v>
      </c>
      <c r="T734" s="3" t="n">
        <v>56.14</v>
      </c>
      <c r="U734" s="4" t="n">
        <v>0.4614</v>
      </c>
      <c r="V734" s="3" t="n">
        <v>7.6</v>
      </c>
      <c r="W734" t="inlineStr">
        <is>
          <t>Credit Card</t>
        </is>
      </c>
      <c r="X734" t="inlineStr">
        <is>
          <t>High</t>
        </is>
      </c>
      <c r="Y734" t="n">
        <v>2025</v>
      </c>
      <c r="Z734" t="n">
        <v>11</v>
      </c>
      <c r="AA734" t="inlineStr">
        <is>
          <t>Nov</t>
        </is>
      </c>
      <c r="AB734" t="inlineStr">
        <is>
          <t>Monday</t>
        </is>
      </c>
      <c r="AC734" t="n">
        <v>4</v>
      </c>
      <c r="AD734" t="inlineStr">
        <is>
          <t>Profitable</t>
        </is>
      </c>
      <c r="AE734" t="inlineStr">
        <is>
          <t>Medium</t>
        </is>
      </c>
      <c r="AF734" t="inlineStr">
        <is>
          <t>Small</t>
        </is>
      </c>
    </row>
    <row r="735">
      <c r="A735" t="inlineStr">
        <is>
          <t>ORD-00734</t>
        </is>
      </c>
      <c r="B735" s="2" t="n">
        <v>45522</v>
      </c>
      <c r="C735" s="2" t="n">
        <v>45525</v>
      </c>
      <c r="D735" t="inlineStr">
        <is>
          <t>CUST-00734</t>
        </is>
      </c>
      <c r="E735" t="inlineStr">
        <is>
          <t>Customer 734</t>
        </is>
      </c>
      <c r="F735" t="inlineStr">
        <is>
          <t>Consumer</t>
        </is>
      </c>
      <c r="G735" t="inlineStr">
        <is>
          <t>P1020</t>
        </is>
      </c>
      <c r="H735" t="inlineStr">
        <is>
          <t>Summit Patio Set</t>
        </is>
      </c>
      <c r="I735" t="inlineStr">
        <is>
          <t>Technology</t>
        </is>
      </c>
      <c r="J735" t="inlineStr">
        <is>
          <t>Decor</t>
        </is>
      </c>
      <c r="K735" t="inlineStr">
        <is>
          <t>North</t>
        </is>
      </c>
      <c r="L735" t="inlineStr">
        <is>
          <t>Ontario</t>
        </is>
      </c>
      <c r="M735" t="inlineStr">
        <is>
          <t>Vancouver</t>
        </is>
      </c>
      <c r="N735" t="inlineStr">
        <is>
          <t>Ava Patel</t>
        </is>
      </c>
      <c r="O735" t="n">
        <v>3</v>
      </c>
      <c r="P735" s="3" t="n">
        <v>77.69</v>
      </c>
      <c r="Q735" s="4" t="n">
        <v>0.041</v>
      </c>
      <c r="R735" s="3" t="n">
        <v>223.51</v>
      </c>
      <c r="S735" s="3" t="n">
        <v>108.43</v>
      </c>
      <c r="T735" s="3" t="n">
        <v>106.68</v>
      </c>
      <c r="U735" s="4" t="n">
        <v>0.4773</v>
      </c>
      <c r="V735" s="3" t="n">
        <v>8.4</v>
      </c>
      <c r="W735" t="inlineStr">
        <is>
          <t>Credit Card</t>
        </is>
      </c>
      <c r="X735" t="inlineStr">
        <is>
          <t>High</t>
        </is>
      </c>
      <c r="Y735" t="n">
        <v>2024</v>
      </c>
      <c r="Z735" t="n">
        <v>8</v>
      </c>
      <c r="AA735" t="inlineStr">
        <is>
          <t>Aug</t>
        </is>
      </c>
      <c r="AB735" t="inlineStr">
        <is>
          <t>Sunday</t>
        </is>
      </c>
      <c r="AC735" t="n">
        <v>3</v>
      </c>
      <c r="AD735" t="inlineStr">
        <is>
          <t>Profitable</t>
        </is>
      </c>
      <c r="AE735" t="inlineStr">
        <is>
          <t>Medium</t>
        </is>
      </c>
      <c r="AF735" t="inlineStr">
        <is>
          <t>Small</t>
        </is>
      </c>
    </row>
    <row r="736">
      <c r="A736" t="inlineStr">
        <is>
          <t>ORD-00735</t>
        </is>
      </c>
      <c r="B736" s="2" t="n">
        <v>45338</v>
      </c>
      <c r="C736" s="2" t="n">
        <v>45341</v>
      </c>
      <c r="D736" t="inlineStr">
        <is>
          <t>CUST-00735</t>
        </is>
      </c>
      <c r="E736" t="inlineStr">
        <is>
          <t>Customer 735</t>
        </is>
      </c>
      <c r="F736" t="inlineStr">
        <is>
          <t>Consumer</t>
        </is>
      </c>
      <c r="G736" t="inlineStr">
        <is>
          <t>P1004</t>
        </is>
      </c>
      <c r="H736" t="inlineStr">
        <is>
          <t>Cove Wall Clock</t>
        </is>
      </c>
      <c r="I736" t="inlineStr">
        <is>
          <t>Technology</t>
        </is>
      </c>
      <c r="J736" t="inlineStr">
        <is>
          <t>Writing</t>
        </is>
      </c>
      <c r="K736" t="inlineStr">
        <is>
          <t>Central</t>
        </is>
      </c>
      <c r="L736" t="inlineStr">
        <is>
          <t>Illinois</t>
        </is>
      </c>
      <c r="M736" t="inlineStr">
        <is>
          <t>Chicago</t>
        </is>
      </c>
      <c r="N736" t="inlineStr">
        <is>
          <t>Sophia Singh</t>
        </is>
      </c>
      <c r="O736" t="n">
        <v>3</v>
      </c>
      <c r="P736" s="3" t="n">
        <v>592.74</v>
      </c>
      <c r="Q736" s="4" t="n">
        <v>0.017</v>
      </c>
      <c r="R736" s="3" t="n">
        <v>1747.99</v>
      </c>
      <c r="S736" s="3" t="n">
        <v>1107.47</v>
      </c>
      <c r="T736" s="3" t="n">
        <v>632.12</v>
      </c>
      <c r="U736" s="4" t="n">
        <v>0.3616</v>
      </c>
      <c r="V736" s="3" t="n">
        <v>8.4</v>
      </c>
      <c r="W736" t="inlineStr">
        <is>
          <t>Credit Card</t>
        </is>
      </c>
      <c r="X736" t="inlineStr">
        <is>
          <t>High</t>
        </is>
      </c>
      <c r="Y736" t="n">
        <v>2024</v>
      </c>
      <c r="Z736" t="n">
        <v>2</v>
      </c>
      <c r="AA736" t="inlineStr">
        <is>
          <t>Feb</t>
        </is>
      </c>
      <c r="AB736" t="inlineStr">
        <is>
          <t>Friday</t>
        </is>
      </c>
      <c r="AC736" t="n">
        <v>3</v>
      </c>
      <c r="AD736" t="inlineStr">
        <is>
          <t>Profitable</t>
        </is>
      </c>
      <c r="AE736" t="inlineStr">
        <is>
          <t>Low</t>
        </is>
      </c>
      <c r="AF736" t="inlineStr">
        <is>
          <t>Large</t>
        </is>
      </c>
    </row>
    <row r="737">
      <c r="A737" t="inlineStr">
        <is>
          <t>ORD-00736</t>
        </is>
      </c>
      <c r="B737" s="2" t="n">
        <v>45887</v>
      </c>
      <c r="C737" s="2" t="n">
        <v>45894</v>
      </c>
      <c r="D737" t="inlineStr">
        <is>
          <t>CUST-00736</t>
        </is>
      </c>
      <c r="E737" t="inlineStr">
        <is>
          <t>Customer 736</t>
        </is>
      </c>
      <c r="F737" t="inlineStr">
        <is>
          <t>Corporate</t>
        </is>
      </c>
      <c r="G737" t="inlineStr">
        <is>
          <t>P1006</t>
        </is>
      </c>
      <c r="H737" t="inlineStr">
        <is>
          <t>Cove Wall Clock</t>
        </is>
      </c>
      <c r="I737" t="inlineStr">
        <is>
          <t>Home Decor</t>
        </is>
      </c>
      <c r="J737" t="inlineStr">
        <is>
          <t>Flooring</t>
        </is>
      </c>
      <c r="K737" t="inlineStr">
        <is>
          <t>North</t>
        </is>
      </c>
      <c r="L737" t="inlineStr">
        <is>
          <t>British Columbia</t>
        </is>
      </c>
      <c r="M737" t="inlineStr">
        <is>
          <t>Calgary</t>
        </is>
      </c>
      <c r="N737" t="inlineStr">
        <is>
          <t>Noah Kim</t>
        </is>
      </c>
      <c r="O737" t="n">
        <v>3</v>
      </c>
      <c r="P737" s="3" t="n">
        <v>18.36</v>
      </c>
      <c r="Q737" s="4" t="n">
        <v>0.029</v>
      </c>
      <c r="R737" s="3" t="n">
        <v>53.48</v>
      </c>
      <c r="S737" s="3" t="n">
        <v>24.95</v>
      </c>
      <c r="T737" s="3" t="n">
        <v>20.13</v>
      </c>
      <c r="U737" s="4" t="n">
        <v>0.3764</v>
      </c>
      <c r="V737" s="3" t="n">
        <v>8.4</v>
      </c>
      <c r="W737" t="inlineStr">
        <is>
          <t>Credit Card</t>
        </is>
      </c>
      <c r="X737" t="inlineStr">
        <is>
          <t>Low</t>
        </is>
      </c>
      <c r="Y737" t="n">
        <v>2025</v>
      </c>
      <c r="Z737" t="n">
        <v>8</v>
      </c>
      <c r="AA737" t="inlineStr">
        <is>
          <t>Aug</t>
        </is>
      </c>
      <c r="AB737" t="inlineStr">
        <is>
          <t>Monday</t>
        </is>
      </c>
      <c r="AC737" t="n">
        <v>7</v>
      </c>
      <c r="AD737" t="inlineStr">
        <is>
          <t>Profitable</t>
        </is>
      </c>
      <c r="AE737" t="inlineStr">
        <is>
          <t>Medium</t>
        </is>
      </c>
      <c r="AF737" t="inlineStr">
        <is>
          <t>Small</t>
        </is>
      </c>
    </row>
    <row r="738">
      <c r="A738" t="inlineStr">
        <is>
          <t>ORD-00737</t>
        </is>
      </c>
      <c r="B738" s="2" t="n">
        <v>45571</v>
      </c>
      <c r="C738" s="2" t="n">
        <v>45574</v>
      </c>
      <c r="D738" t="inlineStr">
        <is>
          <t>CUST-00737</t>
        </is>
      </c>
      <c r="E738" t="inlineStr">
        <is>
          <t>Customer 737</t>
        </is>
      </c>
      <c r="F738" t="inlineStr">
        <is>
          <t>Consumer</t>
        </is>
      </c>
      <c r="G738" t="inlineStr">
        <is>
          <t>P1015</t>
        </is>
      </c>
      <c r="H738" t="inlineStr">
        <is>
          <t>ProClip Binder</t>
        </is>
      </c>
      <c r="I738" t="inlineStr">
        <is>
          <t>Home Decor</t>
        </is>
      </c>
      <c r="J738" t="inlineStr">
        <is>
          <t>Decor</t>
        </is>
      </c>
      <c r="K738" t="inlineStr">
        <is>
          <t>South</t>
        </is>
      </c>
      <c r="L738" t="inlineStr">
        <is>
          <t>Georgia</t>
        </is>
      </c>
      <c r="M738" t="inlineStr">
        <is>
          <t>Houston</t>
        </is>
      </c>
      <c r="N738" t="inlineStr">
        <is>
          <t>Liam Chen</t>
        </is>
      </c>
      <c r="O738" t="n">
        <v>3</v>
      </c>
      <c r="P738" s="3" t="n">
        <v>67.84</v>
      </c>
      <c r="Q738" s="4" t="n">
        <v>0.008999999999999999</v>
      </c>
      <c r="R738" s="3" t="n">
        <v>201.69</v>
      </c>
      <c r="S738" s="3" t="n">
        <v>92.73</v>
      </c>
      <c r="T738" s="3" t="n">
        <v>100.56</v>
      </c>
      <c r="U738" s="4" t="n">
        <v>0.4986</v>
      </c>
      <c r="V738" s="3" t="n">
        <v>8.4</v>
      </c>
      <c r="W738" t="inlineStr">
        <is>
          <t>Bank Transfer</t>
        </is>
      </c>
      <c r="X738" t="inlineStr">
        <is>
          <t>Low</t>
        </is>
      </c>
      <c r="Y738" t="n">
        <v>2024</v>
      </c>
      <c r="Z738" t="n">
        <v>10</v>
      </c>
      <c r="AA738" t="inlineStr">
        <is>
          <t>Oct</t>
        </is>
      </c>
      <c r="AB738" t="inlineStr">
        <is>
          <t>Sunday</t>
        </is>
      </c>
      <c r="AC738" t="n">
        <v>3</v>
      </c>
      <c r="AD738" t="inlineStr">
        <is>
          <t>Profitable</t>
        </is>
      </c>
      <c r="AE738" t="inlineStr">
        <is>
          <t>Low</t>
        </is>
      </c>
      <c r="AF738" t="inlineStr">
        <is>
          <t>Small</t>
        </is>
      </c>
    </row>
    <row r="739">
      <c r="A739" t="inlineStr">
        <is>
          <t>ORD-00738</t>
        </is>
      </c>
      <c r="B739" s="2" t="n">
        <v>45980</v>
      </c>
      <c r="C739" s="2" t="n">
        <v>45984</v>
      </c>
      <c r="D739" t="inlineStr">
        <is>
          <t>CUST-00738</t>
        </is>
      </c>
      <c r="E739" t="inlineStr">
        <is>
          <t>Customer 738</t>
        </is>
      </c>
      <c r="F739" t="inlineStr">
        <is>
          <t>Consumer</t>
        </is>
      </c>
      <c r="G739" t="inlineStr">
        <is>
          <t>P1004</t>
        </is>
      </c>
      <c r="H739" t="inlineStr">
        <is>
          <t>CloudDrive File Box</t>
        </is>
      </c>
      <c r="I739" t="inlineStr">
        <is>
          <t>Office Supplies</t>
        </is>
      </c>
      <c r="J739" t="inlineStr">
        <is>
          <t>Peripherals</t>
        </is>
      </c>
      <c r="K739" t="inlineStr">
        <is>
          <t>North</t>
        </is>
      </c>
      <c r="L739" t="inlineStr">
        <is>
          <t>Alberta</t>
        </is>
      </c>
      <c r="M739" t="inlineStr">
        <is>
          <t>Vancouver</t>
        </is>
      </c>
      <c r="N739" t="inlineStr">
        <is>
          <t>Ethan Brooks</t>
        </is>
      </c>
      <c r="O739" t="n">
        <v>3</v>
      </c>
      <c r="P739" s="3" t="n">
        <v>623.6799999999999</v>
      </c>
      <c r="Q739" s="4" t="n">
        <v>0.028</v>
      </c>
      <c r="R739" s="3" t="n">
        <v>1818.65</v>
      </c>
      <c r="S739" s="3" t="n">
        <v>1154.54</v>
      </c>
      <c r="T739" s="3" t="n">
        <v>655.71</v>
      </c>
      <c r="U739" s="4" t="n">
        <v>0.3605</v>
      </c>
      <c r="V739" s="3" t="n">
        <v>8.4</v>
      </c>
      <c r="W739" t="inlineStr">
        <is>
          <t>Credit Card</t>
        </is>
      </c>
      <c r="X739" t="inlineStr">
        <is>
          <t>Medium</t>
        </is>
      </c>
      <c r="Y739" t="n">
        <v>2025</v>
      </c>
      <c r="Z739" t="n">
        <v>11</v>
      </c>
      <c r="AA739" t="inlineStr">
        <is>
          <t>Nov</t>
        </is>
      </c>
      <c r="AB739" t="inlineStr">
        <is>
          <t>Wednesday</t>
        </is>
      </c>
      <c r="AC739" t="n">
        <v>4</v>
      </c>
      <c r="AD739" t="inlineStr">
        <is>
          <t>Profitable</t>
        </is>
      </c>
      <c r="AE739" t="inlineStr">
        <is>
          <t>Medium</t>
        </is>
      </c>
      <c r="AF739" t="inlineStr">
        <is>
          <t>Large</t>
        </is>
      </c>
    </row>
    <row r="740">
      <c r="A740" t="inlineStr">
        <is>
          <t>ORD-00739</t>
        </is>
      </c>
      <c r="B740" s="2" t="n">
        <v>45552</v>
      </c>
      <c r="C740" s="2" t="n">
        <v>45557</v>
      </c>
      <c r="D740" t="inlineStr">
        <is>
          <t>CUST-00739</t>
        </is>
      </c>
      <c r="E740" t="inlineStr">
        <is>
          <t>Customer 739</t>
        </is>
      </c>
      <c r="F740" t="inlineStr">
        <is>
          <t>Corporate</t>
        </is>
      </c>
      <c r="G740" t="inlineStr">
        <is>
          <t>P1006</t>
        </is>
      </c>
      <c r="H740" t="inlineStr">
        <is>
          <t>Orbit Wireless Mouse</t>
        </is>
      </c>
      <c r="I740" t="inlineStr">
        <is>
          <t>Home Decor</t>
        </is>
      </c>
      <c r="J740" t="inlineStr">
        <is>
          <t>Flooring</t>
        </is>
      </c>
      <c r="K740" t="inlineStr">
        <is>
          <t>West</t>
        </is>
      </c>
      <c r="L740" t="inlineStr">
        <is>
          <t>Washington</t>
        </is>
      </c>
      <c r="M740" t="inlineStr">
        <is>
          <t>Seattle</t>
        </is>
      </c>
      <c r="N740" t="inlineStr">
        <is>
          <t>Liam Chen</t>
        </is>
      </c>
      <c r="O740" t="n">
        <v>4</v>
      </c>
      <c r="P740" s="3" t="n">
        <v>18.63</v>
      </c>
      <c r="Q740" s="4" t="n">
        <v>0.035</v>
      </c>
      <c r="R740" s="3" t="n">
        <v>71.91</v>
      </c>
      <c r="S740" s="3" t="n">
        <v>29.08</v>
      </c>
      <c r="T740" s="3" t="n">
        <v>32.63</v>
      </c>
      <c r="U740" s="4" t="n">
        <v>0.4538</v>
      </c>
      <c r="V740" s="3" t="n">
        <v>10.2</v>
      </c>
      <c r="W740" t="inlineStr">
        <is>
          <t>Bank Transfer</t>
        </is>
      </c>
      <c r="X740" t="inlineStr">
        <is>
          <t>Medium</t>
        </is>
      </c>
      <c r="Y740" t="n">
        <v>2024</v>
      </c>
      <c r="Z740" t="n">
        <v>9</v>
      </c>
      <c r="AA740" t="inlineStr">
        <is>
          <t>Sep</t>
        </is>
      </c>
      <c r="AB740" t="inlineStr">
        <is>
          <t>Tuesday</t>
        </is>
      </c>
      <c r="AC740" t="n">
        <v>5</v>
      </c>
      <c r="AD740" t="inlineStr">
        <is>
          <t>Profitable</t>
        </is>
      </c>
      <c r="AE740" t="inlineStr">
        <is>
          <t>Medium</t>
        </is>
      </c>
      <c r="AF740" t="inlineStr">
        <is>
          <t>Small</t>
        </is>
      </c>
    </row>
    <row r="741">
      <c r="A741" t="inlineStr">
        <is>
          <t>ORD-00740</t>
        </is>
      </c>
      <c r="B741" s="2" t="n">
        <v>45369</v>
      </c>
      <c r="C741" s="2" t="n">
        <v>45376</v>
      </c>
      <c r="D741" t="inlineStr">
        <is>
          <t>CUST-00740</t>
        </is>
      </c>
      <c r="E741" t="inlineStr">
        <is>
          <t>Customer 740</t>
        </is>
      </c>
      <c r="F741" t="inlineStr">
        <is>
          <t>Consumer</t>
        </is>
      </c>
      <c r="G741" t="inlineStr">
        <is>
          <t>P1002</t>
        </is>
      </c>
      <c r="H741" t="inlineStr">
        <is>
          <t>Tide Cooler</t>
        </is>
      </c>
      <c r="I741" t="inlineStr">
        <is>
          <t>Office Supplies</t>
        </is>
      </c>
      <c r="J741" t="inlineStr">
        <is>
          <t>Binders</t>
        </is>
      </c>
      <c r="K741" t="inlineStr">
        <is>
          <t>Central</t>
        </is>
      </c>
      <c r="L741" t="inlineStr">
        <is>
          <t>Minnesota</t>
        </is>
      </c>
      <c r="M741" t="inlineStr">
        <is>
          <t>Chicago</t>
        </is>
      </c>
      <c r="N741" t="inlineStr">
        <is>
          <t>Mia Rodriguez</t>
        </is>
      </c>
      <c r="O741" t="n">
        <v>2</v>
      </c>
      <c r="P741" s="3" t="n">
        <v>79.45</v>
      </c>
      <c r="Q741" s="4" t="n">
        <v>0.016</v>
      </c>
      <c r="R741" s="3" t="n">
        <v>156.36</v>
      </c>
      <c r="S741" s="3" t="n">
        <v>74.39</v>
      </c>
      <c r="T741" s="3" t="n">
        <v>74.37</v>
      </c>
      <c r="U741" s="4" t="n">
        <v>0.4756</v>
      </c>
      <c r="V741" s="3" t="n">
        <v>7.6</v>
      </c>
      <c r="W741" t="inlineStr">
        <is>
          <t>PayPal</t>
        </is>
      </c>
      <c r="X741" t="inlineStr">
        <is>
          <t>Medium</t>
        </is>
      </c>
      <c r="Y741" t="n">
        <v>2024</v>
      </c>
      <c r="Z741" t="n">
        <v>3</v>
      </c>
      <c r="AA741" t="inlineStr">
        <is>
          <t>Mar</t>
        </is>
      </c>
      <c r="AB741" t="inlineStr">
        <is>
          <t>Monday</t>
        </is>
      </c>
      <c r="AC741" t="n">
        <v>7</v>
      </c>
      <c r="AD741" t="inlineStr">
        <is>
          <t>Profitable</t>
        </is>
      </c>
      <c r="AE741" t="inlineStr">
        <is>
          <t>Low</t>
        </is>
      </c>
      <c r="AF741" t="inlineStr">
        <is>
          <t>Small</t>
        </is>
      </c>
    </row>
    <row r="742">
      <c r="A742" t="inlineStr">
        <is>
          <t>ORD-00741</t>
        </is>
      </c>
      <c r="B742" s="2" t="n">
        <v>45578</v>
      </c>
      <c r="C742" s="2" t="n">
        <v>45582</v>
      </c>
      <c r="D742" t="inlineStr">
        <is>
          <t>CUST-00741</t>
        </is>
      </c>
      <c r="E742" t="inlineStr">
        <is>
          <t>Customer 741</t>
        </is>
      </c>
      <c r="F742" t="inlineStr">
        <is>
          <t>Corporate</t>
        </is>
      </c>
      <c r="G742" t="inlineStr">
        <is>
          <t>P1004</t>
        </is>
      </c>
      <c r="H742" t="inlineStr">
        <is>
          <t>ErgoMesh Chair</t>
        </is>
      </c>
      <c r="I742" t="inlineStr">
        <is>
          <t>Outdoor</t>
        </is>
      </c>
      <c r="J742" t="inlineStr">
        <is>
          <t>Peripherals</t>
        </is>
      </c>
      <c r="K742" t="inlineStr">
        <is>
          <t>North</t>
        </is>
      </c>
      <c r="L742" t="inlineStr">
        <is>
          <t>Ontario</t>
        </is>
      </c>
      <c r="M742" t="inlineStr">
        <is>
          <t>Calgary</t>
        </is>
      </c>
      <c r="N742" t="inlineStr">
        <is>
          <t>Sophia Singh</t>
        </is>
      </c>
      <c r="O742" t="n">
        <v>3</v>
      </c>
      <c r="P742" s="3" t="n">
        <v>634.51</v>
      </c>
      <c r="Q742" s="4" t="n">
        <v>0.04</v>
      </c>
      <c r="R742" s="3" t="n">
        <v>1827.39</v>
      </c>
      <c r="S742" s="3" t="n">
        <v>1161.05</v>
      </c>
      <c r="T742" s="3" t="n">
        <v>657.9400000000001</v>
      </c>
      <c r="U742" s="4" t="n">
        <v>0.36</v>
      </c>
      <c r="V742" s="3" t="n">
        <v>8.4</v>
      </c>
      <c r="W742" t="inlineStr">
        <is>
          <t>Credit Card</t>
        </is>
      </c>
      <c r="X742" t="inlineStr">
        <is>
          <t>Critical</t>
        </is>
      </c>
      <c r="Y742" t="n">
        <v>2024</v>
      </c>
      <c r="Z742" t="n">
        <v>10</v>
      </c>
      <c r="AA742" t="inlineStr">
        <is>
          <t>Oct</t>
        </is>
      </c>
      <c r="AB742" t="inlineStr">
        <is>
          <t>Sunday</t>
        </is>
      </c>
      <c r="AC742" t="n">
        <v>4</v>
      </c>
      <c r="AD742" t="inlineStr">
        <is>
          <t>Profitable</t>
        </is>
      </c>
      <c r="AE742" t="inlineStr">
        <is>
          <t>Medium</t>
        </is>
      </c>
      <c r="AF742" t="inlineStr">
        <is>
          <t>Large</t>
        </is>
      </c>
    </row>
    <row r="743">
      <c r="A743" t="inlineStr">
        <is>
          <t>ORD-00742</t>
        </is>
      </c>
      <c r="B743" s="2" t="n">
        <v>45542</v>
      </c>
      <c r="C743" s="2" t="n">
        <v>45543</v>
      </c>
      <c r="D743" t="inlineStr">
        <is>
          <t>CUST-00742</t>
        </is>
      </c>
      <c r="E743" t="inlineStr">
        <is>
          <t>Customer 742</t>
        </is>
      </c>
      <c r="F743" t="inlineStr">
        <is>
          <t>Corporate</t>
        </is>
      </c>
      <c r="G743" t="inlineStr">
        <is>
          <t>P1018</t>
        </is>
      </c>
      <c r="H743" t="inlineStr">
        <is>
          <t>SmartInk Pen Set</t>
        </is>
      </c>
      <c r="I743" t="inlineStr">
        <is>
          <t>Technology</t>
        </is>
      </c>
      <c r="J743" t="inlineStr">
        <is>
          <t>Binders</t>
        </is>
      </c>
      <c r="K743" t="inlineStr">
        <is>
          <t>Central</t>
        </is>
      </c>
      <c r="L743" t="inlineStr">
        <is>
          <t>Missouri</t>
        </is>
      </c>
      <c r="M743" t="inlineStr">
        <is>
          <t>Kansas City</t>
        </is>
      </c>
      <c r="N743" t="inlineStr">
        <is>
          <t>Olivia Martin</t>
        </is>
      </c>
      <c r="O743" t="n">
        <v>3</v>
      </c>
      <c r="P743" s="3" t="n">
        <v>89.55</v>
      </c>
      <c r="Q743" s="4" t="n">
        <v>0.027</v>
      </c>
      <c r="R743" s="3" t="n">
        <v>261.4</v>
      </c>
      <c r="S743" s="3" t="n">
        <v>118.41</v>
      </c>
      <c r="T743" s="3" t="n">
        <v>134.59</v>
      </c>
      <c r="U743" s="4" t="n">
        <v>0.5149</v>
      </c>
      <c r="V743" s="3" t="n">
        <v>8.4</v>
      </c>
      <c r="W743" t="inlineStr">
        <is>
          <t>Credit Card</t>
        </is>
      </c>
      <c r="X743" t="inlineStr">
        <is>
          <t>Medium</t>
        </is>
      </c>
      <c r="Y743" t="n">
        <v>2024</v>
      </c>
      <c r="Z743" t="n">
        <v>9</v>
      </c>
      <c r="AA743" t="inlineStr">
        <is>
          <t>Sep</t>
        </is>
      </c>
      <c r="AB743" t="inlineStr">
        <is>
          <t>Saturday</t>
        </is>
      </c>
      <c r="AC743" t="n">
        <v>1</v>
      </c>
      <c r="AD743" t="inlineStr">
        <is>
          <t>Profitable</t>
        </is>
      </c>
      <c r="AE743" t="inlineStr">
        <is>
          <t>Medium</t>
        </is>
      </c>
      <c r="AF743" t="inlineStr">
        <is>
          <t>Small</t>
        </is>
      </c>
    </row>
    <row r="744">
      <c r="A744" t="inlineStr">
        <is>
          <t>ORD-00743</t>
        </is>
      </c>
      <c r="B744" s="2" t="n">
        <v>45677</v>
      </c>
      <c r="C744" s="2" t="n">
        <v>45683</v>
      </c>
      <c r="D744" t="inlineStr">
        <is>
          <t>CUST-00743</t>
        </is>
      </c>
      <c r="E744" t="inlineStr">
        <is>
          <t>Customer 743</t>
        </is>
      </c>
      <c r="F744" t="inlineStr">
        <is>
          <t>Consumer</t>
        </is>
      </c>
      <c r="G744" t="inlineStr">
        <is>
          <t>P1015</t>
        </is>
      </c>
      <c r="H744" t="inlineStr">
        <is>
          <t>SmartInk Pen Set</t>
        </is>
      </c>
      <c r="I744" t="inlineStr">
        <is>
          <t>Furniture</t>
        </is>
      </c>
      <c r="J744" t="inlineStr">
        <is>
          <t>Peripherals</t>
        </is>
      </c>
      <c r="K744" t="inlineStr">
        <is>
          <t>North</t>
        </is>
      </c>
      <c r="L744" t="inlineStr">
        <is>
          <t>British Columbia</t>
        </is>
      </c>
      <c r="M744" t="inlineStr">
        <is>
          <t>Toronto</t>
        </is>
      </c>
      <c r="N744" t="inlineStr">
        <is>
          <t>Sophia Singh</t>
        </is>
      </c>
      <c r="O744" t="n">
        <v>3</v>
      </c>
      <c r="P744" s="3" t="n">
        <v>68.98999999999999</v>
      </c>
      <c r="Q744" s="4" t="n">
        <v>0.011</v>
      </c>
      <c r="R744" s="3" t="n">
        <v>204.69</v>
      </c>
      <c r="S744" s="3" t="n">
        <v>94.44</v>
      </c>
      <c r="T744" s="3" t="n">
        <v>101.85</v>
      </c>
      <c r="U744" s="4" t="n">
        <v>0.4976</v>
      </c>
      <c r="V744" s="3" t="n">
        <v>8.4</v>
      </c>
      <c r="W744" t="inlineStr">
        <is>
          <t>Credit Card</t>
        </is>
      </c>
      <c r="X744" t="inlineStr">
        <is>
          <t>High</t>
        </is>
      </c>
      <c r="Y744" t="n">
        <v>2025</v>
      </c>
      <c r="Z744" t="n">
        <v>1</v>
      </c>
      <c r="AA744" t="inlineStr">
        <is>
          <t>Jan</t>
        </is>
      </c>
      <c r="AB744" t="inlineStr">
        <is>
          <t>Monday</t>
        </is>
      </c>
      <c r="AC744" t="n">
        <v>6</v>
      </c>
      <c r="AD744" t="inlineStr">
        <is>
          <t>Profitable</t>
        </is>
      </c>
      <c r="AE744" t="inlineStr">
        <is>
          <t>Low</t>
        </is>
      </c>
      <c r="AF744" t="inlineStr">
        <is>
          <t>Small</t>
        </is>
      </c>
    </row>
    <row r="745">
      <c r="A745" t="inlineStr">
        <is>
          <t>ORD-00744</t>
        </is>
      </c>
      <c r="B745" s="2" t="n">
        <v>45455</v>
      </c>
      <c r="C745" s="2" t="n">
        <v>45460</v>
      </c>
      <c r="D745" t="inlineStr">
        <is>
          <t>CUST-00744</t>
        </is>
      </c>
      <c r="E745" t="inlineStr">
        <is>
          <t>Customer 744</t>
        </is>
      </c>
      <c r="F745" t="inlineStr">
        <is>
          <t>Corporate</t>
        </is>
      </c>
      <c r="G745" t="inlineStr">
        <is>
          <t>P1012</t>
        </is>
      </c>
      <c r="H745" t="inlineStr">
        <is>
          <t>Harbor Rug</t>
        </is>
      </c>
      <c r="I745" t="inlineStr">
        <is>
          <t>Office Supplies</t>
        </is>
      </c>
      <c r="J745" t="inlineStr">
        <is>
          <t>Lighting</t>
        </is>
      </c>
      <c r="K745" t="inlineStr">
        <is>
          <t>West</t>
        </is>
      </c>
      <c r="L745" t="inlineStr">
        <is>
          <t>California</t>
        </is>
      </c>
      <c r="M745" t="inlineStr">
        <is>
          <t>Los Angeles</t>
        </is>
      </c>
      <c r="N745" t="inlineStr">
        <is>
          <t>Mia Rodriguez</t>
        </is>
      </c>
      <c r="O745" t="n">
        <v>3</v>
      </c>
      <c r="P745" s="3" t="n">
        <v>135.43</v>
      </c>
      <c r="Q745" s="4" t="n">
        <v>0.045</v>
      </c>
      <c r="R745" s="3" t="n">
        <v>388.01</v>
      </c>
      <c r="S745" s="3" t="n">
        <v>196.49</v>
      </c>
      <c r="T745" s="3" t="n">
        <v>182.12</v>
      </c>
      <c r="U745" s="4" t="n">
        <v>0.4694</v>
      </c>
      <c r="V745" s="3" t="n">
        <v>9.4</v>
      </c>
      <c r="W745" t="inlineStr">
        <is>
          <t>Debit Card</t>
        </is>
      </c>
      <c r="X745" t="inlineStr">
        <is>
          <t>High</t>
        </is>
      </c>
      <c r="Y745" t="n">
        <v>2024</v>
      </c>
      <c r="Z745" t="n">
        <v>6</v>
      </c>
      <c r="AA745" t="inlineStr">
        <is>
          <t>Jun</t>
        </is>
      </c>
      <c r="AB745" t="inlineStr">
        <is>
          <t>Wednesday</t>
        </is>
      </c>
      <c r="AC745" t="n">
        <v>5</v>
      </c>
      <c r="AD745" t="inlineStr">
        <is>
          <t>Profitable</t>
        </is>
      </c>
      <c r="AE745" t="inlineStr">
        <is>
          <t>Medium</t>
        </is>
      </c>
      <c r="AF745" t="inlineStr">
        <is>
          <t>Small</t>
        </is>
      </c>
    </row>
    <row r="746">
      <c r="A746" t="inlineStr">
        <is>
          <t>ORD-00745</t>
        </is>
      </c>
      <c r="B746" s="2" t="n">
        <v>45048</v>
      </c>
      <c r="C746" s="2" t="n">
        <v>45049</v>
      </c>
      <c r="D746" t="inlineStr">
        <is>
          <t>CUST-00745</t>
        </is>
      </c>
      <c r="E746" t="inlineStr">
        <is>
          <t>Customer 745</t>
        </is>
      </c>
      <c r="F746" t="inlineStr">
        <is>
          <t>Corporate</t>
        </is>
      </c>
      <c r="G746" t="inlineStr">
        <is>
          <t>P1008</t>
        </is>
      </c>
      <c r="H746" t="inlineStr">
        <is>
          <t>Atlas Throw Pillow</t>
        </is>
      </c>
      <c r="I746" t="inlineStr">
        <is>
          <t>Home Decor</t>
        </is>
      </c>
      <c r="J746" t="inlineStr">
        <is>
          <t>Furniture</t>
        </is>
      </c>
      <c r="K746" t="inlineStr">
        <is>
          <t>West</t>
        </is>
      </c>
      <c r="L746" t="inlineStr">
        <is>
          <t>Colorado</t>
        </is>
      </c>
      <c r="M746" t="inlineStr">
        <is>
          <t>Denver</t>
        </is>
      </c>
      <c r="N746" t="inlineStr">
        <is>
          <t>Liam Chen</t>
        </is>
      </c>
      <c r="O746" t="n">
        <v>4</v>
      </c>
      <c r="P746" s="3" t="n">
        <v>37.71</v>
      </c>
      <c r="Q746" s="4" t="n">
        <v>0.044</v>
      </c>
      <c r="R746" s="3" t="n">
        <v>144.2</v>
      </c>
      <c r="S746" s="3" t="n">
        <v>62.78</v>
      </c>
      <c r="T746" s="3" t="n">
        <v>71.22</v>
      </c>
      <c r="U746" s="4" t="n">
        <v>0.4939</v>
      </c>
      <c r="V746" s="3" t="n">
        <v>10.2</v>
      </c>
      <c r="W746" t="inlineStr">
        <is>
          <t>Cash on Delivery</t>
        </is>
      </c>
      <c r="X746" t="inlineStr">
        <is>
          <t>Medium</t>
        </is>
      </c>
      <c r="Y746" t="n">
        <v>2023</v>
      </c>
      <c r="Z746" t="n">
        <v>5</v>
      </c>
      <c r="AA746" t="inlineStr">
        <is>
          <t>May</t>
        </is>
      </c>
      <c r="AB746" t="inlineStr">
        <is>
          <t>Tuesday</t>
        </is>
      </c>
      <c r="AC746" t="n">
        <v>1</v>
      </c>
      <c r="AD746" t="inlineStr">
        <is>
          <t>Profitable</t>
        </is>
      </c>
      <c r="AE746" t="inlineStr">
        <is>
          <t>Medium</t>
        </is>
      </c>
      <c r="AF746" t="inlineStr">
        <is>
          <t>Small</t>
        </is>
      </c>
    </row>
    <row r="747">
      <c r="A747" t="inlineStr">
        <is>
          <t>ORD-00746</t>
        </is>
      </c>
      <c r="B747" s="2" t="n">
        <v>45927</v>
      </c>
      <c r="C747" s="2" t="n">
        <v>45934</v>
      </c>
      <c r="D747" t="inlineStr">
        <is>
          <t>CUST-00746</t>
        </is>
      </c>
      <c r="E747" t="inlineStr">
        <is>
          <t>Customer 746</t>
        </is>
      </c>
      <c r="F747" t="inlineStr">
        <is>
          <t>Consumer</t>
        </is>
      </c>
      <c r="G747" t="inlineStr">
        <is>
          <t>P1012</t>
        </is>
      </c>
      <c r="H747" t="inlineStr">
        <is>
          <t>Echo Web Camera</t>
        </is>
      </c>
      <c r="I747" t="inlineStr">
        <is>
          <t>Outdoor</t>
        </is>
      </c>
      <c r="J747" t="inlineStr">
        <is>
          <t>Accessories</t>
        </is>
      </c>
      <c r="K747" t="inlineStr">
        <is>
          <t>West</t>
        </is>
      </c>
      <c r="L747" t="inlineStr">
        <is>
          <t>Oregon</t>
        </is>
      </c>
      <c r="M747" t="inlineStr">
        <is>
          <t>Seattle</t>
        </is>
      </c>
      <c r="N747" t="inlineStr">
        <is>
          <t>Ethan Brooks</t>
        </is>
      </c>
      <c r="O747" t="n">
        <v>4</v>
      </c>
      <c r="P747" s="3" t="n">
        <v>135.77</v>
      </c>
      <c r="Q747" s="4" t="n">
        <v>0.033</v>
      </c>
      <c r="R747" s="3" t="n">
        <v>525.16</v>
      </c>
      <c r="S747" s="3" t="n">
        <v>262.96</v>
      </c>
      <c r="T747" s="3" t="n">
        <v>252</v>
      </c>
      <c r="U747" s="4" t="n">
        <v>0.4799</v>
      </c>
      <c r="V747" s="3" t="n">
        <v>10.2</v>
      </c>
      <c r="W747" t="inlineStr">
        <is>
          <t>Credit Card</t>
        </is>
      </c>
      <c r="X747" t="inlineStr">
        <is>
          <t>High</t>
        </is>
      </c>
      <c r="Y747" t="n">
        <v>2025</v>
      </c>
      <c r="Z747" t="n">
        <v>9</v>
      </c>
      <c r="AA747" t="inlineStr">
        <is>
          <t>Sep</t>
        </is>
      </c>
      <c r="AB747" t="inlineStr">
        <is>
          <t>Saturday</t>
        </is>
      </c>
      <c r="AC747" t="n">
        <v>7</v>
      </c>
      <c r="AD747" t="inlineStr">
        <is>
          <t>Profitable</t>
        </is>
      </c>
      <c r="AE747" t="inlineStr">
        <is>
          <t>Medium</t>
        </is>
      </c>
      <c r="AF747" t="inlineStr">
        <is>
          <t>Medium</t>
        </is>
      </c>
    </row>
    <row r="748">
      <c r="A748" t="inlineStr">
        <is>
          <t>ORD-00747</t>
        </is>
      </c>
      <c r="B748" s="2" t="n">
        <v>45394</v>
      </c>
      <c r="C748" s="2" t="n">
        <v>45400</v>
      </c>
      <c r="D748" t="inlineStr">
        <is>
          <t>CUST-00747</t>
        </is>
      </c>
      <c r="E748" t="inlineStr">
        <is>
          <t>Customer 747</t>
        </is>
      </c>
      <c r="F748" t="inlineStr">
        <is>
          <t>Corporate</t>
        </is>
      </c>
      <c r="G748" t="inlineStr">
        <is>
          <t>P1009</t>
        </is>
      </c>
      <c r="H748" t="inlineStr">
        <is>
          <t>Northstar Lantern</t>
        </is>
      </c>
      <c r="I748" t="inlineStr">
        <is>
          <t>Technology</t>
        </is>
      </c>
      <c r="J748" t="inlineStr">
        <is>
          <t>Chairs</t>
        </is>
      </c>
      <c r="K748" t="inlineStr">
        <is>
          <t>West</t>
        </is>
      </c>
      <c r="L748" t="inlineStr">
        <is>
          <t>Washington</t>
        </is>
      </c>
      <c r="M748" t="inlineStr">
        <is>
          <t>Los Angeles</t>
        </is>
      </c>
      <c r="N748" t="inlineStr">
        <is>
          <t>Liam Chen</t>
        </is>
      </c>
      <c r="O748" t="n">
        <v>2</v>
      </c>
      <c r="P748" s="3" t="n">
        <v>94.23999999999999</v>
      </c>
      <c r="Q748" s="4" t="n">
        <v>0.07300000000000001</v>
      </c>
      <c r="R748" s="3" t="n">
        <v>174.72</v>
      </c>
      <c r="S748" s="3" t="n">
        <v>91.05</v>
      </c>
      <c r="T748" s="3" t="n">
        <v>75.06999999999999</v>
      </c>
      <c r="U748" s="4" t="n">
        <v>0.4297</v>
      </c>
      <c r="V748" s="3" t="n">
        <v>8.6</v>
      </c>
      <c r="W748" t="inlineStr">
        <is>
          <t>Credit Card</t>
        </is>
      </c>
      <c r="X748" t="inlineStr">
        <is>
          <t>Critical</t>
        </is>
      </c>
      <c r="Y748" t="n">
        <v>2024</v>
      </c>
      <c r="Z748" t="n">
        <v>4</v>
      </c>
      <c r="AA748" t="inlineStr">
        <is>
          <t>Apr</t>
        </is>
      </c>
      <c r="AB748" t="inlineStr">
        <is>
          <t>Friday</t>
        </is>
      </c>
      <c r="AC748" t="n">
        <v>6</v>
      </c>
      <c r="AD748" t="inlineStr">
        <is>
          <t>Profitable</t>
        </is>
      </c>
      <c r="AE748" t="inlineStr">
        <is>
          <t>High</t>
        </is>
      </c>
      <c r="AF748" t="inlineStr">
        <is>
          <t>Small</t>
        </is>
      </c>
    </row>
    <row r="749">
      <c r="A749" t="inlineStr">
        <is>
          <t>ORD-00748</t>
        </is>
      </c>
      <c r="B749" s="2" t="n">
        <v>45516</v>
      </c>
      <c r="C749" s="2" t="n">
        <v>45522</v>
      </c>
      <c r="D749" t="inlineStr">
        <is>
          <t>CUST-00748</t>
        </is>
      </c>
      <c r="E749" t="inlineStr">
        <is>
          <t>Customer 748</t>
        </is>
      </c>
      <c r="F749" t="inlineStr">
        <is>
          <t>Home Office</t>
        </is>
      </c>
      <c r="G749" t="inlineStr">
        <is>
          <t>P1007</t>
        </is>
      </c>
      <c r="H749" t="inlineStr">
        <is>
          <t>ProClip Binder</t>
        </is>
      </c>
      <c r="I749" t="inlineStr">
        <is>
          <t>Home Decor</t>
        </is>
      </c>
      <c r="J749" t="inlineStr">
        <is>
          <t>Textiles</t>
        </is>
      </c>
      <c r="K749" t="inlineStr">
        <is>
          <t>Central</t>
        </is>
      </c>
      <c r="L749" t="inlineStr">
        <is>
          <t>Illinois</t>
        </is>
      </c>
      <c r="M749" t="inlineStr">
        <is>
          <t>St. Louis</t>
        </is>
      </c>
      <c r="N749" t="inlineStr">
        <is>
          <t>Mia Rodriguez</t>
        </is>
      </c>
      <c r="O749" t="n">
        <v>3</v>
      </c>
      <c r="P749" s="3" t="n">
        <v>24.52</v>
      </c>
      <c r="Q749" s="4" t="n">
        <v>0.025</v>
      </c>
      <c r="R749" s="3" t="n">
        <v>71.72</v>
      </c>
      <c r="S749" s="3" t="n">
        <v>29.83</v>
      </c>
      <c r="T749" s="3" t="n">
        <v>33.49</v>
      </c>
      <c r="U749" s="4" t="n">
        <v>0.467</v>
      </c>
      <c r="V749" s="3" t="n">
        <v>8.4</v>
      </c>
      <c r="W749" t="inlineStr">
        <is>
          <t>Bank Transfer</t>
        </is>
      </c>
      <c r="X749" t="inlineStr">
        <is>
          <t>Medium</t>
        </is>
      </c>
      <c r="Y749" t="n">
        <v>2024</v>
      </c>
      <c r="Z749" t="n">
        <v>8</v>
      </c>
      <c r="AA749" t="inlineStr">
        <is>
          <t>Aug</t>
        </is>
      </c>
      <c r="AB749" t="inlineStr">
        <is>
          <t>Monday</t>
        </is>
      </c>
      <c r="AC749" t="n">
        <v>6</v>
      </c>
      <c r="AD749" t="inlineStr">
        <is>
          <t>Profitable</t>
        </is>
      </c>
      <c r="AE749" t="inlineStr">
        <is>
          <t>Medium</t>
        </is>
      </c>
      <c r="AF749" t="inlineStr">
        <is>
          <t>Small</t>
        </is>
      </c>
    </row>
    <row r="750">
      <c r="A750" t="inlineStr">
        <is>
          <t>ORD-00749</t>
        </is>
      </c>
      <c r="B750" s="2" t="n">
        <v>46015</v>
      </c>
      <c r="C750" s="2" t="n">
        <v>46022</v>
      </c>
      <c r="D750" t="inlineStr">
        <is>
          <t>CUST-00749</t>
        </is>
      </c>
      <c r="E750" t="inlineStr">
        <is>
          <t>Customer 749</t>
        </is>
      </c>
      <c r="F750" t="inlineStr">
        <is>
          <t>Home Office</t>
        </is>
      </c>
      <c r="G750" t="inlineStr">
        <is>
          <t>P1008</t>
        </is>
      </c>
      <c r="H750" t="inlineStr">
        <is>
          <t>SmartInk Pen Set</t>
        </is>
      </c>
      <c r="I750" t="inlineStr">
        <is>
          <t>Technology</t>
        </is>
      </c>
      <c r="J750" t="inlineStr">
        <is>
          <t>Video</t>
        </is>
      </c>
      <c r="K750" t="inlineStr">
        <is>
          <t>Central</t>
        </is>
      </c>
      <c r="L750" t="inlineStr">
        <is>
          <t>Kansas</t>
        </is>
      </c>
      <c r="M750" t="inlineStr">
        <is>
          <t>Kansas City</t>
        </is>
      </c>
      <c r="N750" t="inlineStr">
        <is>
          <t>James Carter</t>
        </is>
      </c>
      <c r="O750" t="n">
        <v>2</v>
      </c>
      <c r="P750" s="3" t="n">
        <v>37.56</v>
      </c>
      <c r="Q750" s="4" t="n">
        <v>0.022</v>
      </c>
      <c r="R750" s="3" t="n">
        <v>73.47</v>
      </c>
      <c r="S750" s="3" t="n">
        <v>38.82</v>
      </c>
      <c r="T750" s="3" t="n">
        <v>27.05</v>
      </c>
      <c r="U750" s="4" t="n">
        <v>0.3682</v>
      </c>
      <c r="V750" s="3" t="n">
        <v>7.6</v>
      </c>
      <c r="W750" t="inlineStr">
        <is>
          <t>Bank Transfer</t>
        </is>
      </c>
      <c r="X750" t="inlineStr">
        <is>
          <t>High</t>
        </is>
      </c>
      <c r="Y750" t="n">
        <v>2025</v>
      </c>
      <c r="Z750" t="n">
        <v>12</v>
      </c>
      <c r="AA750" t="inlineStr">
        <is>
          <t>Dec</t>
        </is>
      </c>
      <c r="AB750" t="inlineStr">
        <is>
          <t>Wednesday</t>
        </is>
      </c>
      <c r="AC750" t="n">
        <v>7</v>
      </c>
      <c r="AD750" t="inlineStr">
        <is>
          <t>Profitable</t>
        </is>
      </c>
      <c r="AE750" t="inlineStr">
        <is>
          <t>Medium</t>
        </is>
      </c>
      <c r="AF750" t="inlineStr">
        <is>
          <t>Small</t>
        </is>
      </c>
    </row>
    <row r="751">
      <c r="A751" t="inlineStr">
        <is>
          <t>ORD-00750</t>
        </is>
      </c>
      <c r="B751" s="2" t="n">
        <v>45600</v>
      </c>
      <c r="C751" s="2" t="n">
        <v>45601</v>
      </c>
      <c r="D751" t="inlineStr">
        <is>
          <t>CUST-00750</t>
        </is>
      </c>
      <c r="E751" t="inlineStr">
        <is>
          <t>Customer 750</t>
        </is>
      </c>
      <c r="F751" t="inlineStr">
        <is>
          <t>Corporate</t>
        </is>
      </c>
      <c r="G751" t="inlineStr">
        <is>
          <t>P1020</t>
        </is>
      </c>
      <c r="H751" t="inlineStr">
        <is>
          <t>Summit Patio Set</t>
        </is>
      </c>
      <c r="I751" t="inlineStr">
        <is>
          <t>Home Decor</t>
        </is>
      </c>
      <c r="J751" t="inlineStr">
        <is>
          <t>Decor</t>
        </is>
      </c>
      <c r="K751" t="inlineStr">
        <is>
          <t>South</t>
        </is>
      </c>
      <c r="L751" t="inlineStr">
        <is>
          <t>Texas</t>
        </is>
      </c>
      <c r="M751" t="inlineStr">
        <is>
          <t>Dallas</t>
        </is>
      </c>
      <c r="N751" t="inlineStr">
        <is>
          <t>Ethan Brooks</t>
        </is>
      </c>
      <c r="O751" t="n">
        <v>4</v>
      </c>
      <c r="P751" s="3" t="n">
        <v>79.97</v>
      </c>
      <c r="Q751" s="4" t="n">
        <v>0.011</v>
      </c>
      <c r="R751" s="3" t="n">
        <v>316.36</v>
      </c>
      <c r="S751" s="3" t="n">
        <v>150.78</v>
      </c>
      <c r="T751" s="3" t="n">
        <v>156.38</v>
      </c>
      <c r="U751" s="4" t="n">
        <v>0.4943</v>
      </c>
      <c r="V751" s="3" t="n">
        <v>9.199999999999999</v>
      </c>
      <c r="W751" t="inlineStr">
        <is>
          <t>Bank Transfer</t>
        </is>
      </c>
      <c r="X751" t="inlineStr">
        <is>
          <t>Medium</t>
        </is>
      </c>
      <c r="Y751" t="n">
        <v>2024</v>
      </c>
      <c r="Z751" t="n">
        <v>11</v>
      </c>
      <c r="AA751" t="inlineStr">
        <is>
          <t>Nov</t>
        </is>
      </c>
      <c r="AB751" t="inlineStr">
        <is>
          <t>Monday</t>
        </is>
      </c>
      <c r="AC751" t="n">
        <v>1</v>
      </c>
      <c r="AD751" t="inlineStr">
        <is>
          <t>Profitable</t>
        </is>
      </c>
      <c r="AE751" t="inlineStr">
        <is>
          <t>Low</t>
        </is>
      </c>
      <c r="AF751" t="inlineStr">
        <is>
          <t>Small</t>
        </is>
      </c>
    </row>
    <row r="752">
      <c r="A752" t="inlineStr">
        <is>
          <t>ORD-00751</t>
        </is>
      </c>
      <c r="B752" s="2" t="n">
        <v>45264</v>
      </c>
      <c r="C752" s="2" t="n">
        <v>45268</v>
      </c>
      <c r="D752" t="inlineStr">
        <is>
          <t>CUST-00751</t>
        </is>
      </c>
      <c r="E752" t="inlineStr">
        <is>
          <t>Customer 751</t>
        </is>
      </c>
      <c r="F752" t="inlineStr">
        <is>
          <t>Home Office</t>
        </is>
      </c>
      <c r="G752" t="inlineStr">
        <is>
          <t>P1010</t>
        </is>
      </c>
      <c r="H752" t="inlineStr">
        <is>
          <t>Northstar Lantern</t>
        </is>
      </c>
      <c r="I752" t="inlineStr">
        <is>
          <t>Furniture</t>
        </is>
      </c>
      <c r="J752" t="inlineStr">
        <is>
          <t>Coolers</t>
        </is>
      </c>
      <c r="K752" t="inlineStr">
        <is>
          <t>East</t>
        </is>
      </c>
      <c r="L752" t="inlineStr">
        <is>
          <t>New York</t>
        </is>
      </c>
      <c r="M752" t="inlineStr">
        <is>
          <t>Washington</t>
        </is>
      </c>
      <c r="N752" t="inlineStr">
        <is>
          <t>Ethan Brooks</t>
        </is>
      </c>
      <c r="O752" t="n">
        <v>4</v>
      </c>
      <c r="P752" s="3" t="n">
        <v>58.2</v>
      </c>
      <c r="Q752" s="4" t="n">
        <v>0.005</v>
      </c>
      <c r="R752" s="3" t="n">
        <v>231.64</v>
      </c>
      <c r="S752" s="3" t="n">
        <v>101.23</v>
      </c>
      <c r="T752" s="3" t="n">
        <v>120.21</v>
      </c>
      <c r="U752" s="4" t="n">
        <v>0.519</v>
      </c>
      <c r="V752" s="3" t="n">
        <v>10.2</v>
      </c>
      <c r="W752" t="inlineStr">
        <is>
          <t>Debit Card</t>
        </is>
      </c>
      <c r="X752" t="inlineStr">
        <is>
          <t>Low</t>
        </is>
      </c>
      <c r="Y752" t="n">
        <v>2023</v>
      </c>
      <c r="Z752" t="n">
        <v>12</v>
      </c>
      <c r="AA752" t="inlineStr">
        <is>
          <t>Dec</t>
        </is>
      </c>
      <c r="AB752" t="inlineStr">
        <is>
          <t>Monday</t>
        </is>
      </c>
      <c r="AC752" t="n">
        <v>4</v>
      </c>
      <c r="AD752" t="inlineStr">
        <is>
          <t>Profitable</t>
        </is>
      </c>
      <c r="AE752" t="inlineStr">
        <is>
          <t>Low</t>
        </is>
      </c>
      <c r="AF752" t="inlineStr">
        <is>
          <t>Small</t>
        </is>
      </c>
    </row>
    <row r="753">
      <c r="A753" t="inlineStr">
        <is>
          <t>ORD-00752</t>
        </is>
      </c>
      <c r="B753" s="2" t="n">
        <v>46009</v>
      </c>
      <c r="C753" s="2" t="n">
        <v>46012</v>
      </c>
      <c r="D753" t="inlineStr">
        <is>
          <t>CUST-00752</t>
        </is>
      </c>
      <c r="E753" t="inlineStr">
        <is>
          <t>Customer 752</t>
        </is>
      </c>
      <c r="F753" t="inlineStr">
        <is>
          <t>Consumer</t>
        </is>
      </c>
      <c r="G753" t="inlineStr">
        <is>
          <t>P1011</t>
        </is>
      </c>
      <c r="H753" t="inlineStr">
        <is>
          <t>FlexNote Notebook</t>
        </is>
      </c>
      <c r="I753" t="inlineStr">
        <is>
          <t>Furniture</t>
        </is>
      </c>
      <c r="J753" t="inlineStr">
        <is>
          <t>Accessories</t>
        </is>
      </c>
      <c r="K753" t="inlineStr">
        <is>
          <t>East</t>
        </is>
      </c>
      <c r="L753" t="inlineStr">
        <is>
          <t>New Jersey</t>
        </is>
      </c>
      <c r="M753" t="inlineStr">
        <is>
          <t>New York</t>
        </is>
      </c>
      <c r="N753" t="inlineStr">
        <is>
          <t>Sophia Singh</t>
        </is>
      </c>
      <c r="O753" t="n">
        <v>4</v>
      </c>
      <c r="P753" s="3" t="n">
        <v>93.72</v>
      </c>
      <c r="Q753" s="4" t="n">
        <v>0.003</v>
      </c>
      <c r="R753" s="3" t="n">
        <v>373.76</v>
      </c>
      <c r="S753" s="3" t="n">
        <v>183.54</v>
      </c>
      <c r="T753" s="3" t="n">
        <v>180.02</v>
      </c>
      <c r="U753" s="4" t="n">
        <v>0.4816</v>
      </c>
      <c r="V753" s="3" t="n">
        <v>10.2</v>
      </c>
      <c r="W753" t="inlineStr">
        <is>
          <t>PayPal</t>
        </is>
      </c>
      <c r="X753" t="inlineStr">
        <is>
          <t>Low</t>
        </is>
      </c>
      <c r="Y753" t="n">
        <v>2025</v>
      </c>
      <c r="Z753" t="n">
        <v>12</v>
      </c>
      <c r="AA753" t="inlineStr">
        <is>
          <t>Dec</t>
        </is>
      </c>
      <c r="AB753" t="inlineStr">
        <is>
          <t>Thursday</t>
        </is>
      </c>
      <c r="AC753" t="n">
        <v>3</v>
      </c>
      <c r="AD753" t="inlineStr">
        <is>
          <t>Profitable</t>
        </is>
      </c>
      <c r="AE753" t="inlineStr">
        <is>
          <t>Low</t>
        </is>
      </c>
      <c r="AF753" t="inlineStr">
        <is>
          <t>Small</t>
        </is>
      </c>
    </row>
    <row r="754">
      <c r="A754" t="inlineStr">
        <is>
          <t>ORD-00753</t>
        </is>
      </c>
      <c r="B754" s="2" t="n">
        <v>45307</v>
      </c>
      <c r="C754" s="2" t="n">
        <v>45312</v>
      </c>
      <c r="D754" t="inlineStr">
        <is>
          <t>CUST-00753</t>
        </is>
      </c>
      <c r="E754" t="inlineStr">
        <is>
          <t>Customer 753</t>
        </is>
      </c>
      <c r="F754" t="inlineStr">
        <is>
          <t>Corporate</t>
        </is>
      </c>
      <c r="G754" t="inlineStr">
        <is>
          <t>P1002</t>
        </is>
      </c>
      <c r="H754" t="inlineStr">
        <is>
          <t>Nimbus Monitor Arm</t>
        </is>
      </c>
      <c r="I754" t="inlineStr">
        <is>
          <t>Outdoor</t>
        </is>
      </c>
      <c r="J754" t="inlineStr">
        <is>
          <t>Storage</t>
        </is>
      </c>
      <c r="K754" t="inlineStr">
        <is>
          <t>South</t>
        </is>
      </c>
      <c r="L754" t="inlineStr">
        <is>
          <t>Georgia</t>
        </is>
      </c>
      <c r="M754" t="inlineStr">
        <is>
          <t>Houston</t>
        </is>
      </c>
      <c r="N754" t="inlineStr">
        <is>
          <t>Olivia Martin</t>
        </is>
      </c>
      <c r="O754" t="n">
        <v>3</v>
      </c>
      <c r="P754" s="3" t="n">
        <v>75.77</v>
      </c>
      <c r="Q754" s="4" t="n">
        <v>0.03</v>
      </c>
      <c r="R754" s="3" t="n">
        <v>220.49</v>
      </c>
      <c r="S754" s="3" t="n">
        <v>107.33</v>
      </c>
      <c r="T754" s="3" t="n">
        <v>104.76</v>
      </c>
      <c r="U754" s="4" t="n">
        <v>0.4751</v>
      </c>
      <c r="V754" s="3" t="n">
        <v>8.4</v>
      </c>
      <c r="W754" t="inlineStr">
        <is>
          <t>Debit Card</t>
        </is>
      </c>
      <c r="X754" t="inlineStr">
        <is>
          <t>Medium</t>
        </is>
      </c>
      <c r="Y754" t="n">
        <v>2024</v>
      </c>
      <c r="Z754" t="n">
        <v>1</v>
      </c>
      <c r="AA754" t="inlineStr">
        <is>
          <t>Jan</t>
        </is>
      </c>
      <c r="AB754" t="inlineStr">
        <is>
          <t>Tuesday</t>
        </is>
      </c>
      <c r="AC754" t="n">
        <v>5</v>
      </c>
      <c r="AD754" t="inlineStr">
        <is>
          <t>Profitable</t>
        </is>
      </c>
      <c r="AE754" t="inlineStr">
        <is>
          <t>Medium</t>
        </is>
      </c>
      <c r="AF754" t="inlineStr">
        <is>
          <t>Small</t>
        </is>
      </c>
    </row>
    <row r="755">
      <c r="A755" t="inlineStr">
        <is>
          <t>ORD-00754</t>
        </is>
      </c>
      <c r="B755" s="2" t="n">
        <v>45549</v>
      </c>
      <c r="C755" s="2" t="n">
        <v>45556</v>
      </c>
      <c r="D755" t="inlineStr">
        <is>
          <t>CUST-00754</t>
        </is>
      </c>
      <c r="E755" t="inlineStr">
        <is>
          <t>Customer 754</t>
        </is>
      </c>
      <c r="F755" t="inlineStr">
        <is>
          <t>Consumer</t>
        </is>
      </c>
      <c r="G755" t="inlineStr">
        <is>
          <t>P1004</t>
        </is>
      </c>
      <c r="H755" t="inlineStr">
        <is>
          <t>Tide Cooler</t>
        </is>
      </c>
      <c r="I755" t="inlineStr">
        <is>
          <t>Office Supplies</t>
        </is>
      </c>
      <c r="J755" t="inlineStr">
        <is>
          <t>Coolers</t>
        </is>
      </c>
      <c r="K755" t="inlineStr">
        <is>
          <t>South</t>
        </is>
      </c>
      <c r="L755" t="inlineStr">
        <is>
          <t>Texas</t>
        </is>
      </c>
      <c r="M755" t="inlineStr">
        <is>
          <t>Miami</t>
        </is>
      </c>
      <c r="N755" t="inlineStr">
        <is>
          <t>Olivia Martin</t>
        </is>
      </c>
      <c r="O755" t="n">
        <v>1</v>
      </c>
      <c r="P755" s="3" t="n">
        <v>571.46</v>
      </c>
      <c r="Q755" s="4" t="n">
        <v>0.011</v>
      </c>
      <c r="R755" s="3" t="n">
        <v>565.17</v>
      </c>
      <c r="S755" s="3" t="n">
        <v>364.14</v>
      </c>
      <c r="T755" s="3" t="n">
        <v>194.23</v>
      </c>
      <c r="U755" s="4" t="n">
        <v>0.3437</v>
      </c>
      <c r="V755" s="3" t="n">
        <v>6.8</v>
      </c>
      <c r="W755" t="inlineStr">
        <is>
          <t>Bank Transfer</t>
        </is>
      </c>
      <c r="X755" t="inlineStr">
        <is>
          <t>Low</t>
        </is>
      </c>
      <c r="Y755" t="n">
        <v>2024</v>
      </c>
      <c r="Z755" t="n">
        <v>9</v>
      </c>
      <c r="AA755" t="inlineStr">
        <is>
          <t>Sep</t>
        </is>
      </c>
      <c r="AB755" t="inlineStr">
        <is>
          <t>Saturday</t>
        </is>
      </c>
      <c r="AC755" t="n">
        <v>7</v>
      </c>
      <c r="AD755" t="inlineStr">
        <is>
          <t>Profitable</t>
        </is>
      </c>
      <c r="AE755" t="inlineStr">
        <is>
          <t>Low</t>
        </is>
      </c>
      <c r="AF755" t="inlineStr">
        <is>
          <t>Medium</t>
        </is>
      </c>
    </row>
    <row r="756">
      <c r="A756" t="inlineStr">
        <is>
          <t>ORD-00755</t>
        </is>
      </c>
      <c r="B756" s="2" t="n">
        <v>45094</v>
      </c>
      <c r="C756" s="2" t="n">
        <v>45101</v>
      </c>
      <c r="D756" t="inlineStr">
        <is>
          <t>CUST-00755</t>
        </is>
      </c>
      <c r="E756" t="inlineStr">
        <is>
          <t>Customer 755</t>
        </is>
      </c>
      <c r="F756" t="inlineStr">
        <is>
          <t>Consumer</t>
        </is>
      </c>
      <c r="G756" t="inlineStr">
        <is>
          <t>P1009</t>
        </is>
      </c>
      <c r="H756" t="inlineStr">
        <is>
          <t>Summit Patio Set</t>
        </is>
      </c>
      <c r="I756" t="inlineStr">
        <is>
          <t>Home Decor</t>
        </is>
      </c>
      <c r="J756" t="inlineStr">
        <is>
          <t>Textiles</t>
        </is>
      </c>
      <c r="K756" t="inlineStr">
        <is>
          <t>West</t>
        </is>
      </c>
      <c r="L756" t="inlineStr">
        <is>
          <t>Oregon</t>
        </is>
      </c>
      <c r="M756" t="inlineStr">
        <is>
          <t>Los Angeles</t>
        </is>
      </c>
      <c r="N756" t="inlineStr">
        <is>
          <t>Ethan Brooks</t>
        </is>
      </c>
      <c r="O756" t="n">
        <v>4</v>
      </c>
      <c r="P756" s="3" t="n">
        <v>92.63</v>
      </c>
      <c r="Q756" s="4" t="n">
        <v>0.063</v>
      </c>
      <c r="R756" s="3" t="n">
        <v>347.18</v>
      </c>
      <c r="S756" s="3" t="n">
        <v>172.9</v>
      </c>
      <c r="T756" s="3" t="n">
        <v>164.08</v>
      </c>
      <c r="U756" s="4" t="n">
        <v>0.4726</v>
      </c>
      <c r="V756" s="3" t="n">
        <v>10.2</v>
      </c>
      <c r="W756" t="inlineStr">
        <is>
          <t>Debit Card</t>
        </is>
      </c>
      <c r="X756" t="inlineStr">
        <is>
          <t>High</t>
        </is>
      </c>
      <c r="Y756" t="n">
        <v>2023</v>
      </c>
      <c r="Z756" t="n">
        <v>6</v>
      </c>
      <c r="AA756" t="inlineStr">
        <is>
          <t>Jun</t>
        </is>
      </c>
      <c r="AB756" t="inlineStr">
        <is>
          <t>Saturday</t>
        </is>
      </c>
      <c r="AC756" t="n">
        <v>7</v>
      </c>
      <c r="AD756" t="inlineStr">
        <is>
          <t>Profitable</t>
        </is>
      </c>
      <c r="AE756" t="inlineStr">
        <is>
          <t>High</t>
        </is>
      </c>
      <c r="AF756" t="inlineStr">
        <is>
          <t>Small</t>
        </is>
      </c>
    </row>
    <row r="757">
      <c r="A757" t="inlineStr">
        <is>
          <t>ORD-00756</t>
        </is>
      </c>
      <c r="B757" s="2" t="n">
        <v>45978</v>
      </c>
      <c r="C757" s="2" t="n">
        <v>45984</v>
      </c>
      <c r="D757" t="inlineStr">
        <is>
          <t>CUST-00756</t>
        </is>
      </c>
      <c r="E757" t="inlineStr">
        <is>
          <t>Customer 756</t>
        </is>
      </c>
      <c r="F757" t="inlineStr">
        <is>
          <t>Corporate</t>
        </is>
      </c>
      <c r="G757" t="inlineStr">
        <is>
          <t>P1008</t>
        </is>
      </c>
      <c r="H757" t="inlineStr">
        <is>
          <t>Pulse Keyboard</t>
        </is>
      </c>
      <c r="I757" t="inlineStr">
        <is>
          <t>Home Decor</t>
        </is>
      </c>
      <c r="J757" t="inlineStr">
        <is>
          <t>Plants</t>
        </is>
      </c>
      <c r="K757" t="inlineStr">
        <is>
          <t>East</t>
        </is>
      </c>
      <c r="L757" t="inlineStr">
        <is>
          <t>New York</t>
        </is>
      </c>
      <c r="M757" t="inlineStr">
        <is>
          <t>New York</t>
        </is>
      </c>
      <c r="N757" t="inlineStr">
        <is>
          <t>Noah Kim</t>
        </is>
      </c>
      <c r="O757" t="n">
        <v>4</v>
      </c>
      <c r="P757" s="3" t="n">
        <v>40</v>
      </c>
      <c r="Q757" s="4" t="n">
        <v>0.027</v>
      </c>
      <c r="R757" s="3" t="n">
        <v>155.68</v>
      </c>
      <c r="S757" s="3" t="n">
        <v>65.98</v>
      </c>
      <c r="T757" s="3" t="n">
        <v>79.5</v>
      </c>
      <c r="U757" s="4" t="n">
        <v>0.5107</v>
      </c>
      <c r="V757" s="3" t="n">
        <v>10.2</v>
      </c>
      <c r="W757" t="inlineStr">
        <is>
          <t>Bank Transfer</t>
        </is>
      </c>
      <c r="X757" t="inlineStr">
        <is>
          <t>Medium</t>
        </is>
      </c>
      <c r="Y757" t="n">
        <v>2025</v>
      </c>
      <c r="Z757" t="n">
        <v>11</v>
      </c>
      <c r="AA757" t="inlineStr">
        <is>
          <t>Nov</t>
        </is>
      </c>
      <c r="AB757" t="inlineStr">
        <is>
          <t>Monday</t>
        </is>
      </c>
      <c r="AC757" t="n">
        <v>6</v>
      </c>
      <c r="AD757" t="inlineStr">
        <is>
          <t>Profitable</t>
        </is>
      </c>
      <c r="AE757" t="inlineStr">
        <is>
          <t>Medium</t>
        </is>
      </c>
      <c r="AF757" t="inlineStr">
        <is>
          <t>Small</t>
        </is>
      </c>
    </row>
    <row r="758">
      <c r="A758" t="inlineStr">
        <is>
          <t>ORD-00757</t>
        </is>
      </c>
      <c r="B758" s="2" t="n">
        <v>45385</v>
      </c>
      <c r="C758" s="2" t="n">
        <v>45387</v>
      </c>
      <c r="D758" t="inlineStr">
        <is>
          <t>CUST-00757</t>
        </is>
      </c>
      <c r="E758" t="inlineStr">
        <is>
          <t>Customer 757</t>
        </is>
      </c>
      <c r="F758" t="inlineStr">
        <is>
          <t>Corporate</t>
        </is>
      </c>
      <c r="G758" t="inlineStr">
        <is>
          <t>P1005</t>
        </is>
      </c>
      <c r="H758" t="inlineStr">
        <is>
          <t>Nova Laptop Stand</t>
        </is>
      </c>
      <c r="I758" t="inlineStr">
        <is>
          <t>Office Supplies</t>
        </is>
      </c>
      <c r="J758" t="inlineStr">
        <is>
          <t>Lighting</t>
        </is>
      </c>
      <c r="K758" t="inlineStr">
        <is>
          <t>Central</t>
        </is>
      </c>
      <c r="L758" t="inlineStr">
        <is>
          <t>Kansas</t>
        </is>
      </c>
      <c r="M758" t="inlineStr">
        <is>
          <t>Minneapolis</t>
        </is>
      </c>
      <c r="N758" t="inlineStr">
        <is>
          <t>Mia Rodriguez</t>
        </is>
      </c>
      <c r="O758" t="n">
        <v>3</v>
      </c>
      <c r="P758" s="3" t="n">
        <v>12.14</v>
      </c>
      <c r="Q758" s="4" t="n">
        <v>0.036</v>
      </c>
      <c r="R758" s="3" t="n">
        <v>35.11</v>
      </c>
      <c r="S758" s="3" t="n">
        <v>22.83</v>
      </c>
      <c r="T758" s="3" t="n">
        <v>3.88</v>
      </c>
      <c r="U758" s="4" t="n">
        <v>0.1105</v>
      </c>
      <c r="V758" s="3" t="n">
        <v>8.4</v>
      </c>
      <c r="W758" t="inlineStr">
        <is>
          <t>PayPal</t>
        </is>
      </c>
      <c r="X758" t="inlineStr">
        <is>
          <t>Medium</t>
        </is>
      </c>
      <c r="Y758" t="n">
        <v>2024</v>
      </c>
      <c r="Z758" t="n">
        <v>4</v>
      </c>
      <c r="AA758" t="inlineStr">
        <is>
          <t>Apr</t>
        </is>
      </c>
      <c r="AB758" t="inlineStr">
        <is>
          <t>Wednesday</t>
        </is>
      </c>
      <c r="AC758" t="n">
        <v>2</v>
      </c>
      <c r="AD758" t="inlineStr">
        <is>
          <t>Profitable</t>
        </is>
      </c>
      <c r="AE758" t="inlineStr">
        <is>
          <t>Medium</t>
        </is>
      </c>
      <c r="AF758" t="inlineStr">
        <is>
          <t>Small</t>
        </is>
      </c>
    </row>
    <row r="759">
      <c r="A759" t="inlineStr">
        <is>
          <t>ORD-00758</t>
        </is>
      </c>
      <c r="B759" s="2" t="n">
        <v>45632</v>
      </c>
      <c r="C759" s="2" t="n">
        <v>45638</v>
      </c>
      <c r="D759" t="inlineStr">
        <is>
          <t>CUST-00758</t>
        </is>
      </c>
      <c r="E759" t="inlineStr">
        <is>
          <t>Customer 758</t>
        </is>
      </c>
      <c r="F759" t="inlineStr">
        <is>
          <t>Consumer</t>
        </is>
      </c>
      <c r="G759" t="inlineStr">
        <is>
          <t>P1014</t>
        </is>
      </c>
      <c r="H759" t="inlineStr">
        <is>
          <t>Summit Patio Set</t>
        </is>
      </c>
      <c r="I759" t="inlineStr">
        <is>
          <t>Furniture</t>
        </is>
      </c>
      <c r="J759" t="inlineStr">
        <is>
          <t>Textiles</t>
        </is>
      </c>
      <c r="K759" t="inlineStr">
        <is>
          <t>Central</t>
        </is>
      </c>
      <c r="L759" t="inlineStr">
        <is>
          <t>Kansas</t>
        </is>
      </c>
      <c r="M759" t="inlineStr">
        <is>
          <t>Kansas City</t>
        </is>
      </c>
      <c r="N759" t="inlineStr">
        <is>
          <t>James Carter</t>
        </is>
      </c>
      <c r="O759" t="n">
        <v>4</v>
      </c>
      <c r="P759" s="3" t="n">
        <v>47</v>
      </c>
      <c r="Q759" s="4" t="n">
        <v>0.004</v>
      </c>
      <c r="R759" s="3" t="n">
        <v>187.25</v>
      </c>
      <c r="S759" s="3" t="n">
        <v>83.86</v>
      </c>
      <c r="T759" s="3" t="n">
        <v>94.19</v>
      </c>
      <c r="U759" s="4" t="n">
        <v>0.503</v>
      </c>
      <c r="V759" s="3" t="n">
        <v>9.199999999999999</v>
      </c>
      <c r="W759" t="inlineStr">
        <is>
          <t>Debit Card</t>
        </is>
      </c>
      <c r="X759" t="inlineStr">
        <is>
          <t>Low</t>
        </is>
      </c>
      <c r="Y759" t="n">
        <v>2024</v>
      </c>
      <c r="Z759" t="n">
        <v>12</v>
      </c>
      <c r="AA759" t="inlineStr">
        <is>
          <t>Dec</t>
        </is>
      </c>
      <c r="AB759" t="inlineStr">
        <is>
          <t>Friday</t>
        </is>
      </c>
      <c r="AC759" t="n">
        <v>6</v>
      </c>
      <c r="AD759" t="inlineStr">
        <is>
          <t>Profitable</t>
        </is>
      </c>
      <c r="AE759" t="inlineStr">
        <is>
          <t>Low</t>
        </is>
      </c>
      <c r="AF759" t="inlineStr">
        <is>
          <t>Small</t>
        </is>
      </c>
    </row>
    <row r="760">
      <c r="A760" t="inlineStr">
        <is>
          <t>ORD-00759</t>
        </is>
      </c>
      <c r="B760" s="2" t="n">
        <v>45923</v>
      </c>
      <c r="C760" s="2" t="n">
        <v>45926</v>
      </c>
      <c r="D760" t="inlineStr">
        <is>
          <t>CUST-00759</t>
        </is>
      </c>
      <c r="E760" t="inlineStr">
        <is>
          <t>Customer 759</t>
        </is>
      </c>
      <c r="F760" t="inlineStr">
        <is>
          <t>Corporate</t>
        </is>
      </c>
      <c r="G760" t="inlineStr">
        <is>
          <t>P1002</t>
        </is>
      </c>
      <c r="H760" t="inlineStr">
        <is>
          <t>Northstar Lantern</t>
        </is>
      </c>
      <c r="I760" t="inlineStr">
        <is>
          <t>Home Decor</t>
        </is>
      </c>
      <c r="J760" t="inlineStr">
        <is>
          <t>Peripherals</t>
        </is>
      </c>
      <c r="K760" t="inlineStr">
        <is>
          <t>West</t>
        </is>
      </c>
      <c r="L760" t="inlineStr">
        <is>
          <t>Oregon</t>
        </is>
      </c>
      <c r="M760" t="inlineStr">
        <is>
          <t>San Francisco</t>
        </is>
      </c>
      <c r="N760" t="inlineStr">
        <is>
          <t>James Carter</t>
        </is>
      </c>
      <c r="O760" t="n">
        <v>3</v>
      </c>
      <c r="P760" s="3" t="n">
        <v>82.23999999999999</v>
      </c>
      <c r="Q760" s="4" t="n">
        <v>0.035</v>
      </c>
      <c r="R760" s="3" t="n">
        <v>238.08</v>
      </c>
      <c r="S760" s="3" t="n">
        <v>114.34</v>
      </c>
      <c r="T760" s="3" t="n">
        <v>114.34</v>
      </c>
      <c r="U760" s="4" t="n">
        <v>0.4803</v>
      </c>
      <c r="V760" s="3" t="n">
        <v>9.4</v>
      </c>
      <c r="W760" t="inlineStr">
        <is>
          <t>PayPal</t>
        </is>
      </c>
      <c r="X760" t="inlineStr">
        <is>
          <t>Low</t>
        </is>
      </c>
      <c r="Y760" t="n">
        <v>2025</v>
      </c>
      <c r="Z760" t="n">
        <v>9</v>
      </c>
      <c r="AA760" t="inlineStr">
        <is>
          <t>Sep</t>
        </is>
      </c>
      <c r="AB760" t="inlineStr">
        <is>
          <t>Tuesday</t>
        </is>
      </c>
      <c r="AC760" t="n">
        <v>3</v>
      </c>
      <c r="AD760" t="inlineStr">
        <is>
          <t>Profitable</t>
        </is>
      </c>
      <c r="AE760" t="inlineStr">
        <is>
          <t>Medium</t>
        </is>
      </c>
      <c r="AF760" t="inlineStr">
        <is>
          <t>Small</t>
        </is>
      </c>
    </row>
    <row r="761">
      <c r="A761" t="inlineStr">
        <is>
          <t>ORD-00760</t>
        </is>
      </c>
      <c r="B761" s="2" t="n">
        <v>45974</v>
      </c>
      <c r="C761" s="2" t="n">
        <v>45980</v>
      </c>
      <c r="D761" t="inlineStr">
        <is>
          <t>CUST-00760</t>
        </is>
      </c>
      <c r="E761" t="inlineStr">
        <is>
          <t>Customer 760</t>
        </is>
      </c>
      <c r="F761" t="inlineStr">
        <is>
          <t>Consumer</t>
        </is>
      </c>
      <c r="G761" t="inlineStr">
        <is>
          <t>P1017</t>
        </is>
      </c>
      <c r="H761" t="inlineStr">
        <is>
          <t>Harbor Rug</t>
        </is>
      </c>
      <c r="I761" t="inlineStr">
        <is>
          <t>Office Supplies</t>
        </is>
      </c>
      <c r="J761" t="inlineStr">
        <is>
          <t>Peripherals</t>
        </is>
      </c>
      <c r="K761" t="inlineStr">
        <is>
          <t>West</t>
        </is>
      </c>
      <c r="L761" t="inlineStr">
        <is>
          <t>Colorado</t>
        </is>
      </c>
      <c r="M761" t="inlineStr">
        <is>
          <t>Seattle</t>
        </is>
      </c>
      <c r="N761" t="inlineStr">
        <is>
          <t>Liam Chen</t>
        </is>
      </c>
      <c r="O761" t="n">
        <v>6</v>
      </c>
      <c r="P761" s="3" t="n">
        <v>605.5700000000001</v>
      </c>
      <c r="Q761" s="4" t="n">
        <v>0.027</v>
      </c>
      <c r="R761" s="3" t="n">
        <v>3535.32</v>
      </c>
      <c r="S761" s="3" t="n">
        <v>2341.69</v>
      </c>
      <c r="T761" s="3" t="n">
        <v>1181.83</v>
      </c>
      <c r="U761" s="4" t="n">
        <v>0.3343</v>
      </c>
      <c r="V761" s="3" t="n">
        <v>11.8</v>
      </c>
      <c r="W761" t="inlineStr">
        <is>
          <t>Credit Card</t>
        </is>
      </c>
      <c r="X761" t="inlineStr">
        <is>
          <t>Medium</t>
        </is>
      </c>
      <c r="Y761" t="n">
        <v>2025</v>
      </c>
      <c r="Z761" t="n">
        <v>11</v>
      </c>
      <c r="AA761" t="inlineStr">
        <is>
          <t>Nov</t>
        </is>
      </c>
      <c r="AB761" t="inlineStr">
        <is>
          <t>Thursday</t>
        </is>
      </c>
      <c r="AC761" t="n">
        <v>6</v>
      </c>
      <c r="AD761" t="inlineStr">
        <is>
          <t>Profitable</t>
        </is>
      </c>
      <c r="AE761" t="inlineStr">
        <is>
          <t>Medium</t>
        </is>
      </c>
      <c r="AF761" t="inlineStr">
        <is>
          <t>Large</t>
        </is>
      </c>
    </row>
    <row r="762">
      <c r="A762" t="inlineStr">
        <is>
          <t>ORD-00761</t>
        </is>
      </c>
      <c r="B762" s="2" t="n">
        <v>44966</v>
      </c>
      <c r="C762" s="2" t="n">
        <v>44968</v>
      </c>
      <c r="D762" t="inlineStr">
        <is>
          <t>CUST-00761</t>
        </is>
      </c>
      <c r="E762" t="inlineStr">
        <is>
          <t>Customer 761</t>
        </is>
      </c>
      <c r="F762" t="inlineStr">
        <is>
          <t>Consumer</t>
        </is>
      </c>
      <c r="G762" t="inlineStr">
        <is>
          <t>P1008</t>
        </is>
      </c>
      <c r="H762" t="inlineStr">
        <is>
          <t>ProClip Binder</t>
        </is>
      </c>
      <c r="I762" t="inlineStr">
        <is>
          <t>Technology</t>
        </is>
      </c>
      <c r="J762" t="inlineStr">
        <is>
          <t>Lighting</t>
        </is>
      </c>
      <c r="K762" t="inlineStr">
        <is>
          <t>Central</t>
        </is>
      </c>
      <c r="L762" t="inlineStr">
        <is>
          <t>Kansas</t>
        </is>
      </c>
      <c r="M762" t="inlineStr">
        <is>
          <t>St. Louis</t>
        </is>
      </c>
      <c r="N762" t="inlineStr">
        <is>
          <t>Noah Kim</t>
        </is>
      </c>
      <c r="O762" t="n">
        <v>4</v>
      </c>
      <c r="P762" s="3" t="n">
        <v>34.07</v>
      </c>
      <c r="Q762" s="4" t="n">
        <v>0.004</v>
      </c>
      <c r="R762" s="3" t="n">
        <v>135.73</v>
      </c>
      <c r="S762" s="3" t="n">
        <v>57.41</v>
      </c>
      <c r="T762" s="3" t="n">
        <v>69.12</v>
      </c>
      <c r="U762" s="4" t="n">
        <v>0.5092</v>
      </c>
      <c r="V762" s="3" t="n">
        <v>9.199999999999999</v>
      </c>
      <c r="W762" t="inlineStr">
        <is>
          <t>Debit Card</t>
        </is>
      </c>
      <c r="X762" t="inlineStr">
        <is>
          <t>Medium</t>
        </is>
      </c>
      <c r="Y762" t="n">
        <v>2023</v>
      </c>
      <c r="Z762" t="n">
        <v>2</v>
      </c>
      <c r="AA762" t="inlineStr">
        <is>
          <t>Feb</t>
        </is>
      </c>
      <c r="AB762" t="inlineStr">
        <is>
          <t>Thursday</t>
        </is>
      </c>
      <c r="AC762" t="n">
        <v>2</v>
      </c>
      <c r="AD762" t="inlineStr">
        <is>
          <t>Profitable</t>
        </is>
      </c>
      <c r="AE762" t="inlineStr">
        <is>
          <t>Low</t>
        </is>
      </c>
      <c r="AF762" t="inlineStr">
        <is>
          <t>Small</t>
        </is>
      </c>
    </row>
    <row r="763">
      <c r="A763" t="inlineStr">
        <is>
          <t>ORD-00762</t>
        </is>
      </c>
      <c r="B763" s="2" t="n">
        <v>45372</v>
      </c>
      <c r="C763" s="2" t="n">
        <v>45379</v>
      </c>
      <c r="D763" t="inlineStr">
        <is>
          <t>CUST-00762</t>
        </is>
      </c>
      <c r="E763" t="inlineStr">
        <is>
          <t>Customer 762</t>
        </is>
      </c>
      <c r="F763" t="inlineStr">
        <is>
          <t>Consumer</t>
        </is>
      </c>
      <c r="G763" t="inlineStr">
        <is>
          <t>P1002</t>
        </is>
      </c>
      <c r="H763" t="inlineStr">
        <is>
          <t>Aero Standing Desk</t>
        </is>
      </c>
      <c r="I763" t="inlineStr">
        <is>
          <t>Office Supplies</t>
        </is>
      </c>
      <c r="J763" t="inlineStr">
        <is>
          <t>Lighting</t>
        </is>
      </c>
      <c r="K763" t="inlineStr">
        <is>
          <t>West</t>
        </is>
      </c>
      <c r="L763" t="inlineStr">
        <is>
          <t>Washington</t>
        </is>
      </c>
      <c r="M763" t="inlineStr">
        <is>
          <t>Denver</t>
        </is>
      </c>
      <c r="N763" t="inlineStr">
        <is>
          <t>Olivia Martin</t>
        </is>
      </c>
      <c r="O763" t="n">
        <v>2</v>
      </c>
      <c r="P763" s="3" t="n">
        <v>86.8</v>
      </c>
      <c r="Q763" s="4" t="n">
        <v>0.028</v>
      </c>
      <c r="R763" s="3" t="n">
        <v>168.74</v>
      </c>
      <c r="S763" s="3" t="n">
        <v>83.67</v>
      </c>
      <c r="T763" s="3" t="n">
        <v>76.47</v>
      </c>
      <c r="U763" s="4" t="n">
        <v>0.4532</v>
      </c>
      <c r="V763" s="3" t="n">
        <v>8.6</v>
      </c>
      <c r="W763" t="inlineStr">
        <is>
          <t>Bank Transfer</t>
        </is>
      </c>
      <c r="X763" t="inlineStr">
        <is>
          <t>High</t>
        </is>
      </c>
      <c r="Y763" t="n">
        <v>2024</v>
      </c>
      <c r="Z763" t="n">
        <v>3</v>
      </c>
      <c r="AA763" t="inlineStr">
        <is>
          <t>Mar</t>
        </is>
      </c>
      <c r="AB763" t="inlineStr">
        <is>
          <t>Thursday</t>
        </is>
      </c>
      <c r="AC763" t="n">
        <v>7</v>
      </c>
      <c r="AD763" t="inlineStr">
        <is>
          <t>Profitable</t>
        </is>
      </c>
      <c r="AE763" t="inlineStr">
        <is>
          <t>Medium</t>
        </is>
      </c>
      <c r="AF763" t="inlineStr">
        <is>
          <t>Small</t>
        </is>
      </c>
    </row>
    <row r="764">
      <c r="A764" t="inlineStr">
        <is>
          <t>ORD-00763</t>
        </is>
      </c>
      <c r="B764" s="2" t="n">
        <v>45208</v>
      </c>
      <c r="C764" s="2" t="n">
        <v>45212</v>
      </c>
      <c r="D764" t="inlineStr">
        <is>
          <t>CUST-00763</t>
        </is>
      </c>
      <c r="E764" t="inlineStr">
        <is>
          <t>Customer 763</t>
        </is>
      </c>
      <c r="F764" t="inlineStr">
        <is>
          <t>Consumer</t>
        </is>
      </c>
      <c r="G764" t="inlineStr">
        <is>
          <t>P1015</t>
        </is>
      </c>
      <c r="H764" t="inlineStr">
        <is>
          <t>Tide Cooler</t>
        </is>
      </c>
      <c r="I764" t="inlineStr">
        <is>
          <t>Home Decor</t>
        </is>
      </c>
      <c r="J764" t="inlineStr">
        <is>
          <t>Peripherals</t>
        </is>
      </c>
      <c r="K764" t="inlineStr">
        <is>
          <t>North</t>
        </is>
      </c>
      <c r="L764" t="inlineStr">
        <is>
          <t>Ontario</t>
        </is>
      </c>
      <c r="M764" t="inlineStr">
        <is>
          <t>Toronto</t>
        </is>
      </c>
      <c r="N764" t="inlineStr">
        <is>
          <t>Noah Kim</t>
        </is>
      </c>
      <c r="O764" t="n">
        <v>3</v>
      </c>
      <c r="P764" s="3" t="n">
        <v>72.41</v>
      </c>
      <c r="Q764" s="4" t="n">
        <v>0.008</v>
      </c>
      <c r="R764" s="3" t="n">
        <v>215.49</v>
      </c>
      <c r="S764" s="3" t="n">
        <v>97.27</v>
      </c>
      <c r="T764" s="3" t="n">
        <v>109.82</v>
      </c>
      <c r="U764" s="4" t="n">
        <v>0.5096000000000001</v>
      </c>
      <c r="V764" s="3" t="n">
        <v>8.4</v>
      </c>
      <c r="W764" t="inlineStr">
        <is>
          <t>Debit Card</t>
        </is>
      </c>
      <c r="X764" t="inlineStr">
        <is>
          <t>Medium</t>
        </is>
      </c>
      <c r="Y764" t="n">
        <v>2023</v>
      </c>
      <c r="Z764" t="n">
        <v>10</v>
      </c>
      <c r="AA764" t="inlineStr">
        <is>
          <t>Oct</t>
        </is>
      </c>
      <c r="AB764" t="inlineStr">
        <is>
          <t>Monday</t>
        </is>
      </c>
      <c r="AC764" t="n">
        <v>4</v>
      </c>
      <c r="AD764" t="inlineStr">
        <is>
          <t>Profitable</t>
        </is>
      </c>
      <c r="AE764" t="inlineStr">
        <is>
          <t>Low</t>
        </is>
      </c>
      <c r="AF764" t="inlineStr">
        <is>
          <t>Small</t>
        </is>
      </c>
    </row>
    <row r="765">
      <c r="A765" t="inlineStr">
        <is>
          <t>ORD-00764</t>
        </is>
      </c>
      <c r="B765" s="2" t="n">
        <v>45665</v>
      </c>
      <c r="C765" s="2" t="n">
        <v>45671</v>
      </c>
      <c r="D765" t="inlineStr">
        <is>
          <t>CUST-00764</t>
        </is>
      </c>
      <c r="E765" t="inlineStr">
        <is>
          <t>Customer 764</t>
        </is>
      </c>
      <c r="F765" t="inlineStr">
        <is>
          <t>Consumer</t>
        </is>
      </c>
      <c r="G765" t="inlineStr">
        <is>
          <t>P1002</t>
        </is>
      </c>
      <c r="H765" t="inlineStr">
        <is>
          <t>Echo Web Camera</t>
        </is>
      </c>
      <c r="I765" t="inlineStr">
        <is>
          <t>Outdoor</t>
        </is>
      </c>
      <c r="J765" t="inlineStr">
        <is>
          <t>Furniture</t>
        </is>
      </c>
      <c r="K765" t="inlineStr">
        <is>
          <t>East</t>
        </is>
      </c>
      <c r="L765" t="inlineStr">
        <is>
          <t>Virginia</t>
        </is>
      </c>
      <c r="M765" t="inlineStr">
        <is>
          <t>Washington</t>
        </is>
      </c>
      <c r="N765" t="inlineStr">
        <is>
          <t>Sophia Singh</t>
        </is>
      </c>
      <c r="O765" t="n">
        <v>2</v>
      </c>
      <c r="P765" s="3" t="n">
        <v>84.39</v>
      </c>
      <c r="Q765" s="4" t="n">
        <v>0.027</v>
      </c>
      <c r="R765" s="3" t="n">
        <v>164.22</v>
      </c>
      <c r="S765" s="3" t="n">
        <v>83.23999999999999</v>
      </c>
      <c r="T765" s="3" t="n">
        <v>72.38</v>
      </c>
      <c r="U765" s="4" t="n">
        <v>0.4408</v>
      </c>
      <c r="V765" s="3" t="n">
        <v>8.6</v>
      </c>
      <c r="W765" t="inlineStr">
        <is>
          <t>PayPal</t>
        </is>
      </c>
      <c r="X765" t="inlineStr">
        <is>
          <t>High</t>
        </is>
      </c>
      <c r="Y765" t="n">
        <v>2025</v>
      </c>
      <c r="Z765" t="n">
        <v>1</v>
      </c>
      <c r="AA765" t="inlineStr">
        <is>
          <t>Jan</t>
        </is>
      </c>
      <c r="AB765" t="inlineStr">
        <is>
          <t>Wednesday</t>
        </is>
      </c>
      <c r="AC765" t="n">
        <v>6</v>
      </c>
      <c r="AD765" t="inlineStr">
        <is>
          <t>Profitable</t>
        </is>
      </c>
      <c r="AE765" t="inlineStr">
        <is>
          <t>Medium</t>
        </is>
      </c>
      <c r="AF765" t="inlineStr">
        <is>
          <t>Small</t>
        </is>
      </c>
    </row>
    <row r="766">
      <c r="A766" t="inlineStr">
        <is>
          <t>ORD-00765</t>
        </is>
      </c>
      <c r="B766" s="2" t="n">
        <v>45247</v>
      </c>
      <c r="C766" s="2" t="n">
        <v>45252</v>
      </c>
      <c r="D766" t="inlineStr">
        <is>
          <t>CUST-00765</t>
        </is>
      </c>
      <c r="E766" t="inlineStr">
        <is>
          <t>Customer 765</t>
        </is>
      </c>
      <c r="F766" t="inlineStr">
        <is>
          <t>Corporate</t>
        </is>
      </c>
      <c r="G766" t="inlineStr">
        <is>
          <t>P1011</t>
        </is>
      </c>
      <c r="H766" t="inlineStr">
        <is>
          <t>Aero Standing Desk</t>
        </is>
      </c>
      <c r="I766" t="inlineStr">
        <is>
          <t>Office Supplies</t>
        </is>
      </c>
      <c r="J766" t="inlineStr">
        <is>
          <t>Chairs</t>
        </is>
      </c>
      <c r="K766" t="inlineStr">
        <is>
          <t>Central</t>
        </is>
      </c>
      <c r="L766" t="inlineStr">
        <is>
          <t>Kansas</t>
        </is>
      </c>
      <c r="M766" t="inlineStr">
        <is>
          <t>St. Louis</t>
        </is>
      </c>
      <c r="N766" t="inlineStr">
        <is>
          <t>Olivia Martin</t>
        </is>
      </c>
      <c r="O766" t="n">
        <v>2</v>
      </c>
      <c r="P766" s="3" t="n">
        <v>94.08</v>
      </c>
      <c r="Q766" s="4" t="n">
        <v>0.066</v>
      </c>
      <c r="R766" s="3" t="n">
        <v>175.74</v>
      </c>
      <c r="S766" s="3" t="n">
        <v>86.59</v>
      </c>
      <c r="T766" s="3" t="n">
        <v>81.55</v>
      </c>
      <c r="U766" s="4" t="n">
        <v>0.464</v>
      </c>
      <c r="V766" s="3" t="n">
        <v>7.6</v>
      </c>
      <c r="W766" t="inlineStr">
        <is>
          <t>PayPal</t>
        </is>
      </c>
      <c r="X766" t="inlineStr">
        <is>
          <t>High</t>
        </is>
      </c>
      <c r="Y766" t="n">
        <v>2023</v>
      </c>
      <c r="Z766" t="n">
        <v>11</v>
      </c>
      <c r="AA766" t="inlineStr">
        <is>
          <t>Nov</t>
        </is>
      </c>
      <c r="AB766" t="inlineStr">
        <is>
          <t>Friday</t>
        </is>
      </c>
      <c r="AC766" t="n">
        <v>5</v>
      </c>
      <c r="AD766" t="inlineStr">
        <is>
          <t>Profitable</t>
        </is>
      </c>
      <c r="AE766" t="inlineStr">
        <is>
          <t>High</t>
        </is>
      </c>
      <c r="AF766" t="inlineStr">
        <is>
          <t>Small</t>
        </is>
      </c>
    </row>
    <row r="767">
      <c r="A767" t="inlineStr">
        <is>
          <t>ORD-00766</t>
        </is>
      </c>
      <c r="B767" s="2" t="n">
        <v>45307</v>
      </c>
      <c r="C767" s="2" t="n">
        <v>45311</v>
      </c>
      <c r="D767" t="inlineStr">
        <is>
          <t>CUST-00766</t>
        </is>
      </c>
      <c r="E767" t="inlineStr">
        <is>
          <t>Customer 766</t>
        </is>
      </c>
      <c r="F767" t="inlineStr">
        <is>
          <t>Consumer</t>
        </is>
      </c>
      <c r="G767" t="inlineStr">
        <is>
          <t>P1014</t>
        </is>
      </c>
      <c r="H767" t="inlineStr">
        <is>
          <t>FlexNote Notebook</t>
        </is>
      </c>
      <c r="I767" t="inlineStr">
        <is>
          <t>Outdoor</t>
        </is>
      </c>
      <c r="J767" t="inlineStr">
        <is>
          <t>Writing</t>
        </is>
      </c>
      <c r="K767" t="inlineStr">
        <is>
          <t>West</t>
        </is>
      </c>
      <c r="L767" t="inlineStr">
        <is>
          <t>Washington</t>
        </is>
      </c>
      <c r="M767" t="inlineStr">
        <is>
          <t>Seattle</t>
        </is>
      </c>
      <c r="N767" t="inlineStr">
        <is>
          <t>Ethan Brooks</t>
        </is>
      </c>
      <c r="O767" t="n">
        <v>3</v>
      </c>
      <c r="P767" s="3" t="n">
        <v>46.08</v>
      </c>
      <c r="Q767" s="4" t="n">
        <v>0.031</v>
      </c>
      <c r="R767" s="3" t="n">
        <v>133.95</v>
      </c>
      <c r="S767" s="3" t="n">
        <v>60.56</v>
      </c>
      <c r="T767" s="3" t="n">
        <v>63.99</v>
      </c>
      <c r="U767" s="4" t="n">
        <v>0.4777</v>
      </c>
      <c r="V767" s="3" t="n">
        <v>9.4</v>
      </c>
      <c r="W767" t="inlineStr">
        <is>
          <t>Bank Transfer</t>
        </is>
      </c>
      <c r="X767" t="inlineStr">
        <is>
          <t>Medium</t>
        </is>
      </c>
      <c r="Y767" t="n">
        <v>2024</v>
      </c>
      <c r="Z767" t="n">
        <v>1</v>
      </c>
      <c r="AA767" t="inlineStr">
        <is>
          <t>Jan</t>
        </is>
      </c>
      <c r="AB767" t="inlineStr">
        <is>
          <t>Tuesday</t>
        </is>
      </c>
      <c r="AC767" t="n">
        <v>4</v>
      </c>
      <c r="AD767" t="inlineStr">
        <is>
          <t>Profitable</t>
        </is>
      </c>
      <c r="AE767" t="inlineStr">
        <is>
          <t>Medium</t>
        </is>
      </c>
      <c r="AF767" t="inlineStr">
        <is>
          <t>Small</t>
        </is>
      </c>
    </row>
    <row r="768">
      <c r="A768" t="inlineStr">
        <is>
          <t>ORD-00767</t>
        </is>
      </c>
      <c r="B768" s="2" t="n">
        <v>45916</v>
      </c>
      <c r="C768" s="2" t="n">
        <v>45918</v>
      </c>
      <c r="D768" t="inlineStr">
        <is>
          <t>CUST-00767</t>
        </is>
      </c>
      <c r="E768" t="inlineStr">
        <is>
          <t>Customer 767</t>
        </is>
      </c>
      <c r="F768" t="inlineStr">
        <is>
          <t>Consumer</t>
        </is>
      </c>
      <c r="G768" t="inlineStr">
        <is>
          <t>P1010</t>
        </is>
      </c>
      <c r="H768" t="inlineStr">
        <is>
          <t>Echo Web Camera</t>
        </is>
      </c>
      <c r="I768" t="inlineStr">
        <is>
          <t>Office Supplies</t>
        </is>
      </c>
      <c r="J768" t="inlineStr">
        <is>
          <t>Textiles</t>
        </is>
      </c>
      <c r="K768" t="inlineStr">
        <is>
          <t>South</t>
        </is>
      </c>
      <c r="L768" t="inlineStr">
        <is>
          <t>Florida</t>
        </is>
      </c>
      <c r="M768" t="inlineStr">
        <is>
          <t>Houston</t>
        </is>
      </c>
      <c r="N768" t="inlineStr">
        <is>
          <t>Olivia Martin</t>
        </is>
      </c>
      <c r="O768" t="n">
        <v>2</v>
      </c>
      <c r="P768" s="3" t="n">
        <v>53.16</v>
      </c>
      <c r="Q768" s="4" t="n">
        <v>0.07000000000000001</v>
      </c>
      <c r="R768" s="3" t="n">
        <v>98.88</v>
      </c>
      <c r="S768" s="3" t="n">
        <v>49.99</v>
      </c>
      <c r="T768" s="3" t="n">
        <v>41.29</v>
      </c>
      <c r="U768" s="4" t="n">
        <v>0.4176</v>
      </c>
      <c r="V768" s="3" t="n">
        <v>7.6</v>
      </c>
      <c r="W768" t="inlineStr">
        <is>
          <t>Debit Card</t>
        </is>
      </c>
      <c r="X768" t="inlineStr">
        <is>
          <t>Critical</t>
        </is>
      </c>
      <c r="Y768" t="n">
        <v>2025</v>
      </c>
      <c r="Z768" t="n">
        <v>9</v>
      </c>
      <c r="AA768" t="inlineStr">
        <is>
          <t>Sep</t>
        </is>
      </c>
      <c r="AB768" t="inlineStr">
        <is>
          <t>Tuesday</t>
        </is>
      </c>
      <c r="AC768" t="n">
        <v>2</v>
      </c>
      <c r="AD768" t="inlineStr">
        <is>
          <t>Profitable</t>
        </is>
      </c>
      <c r="AE768" t="inlineStr">
        <is>
          <t>High</t>
        </is>
      </c>
      <c r="AF768" t="inlineStr">
        <is>
          <t>Small</t>
        </is>
      </c>
    </row>
    <row r="769">
      <c r="A769" t="inlineStr">
        <is>
          <t>ORD-00768</t>
        </is>
      </c>
      <c r="B769" s="2" t="n">
        <v>45835</v>
      </c>
      <c r="C769" s="2" t="n">
        <v>45836</v>
      </c>
      <c r="D769" t="inlineStr">
        <is>
          <t>CUST-00768</t>
        </is>
      </c>
      <c r="E769" t="inlineStr">
        <is>
          <t>Customer 768</t>
        </is>
      </c>
      <c r="F769" t="inlineStr">
        <is>
          <t>Corporate</t>
        </is>
      </c>
      <c r="G769" t="inlineStr">
        <is>
          <t>P1007</t>
        </is>
      </c>
      <c r="H769" t="inlineStr">
        <is>
          <t>Tide Cooler</t>
        </is>
      </c>
      <c r="I769" t="inlineStr">
        <is>
          <t>Technology</t>
        </is>
      </c>
      <c r="J769" t="inlineStr">
        <is>
          <t>Peripherals</t>
        </is>
      </c>
      <c r="K769" t="inlineStr">
        <is>
          <t>West</t>
        </is>
      </c>
      <c r="L769" t="inlineStr">
        <is>
          <t>Colorado</t>
        </is>
      </c>
      <c r="M769" t="inlineStr">
        <is>
          <t>Los Angeles</t>
        </is>
      </c>
      <c r="N769" t="inlineStr">
        <is>
          <t>Mia Rodriguez</t>
        </is>
      </c>
      <c r="O769" t="n">
        <v>5</v>
      </c>
      <c r="P769" s="3" t="n">
        <v>25.54</v>
      </c>
      <c r="Q769" s="4" t="n">
        <v>0.07300000000000001</v>
      </c>
      <c r="R769" s="3" t="n">
        <v>118.38</v>
      </c>
      <c r="S769" s="3" t="n">
        <v>43.08</v>
      </c>
      <c r="T769" s="3" t="n">
        <v>64.3</v>
      </c>
      <c r="U769" s="4" t="n">
        <v>0.5432</v>
      </c>
      <c r="V769" s="3" t="n">
        <v>11</v>
      </c>
      <c r="W769" t="inlineStr">
        <is>
          <t>Cash on Delivery</t>
        </is>
      </c>
      <c r="X769" t="inlineStr">
        <is>
          <t>Critical</t>
        </is>
      </c>
      <c r="Y769" t="n">
        <v>2025</v>
      </c>
      <c r="Z769" t="n">
        <v>6</v>
      </c>
      <c r="AA769" t="inlineStr">
        <is>
          <t>Jun</t>
        </is>
      </c>
      <c r="AB769" t="inlineStr">
        <is>
          <t>Friday</t>
        </is>
      </c>
      <c r="AC769" t="n">
        <v>1</v>
      </c>
      <c r="AD769" t="inlineStr">
        <is>
          <t>Profitable</t>
        </is>
      </c>
      <c r="AE769" t="inlineStr">
        <is>
          <t>High</t>
        </is>
      </c>
      <c r="AF769" t="inlineStr">
        <is>
          <t>Small</t>
        </is>
      </c>
    </row>
    <row r="770">
      <c r="A770" t="inlineStr">
        <is>
          <t>ORD-00769</t>
        </is>
      </c>
      <c r="B770" s="2" t="n">
        <v>45563</v>
      </c>
      <c r="C770" s="2" t="n">
        <v>45569</v>
      </c>
      <c r="D770" t="inlineStr">
        <is>
          <t>CUST-00769</t>
        </is>
      </c>
      <c r="E770" t="inlineStr">
        <is>
          <t>Customer 769</t>
        </is>
      </c>
      <c r="F770" t="inlineStr">
        <is>
          <t>Corporate</t>
        </is>
      </c>
      <c r="G770" t="inlineStr">
        <is>
          <t>P1014</t>
        </is>
      </c>
      <c r="H770" t="inlineStr">
        <is>
          <t>Summit Patio Set</t>
        </is>
      </c>
      <c r="I770" t="inlineStr">
        <is>
          <t>Outdoor</t>
        </is>
      </c>
      <c r="J770" t="inlineStr">
        <is>
          <t>Coolers</t>
        </is>
      </c>
      <c r="K770" t="inlineStr">
        <is>
          <t>North</t>
        </is>
      </c>
      <c r="L770" t="inlineStr">
        <is>
          <t>Alberta</t>
        </is>
      </c>
      <c r="M770" t="inlineStr">
        <is>
          <t>Montreal</t>
        </is>
      </c>
      <c r="N770" t="inlineStr">
        <is>
          <t>Noah Kim</t>
        </is>
      </c>
      <c r="O770" t="n">
        <v>1</v>
      </c>
      <c r="P770" s="3" t="n">
        <v>41.91</v>
      </c>
      <c r="Q770" s="4" t="n">
        <v>0.016</v>
      </c>
      <c r="R770" s="3" t="n">
        <v>41.24</v>
      </c>
      <c r="S770" s="3" t="n">
        <v>27.23</v>
      </c>
      <c r="T770" s="3" t="n">
        <v>7.21</v>
      </c>
      <c r="U770" s="4" t="n">
        <v>0.1748</v>
      </c>
      <c r="V770" s="3" t="n">
        <v>6.8</v>
      </c>
      <c r="W770" t="inlineStr">
        <is>
          <t>Cash on Delivery</t>
        </is>
      </c>
      <c r="X770" t="inlineStr">
        <is>
          <t>Medium</t>
        </is>
      </c>
      <c r="Y770" t="n">
        <v>2024</v>
      </c>
      <c r="Z770" t="n">
        <v>9</v>
      </c>
      <c r="AA770" t="inlineStr">
        <is>
          <t>Sep</t>
        </is>
      </c>
      <c r="AB770" t="inlineStr">
        <is>
          <t>Saturday</t>
        </is>
      </c>
      <c r="AC770" t="n">
        <v>6</v>
      </c>
      <c r="AD770" t="inlineStr">
        <is>
          <t>Profitable</t>
        </is>
      </c>
      <c r="AE770" t="inlineStr">
        <is>
          <t>Low</t>
        </is>
      </c>
      <c r="AF770" t="inlineStr">
        <is>
          <t>Small</t>
        </is>
      </c>
    </row>
    <row r="771">
      <c r="A771" t="inlineStr">
        <is>
          <t>ORD-00770</t>
        </is>
      </c>
      <c r="B771" s="2" t="n">
        <v>45949</v>
      </c>
      <c r="C771" s="2" t="n">
        <v>45956</v>
      </c>
      <c r="D771" t="inlineStr">
        <is>
          <t>CUST-00770</t>
        </is>
      </c>
      <c r="E771" t="inlineStr">
        <is>
          <t>Customer 770</t>
        </is>
      </c>
      <c r="F771" t="inlineStr">
        <is>
          <t>Consumer</t>
        </is>
      </c>
      <c r="G771" t="inlineStr">
        <is>
          <t>P1013</t>
        </is>
      </c>
      <c r="H771" t="inlineStr">
        <is>
          <t>Orbit Wireless Mouse</t>
        </is>
      </c>
      <c r="I771" t="inlineStr">
        <is>
          <t>Furniture</t>
        </is>
      </c>
      <c r="J771" t="inlineStr">
        <is>
          <t>Chairs</t>
        </is>
      </c>
      <c r="K771" t="inlineStr">
        <is>
          <t>East</t>
        </is>
      </c>
      <c r="L771" t="inlineStr">
        <is>
          <t>Massachusetts</t>
        </is>
      </c>
      <c r="M771" t="inlineStr">
        <is>
          <t>New York</t>
        </is>
      </c>
      <c r="N771" t="inlineStr">
        <is>
          <t>Ava Patel</t>
        </is>
      </c>
      <c r="O771" t="n">
        <v>1</v>
      </c>
      <c r="P771" s="3" t="n">
        <v>172.34</v>
      </c>
      <c r="Q771" s="4" t="n">
        <v>0.033</v>
      </c>
      <c r="R771" s="3" t="n">
        <v>166.65</v>
      </c>
      <c r="S771" s="3" t="n">
        <v>98.67</v>
      </c>
      <c r="T771" s="3" t="n">
        <v>60.18</v>
      </c>
      <c r="U771" s="4" t="n">
        <v>0.3611</v>
      </c>
      <c r="V771" s="3" t="n">
        <v>7.8</v>
      </c>
      <c r="W771" t="inlineStr">
        <is>
          <t>Credit Card</t>
        </is>
      </c>
      <c r="X771" t="inlineStr">
        <is>
          <t>Critical</t>
        </is>
      </c>
      <c r="Y771" t="n">
        <v>2025</v>
      </c>
      <c r="Z771" t="n">
        <v>10</v>
      </c>
      <c r="AA771" t="inlineStr">
        <is>
          <t>Oct</t>
        </is>
      </c>
      <c r="AB771" t="inlineStr">
        <is>
          <t>Sunday</t>
        </is>
      </c>
      <c r="AC771" t="n">
        <v>7</v>
      </c>
      <c r="AD771" t="inlineStr">
        <is>
          <t>Profitable</t>
        </is>
      </c>
      <c r="AE771" t="inlineStr">
        <is>
          <t>Medium</t>
        </is>
      </c>
      <c r="AF771" t="inlineStr">
        <is>
          <t>Small</t>
        </is>
      </c>
    </row>
    <row r="772">
      <c r="A772" t="inlineStr">
        <is>
          <t>ORD-00771</t>
        </is>
      </c>
      <c r="B772" s="2" t="n">
        <v>45070</v>
      </c>
      <c r="C772" s="2" t="n">
        <v>45077</v>
      </c>
      <c r="D772" t="inlineStr">
        <is>
          <t>CUST-00771</t>
        </is>
      </c>
      <c r="E772" t="inlineStr">
        <is>
          <t>Customer 771</t>
        </is>
      </c>
      <c r="F772" t="inlineStr">
        <is>
          <t>Consumer</t>
        </is>
      </c>
      <c r="G772" t="inlineStr">
        <is>
          <t>P1002</t>
        </is>
      </c>
      <c r="H772" t="inlineStr">
        <is>
          <t>ProClip Binder</t>
        </is>
      </c>
      <c r="I772" t="inlineStr">
        <is>
          <t>Outdoor</t>
        </is>
      </c>
      <c r="J772" t="inlineStr">
        <is>
          <t>Lighting</t>
        </is>
      </c>
      <c r="K772" t="inlineStr">
        <is>
          <t>South</t>
        </is>
      </c>
      <c r="L772" t="inlineStr">
        <is>
          <t>Florida</t>
        </is>
      </c>
      <c r="M772" t="inlineStr">
        <is>
          <t>Houston</t>
        </is>
      </c>
      <c r="N772" t="inlineStr">
        <is>
          <t>James Carter</t>
        </is>
      </c>
      <c r="O772" t="n">
        <v>5</v>
      </c>
      <c r="P772" s="3" t="n">
        <v>81.14</v>
      </c>
      <c r="Q772" s="4" t="n">
        <v>0.043</v>
      </c>
      <c r="R772" s="3" t="n">
        <v>388.25</v>
      </c>
      <c r="S772" s="3" t="n">
        <v>178.74</v>
      </c>
      <c r="T772" s="3" t="n">
        <v>199.51</v>
      </c>
      <c r="U772" s="4" t="n">
        <v>0.5139</v>
      </c>
      <c r="V772" s="3" t="n">
        <v>10</v>
      </c>
      <c r="W772" t="inlineStr">
        <is>
          <t>Bank Transfer</t>
        </is>
      </c>
      <c r="X772" t="inlineStr">
        <is>
          <t>Critical</t>
        </is>
      </c>
      <c r="Y772" t="n">
        <v>2023</v>
      </c>
      <c r="Z772" t="n">
        <v>5</v>
      </c>
      <c r="AA772" t="inlineStr">
        <is>
          <t>May</t>
        </is>
      </c>
      <c r="AB772" t="inlineStr">
        <is>
          <t>Wednesday</t>
        </is>
      </c>
      <c r="AC772" t="n">
        <v>7</v>
      </c>
      <c r="AD772" t="inlineStr">
        <is>
          <t>Profitable</t>
        </is>
      </c>
      <c r="AE772" t="inlineStr">
        <is>
          <t>Medium</t>
        </is>
      </c>
      <c r="AF772" t="inlineStr">
        <is>
          <t>Small</t>
        </is>
      </c>
    </row>
    <row r="773">
      <c r="A773" t="inlineStr">
        <is>
          <t>ORD-00772</t>
        </is>
      </c>
      <c r="B773" s="2" t="n">
        <v>45704</v>
      </c>
      <c r="C773" s="2" t="n">
        <v>45708</v>
      </c>
      <c r="D773" t="inlineStr">
        <is>
          <t>CUST-00772</t>
        </is>
      </c>
      <c r="E773" t="inlineStr">
        <is>
          <t>Customer 772</t>
        </is>
      </c>
      <c r="F773" t="inlineStr">
        <is>
          <t>Consumer</t>
        </is>
      </c>
      <c r="G773" t="inlineStr">
        <is>
          <t>P1010</t>
        </is>
      </c>
      <c r="H773" t="inlineStr">
        <is>
          <t>Summit Patio Set</t>
        </is>
      </c>
      <c r="I773" t="inlineStr">
        <is>
          <t>Office Supplies</t>
        </is>
      </c>
      <c r="J773" t="inlineStr">
        <is>
          <t>Lighting</t>
        </is>
      </c>
      <c r="K773" t="inlineStr">
        <is>
          <t>North</t>
        </is>
      </c>
      <c r="L773" t="inlineStr">
        <is>
          <t>Quebec</t>
        </is>
      </c>
      <c r="M773" t="inlineStr">
        <is>
          <t>Toronto</t>
        </is>
      </c>
      <c r="N773" t="inlineStr">
        <is>
          <t>James Carter</t>
        </is>
      </c>
      <c r="O773" t="n">
        <v>2</v>
      </c>
      <c r="P773" s="3" t="n">
        <v>55.59</v>
      </c>
      <c r="Q773" s="4" t="n">
        <v>0.008999999999999999</v>
      </c>
      <c r="R773" s="3" t="n">
        <v>110.18</v>
      </c>
      <c r="S773" s="3" t="n">
        <v>49.81</v>
      </c>
      <c r="T773" s="3" t="n">
        <v>52.77</v>
      </c>
      <c r="U773" s="4" t="n">
        <v>0.4789</v>
      </c>
      <c r="V773" s="3" t="n">
        <v>7.6</v>
      </c>
      <c r="W773" t="inlineStr">
        <is>
          <t>PayPal</t>
        </is>
      </c>
      <c r="X773" t="inlineStr">
        <is>
          <t>Low</t>
        </is>
      </c>
      <c r="Y773" t="n">
        <v>2025</v>
      </c>
      <c r="Z773" t="n">
        <v>2</v>
      </c>
      <c r="AA773" t="inlineStr">
        <is>
          <t>Feb</t>
        </is>
      </c>
      <c r="AB773" t="inlineStr">
        <is>
          <t>Sunday</t>
        </is>
      </c>
      <c r="AC773" t="n">
        <v>4</v>
      </c>
      <c r="AD773" t="inlineStr">
        <is>
          <t>Profitable</t>
        </is>
      </c>
      <c r="AE773" t="inlineStr">
        <is>
          <t>Low</t>
        </is>
      </c>
      <c r="AF773" t="inlineStr">
        <is>
          <t>Small</t>
        </is>
      </c>
    </row>
    <row r="774">
      <c r="A774" t="inlineStr">
        <is>
          <t>ORD-00773</t>
        </is>
      </c>
      <c r="B774" s="2" t="n">
        <v>44982</v>
      </c>
      <c r="C774" s="2" t="n">
        <v>44988</v>
      </c>
      <c r="D774" t="inlineStr">
        <is>
          <t>CUST-00773</t>
        </is>
      </c>
      <c r="E774" t="inlineStr">
        <is>
          <t>Customer 773</t>
        </is>
      </c>
      <c r="F774" t="inlineStr">
        <is>
          <t>Corporate</t>
        </is>
      </c>
      <c r="G774" t="inlineStr">
        <is>
          <t>P1001</t>
        </is>
      </c>
      <c r="H774" t="inlineStr">
        <is>
          <t>CloudDrive File Box</t>
        </is>
      </c>
      <c r="I774" t="inlineStr">
        <is>
          <t>Technology</t>
        </is>
      </c>
      <c r="J774" t="inlineStr">
        <is>
          <t>Binders</t>
        </is>
      </c>
      <c r="K774" t="inlineStr">
        <is>
          <t>West</t>
        </is>
      </c>
      <c r="L774" t="inlineStr">
        <is>
          <t>Colorado</t>
        </is>
      </c>
      <c r="M774" t="inlineStr">
        <is>
          <t>San Francisco</t>
        </is>
      </c>
      <c r="N774" t="inlineStr">
        <is>
          <t>Noah Kim</t>
        </is>
      </c>
      <c r="O774" t="n">
        <v>1</v>
      </c>
      <c r="P774" s="3" t="n">
        <v>305.03</v>
      </c>
      <c r="Q774" s="4" t="n">
        <v>0.024</v>
      </c>
      <c r="R774" s="3" t="n">
        <v>297.71</v>
      </c>
      <c r="S774" s="3" t="n">
        <v>183.4</v>
      </c>
      <c r="T774" s="3" t="n">
        <v>106.51</v>
      </c>
      <c r="U774" s="4" t="n">
        <v>0.3578</v>
      </c>
      <c r="V774" s="3" t="n">
        <v>7.8</v>
      </c>
      <c r="W774" t="inlineStr">
        <is>
          <t>Debit Card</t>
        </is>
      </c>
      <c r="X774" t="inlineStr">
        <is>
          <t>Low</t>
        </is>
      </c>
      <c r="Y774" t="n">
        <v>2023</v>
      </c>
      <c r="Z774" t="n">
        <v>2</v>
      </c>
      <c r="AA774" t="inlineStr">
        <is>
          <t>Feb</t>
        </is>
      </c>
      <c r="AB774" t="inlineStr">
        <is>
          <t>Saturday</t>
        </is>
      </c>
      <c r="AC774" t="n">
        <v>6</v>
      </c>
      <c r="AD774" t="inlineStr">
        <is>
          <t>Profitable</t>
        </is>
      </c>
      <c r="AE774" t="inlineStr">
        <is>
          <t>Medium</t>
        </is>
      </c>
      <c r="AF774" t="inlineStr">
        <is>
          <t>Small</t>
        </is>
      </c>
    </row>
    <row r="775">
      <c r="A775" t="inlineStr">
        <is>
          <t>ORD-00774</t>
        </is>
      </c>
      <c r="B775" s="2" t="n">
        <v>45518</v>
      </c>
      <c r="C775" s="2" t="n">
        <v>45523</v>
      </c>
      <c r="D775" t="inlineStr">
        <is>
          <t>CUST-00774</t>
        </is>
      </c>
      <c r="E775" t="inlineStr">
        <is>
          <t>Customer 774</t>
        </is>
      </c>
      <c r="F775" t="inlineStr">
        <is>
          <t>Home Office</t>
        </is>
      </c>
      <c r="G775" t="inlineStr">
        <is>
          <t>P1001</t>
        </is>
      </c>
      <c r="H775" t="inlineStr">
        <is>
          <t>Lumen Desk Lamp</t>
        </is>
      </c>
      <c r="I775" t="inlineStr">
        <is>
          <t>Technology</t>
        </is>
      </c>
      <c r="J775" t="inlineStr">
        <is>
          <t>Storage</t>
        </is>
      </c>
      <c r="K775" t="inlineStr">
        <is>
          <t>Central</t>
        </is>
      </c>
      <c r="L775" t="inlineStr">
        <is>
          <t>Minnesota</t>
        </is>
      </c>
      <c r="M775" t="inlineStr">
        <is>
          <t>Chicago</t>
        </is>
      </c>
      <c r="N775" t="inlineStr">
        <is>
          <t>Noah Kim</t>
        </is>
      </c>
      <c r="O775" t="n">
        <v>3</v>
      </c>
      <c r="P775" s="3" t="n">
        <v>291.92</v>
      </c>
      <c r="Q775" s="4" t="n">
        <v>0.008</v>
      </c>
      <c r="R775" s="3" t="n">
        <v>868.75</v>
      </c>
      <c r="S775" s="3" t="n">
        <v>513.38</v>
      </c>
      <c r="T775" s="3" t="n">
        <v>346.97</v>
      </c>
      <c r="U775" s="4" t="n">
        <v>0.3994</v>
      </c>
      <c r="V775" s="3" t="n">
        <v>8.4</v>
      </c>
      <c r="W775" t="inlineStr">
        <is>
          <t>Credit Card</t>
        </is>
      </c>
      <c r="X775" t="inlineStr">
        <is>
          <t>Low</t>
        </is>
      </c>
      <c r="Y775" t="n">
        <v>2024</v>
      </c>
      <c r="Z775" t="n">
        <v>8</v>
      </c>
      <c r="AA775" t="inlineStr">
        <is>
          <t>Aug</t>
        </is>
      </c>
      <c r="AB775" t="inlineStr">
        <is>
          <t>Wednesday</t>
        </is>
      </c>
      <c r="AC775" t="n">
        <v>5</v>
      </c>
      <c r="AD775" t="inlineStr">
        <is>
          <t>Profitable</t>
        </is>
      </c>
      <c r="AE775" t="inlineStr">
        <is>
          <t>Low</t>
        </is>
      </c>
      <c r="AF775" t="inlineStr">
        <is>
          <t>Medium</t>
        </is>
      </c>
    </row>
    <row r="776">
      <c r="A776" t="inlineStr">
        <is>
          <t>ORD-00775</t>
        </is>
      </c>
      <c r="B776" s="2" t="n">
        <v>45858</v>
      </c>
      <c r="C776" s="2" t="n">
        <v>45864</v>
      </c>
      <c r="D776" t="inlineStr">
        <is>
          <t>CUST-00775</t>
        </is>
      </c>
      <c r="E776" t="inlineStr">
        <is>
          <t>Customer 775</t>
        </is>
      </c>
      <c r="F776" t="inlineStr">
        <is>
          <t>Corporate</t>
        </is>
      </c>
      <c r="G776" t="inlineStr">
        <is>
          <t>P1003</t>
        </is>
      </c>
      <c r="H776" t="inlineStr">
        <is>
          <t>Echo Web Camera</t>
        </is>
      </c>
      <c r="I776" t="inlineStr">
        <is>
          <t>Technology</t>
        </is>
      </c>
      <c r="J776" t="inlineStr">
        <is>
          <t>Bags</t>
        </is>
      </c>
      <c r="K776" t="inlineStr">
        <is>
          <t>North</t>
        </is>
      </c>
      <c r="L776" t="inlineStr">
        <is>
          <t>British Columbia</t>
        </is>
      </c>
      <c r="M776" t="inlineStr">
        <is>
          <t>Calgary</t>
        </is>
      </c>
      <c r="N776" t="inlineStr">
        <is>
          <t>Noah Kim</t>
        </is>
      </c>
      <c r="O776" t="n">
        <v>2</v>
      </c>
      <c r="P776" s="3" t="n">
        <v>158.27</v>
      </c>
      <c r="Q776" s="4" t="n">
        <v>0.016</v>
      </c>
      <c r="R776" s="3" t="n">
        <v>311.48</v>
      </c>
      <c r="S776" s="3" t="n">
        <v>162.99</v>
      </c>
      <c r="T776" s="3" t="n">
        <v>140.89</v>
      </c>
      <c r="U776" s="4" t="n">
        <v>0.4523</v>
      </c>
      <c r="V776" s="3" t="n">
        <v>7.6</v>
      </c>
      <c r="W776" t="inlineStr">
        <is>
          <t>Credit Card</t>
        </is>
      </c>
      <c r="X776" t="inlineStr">
        <is>
          <t>Medium</t>
        </is>
      </c>
      <c r="Y776" t="n">
        <v>2025</v>
      </c>
      <c r="Z776" t="n">
        <v>7</v>
      </c>
      <c r="AA776" t="inlineStr">
        <is>
          <t>Jul</t>
        </is>
      </c>
      <c r="AB776" t="inlineStr">
        <is>
          <t>Sunday</t>
        </is>
      </c>
      <c r="AC776" t="n">
        <v>6</v>
      </c>
      <c r="AD776" t="inlineStr">
        <is>
          <t>Profitable</t>
        </is>
      </c>
      <c r="AE776" t="inlineStr">
        <is>
          <t>Low</t>
        </is>
      </c>
      <c r="AF776" t="inlineStr">
        <is>
          <t>Small</t>
        </is>
      </c>
    </row>
    <row r="777">
      <c r="A777" t="inlineStr">
        <is>
          <t>ORD-00776</t>
        </is>
      </c>
      <c r="B777" s="2" t="n">
        <v>45213</v>
      </c>
      <c r="C777" s="2" t="n">
        <v>45217</v>
      </c>
      <c r="D777" t="inlineStr">
        <is>
          <t>CUST-00776</t>
        </is>
      </c>
      <c r="E777" t="inlineStr">
        <is>
          <t>Customer 776</t>
        </is>
      </c>
      <c r="F777" t="inlineStr">
        <is>
          <t>Consumer</t>
        </is>
      </c>
      <c r="G777" t="inlineStr">
        <is>
          <t>P1011</t>
        </is>
      </c>
      <c r="H777" t="inlineStr">
        <is>
          <t>Nimbus Monitor Arm</t>
        </is>
      </c>
      <c r="I777" t="inlineStr">
        <is>
          <t>Office Supplies</t>
        </is>
      </c>
      <c r="J777" t="inlineStr">
        <is>
          <t>Decor</t>
        </is>
      </c>
      <c r="K777" t="inlineStr">
        <is>
          <t>East</t>
        </is>
      </c>
      <c r="L777" t="inlineStr">
        <is>
          <t>Virginia</t>
        </is>
      </c>
      <c r="M777" t="inlineStr">
        <is>
          <t>Washington</t>
        </is>
      </c>
      <c r="N777" t="inlineStr">
        <is>
          <t>Mia Rodriguez</t>
        </is>
      </c>
      <c r="O777" t="n">
        <v>1</v>
      </c>
      <c r="P777" s="3" t="n">
        <v>95.15000000000001</v>
      </c>
      <c r="Q777" s="4" t="n">
        <v>0.041</v>
      </c>
      <c r="R777" s="3" t="n">
        <v>91.25</v>
      </c>
      <c r="S777" s="3" t="n">
        <v>47.53</v>
      </c>
      <c r="T777" s="3" t="n">
        <v>35.92</v>
      </c>
      <c r="U777" s="4" t="n">
        <v>0.3936</v>
      </c>
      <c r="V777" s="3" t="n">
        <v>7.8</v>
      </c>
      <c r="W777" t="inlineStr">
        <is>
          <t>PayPal</t>
        </is>
      </c>
      <c r="X777" t="inlineStr">
        <is>
          <t>High</t>
        </is>
      </c>
      <c r="Y777" t="n">
        <v>2023</v>
      </c>
      <c r="Z777" t="n">
        <v>10</v>
      </c>
      <c r="AA777" t="inlineStr">
        <is>
          <t>Oct</t>
        </is>
      </c>
      <c r="AB777" t="inlineStr">
        <is>
          <t>Saturday</t>
        </is>
      </c>
      <c r="AC777" t="n">
        <v>4</v>
      </c>
      <c r="AD777" t="inlineStr">
        <is>
          <t>Profitable</t>
        </is>
      </c>
      <c r="AE777" t="inlineStr">
        <is>
          <t>Medium</t>
        </is>
      </c>
      <c r="AF777" t="inlineStr">
        <is>
          <t>Small</t>
        </is>
      </c>
    </row>
    <row r="778">
      <c r="A778" t="inlineStr">
        <is>
          <t>ORD-00777</t>
        </is>
      </c>
      <c r="B778" s="2" t="n">
        <v>45121</v>
      </c>
      <c r="C778" s="2" t="n">
        <v>45124</v>
      </c>
      <c r="D778" t="inlineStr">
        <is>
          <t>CUST-00777</t>
        </is>
      </c>
      <c r="E778" t="inlineStr">
        <is>
          <t>Customer 777</t>
        </is>
      </c>
      <c r="F778" t="inlineStr">
        <is>
          <t>Corporate</t>
        </is>
      </c>
      <c r="G778" t="inlineStr">
        <is>
          <t>P1019</t>
        </is>
      </c>
      <c r="H778" t="inlineStr">
        <is>
          <t>Trail Tote</t>
        </is>
      </c>
      <c r="I778" t="inlineStr">
        <is>
          <t>Furniture</t>
        </is>
      </c>
      <c r="J778" t="inlineStr">
        <is>
          <t>Bags</t>
        </is>
      </c>
      <c r="K778" t="inlineStr">
        <is>
          <t>West</t>
        </is>
      </c>
      <c r="L778" t="inlineStr">
        <is>
          <t>Washington</t>
        </is>
      </c>
      <c r="M778" t="inlineStr">
        <is>
          <t>Seattle</t>
        </is>
      </c>
      <c r="N778" t="inlineStr">
        <is>
          <t>Sophia Singh</t>
        </is>
      </c>
      <c r="O778" t="n">
        <v>3</v>
      </c>
      <c r="P778" s="3" t="n">
        <v>59.46</v>
      </c>
      <c r="Q778" s="4" t="n">
        <v>0.031</v>
      </c>
      <c r="R778" s="3" t="n">
        <v>172.85</v>
      </c>
      <c r="S778" s="3" t="n">
        <v>74.18000000000001</v>
      </c>
      <c r="T778" s="3" t="n">
        <v>89.27</v>
      </c>
      <c r="U778" s="4" t="n">
        <v>0.5165</v>
      </c>
      <c r="V778" s="3" t="n">
        <v>9.4</v>
      </c>
      <c r="W778" t="inlineStr">
        <is>
          <t>Credit Card</t>
        </is>
      </c>
      <c r="X778" t="inlineStr">
        <is>
          <t>Medium</t>
        </is>
      </c>
      <c r="Y778" t="n">
        <v>2023</v>
      </c>
      <c r="Z778" t="n">
        <v>7</v>
      </c>
      <c r="AA778" t="inlineStr">
        <is>
          <t>Jul</t>
        </is>
      </c>
      <c r="AB778" t="inlineStr">
        <is>
          <t>Friday</t>
        </is>
      </c>
      <c r="AC778" t="n">
        <v>3</v>
      </c>
      <c r="AD778" t="inlineStr">
        <is>
          <t>Profitable</t>
        </is>
      </c>
      <c r="AE778" t="inlineStr">
        <is>
          <t>Medium</t>
        </is>
      </c>
      <c r="AF778" t="inlineStr">
        <is>
          <t>Small</t>
        </is>
      </c>
    </row>
    <row r="779">
      <c r="A779" t="inlineStr">
        <is>
          <t>ORD-00778</t>
        </is>
      </c>
      <c r="B779" s="2" t="n">
        <v>45822</v>
      </c>
      <c r="C779" s="2" t="n">
        <v>45826</v>
      </c>
      <c r="D779" t="inlineStr">
        <is>
          <t>CUST-00778</t>
        </is>
      </c>
      <c r="E779" t="inlineStr">
        <is>
          <t>Customer 778</t>
        </is>
      </c>
      <c r="F779" t="inlineStr">
        <is>
          <t>Consumer</t>
        </is>
      </c>
      <c r="G779" t="inlineStr">
        <is>
          <t>P1009</t>
        </is>
      </c>
      <c r="H779" t="inlineStr">
        <is>
          <t>SmartInk Pen Set</t>
        </is>
      </c>
      <c r="I779" t="inlineStr">
        <is>
          <t>Furniture</t>
        </is>
      </c>
      <c r="J779" t="inlineStr">
        <is>
          <t>Storage</t>
        </is>
      </c>
      <c r="K779" t="inlineStr">
        <is>
          <t>South</t>
        </is>
      </c>
      <c r="L779" t="inlineStr">
        <is>
          <t>Florida</t>
        </is>
      </c>
      <c r="M779" t="inlineStr">
        <is>
          <t>Atlanta</t>
        </is>
      </c>
      <c r="N779" t="inlineStr">
        <is>
          <t>Sophia Singh</t>
        </is>
      </c>
      <c r="O779" t="n">
        <v>1</v>
      </c>
      <c r="P779" s="3" t="n">
        <v>94.3</v>
      </c>
      <c r="Q779" s="4" t="n">
        <v>0.003</v>
      </c>
      <c r="R779" s="3" t="n">
        <v>94.02</v>
      </c>
      <c r="S779" s="3" t="n">
        <v>53.78</v>
      </c>
      <c r="T779" s="3" t="n">
        <v>33.44</v>
      </c>
      <c r="U779" s="4" t="n">
        <v>0.3557</v>
      </c>
      <c r="V779" s="3" t="n">
        <v>6.8</v>
      </c>
      <c r="W779" t="inlineStr">
        <is>
          <t>PayPal</t>
        </is>
      </c>
      <c r="X779" t="inlineStr">
        <is>
          <t>Medium</t>
        </is>
      </c>
      <c r="Y779" t="n">
        <v>2025</v>
      </c>
      <c r="Z779" t="n">
        <v>6</v>
      </c>
      <c r="AA779" t="inlineStr">
        <is>
          <t>Jun</t>
        </is>
      </c>
      <c r="AB779" t="inlineStr">
        <is>
          <t>Saturday</t>
        </is>
      </c>
      <c r="AC779" t="n">
        <v>4</v>
      </c>
      <c r="AD779" t="inlineStr">
        <is>
          <t>Profitable</t>
        </is>
      </c>
      <c r="AE779" t="inlineStr">
        <is>
          <t>Low</t>
        </is>
      </c>
      <c r="AF779" t="inlineStr">
        <is>
          <t>Small</t>
        </is>
      </c>
    </row>
    <row r="780">
      <c r="A780" t="inlineStr">
        <is>
          <t>ORD-00779</t>
        </is>
      </c>
      <c r="B780" s="2" t="n">
        <v>45820</v>
      </c>
      <c r="C780" s="2" t="n">
        <v>45822</v>
      </c>
      <c r="D780" t="inlineStr">
        <is>
          <t>CUST-00779</t>
        </is>
      </c>
      <c r="E780" t="inlineStr">
        <is>
          <t>Customer 779</t>
        </is>
      </c>
      <c r="F780" t="inlineStr">
        <is>
          <t>Consumer</t>
        </is>
      </c>
      <c r="G780" t="inlineStr">
        <is>
          <t>P1013</t>
        </is>
      </c>
      <c r="H780" t="inlineStr">
        <is>
          <t>ErgoMesh Chair</t>
        </is>
      </c>
      <c r="I780" t="inlineStr">
        <is>
          <t>Outdoor</t>
        </is>
      </c>
      <c r="J780" t="inlineStr">
        <is>
          <t>Furniture</t>
        </is>
      </c>
      <c r="K780" t="inlineStr">
        <is>
          <t>Central</t>
        </is>
      </c>
      <c r="L780" t="inlineStr">
        <is>
          <t>Minnesota</t>
        </is>
      </c>
      <c r="M780" t="inlineStr">
        <is>
          <t>Kansas City</t>
        </is>
      </c>
      <c r="N780" t="inlineStr">
        <is>
          <t>Ava Patel</t>
        </is>
      </c>
      <c r="O780" t="n">
        <v>4</v>
      </c>
      <c r="P780" s="3" t="n">
        <v>166.8</v>
      </c>
      <c r="Q780" s="4" t="n">
        <v>0.016</v>
      </c>
      <c r="R780" s="3" t="n">
        <v>656.52</v>
      </c>
      <c r="S780" s="3" t="n">
        <v>375.93</v>
      </c>
      <c r="T780" s="3" t="n">
        <v>271.39</v>
      </c>
      <c r="U780" s="4" t="n">
        <v>0.4134</v>
      </c>
      <c r="V780" s="3" t="n">
        <v>9.199999999999999</v>
      </c>
      <c r="W780" t="inlineStr">
        <is>
          <t>Credit Card</t>
        </is>
      </c>
      <c r="X780" t="inlineStr">
        <is>
          <t>Low</t>
        </is>
      </c>
      <c r="Y780" t="n">
        <v>2025</v>
      </c>
      <c r="Z780" t="n">
        <v>6</v>
      </c>
      <c r="AA780" t="inlineStr">
        <is>
          <t>Jun</t>
        </is>
      </c>
      <c r="AB780" t="inlineStr">
        <is>
          <t>Thursday</t>
        </is>
      </c>
      <c r="AC780" t="n">
        <v>2</v>
      </c>
      <c r="AD780" t="inlineStr">
        <is>
          <t>Profitable</t>
        </is>
      </c>
      <c r="AE780" t="inlineStr">
        <is>
          <t>Low</t>
        </is>
      </c>
      <c r="AF780" t="inlineStr">
        <is>
          <t>Medium</t>
        </is>
      </c>
    </row>
    <row r="781">
      <c r="A781" t="inlineStr">
        <is>
          <t>ORD-00780</t>
        </is>
      </c>
      <c r="B781" s="2" t="n">
        <v>45297</v>
      </c>
      <c r="C781" s="2" t="n">
        <v>45301</v>
      </c>
      <c r="D781" t="inlineStr">
        <is>
          <t>CUST-00780</t>
        </is>
      </c>
      <c r="E781" t="inlineStr">
        <is>
          <t>Customer 780</t>
        </is>
      </c>
      <c r="F781" t="inlineStr">
        <is>
          <t>Consumer</t>
        </is>
      </c>
      <c r="G781" t="inlineStr">
        <is>
          <t>P1004</t>
        </is>
      </c>
      <c r="H781" t="inlineStr">
        <is>
          <t>Summit Patio Set</t>
        </is>
      </c>
      <c r="I781" t="inlineStr">
        <is>
          <t>Furniture</t>
        </is>
      </c>
      <c r="J781" t="inlineStr">
        <is>
          <t>Paper</t>
        </is>
      </c>
      <c r="K781" t="inlineStr">
        <is>
          <t>East</t>
        </is>
      </c>
      <c r="L781" t="inlineStr">
        <is>
          <t>New York</t>
        </is>
      </c>
      <c r="M781" t="inlineStr">
        <is>
          <t>New York</t>
        </is>
      </c>
      <c r="N781" t="inlineStr">
        <is>
          <t>Ethan Brooks</t>
        </is>
      </c>
      <c r="O781" t="n">
        <v>2</v>
      </c>
      <c r="P781" s="3" t="n">
        <v>581.67</v>
      </c>
      <c r="Q781" s="4" t="n">
        <v>0</v>
      </c>
      <c r="R781" s="3" t="n">
        <v>1163.34</v>
      </c>
      <c r="S781" s="3" t="n">
        <v>743.47</v>
      </c>
      <c r="T781" s="3" t="n">
        <v>411.27</v>
      </c>
      <c r="U781" s="4" t="n">
        <v>0.3535</v>
      </c>
      <c r="V781" s="3" t="n">
        <v>8.6</v>
      </c>
      <c r="W781" t="inlineStr">
        <is>
          <t>Credit Card</t>
        </is>
      </c>
      <c r="X781" t="inlineStr">
        <is>
          <t>Medium</t>
        </is>
      </c>
      <c r="Y781" t="n">
        <v>2024</v>
      </c>
      <c r="Z781" t="n">
        <v>1</v>
      </c>
      <c r="AA781" t="inlineStr">
        <is>
          <t>Jan</t>
        </is>
      </c>
      <c r="AB781" t="inlineStr">
        <is>
          <t>Saturday</t>
        </is>
      </c>
      <c r="AC781" t="n">
        <v>4</v>
      </c>
      <c r="AD781" t="inlineStr">
        <is>
          <t>Profitable</t>
        </is>
      </c>
      <c r="AE781" t="inlineStr">
        <is>
          <t>Low</t>
        </is>
      </c>
      <c r="AF781" t="inlineStr">
        <is>
          <t>Medium</t>
        </is>
      </c>
    </row>
    <row r="782">
      <c r="A782" t="inlineStr">
        <is>
          <t>ORD-00781</t>
        </is>
      </c>
      <c r="B782" s="2" t="n">
        <v>45797</v>
      </c>
      <c r="C782" s="2" t="n">
        <v>45804</v>
      </c>
      <c r="D782" t="inlineStr">
        <is>
          <t>CUST-00781</t>
        </is>
      </c>
      <c r="E782" t="inlineStr">
        <is>
          <t>Customer 781</t>
        </is>
      </c>
      <c r="F782" t="inlineStr">
        <is>
          <t>Corporate</t>
        </is>
      </c>
      <c r="G782" t="inlineStr">
        <is>
          <t>P1020</t>
        </is>
      </c>
      <c r="H782" t="inlineStr">
        <is>
          <t>CloudDrive File Box</t>
        </is>
      </c>
      <c r="I782" t="inlineStr">
        <is>
          <t>Technology</t>
        </is>
      </c>
      <c r="J782" t="inlineStr">
        <is>
          <t>Accessories</t>
        </is>
      </c>
      <c r="K782" t="inlineStr">
        <is>
          <t>South</t>
        </is>
      </c>
      <c r="L782" t="inlineStr">
        <is>
          <t>Georgia</t>
        </is>
      </c>
      <c r="M782" t="inlineStr">
        <is>
          <t>Miami</t>
        </is>
      </c>
      <c r="N782" t="inlineStr">
        <is>
          <t>Ava Patel</t>
        </is>
      </c>
      <c r="O782" t="n">
        <v>2</v>
      </c>
      <c r="P782" s="3" t="n">
        <v>70.23999999999999</v>
      </c>
      <c r="Q782" s="4" t="n">
        <v>0.02</v>
      </c>
      <c r="R782" s="3" t="n">
        <v>137.67</v>
      </c>
      <c r="S782" s="3" t="n">
        <v>70.2</v>
      </c>
      <c r="T782" s="3" t="n">
        <v>59.87</v>
      </c>
      <c r="U782" s="4" t="n">
        <v>0.4349</v>
      </c>
      <c r="V782" s="3" t="n">
        <v>7.6</v>
      </c>
      <c r="W782" t="inlineStr">
        <is>
          <t>Bank Transfer</t>
        </is>
      </c>
      <c r="X782" t="inlineStr">
        <is>
          <t>Low</t>
        </is>
      </c>
      <c r="Y782" t="n">
        <v>2025</v>
      </c>
      <c r="Z782" t="n">
        <v>5</v>
      </c>
      <c r="AA782" t="inlineStr">
        <is>
          <t>May</t>
        </is>
      </c>
      <c r="AB782" t="inlineStr">
        <is>
          <t>Tuesday</t>
        </is>
      </c>
      <c r="AC782" t="n">
        <v>7</v>
      </c>
      <c r="AD782" t="inlineStr">
        <is>
          <t>Profitable</t>
        </is>
      </c>
      <c r="AE782" t="inlineStr">
        <is>
          <t>Medium</t>
        </is>
      </c>
      <c r="AF782" t="inlineStr">
        <is>
          <t>Small</t>
        </is>
      </c>
    </row>
    <row r="783">
      <c r="A783" t="inlineStr">
        <is>
          <t>ORD-00782</t>
        </is>
      </c>
      <c r="B783" s="2" t="n">
        <v>45639</v>
      </c>
      <c r="C783" s="2" t="n">
        <v>45644</v>
      </c>
      <c r="D783" t="inlineStr">
        <is>
          <t>CUST-00782</t>
        </is>
      </c>
      <c r="E783" t="inlineStr">
        <is>
          <t>Customer 782</t>
        </is>
      </c>
      <c r="F783" t="inlineStr">
        <is>
          <t>Corporate</t>
        </is>
      </c>
      <c r="G783" t="inlineStr">
        <is>
          <t>P1006</t>
        </is>
      </c>
      <c r="H783" t="inlineStr">
        <is>
          <t>Orbit Wireless Mouse</t>
        </is>
      </c>
      <c r="I783" t="inlineStr">
        <is>
          <t>Office Supplies</t>
        </is>
      </c>
      <c r="J783" t="inlineStr">
        <is>
          <t>Coolers</t>
        </is>
      </c>
      <c r="K783" t="inlineStr">
        <is>
          <t>East</t>
        </is>
      </c>
      <c r="L783" t="inlineStr">
        <is>
          <t>New Jersey</t>
        </is>
      </c>
      <c r="M783" t="inlineStr">
        <is>
          <t>Philadelphia</t>
        </is>
      </c>
      <c r="N783" t="inlineStr">
        <is>
          <t>Olivia Martin</t>
        </is>
      </c>
      <c r="O783" t="n">
        <v>4</v>
      </c>
      <c r="P783" s="3" t="n">
        <v>20.48</v>
      </c>
      <c r="Q783" s="4" t="n">
        <v>0.03</v>
      </c>
      <c r="R783" s="3" t="n">
        <v>79.45999999999999</v>
      </c>
      <c r="S783" s="3" t="n">
        <v>31.13</v>
      </c>
      <c r="T783" s="3" t="n">
        <v>38.13</v>
      </c>
      <c r="U783" s="4" t="n">
        <v>0.4799</v>
      </c>
      <c r="V783" s="3" t="n">
        <v>10.2</v>
      </c>
      <c r="W783" t="inlineStr">
        <is>
          <t>Credit Card</t>
        </is>
      </c>
      <c r="X783" t="inlineStr">
        <is>
          <t>Low</t>
        </is>
      </c>
      <c r="Y783" t="n">
        <v>2024</v>
      </c>
      <c r="Z783" t="n">
        <v>12</v>
      </c>
      <c r="AA783" t="inlineStr">
        <is>
          <t>Dec</t>
        </is>
      </c>
      <c r="AB783" t="inlineStr">
        <is>
          <t>Friday</t>
        </is>
      </c>
      <c r="AC783" t="n">
        <v>5</v>
      </c>
      <c r="AD783" t="inlineStr">
        <is>
          <t>Profitable</t>
        </is>
      </c>
      <c r="AE783" t="inlineStr">
        <is>
          <t>Medium</t>
        </is>
      </c>
      <c r="AF783" t="inlineStr">
        <is>
          <t>Small</t>
        </is>
      </c>
    </row>
    <row r="784">
      <c r="A784" t="inlineStr">
        <is>
          <t>ORD-00783</t>
        </is>
      </c>
      <c r="B784" s="2" t="n">
        <v>45246</v>
      </c>
      <c r="C784" s="2" t="n">
        <v>45250</v>
      </c>
      <c r="D784" t="inlineStr">
        <is>
          <t>CUST-00783</t>
        </is>
      </c>
      <c r="E784" t="inlineStr">
        <is>
          <t>Customer 783</t>
        </is>
      </c>
      <c r="F784" t="inlineStr">
        <is>
          <t>Corporate</t>
        </is>
      </c>
      <c r="G784" t="inlineStr">
        <is>
          <t>P1002</t>
        </is>
      </c>
      <c r="H784" t="inlineStr">
        <is>
          <t>Summit Patio Set</t>
        </is>
      </c>
      <c r="I784" t="inlineStr">
        <is>
          <t>Furniture</t>
        </is>
      </c>
      <c r="J784" t="inlineStr">
        <is>
          <t>Peripherals</t>
        </is>
      </c>
      <c r="K784" t="inlineStr">
        <is>
          <t>Central</t>
        </is>
      </c>
      <c r="L784" t="inlineStr">
        <is>
          <t>Minnesota</t>
        </is>
      </c>
      <c r="M784" t="inlineStr">
        <is>
          <t>Minneapolis</t>
        </is>
      </c>
      <c r="N784" t="inlineStr">
        <is>
          <t>Noah Kim</t>
        </is>
      </c>
      <c r="O784" t="n">
        <v>4</v>
      </c>
      <c r="P784" s="3" t="n">
        <v>88.95999999999999</v>
      </c>
      <c r="Q784" s="4" t="n">
        <v>0.053</v>
      </c>
      <c r="R784" s="3" t="n">
        <v>336.98</v>
      </c>
      <c r="S784" s="3" t="n">
        <v>157.38</v>
      </c>
      <c r="T784" s="3" t="n">
        <v>170.4</v>
      </c>
      <c r="U784" s="4" t="n">
        <v>0.5057</v>
      </c>
      <c r="V784" s="3" t="n">
        <v>9.199999999999999</v>
      </c>
      <c r="W784" t="inlineStr">
        <is>
          <t>Credit Card</t>
        </is>
      </c>
      <c r="X784" t="inlineStr">
        <is>
          <t>High</t>
        </is>
      </c>
      <c r="Y784" t="n">
        <v>2023</v>
      </c>
      <c r="Z784" t="n">
        <v>11</v>
      </c>
      <c r="AA784" t="inlineStr">
        <is>
          <t>Nov</t>
        </is>
      </c>
      <c r="AB784" t="inlineStr">
        <is>
          <t>Thursday</t>
        </is>
      </c>
      <c r="AC784" t="n">
        <v>4</v>
      </c>
      <c r="AD784" t="inlineStr">
        <is>
          <t>Profitable</t>
        </is>
      </c>
      <c r="AE784" t="inlineStr">
        <is>
          <t>High</t>
        </is>
      </c>
      <c r="AF784" t="inlineStr">
        <is>
          <t>Small</t>
        </is>
      </c>
    </row>
    <row r="785">
      <c r="A785" t="inlineStr">
        <is>
          <t>ORD-00784</t>
        </is>
      </c>
      <c r="B785" s="2" t="n">
        <v>45421</v>
      </c>
      <c r="C785" s="2" t="n">
        <v>45425</v>
      </c>
      <c r="D785" t="inlineStr">
        <is>
          <t>CUST-00784</t>
        </is>
      </c>
      <c r="E785" t="inlineStr">
        <is>
          <t>Customer 784</t>
        </is>
      </c>
      <c r="F785" t="inlineStr">
        <is>
          <t>Corporate</t>
        </is>
      </c>
      <c r="G785" t="inlineStr">
        <is>
          <t>P1009</t>
        </is>
      </c>
      <c r="H785" t="inlineStr">
        <is>
          <t>Atlas Throw Pillow</t>
        </is>
      </c>
      <c r="I785" t="inlineStr">
        <is>
          <t>Home Decor</t>
        </is>
      </c>
      <c r="J785" t="inlineStr">
        <is>
          <t>Desks</t>
        </is>
      </c>
      <c r="K785" t="inlineStr">
        <is>
          <t>West</t>
        </is>
      </c>
      <c r="L785" t="inlineStr">
        <is>
          <t>Washington</t>
        </is>
      </c>
      <c r="M785" t="inlineStr">
        <is>
          <t>Seattle</t>
        </is>
      </c>
      <c r="N785" t="inlineStr">
        <is>
          <t>James Carter</t>
        </is>
      </c>
      <c r="O785" t="n">
        <v>1</v>
      </c>
      <c r="P785" s="3" t="n">
        <v>93.34999999999999</v>
      </c>
      <c r="Q785" s="4" t="n">
        <v>0.055</v>
      </c>
      <c r="R785" s="3" t="n">
        <v>88.22</v>
      </c>
      <c r="S785" s="3" t="n">
        <v>52.01</v>
      </c>
      <c r="T785" s="3" t="n">
        <v>28.41</v>
      </c>
      <c r="U785" s="4" t="n">
        <v>0.322</v>
      </c>
      <c r="V785" s="3" t="n">
        <v>7.8</v>
      </c>
      <c r="W785" t="inlineStr">
        <is>
          <t>PayPal</t>
        </is>
      </c>
      <c r="X785" t="inlineStr">
        <is>
          <t>High</t>
        </is>
      </c>
      <c r="Y785" t="n">
        <v>2024</v>
      </c>
      <c r="Z785" t="n">
        <v>5</v>
      </c>
      <c r="AA785" t="inlineStr">
        <is>
          <t>May</t>
        </is>
      </c>
      <c r="AB785" t="inlineStr">
        <is>
          <t>Thursday</t>
        </is>
      </c>
      <c r="AC785" t="n">
        <v>4</v>
      </c>
      <c r="AD785" t="inlineStr">
        <is>
          <t>Profitable</t>
        </is>
      </c>
      <c r="AE785" t="inlineStr">
        <is>
          <t>High</t>
        </is>
      </c>
      <c r="AF785" t="inlineStr">
        <is>
          <t>Small</t>
        </is>
      </c>
    </row>
    <row r="786">
      <c r="A786" t="inlineStr">
        <is>
          <t>ORD-00785</t>
        </is>
      </c>
      <c r="B786" s="2" t="n">
        <v>45140</v>
      </c>
      <c r="C786" s="2" t="n">
        <v>45145</v>
      </c>
      <c r="D786" t="inlineStr">
        <is>
          <t>CUST-00785</t>
        </is>
      </c>
      <c r="E786" t="inlineStr">
        <is>
          <t>Customer 785</t>
        </is>
      </c>
      <c r="F786" t="inlineStr">
        <is>
          <t>Consumer</t>
        </is>
      </c>
      <c r="G786" t="inlineStr">
        <is>
          <t>P1018</t>
        </is>
      </c>
      <c r="H786" t="inlineStr">
        <is>
          <t>Orbit Wireless Mouse</t>
        </is>
      </c>
      <c r="I786" t="inlineStr">
        <is>
          <t>Home Decor</t>
        </is>
      </c>
      <c r="J786" t="inlineStr">
        <is>
          <t>Peripherals</t>
        </is>
      </c>
      <c r="K786" t="inlineStr">
        <is>
          <t>West</t>
        </is>
      </c>
      <c r="L786" t="inlineStr">
        <is>
          <t>Oregon</t>
        </is>
      </c>
      <c r="M786" t="inlineStr">
        <is>
          <t>Denver</t>
        </is>
      </c>
      <c r="N786" t="inlineStr">
        <is>
          <t>Olivia Martin</t>
        </is>
      </c>
      <c r="O786" t="n">
        <v>2</v>
      </c>
      <c r="P786" s="3" t="n">
        <v>100.81</v>
      </c>
      <c r="Q786" s="4" t="n">
        <v>0.03</v>
      </c>
      <c r="R786" s="3" t="n">
        <v>195.57</v>
      </c>
      <c r="S786" s="3" t="n">
        <v>92.47</v>
      </c>
      <c r="T786" s="3" t="n">
        <v>94.5</v>
      </c>
      <c r="U786" s="4" t="n">
        <v>0.4832</v>
      </c>
      <c r="V786" s="3" t="n">
        <v>8.6</v>
      </c>
      <c r="W786" t="inlineStr">
        <is>
          <t>Bank Transfer</t>
        </is>
      </c>
      <c r="X786" t="inlineStr">
        <is>
          <t>Critical</t>
        </is>
      </c>
      <c r="Y786" t="n">
        <v>2023</v>
      </c>
      <c r="Z786" t="n">
        <v>8</v>
      </c>
      <c r="AA786" t="inlineStr">
        <is>
          <t>Aug</t>
        </is>
      </c>
      <c r="AB786" t="inlineStr">
        <is>
          <t>Wednesday</t>
        </is>
      </c>
      <c r="AC786" t="n">
        <v>5</v>
      </c>
      <c r="AD786" t="inlineStr">
        <is>
          <t>Profitable</t>
        </is>
      </c>
      <c r="AE786" t="inlineStr">
        <is>
          <t>Medium</t>
        </is>
      </c>
      <c r="AF786" t="inlineStr">
        <is>
          <t>Small</t>
        </is>
      </c>
    </row>
    <row r="787">
      <c r="A787" t="inlineStr">
        <is>
          <t>ORD-00786</t>
        </is>
      </c>
      <c r="B787" s="2" t="n">
        <v>45983</v>
      </c>
      <c r="C787" s="2" t="n">
        <v>45987</v>
      </c>
      <c r="D787" t="inlineStr">
        <is>
          <t>CUST-00786</t>
        </is>
      </c>
      <c r="E787" t="inlineStr">
        <is>
          <t>Customer 786</t>
        </is>
      </c>
      <c r="F787" t="inlineStr">
        <is>
          <t>Consumer</t>
        </is>
      </c>
      <c r="G787" t="inlineStr">
        <is>
          <t>P1004</t>
        </is>
      </c>
      <c r="H787" t="inlineStr">
        <is>
          <t>Halo Planter</t>
        </is>
      </c>
      <c r="I787" t="inlineStr">
        <is>
          <t>Furniture</t>
        </is>
      </c>
      <c r="J787" t="inlineStr">
        <is>
          <t>Coolers</t>
        </is>
      </c>
      <c r="K787" t="inlineStr">
        <is>
          <t>Central</t>
        </is>
      </c>
      <c r="L787" t="inlineStr">
        <is>
          <t>Minnesota</t>
        </is>
      </c>
      <c r="M787" t="inlineStr">
        <is>
          <t>Chicago</t>
        </is>
      </c>
      <c r="N787" t="inlineStr">
        <is>
          <t>Noah Kim</t>
        </is>
      </c>
      <c r="O787" t="n">
        <v>3</v>
      </c>
      <c r="P787" s="3" t="n">
        <v>666.58</v>
      </c>
      <c r="Q787" s="4" t="n">
        <v>0.039</v>
      </c>
      <c r="R787" s="3" t="n">
        <v>1921.75</v>
      </c>
      <c r="S787" s="3" t="n">
        <v>1216.89</v>
      </c>
      <c r="T787" s="3" t="n">
        <v>696.46</v>
      </c>
      <c r="U787" s="4" t="n">
        <v>0.3624</v>
      </c>
      <c r="V787" s="3" t="n">
        <v>8.4</v>
      </c>
      <c r="W787" t="inlineStr">
        <is>
          <t>Credit Card</t>
        </is>
      </c>
      <c r="X787" t="inlineStr">
        <is>
          <t>High</t>
        </is>
      </c>
      <c r="Y787" t="n">
        <v>2025</v>
      </c>
      <c r="Z787" t="n">
        <v>11</v>
      </c>
      <c r="AA787" t="inlineStr">
        <is>
          <t>Nov</t>
        </is>
      </c>
      <c r="AB787" t="inlineStr">
        <is>
          <t>Saturday</t>
        </is>
      </c>
      <c r="AC787" t="n">
        <v>4</v>
      </c>
      <c r="AD787" t="inlineStr">
        <is>
          <t>Profitable</t>
        </is>
      </c>
      <c r="AE787" t="inlineStr">
        <is>
          <t>Medium</t>
        </is>
      </c>
      <c r="AF787" t="inlineStr">
        <is>
          <t>Large</t>
        </is>
      </c>
    </row>
    <row r="788">
      <c r="A788" t="inlineStr">
        <is>
          <t>ORD-00787</t>
        </is>
      </c>
      <c r="B788" s="2" t="n">
        <v>45470</v>
      </c>
      <c r="C788" s="2" t="n">
        <v>45477</v>
      </c>
      <c r="D788" t="inlineStr">
        <is>
          <t>CUST-00787</t>
        </is>
      </c>
      <c r="E788" t="inlineStr">
        <is>
          <t>Customer 787</t>
        </is>
      </c>
      <c r="F788" t="inlineStr">
        <is>
          <t>Corporate</t>
        </is>
      </c>
      <c r="G788" t="inlineStr">
        <is>
          <t>P1001</t>
        </is>
      </c>
      <c r="H788" t="inlineStr">
        <is>
          <t>Atlas Throw Pillow</t>
        </is>
      </c>
      <c r="I788" t="inlineStr">
        <is>
          <t>Office Supplies</t>
        </is>
      </c>
      <c r="J788" t="inlineStr">
        <is>
          <t>Flooring</t>
        </is>
      </c>
      <c r="K788" t="inlineStr">
        <is>
          <t>Central</t>
        </is>
      </c>
      <c r="L788" t="inlineStr">
        <is>
          <t>Minnesota</t>
        </is>
      </c>
      <c r="M788" t="inlineStr">
        <is>
          <t>Kansas City</t>
        </is>
      </c>
      <c r="N788" t="inlineStr">
        <is>
          <t>Noah Kim</t>
        </is>
      </c>
      <c r="O788" t="n">
        <v>3</v>
      </c>
      <c r="P788" s="3" t="n">
        <v>313.52</v>
      </c>
      <c r="Q788" s="4" t="n">
        <v>0.059</v>
      </c>
      <c r="R788" s="3" t="n">
        <v>885.0700000000001</v>
      </c>
      <c r="S788" s="3" t="n">
        <v>521.6</v>
      </c>
      <c r="T788" s="3" t="n">
        <v>355.07</v>
      </c>
      <c r="U788" s="4" t="n">
        <v>0.4012</v>
      </c>
      <c r="V788" s="3" t="n">
        <v>8.4</v>
      </c>
      <c r="W788" t="inlineStr">
        <is>
          <t>Debit Card</t>
        </is>
      </c>
      <c r="X788" t="inlineStr">
        <is>
          <t>High</t>
        </is>
      </c>
      <c r="Y788" t="n">
        <v>2024</v>
      </c>
      <c r="Z788" t="n">
        <v>6</v>
      </c>
      <c r="AA788" t="inlineStr">
        <is>
          <t>Jun</t>
        </is>
      </c>
      <c r="AB788" t="inlineStr">
        <is>
          <t>Thursday</t>
        </is>
      </c>
      <c r="AC788" t="n">
        <v>7</v>
      </c>
      <c r="AD788" t="inlineStr">
        <is>
          <t>Profitable</t>
        </is>
      </c>
      <c r="AE788" t="inlineStr">
        <is>
          <t>High</t>
        </is>
      </c>
      <c r="AF788" t="inlineStr">
        <is>
          <t>Medium</t>
        </is>
      </c>
    </row>
    <row r="789">
      <c r="A789" t="inlineStr">
        <is>
          <t>ORD-00788</t>
        </is>
      </c>
      <c r="B789" s="2" t="n">
        <v>45294</v>
      </c>
      <c r="C789" s="2" t="n">
        <v>45299</v>
      </c>
      <c r="D789" t="inlineStr">
        <is>
          <t>CUST-00788</t>
        </is>
      </c>
      <c r="E789" t="inlineStr">
        <is>
          <t>Customer 788</t>
        </is>
      </c>
      <c r="F789" t="inlineStr">
        <is>
          <t>Corporate</t>
        </is>
      </c>
      <c r="G789" t="inlineStr">
        <is>
          <t>P1001</t>
        </is>
      </c>
      <c r="H789" t="inlineStr">
        <is>
          <t>Tide Cooler</t>
        </is>
      </c>
      <c r="I789" t="inlineStr">
        <is>
          <t>Technology</t>
        </is>
      </c>
      <c r="J789" t="inlineStr">
        <is>
          <t>Furniture</t>
        </is>
      </c>
      <c r="K789" t="inlineStr">
        <is>
          <t>West</t>
        </is>
      </c>
      <c r="L789" t="inlineStr">
        <is>
          <t>Washington</t>
        </is>
      </c>
      <c r="M789" t="inlineStr">
        <is>
          <t>Denver</t>
        </is>
      </c>
      <c r="N789" t="inlineStr">
        <is>
          <t>Ava Patel</t>
        </is>
      </c>
      <c r="O789" t="n">
        <v>1</v>
      </c>
      <c r="P789" s="3" t="n">
        <v>289.21</v>
      </c>
      <c r="Q789" s="4" t="n">
        <v>0.03299999999999999</v>
      </c>
      <c r="R789" s="3" t="n">
        <v>279.67</v>
      </c>
      <c r="S789" s="3" t="n">
        <v>172.22</v>
      </c>
      <c r="T789" s="3" t="n">
        <v>99.65000000000001</v>
      </c>
      <c r="U789" s="4" t="n">
        <v>0.3563</v>
      </c>
      <c r="V789" s="3" t="n">
        <v>7.8</v>
      </c>
      <c r="W789" t="inlineStr">
        <is>
          <t>PayPal</t>
        </is>
      </c>
      <c r="X789" t="inlineStr">
        <is>
          <t>Low</t>
        </is>
      </c>
      <c r="Y789" t="n">
        <v>2024</v>
      </c>
      <c r="Z789" t="n">
        <v>1</v>
      </c>
      <c r="AA789" t="inlineStr">
        <is>
          <t>Jan</t>
        </is>
      </c>
      <c r="AB789" t="inlineStr">
        <is>
          <t>Wednesday</t>
        </is>
      </c>
      <c r="AC789" t="n">
        <v>5</v>
      </c>
      <c r="AD789" t="inlineStr">
        <is>
          <t>Profitable</t>
        </is>
      </c>
      <c r="AE789" t="inlineStr">
        <is>
          <t>Medium</t>
        </is>
      </c>
      <c r="AF789" t="inlineStr">
        <is>
          <t>Small</t>
        </is>
      </c>
    </row>
    <row r="790">
      <c r="A790" t="inlineStr">
        <is>
          <t>ORD-00789</t>
        </is>
      </c>
      <c r="B790" s="2" t="n">
        <v>45332</v>
      </c>
      <c r="C790" s="2" t="n">
        <v>45339</v>
      </c>
      <c r="D790" t="inlineStr">
        <is>
          <t>CUST-00789</t>
        </is>
      </c>
      <c r="E790" t="inlineStr">
        <is>
          <t>Customer 789</t>
        </is>
      </c>
      <c r="F790" t="inlineStr">
        <is>
          <t>Corporate</t>
        </is>
      </c>
      <c r="G790" t="inlineStr">
        <is>
          <t>P1020</t>
        </is>
      </c>
      <c r="H790" t="inlineStr">
        <is>
          <t>Aero Standing Desk</t>
        </is>
      </c>
      <c r="I790" t="inlineStr">
        <is>
          <t>Technology</t>
        </is>
      </c>
      <c r="J790" t="inlineStr">
        <is>
          <t>Decor</t>
        </is>
      </c>
      <c r="K790" t="inlineStr">
        <is>
          <t>South</t>
        </is>
      </c>
      <c r="L790" t="inlineStr">
        <is>
          <t>Texas</t>
        </is>
      </c>
      <c r="M790" t="inlineStr">
        <is>
          <t>Atlanta</t>
        </is>
      </c>
      <c r="N790" t="inlineStr">
        <is>
          <t>Sophia Singh</t>
        </is>
      </c>
      <c r="O790" t="n">
        <v>2</v>
      </c>
      <c r="P790" s="3" t="n">
        <v>70.81999999999999</v>
      </c>
      <c r="Q790" s="4" t="n">
        <v>0.055</v>
      </c>
      <c r="R790" s="3" t="n">
        <v>133.85</v>
      </c>
      <c r="S790" s="3" t="n">
        <v>69.37</v>
      </c>
      <c r="T790" s="3" t="n">
        <v>56.88</v>
      </c>
      <c r="U790" s="4" t="n">
        <v>0.425</v>
      </c>
      <c r="V790" s="3" t="n">
        <v>7.6</v>
      </c>
      <c r="W790" t="inlineStr">
        <is>
          <t>Bank Transfer</t>
        </is>
      </c>
      <c r="X790" t="inlineStr">
        <is>
          <t>High</t>
        </is>
      </c>
      <c r="Y790" t="n">
        <v>2024</v>
      </c>
      <c r="Z790" t="n">
        <v>2</v>
      </c>
      <c r="AA790" t="inlineStr">
        <is>
          <t>Feb</t>
        </is>
      </c>
      <c r="AB790" t="inlineStr">
        <is>
          <t>Saturday</t>
        </is>
      </c>
      <c r="AC790" t="n">
        <v>7</v>
      </c>
      <c r="AD790" t="inlineStr">
        <is>
          <t>Profitable</t>
        </is>
      </c>
      <c r="AE790" t="inlineStr">
        <is>
          <t>High</t>
        </is>
      </c>
      <c r="AF790" t="inlineStr">
        <is>
          <t>Small</t>
        </is>
      </c>
    </row>
    <row r="791">
      <c r="A791" t="inlineStr">
        <is>
          <t>ORD-00790</t>
        </is>
      </c>
      <c r="B791" s="2" t="n">
        <v>45858</v>
      </c>
      <c r="C791" s="2" t="n">
        <v>45865</v>
      </c>
      <c r="D791" t="inlineStr">
        <is>
          <t>CUST-00790</t>
        </is>
      </c>
      <c r="E791" t="inlineStr">
        <is>
          <t>Customer 790</t>
        </is>
      </c>
      <c r="F791" t="inlineStr">
        <is>
          <t>Consumer</t>
        </is>
      </c>
      <c r="G791" t="inlineStr">
        <is>
          <t>P1017</t>
        </is>
      </c>
      <c r="H791" t="inlineStr">
        <is>
          <t>SmartInk Pen Set</t>
        </is>
      </c>
      <c r="I791" t="inlineStr">
        <is>
          <t>Office Supplies</t>
        </is>
      </c>
      <c r="J791" t="inlineStr">
        <is>
          <t>Lighting</t>
        </is>
      </c>
      <c r="K791" t="inlineStr">
        <is>
          <t>South</t>
        </is>
      </c>
      <c r="L791" t="inlineStr">
        <is>
          <t>Texas</t>
        </is>
      </c>
      <c r="M791" t="inlineStr">
        <is>
          <t>Miami</t>
        </is>
      </c>
      <c r="N791" t="inlineStr">
        <is>
          <t>Ava Patel</t>
        </is>
      </c>
      <c r="O791" t="n">
        <v>4</v>
      </c>
      <c r="P791" s="3" t="n">
        <v>570.99</v>
      </c>
      <c r="Q791" s="4" t="n">
        <v>0.035</v>
      </c>
      <c r="R791" s="3" t="n">
        <v>2204.02</v>
      </c>
      <c r="S791" s="3" t="n">
        <v>1459.33</v>
      </c>
      <c r="T791" s="3" t="n">
        <v>735.49</v>
      </c>
      <c r="U791" s="4" t="n">
        <v>0.3337</v>
      </c>
      <c r="V791" s="3" t="n">
        <v>9.199999999999999</v>
      </c>
      <c r="W791" t="inlineStr">
        <is>
          <t>Cash on Delivery</t>
        </is>
      </c>
      <c r="X791" t="inlineStr">
        <is>
          <t>High</t>
        </is>
      </c>
      <c r="Y791" t="n">
        <v>2025</v>
      </c>
      <c r="Z791" t="n">
        <v>7</v>
      </c>
      <c r="AA791" t="inlineStr">
        <is>
          <t>Jul</t>
        </is>
      </c>
      <c r="AB791" t="inlineStr">
        <is>
          <t>Sunday</t>
        </is>
      </c>
      <c r="AC791" t="n">
        <v>7</v>
      </c>
      <c r="AD791" t="inlineStr">
        <is>
          <t>Profitable</t>
        </is>
      </c>
      <c r="AE791" t="inlineStr">
        <is>
          <t>Medium</t>
        </is>
      </c>
      <c r="AF791" t="inlineStr">
        <is>
          <t>Large</t>
        </is>
      </c>
    </row>
    <row r="792">
      <c r="A792" t="inlineStr">
        <is>
          <t>ORD-00791</t>
        </is>
      </c>
      <c r="B792" s="2" t="n">
        <v>45262</v>
      </c>
      <c r="C792" s="2" t="n">
        <v>45269</v>
      </c>
      <c r="D792" t="inlineStr">
        <is>
          <t>CUST-00791</t>
        </is>
      </c>
      <c r="E792" t="inlineStr">
        <is>
          <t>Customer 791</t>
        </is>
      </c>
      <c r="F792" t="inlineStr">
        <is>
          <t>Corporate</t>
        </is>
      </c>
      <c r="G792" t="inlineStr">
        <is>
          <t>P1019</t>
        </is>
      </c>
      <c r="H792" t="inlineStr">
        <is>
          <t>Echo Web Camera</t>
        </is>
      </c>
      <c r="I792" t="inlineStr">
        <is>
          <t>Home Decor</t>
        </is>
      </c>
      <c r="J792" t="inlineStr">
        <is>
          <t>Coolers</t>
        </is>
      </c>
      <c r="K792" t="inlineStr">
        <is>
          <t>Central</t>
        </is>
      </c>
      <c r="L792" t="inlineStr">
        <is>
          <t>Minnesota</t>
        </is>
      </c>
      <c r="M792" t="inlineStr">
        <is>
          <t>Kansas City</t>
        </is>
      </c>
      <c r="N792" t="inlineStr">
        <is>
          <t>Ethan Brooks</t>
        </is>
      </c>
      <c r="O792" t="n">
        <v>4</v>
      </c>
      <c r="P792" s="3" t="n">
        <v>59.59</v>
      </c>
      <c r="Q792" s="4" t="n">
        <v>0.076</v>
      </c>
      <c r="R792" s="3" t="n">
        <v>220.24</v>
      </c>
      <c r="S792" s="3" t="n">
        <v>96.98999999999999</v>
      </c>
      <c r="T792" s="3" t="n">
        <v>114.05</v>
      </c>
      <c r="U792" s="4" t="n">
        <v>0.5178</v>
      </c>
      <c r="V792" s="3" t="n">
        <v>9.199999999999999</v>
      </c>
      <c r="W792" t="inlineStr">
        <is>
          <t>Credit Card</t>
        </is>
      </c>
      <c r="X792" t="inlineStr">
        <is>
          <t>Critical</t>
        </is>
      </c>
      <c r="Y792" t="n">
        <v>2023</v>
      </c>
      <c r="Z792" t="n">
        <v>12</v>
      </c>
      <c r="AA792" t="inlineStr">
        <is>
          <t>Dec</t>
        </is>
      </c>
      <c r="AB792" t="inlineStr">
        <is>
          <t>Saturday</t>
        </is>
      </c>
      <c r="AC792" t="n">
        <v>7</v>
      </c>
      <c r="AD792" t="inlineStr">
        <is>
          <t>Profitable</t>
        </is>
      </c>
      <c r="AE792" t="inlineStr">
        <is>
          <t>High</t>
        </is>
      </c>
      <c r="AF792" t="inlineStr">
        <is>
          <t>Small</t>
        </is>
      </c>
    </row>
    <row r="793">
      <c r="A793" t="inlineStr">
        <is>
          <t>ORD-00792</t>
        </is>
      </c>
      <c r="B793" s="2" t="n">
        <v>45592</v>
      </c>
      <c r="C793" s="2" t="n">
        <v>45594</v>
      </c>
      <c r="D793" t="inlineStr">
        <is>
          <t>CUST-00792</t>
        </is>
      </c>
      <c r="E793" t="inlineStr">
        <is>
          <t>Customer 792</t>
        </is>
      </c>
      <c r="F793" t="inlineStr">
        <is>
          <t>Consumer</t>
        </is>
      </c>
      <c r="G793" t="inlineStr">
        <is>
          <t>P1003</t>
        </is>
      </c>
      <c r="H793" t="inlineStr">
        <is>
          <t>Echo Web Camera</t>
        </is>
      </c>
      <c r="I793" t="inlineStr">
        <is>
          <t>Office Supplies</t>
        </is>
      </c>
      <c r="J793" t="inlineStr">
        <is>
          <t>Storage</t>
        </is>
      </c>
      <c r="K793" t="inlineStr">
        <is>
          <t>Central</t>
        </is>
      </c>
      <c r="L793" t="inlineStr">
        <is>
          <t>Minnesota</t>
        </is>
      </c>
      <c r="M793" t="inlineStr">
        <is>
          <t>Chicago</t>
        </is>
      </c>
      <c r="N793" t="inlineStr">
        <is>
          <t>Sophia Singh</t>
        </is>
      </c>
      <c r="O793" t="n">
        <v>2</v>
      </c>
      <c r="P793" s="3" t="n">
        <v>168.38</v>
      </c>
      <c r="Q793" s="4" t="n">
        <v>0.032</v>
      </c>
      <c r="R793" s="3" t="n">
        <v>325.98</v>
      </c>
      <c r="S793" s="3" t="n">
        <v>177.07</v>
      </c>
      <c r="T793" s="3" t="n">
        <v>141.31</v>
      </c>
      <c r="U793" s="4" t="n">
        <v>0.4335</v>
      </c>
      <c r="V793" s="3" t="n">
        <v>7.6</v>
      </c>
      <c r="W793" t="inlineStr">
        <is>
          <t>Bank Transfer</t>
        </is>
      </c>
      <c r="X793" t="inlineStr">
        <is>
          <t>High</t>
        </is>
      </c>
      <c r="Y793" t="n">
        <v>2024</v>
      </c>
      <c r="Z793" t="n">
        <v>10</v>
      </c>
      <c r="AA793" t="inlineStr">
        <is>
          <t>Oct</t>
        </is>
      </c>
      <c r="AB793" t="inlineStr">
        <is>
          <t>Sunday</t>
        </is>
      </c>
      <c r="AC793" t="n">
        <v>2</v>
      </c>
      <c r="AD793" t="inlineStr">
        <is>
          <t>Profitable</t>
        </is>
      </c>
      <c r="AE793" t="inlineStr">
        <is>
          <t>Medium</t>
        </is>
      </c>
      <c r="AF793" t="inlineStr">
        <is>
          <t>Small</t>
        </is>
      </c>
    </row>
    <row r="794">
      <c r="A794" t="inlineStr">
        <is>
          <t>ORD-00793</t>
        </is>
      </c>
      <c r="B794" s="2" t="n">
        <v>45346</v>
      </c>
      <c r="C794" s="2" t="n">
        <v>45351</v>
      </c>
      <c r="D794" t="inlineStr">
        <is>
          <t>CUST-00793</t>
        </is>
      </c>
      <c r="E794" t="inlineStr">
        <is>
          <t>Customer 793</t>
        </is>
      </c>
      <c r="F794" t="inlineStr">
        <is>
          <t>Corporate</t>
        </is>
      </c>
      <c r="G794" t="inlineStr">
        <is>
          <t>P1017</t>
        </is>
      </c>
      <c r="H794" t="inlineStr">
        <is>
          <t>ErgoMesh Chair</t>
        </is>
      </c>
      <c r="I794" t="inlineStr">
        <is>
          <t>Office Supplies</t>
        </is>
      </c>
      <c r="J794" t="inlineStr">
        <is>
          <t>Coolers</t>
        </is>
      </c>
      <c r="K794" t="inlineStr">
        <is>
          <t>West</t>
        </is>
      </c>
      <c r="L794" t="inlineStr">
        <is>
          <t>Oregon</t>
        </is>
      </c>
      <c r="M794" t="inlineStr">
        <is>
          <t>Denver</t>
        </is>
      </c>
      <c r="N794" t="inlineStr">
        <is>
          <t>Ava Patel</t>
        </is>
      </c>
      <c r="O794" t="n">
        <v>2</v>
      </c>
      <c r="P794" s="3" t="n">
        <v>559.8200000000001</v>
      </c>
      <c r="Q794" s="4" t="n">
        <v>0.054</v>
      </c>
      <c r="R794" s="3" t="n">
        <v>1059.18</v>
      </c>
      <c r="S794" s="3" t="n">
        <v>704.75</v>
      </c>
      <c r="T794" s="3" t="n">
        <v>345.83</v>
      </c>
      <c r="U794" s="4" t="n">
        <v>0.3265</v>
      </c>
      <c r="V794" s="3" t="n">
        <v>8.6</v>
      </c>
      <c r="W794" t="inlineStr">
        <is>
          <t>Cash on Delivery</t>
        </is>
      </c>
      <c r="X794" t="inlineStr">
        <is>
          <t>High</t>
        </is>
      </c>
      <c r="Y794" t="n">
        <v>2024</v>
      </c>
      <c r="Z794" t="n">
        <v>2</v>
      </c>
      <c r="AA794" t="inlineStr">
        <is>
          <t>Feb</t>
        </is>
      </c>
      <c r="AB794" t="inlineStr">
        <is>
          <t>Saturday</t>
        </is>
      </c>
      <c r="AC794" t="n">
        <v>5</v>
      </c>
      <c r="AD794" t="inlineStr">
        <is>
          <t>Profitable</t>
        </is>
      </c>
      <c r="AE794" t="inlineStr">
        <is>
          <t>High</t>
        </is>
      </c>
      <c r="AF794" t="inlineStr">
        <is>
          <t>Medium</t>
        </is>
      </c>
    </row>
    <row r="795">
      <c r="A795" t="inlineStr">
        <is>
          <t>ORD-00794</t>
        </is>
      </c>
      <c r="B795" s="2" t="n">
        <v>45392</v>
      </c>
      <c r="C795" s="2" t="n">
        <v>45394</v>
      </c>
      <c r="D795" t="inlineStr">
        <is>
          <t>CUST-00794</t>
        </is>
      </c>
      <c r="E795" t="inlineStr">
        <is>
          <t>Customer 794</t>
        </is>
      </c>
      <c r="F795" t="inlineStr">
        <is>
          <t>Consumer</t>
        </is>
      </c>
      <c r="G795" t="inlineStr">
        <is>
          <t>P1003</t>
        </is>
      </c>
      <c r="H795" t="inlineStr">
        <is>
          <t>Echo Web Camera</t>
        </is>
      </c>
      <c r="I795" t="inlineStr">
        <is>
          <t>Furniture</t>
        </is>
      </c>
      <c r="J795" t="inlineStr">
        <is>
          <t>Textiles</t>
        </is>
      </c>
      <c r="K795" t="inlineStr">
        <is>
          <t>South</t>
        </is>
      </c>
      <c r="L795" t="inlineStr">
        <is>
          <t>Texas</t>
        </is>
      </c>
      <c r="M795" t="inlineStr">
        <is>
          <t>Miami</t>
        </is>
      </c>
      <c r="N795" t="inlineStr">
        <is>
          <t>Sophia Singh</t>
        </is>
      </c>
      <c r="O795" t="n">
        <v>3</v>
      </c>
      <c r="P795" s="3" t="n">
        <v>141.68</v>
      </c>
      <c r="Q795" s="4" t="n">
        <v>0.01</v>
      </c>
      <c r="R795" s="3" t="n">
        <v>420.79</v>
      </c>
      <c r="S795" s="3" t="n">
        <v>226.46</v>
      </c>
      <c r="T795" s="3" t="n">
        <v>185.93</v>
      </c>
      <c r="U795" s="4" t="n">
        <v>0.4419</v>
      </c>
      <c r="V795" s="3" t="n">
        <v>8.4</v>
      </c>
      <c r="W795" t="inlineStr">
        <is>
          <t>Bank Transfer</t>
        </is>
      </c>
      <c r="X795" t="inlineStr">
        <is>
          <t>Medium</t>
        </is>
      </c>
      <c r="Y795" t="n">
        <v>2024</v>
      </c>
      <c r="Z795" t="n">
        <v>4</v>
      </c>
      <c r="AA795" t="inlineStr">
        <is>
          <t>Apr</t>
        </is>
      </c>
      <c r="AB795" t="inlineStr">
        <is>
          <t>Wednesday</t>
        </is>
      </c>
      <c r="AC795" t="n">
        <v>2</v>
      </c>
      <c r="AD795" t="inlineStr">
        <is>
          <t>Profitable</t>
        </is>
      </c>
      <c r="AE795" t="inlineStr">
        <is>
          <t>Low</t>
        </is>
      </c>
      <c r="AF795" t="inlineStr">
        <is>
          <t>Small</t>
        </is>
      </c>
    </row>
    <row r="796">
      <c r="A796" t="inlineStr">
        <is>
          <t>ORD-00795</t>
        </is>
      </c>
      <c r="B796" s="2" t="n">
        <v>45207</v>
      </c>
      <c r="C796" s="2" t="n">
        <v>45209</v>
      </c>
      <c r="D796" t="inlineStr">
        <is>
          <t>CUST-00795</t>
        </is>
      </c>
      <c r="E796" t="inlineStr">
        <is>
          <t>Customer 795</t>
        </is>
      </c>
      <c r="F796" t="inlineStr">
        <is>
          <t>Home Office</t>
        </is>
      </c>
      <c r="G796" t="inlineStr">
        <is>
          <t>P1004</t>
        </is>
      </c>
      <c r="H796" t="inlineStr">
        <is>
          <t>SmartInk Pen Set</t>
        </is>
      </c>
      <c r="I796" t="inlineStr">
        <is>
          <t>Furniture</t>
        </is>
      </c>
      <c r="J796" t="inlineStr">
        <is>
          <t>Peripherals</t>
        </is>
      </c>
      <c r="K796" t="inlineStr">
        <is>
          <t>East</t>
        </is>
      </c>
      <c r="L796" t="inlineStr">
        <is>
          <t>New Jersey</t>
        </is>
      </c>
      <c r="M796" t="inlineStr">
        <is>
          <t>Boston</t>
        </is>
      </c>
      <c r="N796" t="inlineStr">
        <is>
          <t>Ava Patel</t>
        </is>
      </c>
      <c r="O796" t="n">
        <v>1</v>
      </c>
      <c r="P796" s="3" t="n">
        <v>632.5</v>
      </c>
      <c r="Q796" s="4" t="n">
        <v>0.001</v>
      </c>
      <c r="R796" s="3" t="n">
        <v>631.87</v>
      </c>
      <c r="S796" s="3" t="n">
        <v>403.99</v>
      </c>
      <c r="T796" s="3" t="n">
        <v>220.08</v>
      </c>
      <c r="U796" s="4" t="n">
        <v>0.3483</v>
      </c>
      <c r="V796" s="3" t="n">
        <v>7.8</v>
      </c>
      <c r="W796" t="inlineStr">
        <is>
          <t>Cash on Delivery</t>
        </is>
      </c>
      <c r="X796" t="inlineStr">
        <is>
          <t>Low</t>
        </is>
      </c>
      <c r="Y796" t="n">
        <v>2023</v>
      </c>
      <c r="Z796" t="n">
        <v>10</v>
      </c>
      <c r="AA796" t="inlineStr">
        <is>
          <t>Oct</t>
        </is>
      </c>
      <c r="AB796" t="inlineStr">
        <is>
          <t>Sunday</t>
        </is>
      </c>
      <c r="AC796" t="n">
        <v>2</v>
      </c>
      <c r="AD796" t="inlineStr">
        <is>
          <t>Profitable</t>
        </is>
      </c>
      <c r="AE796" t="inlineStr">
        <is>
          <t>Low</t>
        </is>
      </c>
      <c r="AF796" t="inlineStr">
        <is>
          <t>Medium</t>
        </is>
      </c>
    </row>
    <row r="797">
      <c r="A797" t="inlineStr">
        <is>
          <t>ORD-00796</t>
        </is>
      </c>
      <c r="B797" s="2" t="n">
        <v>45978</v>
      </c>
      <c r="C797" s="2" t="n">
        <v>45983</v>
      </c>
      <c r="D797" t="inlineStr">
        <is>
          <t>CUST-00796</t>
        </is>
      </c>
      <c r="E797" t="inlineStr">
        <is>
          <t>Customer 796</t>
        </is>
      </c>
      <c r="F797" t="inlineStr">
        <is>
          <t>Consumer</t>
        </is>
      </c>
      <c r="G797" t="inlineStr">
        <is>
          <t>P1013</t>
        </is>
      </c>
      <c r="H797" t="inlineStr">
        <is>
          <t>Halo Planter</t>
        </is>
      </c>
      <c r="I797" t="inlineStr">
        <is>
          <t>Office Supplies</t>
        </is>
      </c>
      <c r="J797" t="inlineStr">
        <is>
          <t>Furniture</t>
        </is>
      </c>
      <c r="K797" t="inlineStr">
        <is>
          <t>North</t>
        </is>
      </c>
      <c r="L797" t="inlineStr">
        <is>
          <t>British Columbia</t>
        </is>
      </c>
      <c r="M797" t="inlineStr">
        <is>
          <t>Calgary</t>
        </is>
      </c>
      <c r="N797" t="inlineStr">
        <is>
          <t>Sophia Singh</t>
        </is>
      </c>
      <c r="O797" t="n">
        <v>2</v>
      </c>
      <c r="P797" s="3" t="n">
        <v>165.53</v>
      </c>
      <c r="Q797" s="4" t="n">
        <v>0.013</v>
      </c>
      <c r="R797" s="3" t="n">
        <v>326.76</v>
      </c>
      <c r="S797" s="3" t="n">
        <v>193.42</v>
      </c>
      <c r="T797" s="3" t="n">
        <v>125.74</v>
      </c>
      <c r="U797" s="4" t="n">
        <v>0.3848</v>
      </c>
      <c r="V797" s="3" t="n">
        <v>7.6</v>
      </c>
      <c r="W797" t="inlineStr">
        <is>
          <t>Credit Card</t>
        </is>
      </c>
      <c r="X797" t="inlineStr">
        <is>
          <t>Medium</t>
        </is>
      </c>
      <c r="Y797" t="n">
        <v>2025</v>
      </c>
      <c r="Z797" t="n">
        <v>11</v>
      </c>
      <c r="AA797" t="inlineStr">
        <is>
          <t>Nov</t>
        </is>
      </c>
      <c r="AB797" t="inlineStr">
        <is>
          <t>Monday</t>
        </is>
      </c>
      <c r="AC797" t="n">
        <v>5</v>
      </c>
      <c r="AD797" t="inlineStr">
        <is>
          <t>Profitable</t>
        </is>
      </c>
      <c r="AE797" t="inlineStr">
        <is>
          <t>Low</t>
        </is>
      </c>
      <c r="AF797" t="inlineStr">
        <is>
          <t>Small</t>
        </is>
      </c>
    </row>
    <row r="798">
      <c r="A798" t="inlineStr">
        <is>
          <t>ORD-00797</t>
        </is>
      </c>
      <c r="B798" s="2" t="n">
        <v>45926</v>
      </c>
      <c r="C798" s="2" t="n">
        <v>45930</v>
      </c>
      <c r="D798" t="inlineStr">
        <is>
          <t>CUST-00797</t>
        </is>
      </c>
      <c r="E798" t="inlineStr">
        <is>
          <t>Customer 797</t>
        </is>
      </c>
      <c r="F798" t="inlineStr">
        <is>
          <t>Corporate</t>
        </is>
      </c>
      <c r="G798" t="inlineStr">
        <is>
          <t>P1015</t>
        </is>
      </c>
      <c r="H798" t="inlineStr">
        <is>
          <t>Lumen Desk Lamp</t>
        </is>
      </c>
      <c r="I798" t="inlineStr">
        <is>
          <t>Furniture</t>
        </is>
      </c>
      <c r="J798" t="inlineStr">
        <is>
          <t>Coolers</t>
        </is>
      </c>
      <c r="K798" t="inlineStr">
        <is>
          <t>Central</t>
        </is>
      </c>
      <c r="L798" t="inlineStr">
        <is>
          <t>Missouri</t>
        </is>
      </c>
      <c r="M798" t="inlineStr">
        <is>
          <t>St. Louis</t>
        </is>
      </c>
      <c r="N798" t="inlineStr">
        <is>
          <t>Olivia Martin</t>
        </is>
      </c>
      <c r="O798" t="n">
        <v>2</v>
      </c>
      <c r="P798" s="3" t="n">
        <v>64.36</v>
      </c>
      <c r="Q798" s="4" t="n">
        <v>0.034</v>
      </c>
      <c r="R798" s="3" t="n">
        <v>124.34</v>
      </c>
      <c r="S798" s="3" t="n">
        <v>58.84</v>
      </c>
      <c r="T798" s="3" t="n">
        <v>57.9</v>
      </c>
      <c r="U798" s="4" t="n">
        <v>0.4657</v>
      </c>
      <c r="V798" s="3" t="n">
        <v>7.6</v>
      </c>
      <c r="W798" t="inlineStr">
        <is>
          <t>Cash on Delivery</t>
        </is>
      </c>
      <c r="X798" t="inlineStr">
        <is>
          <t>Medium</t>
        </is>
      </c>
      <c r="Y798" t="n">
        <v>2025</v>
      </c>
      <c r="Z798" t="n">
        <v>9</v>
      </c>
      <c r="AA798" t="inlineStr">
        <is>
          <t>Sep</t>
        </is>
      </c>
      <c r="AB798" t="inlineStr">
        <is>
          <t>Friday</t>
        </is>
      </c>
      <c r="AC798" t="n">
        <v>4</v>
      </c>
      <c r="AD798" t="inlineStr">
        <is>
          <t>Profitable</t>
        </is>
      </c>
      <c r="AE798" t="inlineStr">
        <is>
          <t>Medium</t>
        </is>
      </c>
      <c r="AF798" t="inlineStr">
        <is>
          <t>Small</t>
        </is>
      </c>
    </row>
    <row r="799">
      <c r="A799" t="inlineStr">
        <is>
          <t>ORD-00798</t>
        </is>
      </c>
      <c r="B799" s="2" t="n">
        <v>45557</v>
      </c>
      <c r="C799" s="2" t="n">
        <v>45563</v>
      </c>
      <c r="D799" t="inlineStr">
        <is>
          <t>CUST-00798</t>
        </is>
      </c>
      <c r="E799" t="inlineStr">
        <is>
          <t>Customer 798</t>
        </is>
      </c>
      <c r="F799" t="inlineStr">
        <is>
          <t>Corporate</t>
        </is>
      </c>
      <c r="G799" t="inlineStr">
        <is>
          <t>P1012</t>
        </is>
      </c>
      <c r="H799" t="inlineStr">
        <is>
          <t>ErgoMesh Chair</t>
        </is>
      </c>
      <c r="I799" t="inlineStr">
        <is>
          <t>Technology</t>
        </is>
      </c>
      <c r="J799" t="inlineStr">
        <is>
          <t>Lighting</t>
        </is>
      </c>
      <c r="K799" t="inlineStr">
        <is>
          <t>West</t>
        </is>
      </c>
      <c r="L799" t="inlineStr">
        <is>
          <t>California</t>
        </is>
      </c>
      <c r="M799" t="inlineStr">
        <is>
          <t>Denver</t>
        </is>
      </c>
      <c r="N799" t="inlineStr">
        <is>
          <t>Mia Rodriguez</t>
        </is>
      </c>
      <c r="O799" t="n">
        <v>2</v>
      </c>
      <c r="P799" s="3" t="n">
        <v>139.26</v>
      </c>
      <c r="Q799" s="4" t="n">
        <v>0.045</v>
      </c>
      <c r="R799" s="3" t="n">
        <v>265.99</v>
      </c>
      <c r="S799" s="3" t="n">
        <v>134.49</v>
      </c>
      <c r="T799" s="3" t="n">
        <v>122.9</v>
      </c>
      <c r="U799" s="4" t="n">
        <v>0.462</v>
      </c>
      <c r="V799" s="3" t="n">
        <v>8.6</v>
      </c>
      <c r="W799" t="inlineStr">
        <is>
          <t>Bank Transfer</t>
        </is>
      </c>
      <c r="X799" t="inlineStr">
        <is>
          <t>High</t>
        </is>
      </c>
      <c r="Y799" t="n">
        <v>2024</v>
      </c>
      <c r="Z799" t="n">
        <v>9</v>
      </c>
      <c r="AA799" t="inlineStr">
        <is>
          <t>Sep</t>
        </is>
      </c>
      <c r="AB799" t="inlineStr">
        <is>
          <t>Sunday</t>
        </is>
      </c>
      <c r="AC799" t="n">
        <v>6</v>
      </c>
      <c r="AD799" t="inlineStr">
        <is>
          <t>Profitable</t>
        </is>
      </c>
      <c r="AE799" t="inlineStr">
        <is>
          <t>Medium</t>
        </is>
      </c>
      <c r="AF799" t="inlineStr">
        <is>
          <t>Small</t>
        </is>
      </c>
    </row>
    <row r="800">
      <c r="A800" t="inlineStr">
        <is>
          <t>ORD-00799</t>
        </is>
      </c>
      <c r="B800" s="2" t="n">
        <v>45658</v>
      </c>
      <c r="C800" s="2" t="n">
        <v>45661</v>
      </c>
      <c r="D800" t="inlineStr">
        <is>
          <t>CUST-00799</t>
        </is>
      </c>
      <c r="E800" t="inlineStr">
        <is>
          <t>Customer 799</t>
        </is>
      </c>
      <c r="F800" t="inlineStr">
        <is>
          <t>Consumer</t>
        </is>
      </c>
      <c r="G800" t="inlineStr">
        <is>
          <t>P1003</t>
        </is>
      </c>
      <c r="H800" t="inlineStr">
        <is>
          <t>Aero Standing Desk</t>
        </is>
      </c>
      <c r="I800" t="inlineStr">
        <is>
          <t>Office Supplies</t>
        </is>
      </c>
      <c r="J800" t="inlineStr">
        <is>
          <t>Coolers</t>
        </is>
      </c>
      <c r="K800" t="inlineStr">
        <is>
          <t>West</t>
        </is>
      </c>
      <c r="L800" t="inlineStr">
        <is>
          <t>Washington</t>
        </is>
      </c>
      <c r="M800" t="inlineStr">
        <is>
          <t>San Francisco</t>
        </is>
      </c>
      <c r="N800" t="inlineStr">
        <is>
          <t>Mia Rodriguez</t>
        </is>
      </c>
      <c r="O800" t="n">
        <v>2</v>
      </c>
      <c r="P800" s="3" t="n">
        <v>162.5</v>
      </c>
      <c r="Q800" s="4" t="n">
        <v>0.009000000000000001</v>
      </c>
      <c r="R800" s="3" t="n">
        <v>322.07</v>
      </c>
      <c r="S800" s="3" t="n">
        <v>173.67</v>
      </c>
      <c r="T800" s="3" t="n">
        <v>139.8</v>
      </c>
      <c r="U800" s="4" t="n">
        <v>0.4341</v>
      </c>
      <c r="V800" s="3" t="n">
        <v>8.6</v>
      </c>
      <c r="W800" t="inlineStr">
        <is>
          <t>Credit Card</t>
        </is>
      </c>
      <c r="X800" t="inlineStr">
        <is>
          <t>Medium</t>
        </is>
      </c>
      <c r="Y800" t="n">
        <v>2025</v>
      </c>
      <c r="Z800" t="n">
        <v>1</v>
      </c>
      <c r="AA800" t="inlineStr">
        <is>
          <t>Jan</t>
        </is>
      </c>
      <c r="AB800" t="inlineStr">
        <is>
          <t>Wednesday</t>
        </is>
      </c>
      <c r="AC800" t="n">
        <v>3</v>
      </c>
      <c r="AD800" t="inlineStr">
        <is>
          <t>Profitable</t>
        </is>
      </c>
      <c r="AE800" t="inlineStr">
        <is>
          <t>Low</t>
        </is>
      </c>
      <c r="AF800" t="inlineStr">
        <is>
          <t>Small</t>
        </is>
      </c>
    </row>
    <row r="801">
      <c r="A801" t="inlineStr">
        <is>
          <t>ORD-00800</t>
        </is>
      </c>
      <c r="B801" s="2" t="n">
        <v>45967</v>
      </c>
      <c r="C801" s="2" t="n">
        <v>45973</v>
      </c>
      <c r="D801" t="inlineStr">
        <is>
          <t>CUST-00800</t>
        </is>
      </c>
      <c r="E801" t="inlineStr">
        <is>
          <t>Customer 800</t>
        </is>
      </c>
      <c r="F801" t="inlineStr">
        <is>
          <t>Consumer</t>
        </is>
      </c>
      <c r="G801" t="inlineStr">
        <is>
          <t>P1008</t>
        </is>
      </c>
      <c r="H801" t="inlineStr">
        <is>
          <t>CloudDrive File Box</t>
        </is>
      </c>
      <c r="I801" t="inlineStr">
        <is>
          <t>Outdoor</t>
        </is>
      </c>
      <c r="J801" t="inlineStr">
        <is>
          <t>Decor</t>
        </is>
      </c>
      <c r="K801" t="inlineStr">
        <is>
          <t>East</t>
        </is>
      </c>
      <c r="L801" t="inlineStr">
        <is>
          <t>New Jersey</t>
        </is>
      </c>
      <c r="M801" t="inlineStr">
        <is>
          <t>Boston</t>
        </is>
      </c>
      <c r="N801" t="inlineStr">
        <is>
          <t>James Carter</t>
        </is>
      </c>
      <c r="O801" t="n">
        <v>3</v>
      </c>
      <c r="P801" s="3" t="n">
        <v>38.68</v>
      </c>
      <c r="Q801" s="4" t="n">
        <v>0.025</v>
      </c>
      <c r="R801" s="3" t="n">
        <v>113.14</v>
      </c>
      <c r="S801" s="3" t="n">
        <v>53.28</v>
      </c>
      <c r="T801" s="3" t="n">
        <v>50.46</v>
      </c>
      <c r="U801" s="4" t="n">
        <v>0.446</v>
      </c>
      <c r="V801" s="3" t="n">
        <v>9.4</v>
      </c>
      <c r="W801" t="inlineStr">
        <is>
          <t>PayPal</t>
        </is>
      </c>
      <c r="X801" t="inlineStr">
        <is>
          <t>Medium</t>
        </is>
      </c>
      <c r="Y801" t="n">
        <v>2025</v>
      </c>
      <c r="Z801" t="n">
        <v>11</v>
      </c>
      <c r="AA801" t="inlineStr">
        <is>
          <t>Nov</t>
        </is>
      </c>
      <c r="AB801" t="inlineStr">
        <is>
          <t>Thursday</t>
        </is>
      </c>
      <c r="AC801" t="n">
        <v>6</v>
      </c>
      <c r="AD801" t="inlineStr">
        <is>
          <t>Profitable</t>
        </is>
      </c>
      <c r="AE801" t="inlineStr">
        <is>
          <t>Medium</t>
        </is>
      </c>
      <c r="AF801" t="inlineStr">
        <is>
          <t>Small</t>
        </is>
      </c>
    </row>
    <row r="802">
      <c r="A802" t="inlineStr">
        <is>
          <t>ORD-00801</t>
        </is>
      </c>
      <c r="B802" s="2" t="n">
        <v>45968</v>
      </c>
      <c r="C802" s="2" t="n">
        <v>45975</v>
      </c>
      <c r="D802" t="inlineStr">
        <is>
          <t>CUST-00801</t>
        </is>
      </c>
      <c r="E802" t="inlineStr">
        <is>
          <t>Customer 801</t>
        </is>
      </c>
      <c r="F802" t="inlineStr">
        <is>
          <t>Corporate</t>
        </is>
      </c>
      <c r="G802" t="inlineStr">
        <is>
          <t>P1001</t>
        </is>
      </c>
      <c r="H802" t="inlineStr">
        <is>
          <t>Summit Patio Set</t>
        </is>
      </c>
      <c r="I802" t="inlineStr">
        <is>
          <t>Technology</t>
        </is>
      </c>
      <c r="J802" t="inlineStr">
        <is>
          <t>Furniture</t>
        </is>
      </c>
      <c r="K802" t="inlineStr">
        <is>
          <t>West</t>
        </is>
      </c>
      <c r="L802" t="inlineStr">
        <is>
          <t>Colorado</t>
        </is>
      </c>
      <c r="M802" t="inlineStr">
        <is>
          <t>San Francisco</t>
        </is>
      </c>
      <c r="N802" t="inlineStr">
        <is>
          <t>James Carter</t>
        </is>
      </c>
      <c r="O802" t="n">
        <v>3</v>
      </c>
      <c r="P802" s="3" t="n">
        <v>316.85</v>
      </c>
      <c r="Q802" s="4" t="n">
        <v>0.038</v>
      </c>
      <c r="R802" s="3" t="n">
        <v>914.4299999999999</v>
      </c>
      <c r="S802" s="3" t="n">
        <v>540.34</v>
      </c>
      <c r="T802" s="3" t="n">
        <v>364.69</v>
      </c>
      <c r="U802" s="4" t="n">
        <v>0.3988</v>
      </c>
      <c r="V802" s="3" t="n">
        <v>9.4</v>
      </c>
      <c r="W802" t="inlineStr">
        <is>
          <t>Bank Transfer</t>
        </is>
      </c>
      <c r="X802" t="inlineStr">
        <is>
          <t>High</t>
        </is>
      </c>
      <c r="Y802" t="n">
        <v>2025</v>
      </c>
      <c r="Z802" t="n">
        <v>11</v>
      </c>
      <c r="AA802" t="inlineStr">
        <is>
          <t>Nov</t>
        </is>
      </c>
      <c r="AB802" t="inlineStr">
        <is>
          <t>Friday</t>
        </is>
      </c>
      <c r="AC802" t="n">
        <v>7</v>
      </c>
      <c r="AD802" t="inlineStr">
        <is>
          <t>Profitable</t>
        </is>
      </c>
      <c r="AE802" t="inlineStr">
        <is>
          <t>Medium</t>
        </is>
      </c>
      <c r="AF802" t="inlineStr">
        <is>
          <t>Medium</t>
        </is>
      </c>
    </row>
    <row r="803">
      <c r="A803" t="inlineStr">
        <is>
          <t>ORD-00802</t>
        </is>
      </c>
      <c r="B803" s="2" t="n">
        <v>45031</v>
      </c>
      <c r="C803" s="2" t="n">
        <v>45036</v>
      </c>
      <c r="D803" t="inlineStr">
        <is>
          <t>CUST-00802</t>
        </is>
      </c>
      <c r="E803" t="inlineStr">
        <is>
          <t>Customer 802</t>
        </is>
      </c>
      <c r="F803" t="inlineStr">
        <is>
          <t>Consumer</t>
        </is>
      </c>
      <c r="G803" t="inlineStr">
        <is>
          <t>P1018</t>
        </is>
      </c>
      <c r="H803" t="inlineStr">
        <is>
          <t>Tide Cooler</t>
        </is>
      </c>
      <c r="I803" t="inlineStr">
        <is>
          <t>Home Decor</t>
        </is>
      </c>
      <c r="J803" t="inlineStr">
        <is>
          <t>Storage</t>
        </is>
      </c>
      <c r="K803" t="inlineStr">
        <is>
          <t>South</t>
        </is>
      </c>
      <c r="L803" t="inlineStr">
        <is>
          <t>North Carolina</t>
        </is>
      </c>
      <c r="M803" t="inlineStr">
        <is>
          <t>Dallas</t>
        </is>
      </c>
      <c r="N803" t="inlineStr">
        <is>
          <t>Liam Chen</t>
        </is>
      </c>
      <c r="O803" t="n">
        <v>4</v>
      </c>
      <c r="P803" s="3" t="n">
        <v>89.02</v>
      </c>
      <c r="Q803" s="4" t="n">
        <v>0.008999999999999999</v>
      </c>
      <c r="R803" s="3" t="n">
        <v>352.88</v>
      </c>
      <c r="S803" s="3" t="n">
        <v>156.6</v>
      </c>
      <c r="T803" s="3" t="n">
        <v>187.08</v>
      </c>
      <c r="U803" s="4" t="n">
        <v>0.5302</v>
      </c>
      <c r="V803" s="3" t="n">
        <v>9.199999999999999</v>
      </c>
      <c r="W803" t="inlineStr">
        <is>
          <t>PayPal</t>
        </is>
      </c>
      <c r="X803" t="inlineStr">
        <is>
          <t>Low</t>
        </is>
      </c>
      <c r="Y803" t="n">
        <v>2023</v>
      </c>
      <c r="Z803" t="n">
        <v>4</v>
      </c>
      <c r="AA803" t="inlineStr">
        <is>
          <t>Apr</t>
        </is>
      </c>
      <c r="AB803" t="inlineStr">
        <is>
          <t>Saturday</t>
        </is>
      </c>
      <c r="AC803" t="n">
        <v>5</v>
      </c>
      <c r="AD803" t="inlineStr">
        <is>
          <t>Profitable</t>
        </is>
      </c>
      <c r="AE803" t="inlineStr">
        <is>
          <t>Low</t>
        </is>
      </c>
      <c r="AF803" t="inlineStr">
        <is>
          <t>Small</t>
        </is>
      </c>
    </row>
    <row r="804">
      <c r="A804" t="inlineStr">
        <is>
          <t>ORD-00803</t>
        </is>
      </c>
      <c r="B804" s="2" t="n">
        <v>45583</v>
      </c>
      <c r="C804" s="2" t="n">
        <v>45587</v>
      </c>
      <c r="D804" t="inlineStr">
        <is>
          <t>CUST-00803</t>
        </is>
      </c>
      <c r="E804" t="inlineStr">
        <is>
          <t>Customer 803</t>
        </is>
      </c>
      <c r="F804" t="inlineStr">
        <is>
          <t>Consumer</t>
        </is>
      </c>
      <c r="G804" t="inlineStr">
        <is>
          <t>P1013</t>
        </is>
      </c>
      <c r="H804" t="inlineStr">
        <is>
          <t>FlexNote Notebook</t>
        </is>
      </c>
      <c r="I804" t="inlineStr">
        <is>
          <t>Furniture</t>
        </is>
      </c>
      <c r="J804" t="inlineStr">
        <is>
          <t>Plants</t>
        </is>
      </c>
      <c r="K804" t="inlineStr">
        <is>
          <t>North</t>
        </is>
      </c>
      <c r="L804" t="inlineStr">
        <is>
          <t>Ontario</t>
        </is>
      </c>
      <c r="M804" t="inlineStr">
        <is>
          <t>Toronto</t>
        </is>
      </c>
      <c r="N804" t="inlineStr">
        <is>
          <t>James Carter</t>
        </is>
      </c>
      <c r="O804" t="n">
        <v>4</v>
      </c>
      <c r="P804" s="3" t="n">
        <v>169.63</v>
      </c>
      <c r="Q804" s="4" t="n">
        <v>0.051</v>
      </c>
      <c r="R804" s="3" t="n">
        <v>643.92</v>
      </c>
      <c r="S804" s="3" t="n">
        <v>365.91</v>
      </c>
      <c r="T804" s="3" t="n">
        <v>268.81</v>
      </c>
      <c r="U804" s="4" t="n">
        <v>0.4175</v>
      </c>
      <c r="V804" s="3" t="n">
        <v>9.199999999999999</v>
      </c>
      <c r="W804" t="inlineStr">
        <is>
          <t>Bank Transfer</t>
        </is>
      </c>
      <c r="X804" t="inlineStr">
        <is>
          <t>Critical</t>
        </is>
      </c>
      <c r="Y804" t="n">
        <v>2024</v>
      </c>
      <c r="Z804" t="n">
        <v>10</v>
      </c>
      <c r="AA804" t="inlineStr">
        <is>
          <t>Oct</t>
        </is>
      </c>
      <c r="AB804" t="inlineStr">
        <is>
          <t>Friday</t>
        </is>
      </c>
      <c r="AC804" t="n">
        <v>4</v>
      </c>
      <c r="AD804" t="inlineStr">
        <is>
          <t>Profitable</t>
        </is>
      </c>
      <c r="AE804" t="inlineStr">
        <is>
          <t>High</t>
        </is>
      </c>
      <c r="AF804" t="inlineStr">
        <is>
          <t>Medium</t>
        </is>
      </c>
    </row>
    <row r="805">
      <c r="A805" t="inlineStr">
        <is>
          <t>ORD-00804</t>
        </is>
      </c>
      <c r="B805" s="2" t="n">
        <v>45391</v>
      </c>
      <c r="C805" s="2" t="n">
        <v>45393</v>
      </c>
      <c r="D805" t="inlineStr">
        <is>
          <t>CUST-00804</t>
        </is>
      </c>
      <c r="E805" t="inlineStr">
        <is>
          <t>Customer 804</t>
        </is>
      </c>
      <c r="F805" t="inlineStr">
        <is>
          <t>Home Office</t>
        </is>
      </c>
      <c r="G805" t="inlineStr">
        <is>
          <t>P1007</t>
        </is>
      </c>
      <c r="H805" t="inlineStr">
        <is>
          <t>ProClip Binder</t>
        </is>
      </c>
      <c r="I805" t="inlineStr">
        <is>
          <t>Outdoor</t>
        </is>
      </c>
      <c r="J805" t="inlineStr">
        <is>
          <t>Furniture</t>
        </is>
      </c>
      <c r="K805" t="inlineStr">
        <is>
          <t>South</t>
        </is>
      </c>
      <c r="L805" t="inlineStr">
        <is>
          <t>Texas</t>
        </is>
      </c>
      <c r="M805" t="inlineStr">
        <is>
          <t>Atlanta</t>
        </is>
      </c>
      <c r="N805" t="inlineStr">
        <is>
          <t>Ethan Brooks</t>
        </is>
      </c>
      <c r="O805" t="n">
        <v>3</v>
      </c>
      <c r="P805" s="3" t="n">
        <v>24.61</v>
      </c>
      <c r="Q805" s="4" t="n">
        <v>0.022</v>
      </c>
      <c r="R805" s="3" t="n">
        <v>72.20999999999999</v>
      </c>
      <c r="S805" s="3" t="n">
        <v>34.26</v>
      </c>
      <c r="T805" s="3" t="n">
        <v>29.55</v>
      </c>
      <c r="U805" s="4" t="n">
        <v>0.4092</v>
      </c>
      <c r="V805" s="3" t="n">
        <v>8.4</v>
      </c>
      <c r="W805" t="inlineStr">
        <is>
          <t>Bank Transfer</t>
        </is>
      </c>
      <c r="X805" t="inlineStr">
        <is>
          <t>Medium</t>
        </is>
      </c>
      <c r="Y805" t="n">
        <v>2024</v>
      </c>
      <c r="Z805" t="n">
        <v>4</v>
      </c>
      <c r="AA805" t="inlineStr">
        <is>
          <t>Apr</t>
        </is>
      </c>
      <c r="AB805" t="inlineStr">
        <is>
          <t>Tuesday</t>
        </is>
      </c>
      <c r="AC805" t="n">
        <v>2</v>
      </c>
      <c r="AD805" t="inlineStr">
        <is>
          <t>Profitable</t>
        </is>
      </c>
      <c r="AE805" t="inlineStr">
        <is>
          <t>Medium</t>
        </is>
      </c>
      <c r="AF805" t="inlineStr">
        <is>
          <t>Small</t>
        </is>
      </c>
    </row>
    <row r="806">
      <c r="A806" t="inlineStr">
        <is>
          <t>ORD-00805</t>
        </is>
      </c>
      <c r="B806" s="2" t="n">
        <v>45299</v>
      </c>
      <c r="C806" s="2" t="n">
        <v>45300</v>
      </c>
      <c r="D806" t="inlineStr">
        <is>
          <t>CUST-00805</t>
        </is>
      </c>
      <c r="E806" t="inlineStr">
        <is>
          <t>Customer 805</t>
        </is>
      </c>
      <c r="F806" t="inlineStr">
        <is>
          <t>Corporate</t>
        </is>
      </c>
      <c r="G806" t="inlineStr">
        <is>
          <t>P1013</t>
        </is>
      </c>
      <c r="H806" t="inlineStr">
        <is>
          <t>Echo Web Camera</t>
        </is>
      </c>
      <c r="I806" t="inlineStr">
        <is>
          <t>Furniture</t>
        </is>
      </c>
      <c r="J806" t="inlineStr">
        <is>
          <t>Peripherals</t>
        </is>
      </c>
      <c r="K806" t="inlineStr">
        <is>
          <t>South</t>
        </is>
      </c>
      <c r="L806" t="inlineStr">
        <is>
          <t>Georgia</t>
        </is>
      </c>
      <c r="M806" t="inlineStr">
        <is>
          <t>Houston</t>
        </is>
      </c>
      <c r="N806" t="inlineStr">
        <is>
          <t>Olivia Martin</t>
        </is>
      </c>
      <c r="O806" t="n">
        <v>2</v>
      </c>
      <c r="P806" s="3" t="n">
        <v>159.58</v>
      </c>
      <c r="Q806" s="4" t="n">
        <v>0.026</v>
      </c>
      <c r="R806" s="3" t="n">
        <v>310.86</v>
      </c>
      <c r="S806" s="3" t="n">
        <v>185.67</v>
      </c>
      <c r="T806" s="3" t="n">
        <v>117.59</v>
      </c>
      <c r="U806" s="4" t="n">
        <v>0.3783</v>
      </c>
      <c r="V806" s="3" t="n">
        <v>7.6</v>
      </c>
      <c r="W806" t="inlineStr">
        <is>
          <t>Credit Card</t>
        </is>
      </c>
      <c r="X806" t="inlineStr">
        <is>
          <t>Medium</t>
        </is>
      </c>
      <c r="Y806" t="n">
        <v>2024</v>
      </c>
      <c r="Z806" t="n">
        <v>1</v>
      </c>
      <c r="AA806" t="inlineStr">
        <is>
          <t>Jan</t>
        </is>
      </c>
      <c r="AB806" t="inlineStr">
        <is>
          <t>Monday</t>
        </is>
      </c>
      <c r="AC806" t="n">
        <v>1</v>
      </c>
      <c r="AD806" t="inlineStr">
        <is>
          <t>Profitable</t>
        </is>
      </c>
      <c r="AE806" t="inlineStr">
        <is>
          <t>Medium</t>
        </is>
      </c>
      <c r="AF806" t="inlineStr">
        <is>
          <t>Small</t>
        </is>
      </c>
    </row>
    <row r="807">
      <c r="A807" t="inlineStr">
        <is>
          <t>ORD-00806</t>
        </is>
      </c>
      <c r="B807" s="2" t="n">
        <v>45772</v>
      </c>
      <c r="C807" s="2" t="n">
        <v>45775</v>
      </c>
      <c r="D807" t="inlineStr">
        <is>
          <t>CUST-00806</t>
        </is>
      </c>
      <c r="E807" t="inlineStr">
        <is>
          <t>Customer 806</t>
        </is>
      </c>
      <c r="F807" t="inlineStr">
        <is>
          <t>Consumer</t>
        </is>
      </c>
      <c r="G807" t="inlineStr">
        <is>
          <t>P1017</t>
        </is>
      </c>
      <c r="H807" t="inlineStr">
        <is>
          <t>Atlas Throw Pillow</t>
        </is>
      </c>
      <c r="I807" t="inlineStr">
        <is>
          <t>Home Decor</t>
        </is>
      </c>
      <c r="J807" t="inlineStr">
        <is>
          <t>Binders</t>
        </is>
      </c>
      <c r="K807" t="inlineStr">
        <is>
          <t>Central</t>
        </is>
      </c>
      <c r="L807" t="inlineStr">
        <is>
          <t>Minnesota</t>
        </is>
      </c>
      <c r="M807" t="inlineStr">
        <is>
          <t>Chicago</t>
        </is>
      </c>
      <c r="N807" t="inlineStr">
        <is>
          <t>Sophia Singh</t>
        </is>
      </c>
      <c r="O807" t="n">
        <v>4</v>
      </c>
      <c r="P807" s="3" t="n">
        <v>563.5</v>
      </c>
      <c r="Q807" s="4" t="n">
        <v>0</v>
      </c>
      <c r="R807" s="3" t="n">
        <v>2254</v>
      </c>
      <c r="S807" s="3" t="n">
        <v>1498.11</v>
      </c>
      <c r="T807" s="3" t="n">
        <v>746.6900000000001</v>
      </c>
      <c r="U807" s="4" t="n">
        <v>0.3313</v>
      </c>
      <c r="V807" s="3" t="n">
        <v>9.199999999999999</v>
      </c>
      <c r="W807" t="inlineStr">
        <is>
          <t>Credit Card</t>
        </is>
      </c>
      <c r="X807" t="inlineStr">
        <is>
          <t>Medium</t>
        </is>
      </c>
      <c r="Y807" t="n">
        <v>2025</v>
      </c>
      <c r="Z807" t="n">
        <v>4</v>
      </c>
      <c r="AA807" t="inlineStr">
        <is>
          <t>Apr</t>
        </is>
      </c>
      <c r="AB807" t="inlineStr">
        <is>
          <t>Friday</t>
        </is>
      </c>
      <c r="AC807" t="n">
        <v>3</v>
      </c>
      <c r="AD807" t="inlineStr">
        <is>
          <t>Profitable</t>
        </is>
      </c>
      <c r="AE807" t="inlineStr">
        <is>
          <t>Low</t>
        </is>
      </c>
      <c r="AF807" t="inlineStr">
        <is>
          <t>Large</t>
        </is>
      </c>
    </row>
    <row r="808">
      <c r="A808" t="inlineStr">
        <is>
          <t>ORD-00807</t>
        </is>
      </c>
      <c r="B808" s="2" t="n">
        <v>45726</v>
      </c>
      <c r="C808" s="2" t="n">
        <v>45732</v>
      </c>
      <c r="D808" t="inlineStr">
        <is>
          <t>CUST-00807</t>
        </is>
      </c>
      <c r="E808" t="inlineStr">
        <is>
          <t>Customer 807</t>
        </is>
      </c>
      <c r="F808" t="inlineStr">
        <is>
          <t>Corporate</t>
        </is>
      </c>
      <c r="G808" t="inlineStr">
        <is>
          <t>P1013</t>
        </is>
      </c>
      <c r="H808" t="inlineStr">
        <is>
          <t>Nova Laptop Stand</t>
        </is>
      </c>
      <c r="I808" t="inlineStr">
        <is>
          <t>Outdoor</t>
        </is>
      </c>
      <c r="J808" t="inlineStr">
        <is>
          <t>Lighting</t>
        </is>
      </c>
      <c r="K808" t="inlineStr">
        <is>
          <t>South</t>
        </is>
      </c>
      <c r="L808" t="inlineStr">
        <is>
          <t>Texas</t>
        </is>
      </c>
      <c r="M808" t="inlineStr">
        <is>
          <t>Dallas</t>
        </is>
      </c>
      <c r="N808" t="inlineStr">
        <is>
          <t>Sophia Singh</t>
        </is>
      </c>
      <c r="O808" t="n">
        <v>1</v>
      </c>
      <c r="P808" s="3" t="n">
        <v>149.34</v>
      </c>
      <c r="Q808" s="4" t="n">
        <v>0.032</v>
      </c>
      <c r="R808" s="3" t="n">
        <v>144.56</v>
      </c>
      <c r="S808" s="3" t="n">
        <v>89.13</v>
      </c>
      <c r="T808" s="3" t="n">
        <v>48.63</v>
      </c>
      <c r="U808" s="4" t="n">
        <v>0.3364</v>
      </c>
      <c r="V808" s="3" t="n">
        <v>6.8</v>
      </c>
      <c r="W808" t="inlineStr">
        <is>
          <t>Debit Card</t>
        </is>
      </c>
      <c r="X808" t="inlineStr">
        <is>
          <t>Medium</t>
        </is>
      </c>
      <c r="Y808" t="n">
        <v>2025</v>
      </c>
      <c r="Z808" t="n">
        <v>3</v>
      </c>
      <c r="AA808" t="inlineStr">
        <is>
          <t>Mar</t>
        </is>
      </c>
      <c r="AB808" t="inlineStr">
        <is>
          <t>Monday</t>
        </is>
      </c>
      <c r="AC808" t="n">
        <v>6</v>
      </c>
      <c r="AD808" t="inlineStr">
        <is>
          <t>Profitable</t>
        </is>
      </c>
      <c r="AE808" t="inlineStr">
        <is>
          <t>Medium</t>
        </is>
      </c>
      <c r="AF808" t="inlineStr">
        <is>
          <t>Small</t>
        </is>
      </c>
    </row>
    <row r="809">
      <c r="A809" t="inlineStr">
        <is>
          <t>ORD-00808</t>
        </is>
      </c>
      <c r="B809" s="2" t="n">
        <v>45781</v>
      </c>
      <c r="C809" s="2" t="n">
        <v>45785</v>
      </c>
      <c r="D809" t="inlineStr">
        <is>
          <t>CUST-00808</t>
        </is>
      </c>
      <c r="E809" t="inlineStr">
        <is>
          <t>Customer 808</t>
        </is>
      </c>
      <c r="F809" t="inlineStr">
        <is>
          <t>Corporate</t>
        </is>
      </c>
      <c r="G809" t="inlineStr">
        <is>
          <t>P1013</t>
        </is>
      </c>
      <c r="H809" t="inlineStr">
        <is>
          <t>Halo Planter</t>
        </is>
      </c>
      <c r="I809" t="inlineStr">
        <is>
          <t>Office Supplies</t>
        </is>
      </c>
      <c r="J809" t="inlineStr">
        <is>
          <t>Textiles</t>
        </is>
      </c>
      <c r="K809" t="inlineStr">
        <is>
          <t>East</t>
        </is>
      </c>
      <c r="L809" t="inlineStr">
        <is>
          <t>New Jersey</t>
        </is>
      </c>
      <c r="M809" t="inlineStr">
        <is>
          <t>Washington</t>
        </is>
      </c>
      <c r="N809" t="inlineStr">
        <is>
          <t>Ethan Brooks</t>
        </is>
      </c>
      <c r="O809" t="n">
        <v>3</v>
      </c>
      <c r="P809" s="3" t="n">
        <v>166.3</v>
      </c>
      <c r="Q809" s="4" t="n">
        <v>0.023</v>
      </c>
      <c r="R809" s="3" t="n">
        <v>487.43</v>
      </c>
      <c r="S809" s="3" t="n">
        <v>282.16</v>
      </c>
      <c r="T809" s="3" t="n">
        <v>195.87</v>
      </c>
      <c r="U809" s="4" t="n">
        <v>0.4018</v>
      </c>
      <c r="V809" s="3" t="n">
        <v>9.4</v>
      </c>
      <c r="W809" t="inlineStr">
        <is>
          <t>Debit Card</t>
        </is>
      </c>
      <c r="X809" t="inlineStr">
        <is>
          <t>Medium</t>
        </is>
      </c>
      <c r="Y809" t="n">
        <v>2025</v>
      </c>
      <c r="Z809" t="n">
        <v>5</v>
      </c>
      <c r="AA809" t="inlineStr">
        <is>
          <t>May</t>
        </is>
      </c>
      <c r="AB809" t="inlineStr">
        <is>
          <t>Sunday</t>
        </is>
      </c>
      <c r="AC809" t="n">
        <v>4</v>
      </c>
      <c r="AD809" t="inlineStr">
        <is>
          <t>Profitable</t>
        </is>
      </c>
      <c r="AE809" t="inlineStr">
        <is>
          <t>Medium</t>
        </is>
      </c>
      <c r="AF809" t="inlineStr">
        <is>
          <t>Small</t>
        </is>
      </c>
    </row>
    <row r="810">
      <c r="A810" t="inlineStr">
        <is>
          <t>ORD-00809</t>
        </is>
      </c>
      <c r="B810" s="2" t="n">
        <v>45463</v>
      </c>
      <c r="C810" s="2" t="n">
        <v>45470</v>
      </c>
      <c r="D810" t="inlineStr">
        <is>
          <t>CUST-00809</t>
        </is>
      </c>
      <c r="E810" t="inlineStr">
        <is>
          <t>Customer 809</t>
        </is>
      </c>
      <c r="F810" t="inlineStr">
        <is>
          <t>Home Office</t>
        </is>
      </c>
      <c r="G810" t="inlineStr">
        <is>
          <t>P1011</t>
        </is>
      </c>
      <c r="H810" t="inlineStr">
        <is>
          <t>CloudDrive File Box</t>
        </is>
      </c>
      <c r="I810" t="inlineStr">
        <is>
          <t>Furniture</t>
        </is>
      </c>
      <c r="J810" t="inlineStr">
        <is>
          <t>Video</t>
        </is>
      </c>
      <c r="K810" t="inlineStr">
        <is>
          <t>Central</t>
        </is>
      </c>
      <c r="L810" t="inlineStr">
        <is>
          <t>Illinois</t>
        </is>
      </c>
      <c r="M810" t="inlineStr">
        <is>
          <t>Minneapolis</t>
        </is>
      </c>
      <c r="N810" t="inlineStr">
        <is>
          <t>Ethan Brooks</t>
        </is>
      </c>
      <c r="O810" t="n">
        <v>1</v>
      </c>
      <c r="P810" s="3" t="n">
        <v>85.98999999999999</v>
      </c>
      <c r="Q810" s="4" t="n">
        <v>0.025</v>
      </c>
      <c r="R810" s="3" t="n">
        <v>83.84</v>
      </c>
      <c r="S810" s="3" t="n">
        <v>47.04</v>
      </c>
      <c r="T810" s="3" t="n">
        <v>30</v>
      </c>
      <c r="U810" s="4" t="n">
        <v>0.3578</v>
      </c>
      <c r="V810" s="3" t="n">
        <v>6.8</v>
      </c>
      <c r="W810" t="inlineStr">
        <is>
          <t>PayPal</t>
        </is>
      </c>
      <c r="X810" t="inlineStr">
        <is>
          <t>Medium</t>
        </is>
      </c>
      <c r="Y810" t="n">
        <v>2024</v>
      </c>
      <c r="Z810" t="n">
        <v>6</v>
      </c>
      <c r="AA810" t="inlineStr">
        <is>
          <t>Jun</t>
        </is>
      </c>
      <c r="AB810" t="inlineStr">
        <is>
          <t>Thursday</t>
        </is>
      </c>
      <c r="AC810" t="n">
        <v>7</v>
      </c>
      <c r="AD810" t="inlineStr">
        <is>
          <t>Profitable</t>
        </is>
      </c>
      <c r="AE810" t="inlineStr">
        <is>
          <t>Medium</t>
        </is>
      </c>
      <c r="AF810" t="inlineStr">
        <is>
          <t>Small</t>
        </is>
      </c>
    </row>
    <row r="811">
      <c r="A811" t="inlineStr">
        <is>
          <t>ORD-00810</t>
        </is>
      </c>
      <c r="B811" s="2" t="n">
        <v>45135</v>
      </c>
      <c r="C811" s="2" t="n">
        <v>45138</v>
      </c>
      <c r="D811" t="inlineStr">
        <is>
          <t>CUST-00810</t>
        </is>
      </c>
      <c r="E811" t="inlineStr">
        <is>
          <t>Customer 810</t>
        </is>
      </c>
      <c r="F811" t="inlineStr">
        <is>
          <t>Corporate</t>
        </is>
      </c>
      <c r="G811" t="inlineStr">
        <is>
          <t>P1014</t>
        </is>
      </c>
      <c r="H811" t="inlineStr">
        <is>
          <t>Echo Web Camera</t>
        </is>
      </c>
      <c r="I811" t="inlineStr">
        <is>
          <t>Outdoor</t>
        </is>
      </c>
      <c r="J811" t="inlineStr">
        <is>
          <t>Plants</t>
        </is>
      </c>
      <c r="K811" t="inlineStr">
        <is>
          <t>West</t>
        </is>
      </c>
      <c r="L811" t="inlineStr">
        <is>
          <t>Washington</t>
        </is>
      </c>
      <c r="M811" t="inlineStr">
        <is>
          <t>Denver</t>
        </is>
      </c>
      <c r="N811" t="inlineStr">
        <is>
          <t>Sophia Singh</t>
        </is>
      </c>
      <c r="O811" t="n">
        <v>3</v>
      </c>
      <c r="P811" s="3" t="n">
        <v>47.93</v>
      </c>
      <c r="Q811" s="4" t="n">
        <v>0.07200000000000001</v>
      </c>
      <c r="R811" s="3" t="n">
        <v>133.44</v>
      </c>
      <c r="S811" s="3" t="n">
        <v>56.53</v>
      </c>
      <c r="T811" s="3" t="n">
        <v>67.51000000000001</v>
      </c>
      <c r="U811" s="4" t="n">
        <v>0.5059</v>
      </c>
      <c r="V811" s="3" t="n">
        <v>9.4</v>
      </c>
      <c r="W811" t="inlineStr">
        <is>
          <t>Credit Card</t>
        </is>
      </c>
      <c r="X811" t="inlineStr">
        <is>
          <t>High</t>
        </is>
      </c>
      <c r="Y811" t="n">
        <v>2023</v>
      </c>
      <c r="Z811" t="n">
        <v>7</v>
      </c>
      <c r="AA811" t="inlineStr">
        <is>
          <t>Jul</t>
        </is>
      </c>
      <c r="AB811" t="inlineStr">
        <is>
          <t>Friday</t>
        </is>
      </c>
      <c r="AC811" t="n">
        <v>3</v>
      </c>
      <c r="AD811" t="inlineStr">
        <is>
          <t>Profitable</t>
        </is>
      </c>
      <c r="AE811" t="inlineStr">
        <is>
          <t>High</t>
        </is>
      </c>
      <c r="AF811" t="inlineStr">
        <is>
          <t>Small</t>
        </is>
      </c>
    </row>
    <row r="812">
      <c r="A812" t="inlineStr">
        <is>
          <t>ORD-00811</t>
        </is>
      </c>
      <c r="B812" s="2" t="n">
        <v>45846</v>
      </c>
      <c r="C812" s="2" t="n">
        <v>45853</v>
      </c>
      <c r="D812" t="inlineStr">
        <is>
          <t>CUST-00811</t>
        </is>
      </c>
      <c r="E812" t="inlineStr">
        <is>
          <t>Customer 811</t>
        </is>
      </c>
      <c r="F812" t="inlineStr">
        <is>
          <t>Home Office</t>
        </is>
      </c>
      <c r="G812" t="inlineStr">
        <is>
          <t>P1010</t>
        </is>
      </c>
      <c r="H812" t="inlineStr">
        <is>
          <t>Cove Wall Clock</t>
        </is>
      </c>
      <c r="I812" t="inlineStr">
        <is>
          <t>Technology</t>
        </is>
      </c>
      <c r="J812" t="inlineStr">
        <is>
          <t>Peripherals</t>
        </is>
      </c>
      <c r="K812" t="inlineStr">
        <is>
          <t>North</t>
        </is>
      </c>
      <c r="L812" t="inlineStr">
        <is>
          <t>Quebec</t>
        </is>
      </c>
      <c r="M812" t="inlineStr">
        <is>
          <t>Calgary</t>
        </is>
      </c>
      <c r="N812" t="inlineStr">
        <is>
          <t>Liam Chen</t>
        </is>
      </c>
      <c r="O812" t="n">
        <v>5</v>
      </c>
      <c r="P812" s="3" t="n">
        <v>57.31</v>
      </c>
      <c r="Q812" s="4" t="n">
        <v>0.014</v>
      </c>
      <c r="R812" s="3" t="n">
        <v>282.54</v>
      </c>
      <c r="S812" s="3" t="n">
        <v>127.43</v>
      </c>
      <c r="T812" s="3" t="n">
        <v>145.11</v>
      </c>
      <c r="U812" s="4" t="n">
        <v>0.5135999999999999</v>
      </c>
      <c r="V812" s="3" t="n">
        <v>10</v>
      </c>
      <c r="W812" t="inlineStr">
        <is>
          <t>Debit Card</t>
        </is>
      </c>
      <c r="X812" t="inlineStr">
        <is>
          <t>Low</t>
        </is>
      </c>
      <c r="Y812" t="n">
        <v>2025</v>
      </c>
      <c r="Z812" t="n">
        <v>7</v>
      </c>
      <c r="AA812" t="inlineStr">
        <is>
          <t>Jul</t>
        </is>
      </c>
      <c r="AB812" t="inlineStr">
        <is>
          <t>Tuesday</t>
        </is>
      </c>
      <c r="AC812" t="n">
        <v>7</v>
      </c>
      <c r="AD812" t="inlineStr">
        <is>
          <t>Profitable</t>
        </is>
      </c>
      <c r="AE812" t="inlineStr">
        <is>
          <t>Low</t>
        </is>
      </c>
      <c r="AF812" t="inlineStr">
        <is>
          <t>Small</t>
        </is>
      </c>
    </row>
    <row r="813">
      <c r="A813" t="inlineStr">
        <is>
          <t>ORD-00812</t>
        </is>
      </c>
      <c r="B813" s="2" t="n">
        <v>45778</v>
      </c>
      <c r="C813" s="2" t="n">
        <v>45779</v>
      </c>
      <c r="D813" t="inlineStr">
        <is>
          <t>CUST-00812</t>
        </is>
      </c>
      <c r="E813" t="inlineStr">
        <is>
          <t>Customer 812</t>
        </is>
      </c>
      <c r="F813" t="inlineStr">
        <is>
          <t>Consumer</t>
        </is>
      </c>
      <c r="G813" t="inlineStr">
        <is>
          <t>P1008</t>
        </is>
      </c>
      <c r="H813" t="inlineStr">
        <is>
          <t>Summit Patio Set</t>
        </is>
      </c>
      <c r="I813" t="inlineStr">
        <is>
          <t>Outdoor</t>
        </is>
      </c>
      <c r="J813" t="inlineStr">
        <is>
          <t>Writing</t>
        </is>
      </c>
      <c r="K813" t="inlineStr">
        <is>
          <t>West</t>
        </is>
      </c>
      <c r="L813" t="inlineStr">
        <is>
          <t>California</t>
        </is>
      </c>
      <c r="M813" t="inlineStr">
        <is>
          <t>Denver</t>
        </is>
      </c>
      <c r="N813" t="inlineStr">
        <is>
          <t>Ava Patel</t>
        </is>
      </c>
      <c r="O813" t="n">
        <v>2</v>
      </c>
      <c r="P813" s="3" t="n">
        <v>35.81</v>
      </c>
      <c r="Q813" s="4" t="n">
        <v>0.014</v>
      </c>
      <c r="R813" s="3" t="n">
        <v>70.62</v>
      </c>
      <c r="S813" s="3" t="n">
        <v>36.71</v>
      </c>
      <c r="T813" s="3" t="n">
        <v>25.31</v>
      </c>
      <c r="U813" s="4" t="n">
        <v>0.3584</v>
      </c>
      <c r="V813" s="3" t="n">
        <v>8.6</v>
      </c>
      <c r="W813" t="inlineStr">
        <is>
          <t>Credit Card</t>
        </is>
      </c>
      <c r="X813" t="inlineStr">
        <is>
          <t>Medium</t>
        </is>
      </c>
      <c r="Y813" t="n">
        <v>2025</v>
      </c>
      <c r="Z813" t="n">
        <v>5</v>
      </c>
      <c r="AA813" t="inlineStr">
        <is>
          <t>May</t>
        </is>
      </c>
      <c r="AB813" t="inlineStr">
        <is>
          <t>Thursday</t>
        </is>
      </c>
      <c r="AC813" t="n">
        <v>1</v>
      </c>
      <c r="AD813" t="inlineStr">
        <is>
          <t>Profitable</t>
        </is>
      </c>
      <c r="AE813" t="inlineStr">
        <is>
          <t>Low</t>
        </is>
      </c>
      <c r="AF813" t="inlineStr">
        <is>
          <t>Small</t>
        </is>
      </c>
    </row>
    <row r="814">
      <c r="A814" t="inlineStr">
        <is>
          <t>ORD-00813</t>
        </is>
      </c>
      <c r="B814" s="2" t="n">
        <v>44934</v>
      </c>
      <c r="C814" s="2" t="n">
        <v>44935</v>
      </c>
      <c r="D814" t="inlineStr">
        <is>
          <t>CUST-00813</t>
        </is>
      </c>
      <c r="E814" t="inlineStr">
        <is>
          <t>Customer 813</t>
        </is>
      </c>
      <c r="F814" t="inlineStr">
        <is>
          <t>Corporate</t>
        </is>
      </c>
      <c r="G814" t="inlineStr">
        <is>
          <t>P1006</t>
        </is>
      </c>
      <c r="H814" t="inlineStr">
        <is>
          <t>Cove Wall Clock</t>
        </is>
      </c>
      <c r="I814" t="inlineStr">
        <is>
          <t>Outdoor</t>
        </is>
      </c>
      <c r="J814" t="inlineStr">
        <is>
          <t>Peripherals</t>
        </is>
      </c>
      <c r="K814" t="inlineStr">
        <is>
          <t>South</t>
        </is>
      </c>
      <c r="L814" t="inlineStr">
        <is>
          <t>Georgia</t>
        </is>
      </c>
      <c r="M814" t="inlineStr">
        <is>
          <t>Dallas</t>
        </is>
      </c>
      <c r="N814" t="inlineStr">
        <is>
          <t>Olivia Martin</t>
        </is>
      </c>
      <c r="O814" t="n">
        <v>1</v>
      </c>
      <c r="P814" s="3" t="n">
        <v>17.02</v>
      </c>
      <c r="Q814" s="4" t="n">
        <v>0.067</v>
      </c>
      <c r="R814" s="3" t="n">
        <v>15.88</v>
      </c>
      <c r="S814" s="3" t="n">
        <v>15.05</v>
      </c>
      <c r="T814" s="3" t="n">
        <v>-5.97</v>
      </c>
      <c r="U814" s="4" t="n">
        <v>-0.3759</v>
      </c>
      <c r="V814" s="3" t="n">
        <v>6.8</v>
      </c>
      <c r="W814" t="inlineStr">
        <is>
          <t>Credit Card</t>
        </is>
      </c>
      <c r="X814" t="inlineStr">
        <is>
          <t>High</t>
        </is>
      </c>
      <c r="Y814" t="n">
        <v>2023</v>
      </c>
      <c r="Z814" t="n">
        <v>1</v>
      </c>
      <c r="AA814" t="inlineStr">
        <is>
          <t>Jan</t>
        </is>
      </c>
      <c r="AB814" t="inlineStr">
        <is>
          <t>Sunday</t>
        </is>
      </c>
      <c r="AC814" t="n">
        <v>1</v>
      </c>
      <c r="AD814" t="inlineStr">
        <is>
          <t>Unprofitable</t>
        </is>
      </c>
      <c r="AE814" t="inlineStr">
        <is>
          <t>High</t>
        </is>
      </c>
      <c r="AF814" t="inlineStr">
        <is>
          <t>Small</t>
        </is>
      </c>
    </row>
    <row r="815">
      <c r="A815" t="inlineStr">
        <is>
          <t>ORD-00814</t>
        </is>
      </c>
      <c r="B815" s="2" t="n">
        <v>45923</v>
      </c>
      <c r="C815" s="2" t="n">
        <v>45924</v>
      </c>
      <c r="D815" t="inlineStr">
        <is>
          <t>CUST-00814</t>
        </is>
      </c>
      <c r="E815" t="inlineStr">
        <is>
          <t>Customer 814</t>
        </is>
      </c>
      <c r="F815" t="inlineStr">
        <is>
          <t>Consumer</t>
        </is>
      </c>
      <c r="G815" t="inlineStr">
        <is>
          <t>P1019</t>
        </is>
      </c>
      <c r="H815" t="inlineStr">
        <is>
          <t>Trail Tote</t>
        </is>
      </c>
      <c r="I815" t="inlineStr">
        <is>
          <t>Technology</t>
        </is>
      </c>
      <c r="J815" t="inlineStr">
        <is>
          <t>Lighting</t>
        </is>
      </c>
      <c r="K815" t="inlineStr">
        <is>
          <t>West</t>
        </is>
      </c>
      <c r="L815" t="inlineStr">
        <is>
          <t>Oregon</t>
        </is>
      </c>
      <c r="M815" t="inlineStr">
        <is>
          <t>Los Angeles</t>
        </is>
      </c>
      <c r="N815" t="inlineStr">
        <is>
          <t>Ethan Brooks</t>
        </is>
      </c>
      <c r="O815" t="n">
        <v>2</v>
      </c>
      <c r="P815" s="3" t="n">
        <v>59.27</v>
      </c>
      <c r="Q815" s="4" t="n">
        <v>0.051</v>
      </c>
      <c r="R815" s="3" t="n">
        <v>112.49</v>
      </c>
      <c r="S815" s="3" t="n">
        <v>56.06</v>
      </c>
      <c r="T815" s="3" t="n">
        <v>47.83</v>
      </c>
      <c r="U815" s="4" t="n">
        <v>0.4252</v>
      </c>
      <c r="V815" s="3" t="n">
        <v>8.6</v>
      </c>
      <c r="W815" t="inlineStr">
        <is>
          <t>Bank Transfer</t>
        </is>
      </c>
      <c r="X815" t="inlineStr">
        <is>
          <t>High</t>
        </is>
      </c>
      <c r="Y815" t="n">
        <v>2025</v>
      </c>
      <c r="Z815" t="n">
        <v>9</v>
      </c>
      <c r="AA815" t="inlineStr">
        <is>
          <t>Sep</t>
        </is>
      </c>
      <c r="AB815" t="inlineStr">
        <is>
          <t>Tuesday</t>
        </is>
      </c>
      <c r="AC815" t="n">
        <v>1</v>
      </c>
      <c r="AD815" t="inlineStr">
        <is>
          <t>Profitable</t>
        </is>
      </c>
      <c r="AE815" t="inlineStr">
        <is>
          <t>High</t>
        </is>
      </c>
      <c r="AF815" t="inlineStr">
        <is>
          <t>Small</t>
        </is>
      </c>
    </row>
    <row r="816">
      <c r="A816" t="inlineStr">
        <is>
          <t>ORD-00815</t>
        </is>
      </c>
      <c r="B816" s="2" t="n">
        <v>45820</v>
      </c>
      <c r="C816" s="2" t="n">
        <v>45826</v>
      </c>
      <c r="D816" t="inlineStr">
        <is>
          <t>CUST-00815</t>
        </is>
      </c>
      <c r="E816" t="inlineStr">
        <is>
          <t>Customer 815</t>
        </is>
      </c>
      <c r="F816" t="inlineStr">
        <is>
          <t>Consumer</t>
        </is>
      </c>
      <c r="G816" t="inlineStr">
        <is>
          <t>P1019</t>
        </is>
      </c>
      <c r="H816" t="inlineStr">
        <is>
          <t>FlexNote Notebook</t>
        </is>
      </c>
      <c r="I816" t="inlineStr">
        <is>
          <t>Outdoor</t>
        </is>
      </c>
      <c r="J816" t="inlineStr">
        <is>
          <t>Paper</t>
        </is>
      </c>
      <c r="K816" t="inlineStr">
        <is>
          <t>East</t>
        </is>
      </c>
      <c r="L816" t="inlineStr">
        <is>
          <t>Massachusetts</t>
        </is>
      </c>
      <c r="M816" t="inlineStr">
        <is>
          <t>Boston</t>
        </is>
      </c>
      <c r="N816" t="inlineStr">
        <is>
          <t>Mia Rodriguez</t>
        </is>
      </c>
      <c r="O816" t="n">
        <v>3</v>
      </c>
      <c r="P816" s="3" t="n">
        <v>60.63</v>
      </c>
      <c r="Q816" s="4" t="n">
        <v>0.012</v>
      </c>
      <c r="R816" s="3" t="n">
        <v>179.71</v>
      </c>
      <c r="S816" s="3" t="n">
        <v>83.54000000000001</v>
      </c>
      <c r="T816" s="3" t="n">
        <v>86.77</v>
      </c>
      <c r="U816" s="4" t="n">
        <v>0.4828</v>
      </c>
      <c r="V816" s="3" t="n">
        <v>9.4</v>
      </c>
      <c r="W816" t="inlineStr">
        <is>
          <t>Credit Card</t>
        </is>
      </c>
      <c r="X816" t="inlineStr">
        <is>
          <t>Low</t>
        </is>
      </c>
      <c r="Y816" t="n">
        <v>2025</v>
      </c>
      <c r="Z816" t="n">
        <v>6</v>
      </c>
      <c r="AA816" t="inlineStr">
        <is>
          <t>Jun</t>
        </is>
      </c>
      <c r="AB816" t="inlineStr">
        <is>
          <t>Thursday</t>
        </is>
      </c>
      <c r="AC816" t="n">
        <v>6</v>
      </c>
      <c r="AD816" t="inlineStr">
        <is>
          <t>Profitable</t>
        </is>
      </c>
      <c r="AE816" t="inlineStr">
        <is>
          <t>Low</t>
        </is>
      </c>
      <c r="AF816" t="inlineStr">
        <is>
          <t>Small</t>
        </is>
      </c>
    </row>
    <row r="817">
      <c r="A817" t="inlineStr">
        <is>
          <t>ORD-00816</t>
        </is>
      </c>
      <c r="B817" s="2" t="n">
        <v>45435</v>
      </c>
      <c r="C817" s="2" t="n">
        <v>45442</v>
      </c>
      <c r="D817" t="inlineStr">
        <is>
          <t>CUST-00816</t>
        </is>
      </c>
      <c r="E817" t="inlineStr">
        <is>
          <t>Customer 816</t>
        </is>
      </c>
      <c r="F817" t="inlineStr">
        <is>
          <t>Corporate</t>
        </is>
      </c>
      <c r="G817" t="inlineStr">
        <is>
          <t>P1012</t>
        </is>
      </c>
      <c r="H817" t="inlineStr">
        <is>
          <t>Harbor Rug</t>
        </is>
      </c>
      <c r="I817" t="inlineStr">
        <is>
          <t>Technology</t>
        </is>
      </c>
      <c r="J817" t="inlineStr">
        <is>
          <t>Furniture</t>
        </is>
      </c>
      <c r="K817" t="inlineStr">
        <is>
          <t>North</t>
        </is>
      </c>
      <c r="L817" t="inlineStr">
        <is>
          <t>Ontario</t>
        </is>
      </c>
      <c r="M817" t="inlineStr">
        <is>
          <t>Toronto</t>
        </is>
      </c>
      <c r="N817" t="inlineStr">
        <is>
          <t>Liam Chen</t>
        </is>
      </c>
      <c r="O817" t="n">
        <v>4</v>
      </c>
      <c r="P817" s="3" t="n">
        <v>126.75</v>
      </c>
      <c r="Q817" s="4" t="n">
        <v>0.036</v>
      </c>
      <c r="R817" s="3" t="n">
        <v>488.75</v>
      </c>
      <c r="S817" s="3" t="n">
        <v>244.76</v>
      </c>
      <c r="T817" s="3" t="n">
        <v>234.79</v>
      </c>
      <c r="U817" s="4" t="n">
        <v>0.4804</v>
      </c>
      <c r="V817" s="3" t="n">
        <v>9.199999999999999</v>
      </c>
      <c r="W817" t="inlineStr">
        <is>
          <t>Bank Transfer</t>
        </is>
      </c>
      <c r="X817" t="inlineStr">
        <is>
          <t>Critical</t>
        </is>
      </c>
      <c r="Y817" t="n">
        <v>2024</v>
      </c>
      <c r="Z817" t="n">
        <v>5</v>
      </c>
      <c r="AA817" t="inlineStr">
        <is>
          <t>May</t>
        </is>
      </c>
      <c r="AB817" t="inlineStr">
        <is>
          <t>Thursday</t>
        </is>
      </c>
      <c r="AC817" t="n">
        <v>7</v>
      </c>
      <c r="AD817" t="inlineStr">
        <is>
          <t>Profitable</t>
        </is>
      </c>
      <c r="AE817" t="inlineStr">
        <is>
          <t>Medium</t>
        </is>
      </c>
      <c r="AF817" t="inlineStr">
        <is>
          <t>Small</t>
        </is>
      </c>
    </row>
    <row r="818">
      <c r="A818" t="inlineStr">
        <is>
          <t>ORD-00817</t>
        </is>
      </c>
      <c r="B818" s="2" t="n">
        <v>45621</v>
      </c>
      <c r="C818" s="2" t="n">
        <v>45626</v>
      </c>
      <c r="D818" t="inlineStr">
        <is>
          <t>CUST-00817</t>
        </is>
      </c>
      <c r="E818" t="inlineStr">
        <is>
          <t>Customer 817</t>
        </is>
      </c>
      <c r="F818" t="inlineStr">
        <is>
          <t>Consumer</t>
        </is>
      </c>
      <c r="G818" t="inlineStr">
        <is>
          <t>P1007</t>
        </is>
      </c>
      <c r="H818" t="inlineStr">
        <is>
          <t>ProClip Binder</t>
        </is>
      </c>
      <c r="I818" t="inlineStr">
        <is>
          <t>Outdoor</t>
        </is>
      </c>
      <c r="J818" t="inlineStr">
        <is>
          <t>Lighting</t>
        </is>
      </c>
      <c r="K818" t="inlineStr">
        <is>
          <t>South</t>
        </is>
      </c>
      <c r="L818" t="inlineStr">
        <is>
          <t>Florida</t>
        </is>
      </c>
      <c r="M818" t="inlineStr">
        <is>
          <t>Houston</t>
        </is>
      </c>
      <c r="N818" t="inlineStr">
        <is>
          <t>Olivia Martin</t>
        </is>
      </c>
      <c r="O818" t="n">
        <v>1</v>
      </c>
      <c r="P818" s="3" t="n">
        <v>25.84</v>
      </c>
      <c r="Q818" s="4" t="n">
        <v>0.015</v>
      </c>
      <c r="R818" s="3" t="n">
        <v>25.45</v>
      </c>
      <c r="S818" s="3" t="n">
        <v>14.31</v>
      </c>
      <c r="T818" s="3" t="n">
        <v>4.34</v>
      </c>
      <c r="U818" s="4" t="n">
        <v>0.1705</v>
      </c>
      <c r="V818" s="3" t="n">
        <v>6.8</v>
      </c>
      <c r="W818" t="inlineStr">
        <is>
          <t>PayPal</t>
        </is>
      </c>
      <c r="X818" t="inlineStr">
        <is>
          <t>Low</t>
        </is>
      </c>
      <c r="Y818" t="n">
        <v>2024</v>
      </c>
      <c r="Z818" t="n">
        <v>11</v>
      </c>
      <c r="AA818" t="inlineStr">
        <is>
          <t>Nov</t>
        </is>
      </c>
      <c r="AB818" t="inlineStr">
        <is>
          <t>Monday</t>
        </is>
      </c>
      <c r="AC818" t="n">
        <v>5</v>
      </c>
      <c r="AD818" t="inlineStr">
        <is>
          <t>Profitable</t>
        </is>
      </c>
      <c r="AE818" t="inlineStr">
        <is>
          <t>Low</t>
        </is>
      </c>
      <c r="AF818" t="inlineStr">
        <is>
          <t>Small</t>
        </is>
      </c>
    </row>
    <row r="819">
      <c r="A819" t="inlineStr">
        <is>
          <t>ORD-00818</t>
        </is>
      </c>
      <c r="B819" s="2" t="n">
        <v>45580</v>
      </c>
      <c r="C819" s="2" t="n">
        <v>45583</v>
      </c>
      <c r="D819" t="inlineStr">
        <is>
          <t>CUST-00818</t>
        </is>
      </c>
      <c r="E819" t="inlineStr">
        <is>
          <t>Customer 818</t>
        </is>
      </c>
      <c r="F819" t="inlineStr">
        <is>
          <t>Corporate</t>
        </is>
      </c>
      <c r="G819" t="inlineStr">
        <is>
          <t>P1018</t>
        </is>
      </c>
      <c r="H819" t="inlineStr">
        <is>
          <t>Cove Wall Clock</t>
        </is>
      </c>
      <c r="I819" t="inlineStr">
        <is>
          <t>Office Supplies</t>
        </is>
      </c>
      <c r="J819" t="inlineStr">
        <is>
          <t>Desks</t>
        </is>
      </c>
      <c r="K819" t="inlineStr">
        <is>
          <t>West</t>
        </is>
      </c>
      <c r="L819" t="inlineStr">
        <is>
          <t>California</t>
        </is>
      </c>
      <c r="M819" t="inlineStr">
        <is>
          <t>Denver</t>
        </is>
      </c>
      <c r="N819" t="inlineStr">
        <is>
          <t>Mia Rodriguez</t>
        </is>
      </c>
      <c r="O819" t="n">
        <v>1</v>
      </c>
      <c r="P819" s="3" t="n">
        <v>102.75</v>
      </c>
      <c r="Q819" s="4" t="n">
        <v>0.018</v>
      </c>
      <c r="R819" s="3" t="n">
        <v>100.9</v>
      </c>
      <c r="S819" s="3" t="n">
        <v>54.27</v>
      </c>
      <c r="T819" s="3" t="n">
        <v>38.83</v>
      </c>
      <c r="U819" s="4" t="n">
        <v>0.3848</v>
      </c>
      <c r="V819" s="3" t="n">
        <v>7.8</v>
      </c>
      <c r="W819" t="inlineStr">
        <is>
          <t>Debit Card</t>
        </is>
      </c>
      <c r="X819" t="inlineStr">
        <is>
          <t>Low</t>
        </is>
      </c>
      <c r="Y819" t="n">
        <v>2024</v>
      </c>
      <c r="Z819" t="n">
        <v>10</v>
      </c>
      <c r="AA819" t="inlineStr">
        <is>
          <t>Oct</t>
        </is>
      </c>
      <c r="AB819" t="inlineStr">
        <is>
          <t>Tuesday</t>
        </is>
      </c>
      <c r="AC819" t="n">
        <v>3</v>
      </c>
      <c r="AD819" t="inlineStr">
        <is>
          <t>Profitable</t>
        </is>
      </c>
      <c r="AE819" t="inlineStr">
        <is>
          <t>Low</t>
        </is>
      </c>
      <c r="AF819" t="inlineStr">
        <is>
          <t>Small</t>
        </is>
      </c>
    </row>
    <row r="820">
      <c r="A820" t="inlineStr">
        <is>
          <t>ORD-00819</t>
        </is>
      </c>
      <c r="B820" s="2" t="n">
        <v>45243</v>
      </c>
      <c r="C820" s="2" t="n">
        <v>45248</v>
      </c>
      <c r="D820" t="inlineStr">
        <is>
          <t>CUST-00819</t>
        </is>
      </c>
      <c r="E820" t="inlineStr">
        <is>
          <t>Customer 819</t>
        </is>
      </c>
      <c r="F820" t="inlineStr">
        <is>
          <t>Home Office</t>
        </is>
      </c>
      <c r="G820" t="inlineStr">
        <is>
          <t>P1020</t>
        </is>
      </c>
      <c r="H820" t="inlineStr">
        <is>
          <t>ProClip Binder</t>
        </is>
      </c>
      <c r="I820" t="inlineStr">
        <is>
          <t>Technology</t>
        </is>
      </c>
      <c r="J820" t="inlineStr">
        <is>
          <t>Chairs</t>
        </is>
      </c>
      <c r="K820" t="inlineStr">
        <is>
          <t>East</t>
        </is>
      </c>
      <c r="L820" t="inlineStr">
        <is>
          <t>New Jersey</t>
        </is>
      </c>
      <c r="M820" t="inlineStr">
        <is>
          <t>Philadelphia</t>
        </is>
      </c>
      <c r="N820" t="inlineStr">
        <is>
          <t>Noah Kim</t>
        </is>
      </c>
      <c r="O820" t="n">
        <v>3</v>
      </c>
      <c r="P820" s="3" t="n">
        <v>79</v>
      </c>
      <c r="Q820" s="4" t="n">
        <v>0.021</v>
      </c>
      <c r="R820" s="3" t="n">
        <v>232.02</v>
      </c>
      <c r="S820" s="3" t="n">
        <v>109.57</v>
      </c>
      <c r="T820" s="3" t="n">
        <v>113.05</v>
      </c>
      <c r="U820" s="4" t="n">
        <v>0.4872</v>
      </c>
      <c r="V820" s="3" t="n">
        <v>9.4</v>
      </c>
      <c r="W820" t="inlineStr">
        <is>
          <t>Debit Card</t>
        </is>
      </c>
      <c r="X820" t="inlineStr">
        <is>
          <t>High</t>
        </is>
      </c>
      <c r="Y820" t="n">
        <v>2023</v>
      </c>
      <c r="Z820" t="n">
        <v>11</v>
      </c>
      <c r="AA820" t="inlineStr">
        <is>
          <t>Nov</t>
        </is>
      </c>
      <c r="AB820" t="inlineStr">
        <is>
          <t>Monday</t>
        </is>
      </c>
      <c r="AC820" t="n">
        <v>5</v>
      </c>
      <c r="AD820" t="inlineStr">
        <is>
          <t>Profitable</t>
        </is>
      </c>
      <c r="AE820" t="inlineStr">
        <is>
          <t>Medium</t>
        </is>
      </c>
      <c r="AF820" t="inlineStr">
        <is>
          <t>Small</t>
        </is>
      </c>
    </row>
    <row r="821">
      <c r="A821" t="inlineStr">
        <is>
          <t>ORD-00820</t>
        </is>
      </c>
      <c r="B821" s="2" t="n">
        <v>45489</v>
      </c>
      <c r="C821" s="2" t="n">
        <v>45496</v>
      </c>
      <c r="D821" t="inlineStr">
        <is>
          <t>CUST-00820</t>
        </is>
      </c>
      <c r="E821" t="inlineStr">
        <is>
          <t>Customer 820</t>
        </is>
      </c>
      <c r="F821" t="inlineStr">
        <is>
          <t>Consumer</t>
        </is>
      </c>
      <c r="G821" t="inlineStr">
        <is>
          <t>P1018</t>
        </is>
      </c>
      <c r="H821" t="inlineStr">
        <is>
          <t>Nimbus Monitor Arm</t>
        </is>
      </c>
      <c r="I821" t="inlineStr">
        <is>
          <t>Technology</t>
        </is>
      </c>
      <c r="J821" t="inlineStr">
        <is>
          <t>Decor</t>
        </is>
      </c>
      <c r="K821" t="inlineStr">
        <is>
          <t>North</t>
        </is>
      </c>
      <c r="L821" t="inlineStr">
        <is>
          <t>Alberta</t>
        </is>
      </c>
      <c r="M821" t="inlineStr">
        <is>
          <t>Toronto</t>
        </is>
      </c>
      <c r="N821" t="inlineStr">
        <is>
          <t>James Carter</t>
        </is>
      </c>
      <c r="O821" t="n">
        <v>1</v>
      </c>
      <c r="P821" s="3" t="n">
        <v>95.15000000000001</v>
      </c>
      <c r="Q821" s="4" t="n">
        <v>0.026</v>
      </c>
      <c r="R821" s="3" t="n">
        <v>92.68000000000001</v>
      </c>
      <c r="S821" s="3" t="n">
        <v>51.07</v>
      </c>
      <c r="T821" s="3" t="n">
        <v>34.81</v>
      </c>
      <c r="U821" s="4" t="n">
        <v>0.3756</v>
      </c>
      <c r="V821" s="3" t="n">
        <v>6.8</v>
      </c>
      <c r="W821" t="inlineStr">
        <is>
          <t>PayPal</t>
        </is>
      </c>
      <c r="X821" t="inlineStr">
        <is>
          <t>High</t>
        </is>
      </c>
      <c r="Y821" t="n">
        <v>2024</v>
      </c>
      <c r="Z821" t="n">
        <v>7</v>
      </c>
      <c r="AA821" t="inlineStr">
        <is>
          <t>Jul</t>
        </is>
      </c>
      <c r="AB821" t="inlineStr">
        <is>
          <t>Tuesday</t>
        </is>
      </c>
      <c r="AC821" t="n">
        <v>7</v>
      </c>
      <c r="AD821" t="inlineStr">
        <is>
          <t>Profitable</t>
        </is>
      </c>
      <c r="AE821" t="inlineStr">
        <is>
          <t>Medium</t>
        </is>
      </c>
      <c r="AF821" t="inlineStr">
        <is>
          <t>Small</t>
        </is>
      </c>
    </row>
    <row r="822">
      <c r="A822" t="inlineStr">
        <is>
          <t>ORD-00821</t>
        </is>
      </c>
      <c r="B822" s="2" t="n">
        <v>45742</v>
      </c>
      <c r="C822" s="2" t="n">
        <v>45743</v>
      </c>
      <c r="D822" t="inlineStr">
        <is>
          <t>CUST-00821</t>
        </is>
      </c>
      <c r="E822" t="inlineStr">
        <is>
          <t>Customer 821</t>
        </is>
      </c>
      <c r="F822" t="inlineStr">
        <is>
          <t>Consumer</t>
        </is>
      </c>
      <c r="G822" t="inlineStr">
        <is>
          <t>P1003</t>
        </is>
      </c>
      <c r="H822" t="inlineStr">
        <is>
          <t>Atlas Throw Pillow</t>
        </is>
      </c>
      <c r="I822" t="inlineStr">
        <is>
          <t>Home Decor</t>
        </is>
      </c>
      <c r="J822" t="inlineStr">
        <is>
          <t>Furniture</t>
        </is>
      </c>
      <c r="K822" t="inlineStr">
        <is>
          <t>Central</t>
        </is>
      </c>
      <c r="L822" t="inlineStr">
        <is>
          <t>Minnesota</t>
        </is>
      </c>
      <c r="M822" t="inlineStr">
        <is>
          <t>Kansas City</t>
        </is>
      </c>
      <c r="N822" t="inlineStr">
        <is>
          <t>Liam Chen</t>
        </is>
      </c>
      <c r="O822" t="n">
        <v>5</v>
      </c>
      <c r="P822" s="3" t="n">
        <v>149.35</v>
      </c>
      <c r="Q822" s="4" t="n">
        <v>0.052</v>
      </c>
      <c r="R822" s="3" t="n">
        <v>707.92</v>
      </c>
      <c r="S822" s="3" t="n">
        <v>372.06</v>
      </c>
      <c r="T822" s="3" t="n">
        <v>325.86</v>
      </c>
      <c r="U822" s="4" t="n">
        <v>0.4603</v>
      </c>
      <c r="V822" s="3" t="n">
        <v>10</v>
      </c>
      <c r="W822" t="inlineStr">
        <is>
          <t>Bank Transfer</t>
        </is>
      </c>
      <c r="X822" t="inlineStr">
        <is>
          <t>High</t>
        </is>
      </c>
      <c r="Y822" t="n">
        <v>2025</v>
      </c>
      <c r="Z822" t="n">
        <v>3</v>
      </c>
      <c r="AA822" t="inlineStr">
        <is>
          <t>Mar</t>
        </is>
      </c>
      <c r="AB822" t="inlineStr">
        <is>
          <t>Wednesday</t>
        </is>
      </c>
      <c r="AC822" t="n">
        <v>1</v>
      </c>
      <c r="AD822" t="inlineStr">
        <is>
          <t>Profitable</t>
        </is>
      </c>
      <c r="AE822" t="inlineStr">
        <is>
          <t>High</t>
        </is>
      </c>
      <c r="AF822" t="inlineStr">
        <is>
          <t>Medium</t>
        </is>
      </c>
    </row>
    <row r="823">
      <c r="A823" t="inlineStr">
        <is>
          <t>ORD-00822</t>
        </is>
      </c>
      <c r="B823" s="2" t="n">
        <v>45222</v>
      </c>
      <c r="C823" s="2" t="n">
        <v>45226</v>
      </c>
      <c r="D823" t="inlineStr">
        <is>
          <t>CUST-00822</t>
        </is>
      </c>
      <c r="E823" t="inlineStr">
        <is>
          <t>Customer 822</t>
        </is>
      </c>
      <c r="F823" t="inlineStr">
        <is>
          <t>Corporate</t>
        </is>
      </c>
      <c r="G823" t="inlineStr">
        <is>
          <t>P1009</t>
        </is>
      </c>
      <c r="H823" t="inlineStr">
        <is>
          <t>Echo Web Camera</t>
        </is>
      </c>
      <c r="I823" t="inlineStr">
        <is>
          <t>Office Supplies</t>
        </is>
      </c>
      <c r="J823" t="inlineStr">
        <is>
          <t>Decor</t>
        </is>
      </c>
      <c r="K823" t="inlineStr">
        <is>
          <t>West</t>
        </is>
      </c>
      <c r="L823" t="inlineStr">
        <is>
          <t>Oregon</t>
        </is>
      </c>
      <c r="M823" t="inlineStr">
        <is>
          <t>Los Angeles</t>
        </is>
      </c>
      <c r="N823" t="inlineStr">
        <is>
          <t>Liam Chen</t>
        </is>
      </c>
      <c r="O823" t="n">
        <v>3</v>
      </c>
      <c r="P823" s="3" t="n">
        <v>101.78</v>
      </c>
      <c r="Q823" s="4" t="n">
        <v>0.036</v>
      </c>
      <c r="R823" s="3" t="n">
        <v>294.35</v>
      </c>
      <c r="S823" s="3" t="n">
        <v>146.9</v>
      </c>
      <c r="T823" s="3" t="n">
        <v>138.05</v>
      </c>
      <c r="U823" s="4" t="n">
        <v>0.469</v>
      </c>
      <c r="V823" s="3" t="n">
        <v>9.4</v>
      </c>
      <c r="W823" t="inlineStr">
        <is>
          <t>Bank Transfer</t>
        </is>
      </c>
      <c r="X823" t="inlineStr">
        <is>
          <t>Medium</t>
        </is>
      </c>
      <c r="Y823" t="n">
        <v>2023</v>
      </c>
      <c r="Z823" t="n">
        <v>10</v>
      </c>
      <c r="AA823" t="inlineStr">
        <is>
          <t>Oct</t>
        </is>
      </c>
      <c r="AB823" t="inlineStr">
        <is>
          <t>Monday</t>
        </is>
      </c>
      <c r="AC823" t="n">
        <v>4</v>
      </c>
      <c r="AD823" t="inlineStr">
        <is>
          <t>Profitable</t>
        </is>
      </c>
      <c r="AE823" t="inlineStr">
        <is>
          <t>Medium</t>
        </is>
      </c>
      <c r="AF823" t="inlineStr">
        <is>
          <t>Small</t>
        </is>
      </c>
    </row>
    <row r="824">
      <c r="A824" t="inlineStr">
        <is>
          <t>ORD-00823</t>
        </is>
      </c>
      <c r="B824" s="2" t="n">
        <v>45400</v>
      </c>
      <c r="C824" s="2" t="n">
        <v>45401</v>
      </c>
      <c r="D824" t="inlineStr">
        <is>
          <t>CUST-00823</t>
        </is>
      </c>
      <c r="E824" t="inlineStr">
        <is>
          <t>Customer 823</t>
        </is>
      </c>
      <c r="F824" t="inlineStr">
        <is>
          <t>Home Office</t>
        </is>
      </c>
      <c r="G824" t="inlineStr">
        <is>
          <t>P1006</t>
        </is>
      </c>
      <c r="H824" t="inlineStr">
        <is>
          <t>Cove Wall Clock</t>
        </is>
      </c>
      <c r="I824" t="inlineStr">
        <is>
          <t>Home Decor</t>
        </is>
      </c>
      <c r="J824" t="inlineStr">
        <is>
          <t>Binders</t>
        </is>
      </c>
      <c r="K824" t="inlineStr">
        <is>
          <t>East</t>
        </is>
      </c>
      <c r="L824" t="inlineStr">
        <is>
          <t>New York</t>
        </is>
      </c>
      <c r="M824" t="inlineStr">
        <is>
          <t>Boston</t>
        </is>
      </c>
      <c r="N824" t="inlineStr">
        <is>
          <t>Olivia Martin</t>
        </is>
      </c>
      <c r="O824" t="n">
        <v>2</v>
      </c>
      <c r="P824" s="3" t="n">
        <v>18.54</v>
      </c>
      <c r="Q824" s="4" t="n">
        <v>0.01</v>
      </c>
      <c r="R824" s="3" t="n">
        <v>36.71</v>
      </c>
      <c r="S824" s="3" t="n">
        <v>20.68</v>
      </c>
      <c r="T824" s="3" t="n">
        <v>7.43</v>
      </c>
      <c r="U824" s="4" t="n">
        <v>0.2024</v>
      </c>
      <c r="V824" s="3" t="n">
        <v>8.6</v>
      </c>
      <c r="W824" t="inlineStr">
        <is>
          <t>Credit Card</t>
        </is>
      </c>
      <c r="X824" t="inlineStr">
        <is>
          <t>Medium</t>
        </is>
      </c>
      <c r="Y824" t="n">
        <v>2024</v>
      </c>
      <c r="Z824" t="n">
        <v>4</v>
      </c>
      <c r="AA824" t="inlineStr">
        <is>
          <t>Apr</t>
        </is>
      </c>
      <c r="AB824" t="inlineStr">
        <is>
          <t>Thursday</t>
        </is>
      </c>
      <c r="AC824" t="n">
        <v>1</v>
      </c>
      <c r="AD824" t="inlineStr">
        <is>
          <t>Profitable</t>
        </is>
      </c>
      <c r="AE824" t="inlineStr">
        <is>
          <t>Low</t>
        </is>
      </c>
      <c r="AF824" t="inlineStr">
        <is>
          <t>Small</t>
        </is>
      </c>
    </row>
    <row r="825">
      <c r="A825" t="inlineStr">
        <is>
          <t>ORD-00824</t>
        </is>
      </c>
      <c r="B825" s="2" t="n">
        <v>45444</v>
      </c>
      <c r="C825" s="2" t="n">
        <v>45449</v>
      </c>
      <c r="D825" t="inlineStr">
        <is>
          <t>CUST-00824</t>
        </is>
      </c>
      <c r="E825" t="inlineStr">
        <is>
          <t>Customer 824</t>
        </is>
      </c>
      <c r="F825" t="inlineStr">
        <is>
          <t>Corporate</t>
        </is>
      </c>
      <c r="G825" t="inlineStr">
        <is>
          <t>P1001</t>
        </is>
      </c>
      <c r="H825" t="inlineStr">
        <is>
          <t>Lumen Desk Lamp</t>
        </is>
      </c>
      <c r="I825" t="inlineStr">
        <is>
          <t>Outdoor</t>
        </is>
      </c>
      <c r="J825" t="inlineStr">
        <is>
          <t>Paper</t>
        </is>
      </c>
      <c r="K825" t="inlineStr">
        <is>
          <t>East</t>
        </is>
      </c>
      <c r="L825" t="inlineStr">
        <is>
          <t>Virginia</t>
        </is>
      </c>
      <c r="M825" t="inlineStr">
        <is>
          <t>Washington</t>
        </is>
      </c>
      <c r="N825" t="inlineStr">
        <is>
          <t>Mia Rodriguez</t>
        </is>
      </c>
      <c r="O825" t="n">
        <v>6</v>
      </c>
      <c r="P825" s="3" t="n">
        <v>311.1</v>
      </c>
      <c r="Q825" s="4" t="n">
        <v>0.056</v>
      </c>
      <c r="R825" s="3" t="n">
        <v>1762.07</v>
      </c>
      <c r="S825" s="3" t="n">
        <v>1030.46</v>
      </c>
      <c r="T825" s="3" t="n">
        <v>719.8099999999999</v>
      </c>
      <c r="U825" s="4" t="n">
        <v>0.4085</v>
      </c>
      <c r="V825" s="3" t="n">
        <v>11.8</v>
      </c>
      <c r="W825" t="inlineStr">
        <is>
          <t>Bank Transfer</t>
        </is>
      </c>
      <c r="X825" t="inlineStr">
        <is>
          <t>High</t>
        </is>
      </c>
      <c r="Y825" t="n">
        <v>2024</v>
      </c>
      <c r="Z825" t="n">
        <v>6</v>
      </c>
      <c r="AA825" t="inlineStr">
        <is>
          <t>Jun</t>
        </is>
      </c>
      <c r="AB825" t="inlineStr">
        <is>
          <t>Saturday</t>
        </is>
      </c>
      <c r="AC825" t="n">
        <v>5</v>
      </c>
      <c r="AD825" t="inlineStr">
        <is>
          <t>Profitable</t>
        </is>
      </c>
      <c r="AE825" t="inlineStr">
        <is>
          <t>High</t>
        </is>
      </c>
      <c r="AF825" t="inlineStr">
        <is>
          <t>Large</t>
        </is>
      </c>
    </row>
    <row r="826">
      <c r="A826" t="inlineStr">
        <is>
          <t>ORD-00825</t>
        </is>
      </c>
      <c r="B826" s="2" t="n">
        <v>45339</v>
      </c>
      <c r="C826" s="2" t="n">
        <v>45340</v>
      </c>
      <c r="D826" t="inlineStr">
        <is>
          <t>CUST-00825</t>
        </is>
      </c>
      <c r="E826" t="inlineStr">
        <is>
          <t>Customer 825</t>
        </is>
      </c>
      <c r="F826" t="inlineStr">
        <is>
          <t>Corporate</t>
        </is>
      </c>
      <c r="G826" t="inlineStr">
        <is>
          <t>P1010</t>
        </is>
      </c>
      <c r="H826" t="inlineStr">
        <is>
          <t>Tide Cooler</t>
        </is>
      </c>
      <c r="I826" t="inlineStr">
        <is>
          <t>Technology</t>
        </is>
      </c>
      <c r="J826" t="inlineStr">
        <is>
          <t>Accessories</t>
        </is>
      </c>
      <c r="K826" t="inlineStr">
        <is>
          <t>East</t>
        </is>
      </c>
      <c r="L826" t="inlineStr">
        <is>
          <t>New Jersey</t>
        </is>
      </c>
      <c r="M826" t="inlineStr">
        <is>
          <t>Boston</t>
        </is>
      </c>
      <c r="N826" t="inlineStr">
        <is>
          <t>Sophia Singh</t>
        </is>
      </c>
      <c r="O826" t="n">
        <v>3</v>
      </c>
      <c r="P826" s="3" t="n">
        <v>55.51</v>
      </c>
      <c r="Q826" s="4" t="n">
        <v>0.061</v>
      </c>
      <c r="R826" s="3" t="n">
        <v>156.37</v>
      </c>
      <c r="S826" s="3" t="n">
        <v>68.75</v>
      </c>
      <c r="T826" s="3" t="n">
        <v>78.22</v>
      </c>
      <c r="U826" s="4" t="n">
        <v>0.5002</v>
      </c>
      <c r="V826" s="3" t="n">
        <v>9.4</v>
      </c>
      <c r="W826" t="inlineStr">
        <is>
          <t>Bank Transfer</t>
        </is>
      </c>
      <c r="X826" t="inlineStr">
        <is>
          <t>High</t>
        </is>
      </c>
      <c r="Y826" t="n">
        <v>2024</v>
      </c>
      <c r="Z826" t="n">
        <v>2</v>
      </c>
      <c r="AA826" t="inlineStr">
        <is>
          <t>Feb</t>
        </is>
      </c>
      <c r="AB826" t="inlineStr">
        <is>
          <t>Saturday</t>
        </is>
      </c>
      <c r="AC826" t="n">
        <v>1</v>
      </c>
      <c r="AD826" t="inlineStr">
        <is>
          <t>Profitable</t>
        </is>
      </c>
      <c r="AE826" t="inlineStr">
        <is>
          <t>High</t>
        </is>
      </c>
      <c r="AF826" t="inlineStr">
        <is>
          <t>Small</t>
        </is>
      </c>
    </row>
    <row r="827">
      <c r="A827" t="inlineStr">
        <is>
          <t>ORD-00826</t>
        </is>
      </c>
      <c r="B827" s="2" t="n">
        <v>45977</v>
      </c>
      <c r="C827" s="2" t="n">
        <v>45984</v>
      </c>
      <c r="D827" t="inlineStr">
        <is>
          <t>CUST-00826</t>
        </is>
      </c>
      <c r="E827" t="inlineStr">
        <is>
          <t>Customer 826</t>
        </is>
      </c>
      <c r="F827" t="inlineStr">
        <is>
          <t>Consumer</t>
        </is>
      </c>
      <c r="G827" t="inlineStr">
        <is>
          <t>P1008</t>
        </is>
      </c>
      <c r="H827" t="inlineStr">
        <is>
          <t>SmartInk Pen Set</t>
        </is>
      </c>
      <c r="I827" t="inlineStr">
        <is>
          <t>Technology</t>
        </is>
      </c>
      <c r="J827" t="inlineStr">
        <is>
          <t>Plants</t>
        </is>
      </c>
      <c r="K827" t="inlineStr">
        <is>
          <t>South</t>
        </is>
      </c>
      <c r="L827" t="inlineStr">
        <is>
          <t>Florida</t>
        </is>
      </c>
      <c r="M827" t="inlineStr">
        <is>
          <t>Houston</t>
        </is>
      </c>
      <c r="N827" t="inlineStr">
        <is>
          <t>Noah Kim</t>
        </is>
      </c>
      <c r="O827" t="n">
        <v>3</v>
      </c>
      <c r="P827" s="3" t="n">
        <v>35.59</v>
      </c>
      <c r="Q827" s="4" t="n">
        <v>0.059</v>
      </c>
      <c r="R827" s="3" t="n">
        <v>100.47</v>
      </c>
      <c r="S827" s="3" t="n">
        <v>44.41</v>
      </c>
      <c r="T827" s="3" t="n">
        <v>47.66</v>
      </c>
      <c r="U827" s="4" t="n">
        <v>0.4744</v>
      </c>
      <c r="V827" s="3" t="n">
        <v>8.4</v>
      </c>
      <c r="W827" t="inlineStr">
        <is>
          <t>Bank Transfer</t>
        </is>
      </c>
      <c r="X827" t="inlineStr">
        <is>
          <t>Critical</t>
        </is>
      </c>
      <c r="Y827" t="n">
        <v>2025</v>
      </c>
      <c r="Z827" t="n">
        <v>11</v>
      </c>
      <c r="AA827" t="inlineStr">
        <is>
          <t>Nov</t>
        </is>
      </c>
      <c r="AB827" t="inlineStr">
        <is>
          <t>Sunday</t>
        </is>
      </c>
      <c r="AC827" t="n">
        <v>7</v>
      </c>
      <c r="AD827" t="inlineStr">
        <is>
          <t>Profitable</t>
        </is>
      </c>
      <c r="AE827" t="inlineStr">
        <is>
          <t>High</t>
        </is>
      </c>
      <c r="AF827" t="inlineStr">
        <is>
          <t>Small</t>
        </is>
      </c>
    </row>
    <row r="828">
      <c r="A828" t="inlineStr">
        <is>
          <t>ORD-00827</t>
        </is>
      </c>
      <c r="B828" s="2" t="n">
        <v>45374</v>
      </c>
      <c r="C828" s="2" t="n">
        <v>45375</v>
      </c>
      <c r="D828" t="inlineStr">
        <is>
          <t>CUST-00827</t>
        </is>
      </c>
      <c r="E828" t="inlineStr">
        <is>
          <t>Customer 827</t>
        </is>
      </c>
      <c r="F828" t="inlineStr">
        <is>
          <t>Consumer</t>
        </is>
      </c>
      <c r="G828" t="inlineStr">
        <is>
          <t>P1017</t>
        </is>
      </c>
      <c r="H828" t="inlineStr">
        <is>
          <t>FlexNote Notebook</t>
        </is>
      </c>
      <c r="I828" t="inlineStr">
        <is>
          <t>Furniture</t>
        </is>
      </c>
      <c r="J828" t="inlineStr">
        <is>
          <t>Writing</t>
        </is>
      </c>
      <c r="K828" t="inlineStr">
        <is>
          <t>Central</t>
        </is>
      </c>
      <c r="L828" t="inlineStr">
        <is>
          <t>Kansas</t>
        </is>
      </c>
      <c r="M828" t="inlineStr">
        <is>
          <t>Minneapolis</t>
        </is>
      </c>
      <c r="N828" t="inlineStr">
        <is>
          <t>Mia Rodriguez</t>
        </is>
      </c>
      <c r="O828" t="n">
        <v>2</v>
      </c>
      <c r="P828" s="3" t="n">
        <v>543.28</v>
      </c>
      <c r="Q828" s="4" t="n">
        <v>0.012</v>
      </c>
      <c r="R828" s="3" t="n">
        <v>1073.52</v>
      </c>
      <c r="S828" s="3" t="n">
        <v>719.35</v>
      </c>
      <c r="T828" s="3" t="n">
        <v>346.57</v>
      </c>
      <c r="U828" s="4" t="n">
        <v>0.3228</v>
      </c>
      <c r="V828" s="3" t="n">
        <v>7.6</v>
      </c>
      <c r="W828" t="inlineStr">
        <is>
          <t>Credit Card</t>
        </is>
      </c>
      <c r="X828" t="inlineStr">
        <is>
          <t>Medium</t>
        </is>
      </c>
      <c r="Y828" t="n">
        <v>2024</v>
      </c>
      <c r="Z828" t="n">
        <v>3</v>
      </c>
      <c r="AA828" t="inlineStr">
        <is>
          <t>Mar</t>
        </is>
      </c>
      <c r="AB828" t="inlineStr">
        <is>
          <t>Saturday</t>
        </is>
      </c>
      <c r="AC828" t="n">
        <v>1</v>
      </c>
      <c r="AD828" t="inlineStr">
        <is>
          <t>Profitable</t>
        </is>
      </c>
      <c r="AE828" t="inlineStr">
        <is>
          <t>Low</t>
        </is>
      </c>
      <c r="AF828" t="inlineStr">
        <is>
          <t>Medium</t>
        </is>
      </c>
    </row>
    <row r="829">
      <c r="A829" t="inlineStr">
        <is>
          <t>ORD-00828</t>
        </is>
      </c>
      <c r="B829" s="2" t="n">
        <v>45631</v>
      </c>
      <c r="C829" s="2" t="n">
        <v>45636</v>
      </c>
      <c r="D829" t="inlineStr">
        <is>
          <t>CUST-00828</t>
        </is>
      </c>
      <c r="E829" t="inlineStr">
        <is>
          <t>Customer 828</t>
        </is>
      </c>
      <c r="F829" t="inlineStr">
        <is>
          <t>Corporate</t>
        </is>
      </c>
      <c r="G829" t="inlineStr">
        <is>
          <t>P1003</t>
        </is>
      </c>
      <c r="H829" t="inlineStr">
        <is>
          <t>Echo Web Camera</t>
        </is>
      </c>
      <c r="I829" t="inlineStr">
        <is>
          <t>Office Supplies</t>
        </is>
      </c>
      <c r="J829" t="inlineStr">
        <is>
          <t>Peripherals</t>
        </is>
      </c>
      <c r="K829" t="inlineStr">
        <is>
          <t>West</t>
        </is>
      </c>
      <c r="L829" t="inlineStr">
        <is>
          <t>Oregon</t>
        </is>
      </c>
      <c r="M829" t="inlineStr">
        <is>
          <t>Seattle</t>
        </is>
      </c>
      <c r="N829" t="inlineStr">
        <is>
          <t>Liam Chen</t>
        </is>
      </c>
      <c r="O829" t="n">
        <v>2</v>
      </c>
      <c r="P829" s="3" t="n">
        <v>161</v>
      </c>
      <c r="Q829" s="4" t="n">
        <v>0.03</v>
      </c>
      <c r="R829" s="3" t="n">
        <v>312.34</v>
      </c>
      <c r="S829" s="3" t="n">
        <v>167.82</v>
      </c>
      <c r="T829" s="3" t="n">
        <v>135.92</v>
      </c>
      <c r="U829" s="4" t="n">
        <v>0.4352</v>
      </c>
      <c r="V829" s="3" t="n">
        <v>8.6</v>
      </c>
      <c r="W829" t="inlineStr">
        <is>
          <t>Credit Card</t>
        </is>
      </c>
      <c r="X829" t="inlineStr">
        <is>
          <t>Medium</t>
        </is>
      </c>
      <c r="Y829" t="n">
        <v>2024</v>
      </c>
      <c r="Z829" t="n">
        <v>12</v>
      </c>
      <c r="AA829" t="inlineStr">
        <is>
          <t>Dec</t>
        </is>
      </c>
      <c r="AB829" t="inlineStr">
        <is>
          <t>Thursday</t>
        </is>
      </c>
      <c r="AC829" t="n">
        <v>5</v>
      </c>
      <c r="AD829" t="inlineStr">
        <is>
          <t>Profitable</t>
        </is>
      </c>
      <c r="AE829" t="inlineStr">
        <is>
          <t>Medium</t>
        </is>
      </c>
      <c r="AF829" t="inlineStr">
        <is>
          <t>Small</t>
        </is>
      </c>
    </row>
    <row r="830">
      <c r="A830" t="inlineStr">
        <is>
          <t>ORD-00829</t>
        </is>
      </c>
      <c r="B830" s="2" t="n">
        <v>45981</v>
      </c>
      <c r="C830" s="2" t="n">
        <v>45986</v>
      </c>
      <c r="D830" t="inlineStr">
        <is>
          <t>CUST-00829</t>
        </is>
      </c>
      <c r="E830" t="inlineStr">
        <is>
          <t>Customer 829</t>
        </is>
      </c>
      <c r="F830" t="inlineStr">
        <is>
          <t>Consumer</t>
        </is>
      </c>
      <c r="G830" t="inlineStr">
        <is>
          <t>P1003</t>
        </is>
      </c>
      <c r="H830" t="inlineStr">
        <is>
          <t>Summit Patio Set</t>
        </is>
      </c>
      <c r="I830" t="inlineStr">
        <is>
          <t>Office Supplies</t>
        </is>
      </c>
      <c r="J830" t="inlineStr">
        <is>
          <t>Peripherals</t>
        </is>
      </c>
      <c r="K830" t="inlineStr">
        <is>
          <t>West</t>
        </is>
      </c>
      <c r="L830" t="inlineStr">
        <is>
          <t>California</t>
        </is>
      </c>
      <c r="M830" t="inlineStr">
        <is>
          <t>Seattle</t>
        </is>
      </c>
      <c r="N830" t="inlineStr">
        <is>
          <t>Sophia Singh</t>
        </is>
      </c>
      <c r="O830" t="n">
        <v>2</v>
      </c>
      <c r="P830" s="3" t="n">
        <v>170.56</v>
      </c>
      <c r="Q830" s="4" t="n">
        <v>0.044</v>
      </c>
      <c r="R830" s="3" t="n">
        <v>326.11</v>
      </c>
      <c r="S830" s="3" t="n">
        <v>176.23</v>
      </c>
      <c r="T830" s="3" t="n">
        <v>141.28</v>
      </c>
      <c r="U830" s="4" t="n">
        <v>0.4332</v>
      </c>
      <c r="V830" s="3" t="n">
        <v>8.6</v>
      </c>
      <c r="W830" t="inlineStr">
        <is>
          <t>PayPal</t>
        </is>
      </c>
      <c r="X830" t="inlineStr">
        <is>
          <t>High</t>
        </is>
      </c>
      <c r="Y830" t="n">
        <v>2025</v>
      </c>
      <c r="Z830" t="n">
        <v>11</v>
      </c>
      <c r="AA830" t="inlineStr">
        <is>
          <t>Nov</t>
        </is>
      </c>
      <c r="AB830" t="inlineStr">
        <is>
          <t>Thursday</t>
        </is>
      </c>
      <c r="AC830" t="n">
        <v>5</v>
      </c>
      <c r="AD830" t="inlineStr">
        <is>
          <t>Profitable</t>
        </is>
      </c>
      <c r="AE830" t="inlineStr">
        <is>
          <t>Medium</t>
        </is>
      </c>
      <c r="AF830" t="inlineStr">
        <is>
          <t>Small</t>
        </is>
      </c>
    </row>
    <row r="831">
      <c r="A831" t="inlineStr">
        <is>
          <t>ORD-00830</t>
        </is>
      </c>
      <c r="B831" s="2" t="n">
        <v>45494</v>
      </c>
      <c r="C831" s="2" t="n">
        <v>45501</v>
      </c>
      <c r="D831" t="inlineStr">
        <is>
          <t>CUST-00830</t>
        </is>
      </c>
      <c r="E831" t="inlineStr">
        <is>
          <t>Customer 830</t>
        </is>
      </c>
      <c r="F831" t="inlineStr">
        <is>
          <t>Home Office</t>
        </is>
      </c>
      <c r="G831" t="inlineStr">
        <is>
          <t>P1003</t>
        </is>
      </c>
      <c r="H831" t="inlineStr">
        <is>
          <t>Echo Web Camera</t>
        </is>
      </c>
      <c r="I831" t="inlineStr">
        <is>
          <t>Office Supplies</t>
        </is>
      </c>
      <c r="J831" t="inlineStr">
        <is>
          <t>Decor</t>
        </is>
      </c>
      <c r="K831" t="inlineStr">
        <is>
          <t>West</t>
        </is>
      </c>
      <c r="L831" t="inlineStr">
        <is>
          <t>Washington</t>
        </is>
      </c>
      <c r="M831" t="inlineStr">
        <is>
          <t>Los Angeles</t>
        </is>
      </c>
      <c r="N831" t="inlineStr">
        <is>
          <t>Noah Kim</t>
        </is>
      </c>
      <c r="O831" t="n">
        <v>4</v>
      </c>
      <c r="P831" s="3" t="n">
        <v>162.2</v>
      </c>
      <c r="Q831" s="4" t="n">
        <v>0.035</v>
      </c>
      <c r="R831" s="3" t="n">
        <v>626.09</v>
      </c>
      <c r="S831" s="3" t="n">
        <v>330.15</v>
      </c>
      <c r="T831" s="3" t="n">
        <v>285.74</v>
      </c>
      <c r="U831" s="4" t="n">
        <v>0.4564</v>
      </c>
      <c r="V831" s="3" t="n">
        <v>10.2</v>
      </c>
      <c r="W831" t="inlineStr">
        <is>
          <t>Cash on Delivery</t>
        </is>
      </c>
      <c r="X831" t="inlineStr">
        <is>
          <t>Critical</t>
        </is>
      </c>
      <c r="Y831" t="n">
        <v>2024</v>
      </c>
      <c r="Z831" t="n">
        <v>7</v>
      </c>
      <c r="AA831" t="inlineStr">
        <is>
          <t>Jul</t>
        </is>
      </c>
      <c r="AB831" t="inlineStr">
        <is>
          <t>Sunday</t>
        </is>
      </c>
      <c r="AC831" t="n">
        <v>7</v>
      </c>
      <c r="AD831" t="inlineStr">
        <is>
          <t>Profitable</t>
        </is>
      </c>
      <c r="AE831" t="inlineStr">
        <is>
          <t>Medium</t>
        </is>
      </c>
      <c r="AF831" t="inlineStr">
        <is>
          <t>Medium</t>
        </is>
      </c>
    </row>
    <row r="832">
      <c r="A832" t="inlineStr">
        <is>
          <t>ORD-00831</t>
        </is>
      </c>
      <c r="B832" s="2" t="n">
        <v>45209</v>
      </c>
      <c r="C832" s="2" t="n">
        <v>45213</v>
      </c>
      <c r="D832" t="inlineStr">
        <is>
          <t>CUST-00831</t>
        </is>
      </c>
      <c r="E832" t="inlineStr">
        <is>
          <t>Customer 831</t>
        </is>
      </c>
      <c r="F832" t="inlineStr">
        <is>
          <t>Consumer</t>
        </is>
      </c>
      <c r="G832" t="inlineStr">
        <is>
          <t>P1007</t>
        </is>
      </c>
      <c r="H832" t="inlineStr">
        <is>
          <t>Pulse Keyboard</t>
        </is>
      </c>
      <c r="I832" t="inlineStr">
        <is>
          <t>Home Decor</t>
        </is>
      </c>
      <c r="J832" t="inlineStr">
        <is>
          <t>Accessories</t>
        </is>
      </c>
      <c r="K832" t="inlineStr">
        <is>
          <t>East</t>
        </is>
      </c>
      <c r="L832" t="inlineStr">
        <is>
          <t>Virginia</t>
        </is>
      </c>
      <c r="M832" t="inlineStr">
        <is>
          <t>New York</t>
        </is>
      </c>
      <c r="N832" t="inlineStr">
        <is>
          <t>Sophia Singh</t>
        </is>
      </c>
      <c r="O832" t="n">
        <v>4</v>
      </c>
      <c r="P832" s="3" t="n">
        <v>27.71</v>
      </c>
      <c r="Q832" s="4" t="n">
        <v>0.028</v>
      </c>
      <c r="R832" s="3" t="n">
        <v>107.74</v>
      </c>
      <c r="S832" s="3" t="n">
        <v>45.01</v>
      </c>
      <c r="T832" s="3" t="n">
        <v>52.53</v>
      </c>
      <c r="U832" s="4" t="n">
        <v>0.4876</v>
      </c>
      <c r="V832" s="3" t="n">
        <v>10.2</v>
      </c>
      <c r="W832" t="inlineStr">
        <is>
          <t>Credit Card</t>
        </is>
      </c>
      <c r="X832" t="inlineStr">
        <is>
          <t>High</t>
        </is>
      </c>
      <c r="Y832" t="n">
        <v>2023</v>
      </c>
      <c r="Z832" t="n">
        <v>10</v>
      </c>
      <c r="AA832" t="inlineStr">
        <is>
          <t>Oct</t>
        </is>
      </c>
      <c r="AB832" t="inlineStr">
        <is>
          <t>Tuesday</t>
        </is>
      </c>
      <c r="AC832" t="n">
        <v>4</v>
      </c>
      <c r="AD832" t="inlineStr">
        <is>
          <t>Profitable</t>
        </is>
      </c>
      <c r="AE832" t="inlineStr">
        <is>
          <t>Medium</t>
        </is>
      </c>
      <c r="AF832" t="inlineStr">
        <is>
          <t>Small</t>
        </is>
      </c>
    </row>
    <row r="833">
      <c r="A833" t="inlineStr">
        <is>
          <t>ORD-00832</t>
        </is>
      </c>
      <c r="B833" s="2" t="n">
        <v>45561</v>
      </c>
      <c r="C833" s="2" t="n">
        <v>45566</v>
      </c>
      <c r="D833" t="inlineStr">
        <is>
          <t>CUST-00832</t>
        </is>
      </c>
      <c r="E833" t="inlineStr">
        <is>
          <t>Customer 832</t>
        </is>
      </c>
      <c r="F833" t="inlineStr">
        <is>
          <t>Corporate</t>
        </is>
      </c>
      <c r="G833" t="inlineStr">
        <is>
          <t>P1011</t>
        </is>
      </c>
      <c r="H833" t="inlineStr">
        <is>
          <t>ErgoMesh Chair</t>
        </is>
      </c>
      <c r="I833" t="inlineStr">
        <is>
          <t>Outdoor</t>
        </is>
      </c>
      <c r="J833" t="inlineStr">
        <is>
          <t>Decor</t>
        </is>
      </c>
      <c r="K833" t="inlineStr">
        <is>
          <t>East</t>
        </is>
      </c>
      <c r="L833" t="inlineStr">
        <is>
          <t>New York</t>
        </is>
      </c>
      <c r="M833" t="inlineStr">
        <is>
          <t>Boston</t>
        </is>
      </c>
      <c r="N833" t="inlineStr">
        <is>
          <t>Mia Rodriguez</t>
        </is>
      </c>
      <c r="O833" t="n">
        <v>2</v>
      </c>
      <c r="P833" s="3" t="n">
        <v>91.98</v>
      </c>
      <c r="Q833" s="4" t="n">
        <v>0.038</v>
      </c>
      <c r="R833" s="3" t="n">
        <v>176.97</v>
      </c>
      <c r="S833" s="3" t="n">
        <v>90.76000000000001</v>
      </c>
      <c r="T833" s="3" t="n">
        <v>77.61</v>
      </c>
      <c r="U833" s="4" t="n">
        <v>0.4385</v>
      </c>
      <c r="V833" s="3" t="n">
        <v>8.6</v>
      </c>
      <c r="W833" t="inlineStr">
        <is>
          <t>Bank Transfer</t>
        </is>
      </c>
      <c r="X833" t="inlineStr">
        <is>
          <t>Medium</t>
        </is>
      </c>
      <c r="Y833" t="n">
        <v>2024</v>
      </c>
      <c r="Z833" t="n">
        <v>9</v>
      </c>
      <c r="AA833" t="inlineStr">
        <is>
          <t>Sep</t>
        </is>
      </c>
      <c r="AB833" t="inlineStr">
        <is>
          <t>Thursday</t>
        </is>
      </c>
      <c r="AC833" t="n">
        <v>5</v>
      </c>
      <c r="AD833" t="inlineStr">
        <is>
          <t>Profitable</t>
        </is>
      </c>
      <c r="AE833" t="inlineStr">
        <is>
          <t>Medium</t>
        </is>
      </c>
      <c r="AF833" t="inlineStr">
        <is>
          <t>Small</t>
        </is>
      </c>
    </row>
    <row r="834">
      <c r="A834" t="inlineStr">
        <is>
          <t>ORD-00833</t>
        </is>
      </c>
      <c r="B834" s="2" t="n">
        <v>45236</v>
      </c>
      <c r="C834" s="2" t="n">
        <v>45243</v>
      </c>
      <c r="D834" t="inlineStr">
        <is>
          <t>CUST-00833</t>
        </is>
      </c>
      <c r="E834" t="inlineStr">
        <is>
          <t>Customer 833</t>
        </is>
      </c>
      <c r="F834" t="inlineStr">
        <is>
          <t>Corporate</t>
        </is>
      </c>
      <c r="G834" t="inlineStr">
        <is>
          <t>P1018</t>
        </is>
      </c>
      <c r="H834" t="inlineStr">
        <is>
          <t>Nova Laptop Stand</t>
        </is>
      </c>
      <c r="I834" t="inlineStr">
        <is>
          <t>Furniture</t>
        </is>
      </c>
      <c r="J834" t="inlineStr">
        <is>
          <t>Furniture</t>
        </is>
      </c>
      <c r="K834" t="inlineStr">
        <is>
          <t>South</t>
        </is>
      </c>
      <c r="L834" t="inlineStr">
        <is>
          <t>Texas</t>
        </is>
      </c>
      <c r="M834" t="inlineStr">
        <is>
          <t>Miami</t>
        </is>
      </c>
      <c r="N834" t="inlineStr">
        <is>
          <t>Sophia Singh</t>
        </is>
      </c>
      <c r="O834" t="n">
        <v>4</v>
      </c>
      <c r="P834" s="3" t="n">
        <v>90.37</v>
      </c>
      <c r="Q834" s="4" t="n">
        <v>0.053</v>
      </c>
      <c r="R834" s="3" t="n">
        <v>342.32</v>
      </c>
      <c r="S834" s="3" t="n">
        <v>154.4</v>
      </c>
      <c r="T834" s="3" t="n">
        <v>178.72</v>
      </c>
      <c r="U834" s="4" t="n">
        <v>0.5221</v>
      </c>
      <c r="V834" s="3" t="n">
        <v>9.199999999999999</v>
      </c>
      <c r="W834" t="inlineStr">
        <is>
          <t>Credit Card</t>
        </is>
      </c>
      <c r="X834" t="inlineStr">
        <is>
          <t>Critical</t>
        </is>
      </c>
      <c r="Y834" t="n">
        <v>2023</v>
      </c>
      <c r="Z834" t="n">
        <v>11</v>
      </c>
      <c r="AA834" t="inlineStr">
        <is>
          <t>Nov</t>
        </is>
      </c>
      <c r="AB834" t="inlineStr">
        <is>
          <t>Monday</t>
        </is>
      </c>
      <c r="AC834" t="n">
        <v>7</v>
      </c>
      <c r="AD834" t="inlineStr">
        <is>
          <t>Profitable</t>
        </is>
      </c>
      <c r="AE834" t="inlineStr">
        <is>
          <t>High</t>
        </is>
      </c>
      <c r="AF834" t="inlineStr">
        <is>
          <t>Small</t>
        </is>
      </c>
    </row>
    <row r="835">
      <c r="A835" t="inlineStr">
        <is>
          <t>ORD-00834</t>
        </is>
      </c>
      <c r="B835" s="2" t="n">
        <v>45089</v>
      </c>
      <c r="C835" s="2" t="n">
        <v>45093</v>
      </c>
      <c r="D835" t="inlineStr">
        <is>
          <t>CUST-00834</t>
        </is>
      </c>
      <c r="E835" t="inlineStr">
        <is>
          <t>Customer 834</t>
        </is>
      </c>
      <c r="F835" t="inlineStr">
        <is>
          <t>Corporate</t>
        </is>
      </c>
      <c r="G835" t="inlineStr">
        <is>
          <t>P1005</t>
        </is>
      </c>
      <c r="H835" t="inlineStr">
        <is>
          <t>CloudDrive File Box</t>
        </is>
      </c>
      <c r="I835" t="inlineStr">
        <is>
          <t>Technology</t>
        </is>
      </c>
      <c r="J835" t="inlineStr">
        <is>
          <t>Desks</t>
        </is>
      </c>
      <c r="K835" t="inlineStr">
        <is>
          <t>West</t>
        </is>
      </c>
      <c r="L835" t="inlineStr">
        <is>
          <t>Colorado</t>
        </is>
      </c>
      <c r="M835" t="inlineStr">
        <is>
          <t>Seattle</t>
        </is>
      </c>
      <c r="N835" t="inlineStr">
        <is>
          <t>Liam Chen</t>
        </is>
      </c>
      <c r="O835" t="n">
        <v>2</v>
      </c>
      <c r="P835" s="3" t="n">
        <v>13.73</v>
      </c>
      <c r="Q835" s="4" t="n">
        <v>0.03</v>
      </c>
      <c r="R835" s="3" t="n">
        <v>26.64</v>
      </c>
      <c r="S835" s="3" t="n">
        <v>15.07</v>
      </c>
      <c r="T835" s="3" t="n">
        <v>2.97</v>
      </c>
      <c r="U835" s="4" t="n">
        <v>0.1115</v>
      </c>
      <c r="V835" s="3" t="n">
        <v>8.6</v>
      </c>
      <c r="W835" t="inlineStr">
        <is>
          <t>Cash on Delivery</t>
        </is>
      </c>
      <c r="X835" t="inlineStr">
        <is>
          <t>Low</t>
        </is>
      </c>
      <c r="Y835" t="n">
        <v>2023</v>
      </c>
      <c r="Z835" t="n">
        <v>6</v>
      </c>
      <c r="AA835" t="inlineStr">
        <is>
          <t>Jun</t>
        </is>
      </c>
      <c r="AB835" t="inlineStr">
        <is>
          <t>Monday</t>
        </is>
      </c>
      <c r="AC835" t="n">
        <v>4</v>
      </c>
      <c r="AD835" t="inlineStr">
        <is>
          <t>Profitable</t>
        </is>
      </c>
      <c r="AE835" t="inlineStr">
        <is>
          <t>Medium</t>
        </is>
      </c>
      <c r="AF835" t="inlineStr">
        <is>
          <t>Small</t>
        </is>
      </c>
    </row>
    <row r="836">
      <c r="A836" t="inlineStr">
        <is>
          <t>ORD-00835</t>
        </is>
      </c>
      <c r="B836" s="2" t="n">
        <v>45606</v>
      </c>
      <c r="C836" s="2" t="n">
        <v>45608</v>
      </c>
      <c r="D836" t="inlineStr">
        <is>
          <t>CUST-00835</t>
        </is>
      </c>
      <c r="E836" t="inlineStr">
        <is>
          <t>Customer 835</t>
        </is>
      </c>
      <c r="F836" t="inlineStr">
        <is>
          <t>Corporate</t>
        </is>
      </c>
      <c r="G836" t="inlineStr">
        <is>
          <t>P1002</t>
        </is>
      </c>
      <c r="H836" t="inlineStr">
        <is>
          <t>Cove Wall Clock</t>
        </is>
      </c>
      <c r="I836" t="inlineStr">
        <is>
          <t>Furniture</t>
        </is>
      </c>
      <c r="J836" t="inlineStr">
        <is>
          <t>Binders</t>
        </is>
      </c>
      <c r="K836" t="inlineStr">
        <is>
          <t>South</t>
        </is>
      </c>
      <c r="L836" t="inlineStr">
        <is>
          <t>Texas</t>
        </is>
      </c>
      <c r="M836" t="inlineStr">
        <is>
          <t>Houston</t>
        </is>
      </c>
      <c r="N836" t="inlineStr">
        <is>
          <t>Liam Chen</t>
        </is>
      </c>
      <c r="O836" t="n">
        <v>2</v>
      </c>
      <c r="P836" s="3" t="n">
        <v>86.33</v>
      </c>
      <c r="Q836" s="4" t="n">
        <v>0.01</v>
      </c>
      <c r="R836" s="3" t="n">
        <v>170.93</v>
      </c>
      <c r="S836" s="3" t="n">
        <v>85.93000000000001</v>
      </c>
      <c r="T836" s="3" t="n">
        <v>77.40000000000001</v>
      </c>
      <c r="U836" s="4" t="n">
        <v>0.4528</v>
      </c>
      <c r="V836" s="3" t="n">
        <v>7.6</v>
      </c>
      <c r="W836" t="inlineStr">
        <is>
          <t>Bank Transfer</t>
        </is>
      </c>
      <c r="X836" t="inlineStr">
        <is>
          <t>Medium</t>
        </is>
      </c>
      <c r="Y836" t="n">
        <v>2024</v>
      </c>
      <c r="Z836" t="n">
        <v>11</v>
      </c>
      <c r="AA836" t="inlineStr">
        <is>
          <t>Nov</t>
        </is>
      </c>
      <c r="AB836" t="inlineStr">
        <is>
          <t>Sunday</t>
        </is>
      </c>
      <c r="AC836" t="n">
        <v>2</v>
      </c>
      <c r="AD836" t="inlineStr">
        <is>
          <t>Profitable</t>
        </is>
      </c>
      <c r="AE836" t="inlineStr">
        <is>
          <t>Low</t>
        </is>
      </c>
      <c r="AF836" t="inlineStr">
        <is>
          <t>Small</t>
        </is>
      </c>
    </row>
    <row r="837">
      <c r="A837" t="inlineStr">
        <is>
          <t>ORD-00836</t>
        </is>
      </c>
      <c r="B837" s="2" t="n">
        <v>45495</v>
      </c>
      <c r="C837" s="2" t="n">
        <v>45502</v>
      </c>
      <c r="D837" t="inlineStr">
        <is>
          <t>CUST-00836</t>
        </is>
      </c>
      <c r="E837" t="inlineStr">
        <is>
          <t>Customer 836</t>
        </is>
      </c>
      <c r="F837" t="inlineStr">
        <is>
          <t>Home Office</t>
        </is>
      </c>
      <c r="G837" t="inlineStr">
        <is>
          <t>P1014</t>
        </is>
      </c>
      <c r="H837" t="inlineStr">
        <is>
          <t>Aero Standing Desk</t>
        </is>
      </c>
      <c r="I837" t="inlineStr">
        <is>
          <t>Furniture</t>
        </is>
      </c>
      <c r="J837" t="inlineStr">
        <is>
          <t>Bags</t>
        </is>
      </c>
      <c r="K837" t="inlineStr">
        <is>
          <t>East</t>
        </is>
      </c>
      <c r="L837" t="inlineStr">
        <is>
          <t>New Jersey</t>
        </is>
      </c>
      <c r="M837" t="inlineStr">
        <is>
          <t>Washington</t>
        </is>
      </c>
      <c r="N837" t="inlineStr">
        <is>
          <t>Olivia Martin</t>
        </is>
      </c>
      <c r="O837" t="n">
        <v>2</v>
      </c>
      <c r="P837" s="3" t="n">
        <v>42.4</v>
      </c>
      <c r="Q837" s="4" t="n">
        <v>0.05</v>
      </c>
      <c r="R837" s="3" t="n">
        <v>80.56</v>
      </c>
      <c r="S837" s="3" t="n">
        <v>41.73</v>
      </c>
      <c r="T837" s="3" t="n">
        <v>30.23</v>
      </c>
      <c r="U837" s="4" t="n">
        <v>0.3752</v>
      </c>
      <c r="V837" s="3" t="n">
        <v>8.6</v>
      </c>
      <c r="W837" t="inlineStr">
        <is>
          <t>Credit Card</t>
        </is>
      </c>
      <c r="X837" t="inlineStr">
        <is>
          <t>High</t>
        </is>
      </c>
      <c r="Y837" t="n">
        <v>2024</v>
      </c>
      <c r="Z837" t="n">
        <v>7</v>
      </c>
      <c r="AA837" t="inlineStr">
        <is>
          <t>Jul</t>
        </is>
      </c>
      <c r="AB837" t="inlineStr">
        <is>
          <t>Monday</t>
        </is>
      </c>
      <c r="AC837" t="n">
        <v>7</v>
      </c>
      <c r="AD837" t="inlineStr">
        <is>
          <t>Profitable</t>
        </is>
      </c>
      <c r="AE837" t="inlineStr">
        <is>
          <t>High</t>
        </is>
      </c>
      <c r="AF837" t="inlineStr">
        <is>
          <t>Small</t>
        </is>
      </c>
    </row>
    <row r="838">
      <c r="A838" t="inlineStr">
        <is>
          <t>ORD-00837</t>
        </is>
      </c>
      <c r="B838" s="2" t="n">
        <v>46008</v>
      </c>
      <c r="C838" s="2" t="n">
        <v>46010</v>
      </c>
      <c r="D838" t="inlineStr">
        <is>
          <t>CUST-00837</t>
        </is>
      </c>
      <c r="E838" t="inlineStr">
        <is>
          <t>Customer 837</t>
        </is>
      </c>
      <c r="F838" t="inlineStr">
        <is>
          <t>Home Office</t>
        </is>
      </c>
      <c r="G838" t="inlineStr">
        <is>
          <t>P1001</t>
        </is>
      </c>
      <c r="H838" t="inlineStr">
        <is>
          <t>Pulse Keyboard</t>
        </is>
      </c>
      <c r="I838" t="inlineStr">
        <is>
          <t>Office Supplies</t>
        </is>
      </c>
      <c r="J838" t="inlineStr">
        <is>
          <t>Paper</t>
        </is>
      </c>
      <c r="K838" t="inlineStr">
        <is>
          <t>Central</t>
        </is>
      </c>
      <c r="L838" t="inlineStr">
        <is>
          <t>Kansas</t>
        </is>
      </c>
      <c r="M838" t="inlineStr">
        <is>
          <t>Minneapolis</t>
        </is>
      </c>
      <c r="N838" t="inlineStr">
        <is>
          <t>Ava Patel</t>
        </is>
      </c>
      <c r="O838" t="n">
        <v>3</v>
      </c>
      <c r="P838" s="3" t="n">
        <v>298.75</v>
      </c>
      <c r="Q838" s="4" t="n">
        <v>0.028</v>
      </c>
      <c r="R838" s="3" t="n">
        <v>871.15</v>
      </c>
      <c r="S838" s="3" t="n">
        <v>516.51</v>
      </c>
      <c r="T838" s="3" t="n">
        <v>346.24</v>
      </c>
      <c r="U838" s="4" t="n">
        <v>0.3975</v>
      </c>
      <c r="V838" s="3" t="n">
        <v>8.4</v>
      </c>
      <c r="W838" t="inlineStr">
        <is>
          <t>Credit Card</t>
        </is>
      </c>
      <c r="X838" t="inlineStr">
        <is>
          <t>Medium</t>
        </is>
      </c>
      <c r="Y838" t="n">
        <v>2025</v>
      </c>
      <c r="Z838" t="n">
        <v>12</v>
      </c>
      <c r="AA838" t="inlineStr">
        <is>
          <t>Dec</t>
        </is>
      </c>
      <c r="AB838" t="inlineStr">
        <is>
          <t>Wednesday</t>
        </is>
      </c>
      <c r="AC838" t="n">
        <v>2</v>
      </c>
      <c r="AD838" t="inlineStr">
        <is>
          <t>Profitable</t>
        </is>
      </c>
      <c r="AE838" t="inlineStr">
        <is>
          <t>Medium</t>
        </is>
      </c>
      <c r="AF838" t="inlineStr">
        <is>
          <t>Medium</t>
        </is>
      </c>
    </row>
    <row r="839">
      <c r="A839" t="inlineStr">
        <is>
          <t>ORD-00838</t>
        </is>
      </c>
      <c r="B839" s="2" t="n">
        <v>45475</v>
      </c>
      <c r="C839" s="2" t="n">
        <v>45480</v>
      </c>
      <c r="D839" t="inlineStr">
        <is>
          <t>CUST-00838</t>
        </is>
      </c>
      <c r="E839" t="inlineStr">
        <is>
          <t>Customer 838</t>
        </is>
      </c>
      <c r="F839" t="inlineStr">
        <is>
          <t>Home Office</t>
        </is>
      </c>
      <c r="G839" t="inlineStr">
        <is>
          <t>P1004</t>
        </is>
      </c>
      <c r="H839" t="inlineStr">
        <is>
          <t>Summit Patio Set</t>
        </is>
      </c>
      <c r="I839" t="inlineStr">
        <is>
          <t>Home Decor</t>
        </is>
      </c>
      <c r="J839" t="inlineStr">
        <is>
          <t>Peripherals</t>
        </is>
      </c>
      <c r="K839" t="inlineStr">
        <is>
          <t>Central</t>
        </is>
      </c>
      <c r="L839" t="inlineStr">
        <is>
          <t>Missouri</t>
        </is>
      </c>
      <c r="M839" t="inlineStr">
        <is>
          <t>Chicago</t>
        </is>
      </c>
      <c r="N839" t="inlineStr">
        <is>
          <t>Olivia Martin</t>
        </is>
      </c>
      <c r="O839" t="n">
        <v>4</v>
      </c>
      <c r="P839" s="3" t="n">
        <v>645.02</v>
      </c>
      <c r="Q839" s="4" t="n">
        <v>0.008999999999999999</v>
      </c>
      <c r="R839" s="3" t="n">
        <v>2556.86</v>
      </c>
      <c r="S839" s="3" t="n">
        <v>1616.06</v>
      </c>
      <c r="T839" s="3" t="n">
        <v>931.6</v>
      </c>
      <c r="U839" s="4" t="n">
        <v>0.3644</v>
      </c>
      <c r="V839" s="3" t="n">
        <v>9.199999999999999</v>
      </c>
      <c r="W839" t="inlineStr">
        <is>
          <t>Debit Card</t>
        </is>
      </c>
      <c r="X839" t="inlineStr">
        <is>
          <t>Medium</t>
        </is>
      </c>
      <c r="Y839" t="n">
        <v>2024</v>
      </c>
      <c r="Z839" t="n">
        <v>7</v>
      </c>
      <c r="AA839" t="inlineStr">
        <is>
          <t>Jul</t>
        </is>
      </c>
      <c r="AB839" t="inlineStr">
        <is>
          <t>Tuesday</t>
        </is>
      </c>
      <c r="AC839" t="n">
        <v>5</v>
      </c>
      <c r="AD839" t="inlineStr">
        <is>
          <t>Profitable</t>
        </is>
      </c>
      <c r="AE839" t="inlineStr">
        <is>
          <t>Low</t>
        </is>
      </c>
      <c r="AF839" t="inlineStr">
        <is>
          <t>Large</t>
        </is>
      </c>
    </row>
    <row r="840">
      <c r="A840" t="inlineStr">
        <is>
          <t>ORD-00839</t>
        </is>
      </c>
      <c r="B840" s="2" t="n">
        <v>45492</v>
      </c>
      <c r="C840" s="2" t="n">
        <v>45493</v>
      </c>
      <c r="D840" t="inlineStr">
        <is>
          <t>CUST-00839</t>
        </is>
      </c>
      <c r="E840" t="inlineStr">
        <is>
          <t>Customer 839</t>
        </is>
      </c>
      <c r="F840" t="inlineStr">
        <is>
          <t>Home Office</t>
        </is>
      </c>
      <c r="G840" t="inlineStr">
        <is>
          <t>P1014</t>
        </is>
      </c>
      <c r="H840" t="inlineStr">
        <is>
          <t>CloudDrive File Box</t>
        </is>
      </c>
      <c r="I840" t="inlineStr">
        <is>
          <t>Outdoor</t>
        </is>
      </c>
      <c r="J840" t="inlineStr">
        <is>
          <t>Writing</t>
        </is>
      </c>
      <c r="K840" t="inlineStr">
        <is>
          <t>South</t>
        </is>
      </c>
      <c r="L840" t="inlineStr">
        <is>
          <t>Georgia</t>
        </is>
      </c>
      <c r="M840" t="inlineStr">
        <is>
          <t>Miami</t>
        </is>
      </c>
      <c r="N840" t="inlineStr">
        <is>
          <t>Noah Kim</t>
        </is>
      </c>
      <c r="O840" t="n">
        <v>3</v>
      </c>
      <c r="P840" s="3" t="n">
        <v>43.14</v>
      </c>
      <c r="Q840" s="4" t="n">
        <v>0.038</v>
      </c>
      <c r="R840" s="3" t="n">
        <v>124.5</v>
      </c>
      <c r="S840" s="3" t="n">
        <v>56.69</v>
      </c>
      <c r="T840" s="3" t="n">
        <v>59.41</v>
      </c>
      <c r="U840" s="4" t="n">
        <v>0.4772</v>
      </c>
      <c r="V840" s="3" t="n">
        <v>8.4</v>
      </c>
      <c r="W840" t="inlineStr">
        <is>
          <t>Debit Card</t>
        </is>
      </c>
      <c r="X840" t="inlineStr">
        <is>
          <t>Critical</t>
        </is>
      </c>
      <c r="Y840" t="n">
        <v>2024</v>
      </c>
      <c r="Z840" t="n">
        <v>7</v>
      </c>
      <c r="AA840" t="inlineStr">
        <is>
          <t>Jul</t>
        </is>
      </c>
      <c r="AB840" t="inlineStr">
        <is>
          <t>Friday</t>
        </is>
      </c>
      <c r="AC840" t="n">
        <v>1</v>
      </c>
      <c r="AD840" t="inlineStr">
        <is>
          <t>Profitable</t>
        </is>
      </c>
      <c r="AE840" t="inlineStr">
        <is>
          <t>Medium</t>
        </is>
      </c>
      <c r="AF840" t="inlineStr">
        <is>
          <t>Small</t>
        </is>
      </c>
    </row>
    <row r="841">
      <c r="A841" t="inlineStr">
        <is>
          <t>ORD-00840</t>
        </is>
      </c>
      <c r="B841" s="2" t="n">
        <v>45616</v>
      </c>
      <c r="C841" s="2" t="n">
        <v>45619</v>
      </c>
      <c r="D841" t="inlineStr">
        <is>
          <t>CUST-00840</t>
        </is>
      </c>
      <c r="E841" t="inlineStr">
        <is>
          <t>Customer 840</t>
        </is>
      </c>
      <c r="F841" t="inlineStr">
        <is>
          <t>Corporate</t>
        </is>
      </c>
      <c r="G841" t="inlineStr">
        <is>
          <t>P1015</t>
        </is>
      </c>
      <c r="H841" t="inlineStr">
        <is>
          <t>ErgoMesh Chair</t>
        </is>
      </c>
      <c r="I841" t="inlineStr">
        <is>
          <t>Home Decor</t>
        </is>
      </c>
      <c r="J841" t="inlineStr">
        <is>
          <t>Plants</t>
        </is>
      </c>
      <c r="K841" t="inlineStr">
        <is>
          <t>South</t>
        </is>
      </c>
      <c r="L841" t="inlineStr">
        <is>
          <t>Florida</t>
        </is>
      </c>
      <c r="M841" t="inlineStr">
        <is>
          <t>Atlanta</t>
        </is>
      </c>
      <c r="N841" t="inlineStr">
        <is>
          <t>Mia Rodriguez</t>
        </is>
      </c>
      <c r="O841" t="n">
        <v>3</v>
      </c>
      <c r="P841" s="3" t="n">
        <v>69.72</v>
      </c>
      <c r="Q841" s="4" t="n">
        <v>0.033</v>
      </c>
      <c r="R841" s="3" t="n">
        <v>202.26</v>
      </c>
      <c r="S841" s="3" t="n">
        <v>89.27</v>
      </c>
      <c r="T841" s="3" t="n">
        <v>104.59</v>
      </c>
      <c r="U841" s="4" t="n">
        <v>0.5171</v>
      </c>
      <c r="V841" s="3" t="n">
        <v>8.4</v>
      </c>
      <c r="W841" t="inlineStr">
        <is>
          <t>Debit Card</t>
        </is>
      </c>
      <c r="X841" t="inlineStr">
        <is>
          <t>Medium</t>
        </is>
      </c>
      <c r="Y841" t="n">
        <v>2024</v>
      </c>
      <c r="Z841" t="n">
        <v>11</v>
      </c>
      <c r="AA841" t="inlineStr">
        <is>
          <t>Nov</t>
        </is>
      </c>
      <c r="AB841" t="inlineStr">
        <is>
          <t>Wednesday</t>
        </is>
      </c>
      <c r="AC841" t="n">
        <v>3</v>
      </c>
      <c r="AD841" t="inlineStr">
        <is>
          <t>Profitable</t>
        </is>
      </c>
      <c r="AE841" t="inlineStr">
        <is>
          <t>Medium</t>
        </is>
      </c>
      <c r="AF841" t="inlineStr">
        <is>
          <t>Small</t>
        </is>
      </c>
    </row>
    <row r="842">
      <c r="A842" t="inlineStr">
        <is>
          <t>ORD-00841</t>
        </is>
      </c>
      <c r="B842" s="2" t="n">
        <v>45236</v>
      </c>
      <c r="C842" s="2" t="n">
        <v>45237</v>
      </c>
      <c r="D842" t="inlineStr">
        <is>
          <t>CUST-00841</t>
        </is>
      </c>
      <c r="E842" t="inlineStr">
        <is>
          <t>Customer 841</t>
        </is>
      </c>
      <c r="F842" t="inlineStr">
        <is>
          <t>Corporate</t>
        </is>
      </c>
      <c r="G842" t="inlineStr">
        <is>
          <t>P1020</t>
        </is>
      </c>
      <c r="H842" t="inlineStr">
        <is>
          <t>Tide Cooler</t>
        </is>
      </c>
      <c r="I842" t="inlineStr">
        <is>
          <t>Technology</t>
        </is>
      </c>
      <c r="J842" t="inlineStr">
        <is>
          <t>Coolers</t>
        </is>
      </c>
      <c r="K842" t="inlineStr">
        <is>
          <t>West</t>
        </is>
      </c>
      <c r="L842" t="inlineStr">
        <is>
          <t>Washington</t>
        </is>
      </c>
      <c r="M842" t="inlineStr">
        <is>
          <t>San Francisco</t>
        </is>
      </c>
      <c r="N842" t="inlineStr">
        <is>
          <t>Olivia Martin</t>
        </is>
      </c>
      <c r="O842" t="n">
        <v>1</v>
      </c>
      <c r="P842" s="3" t="n">
        <v>80.11</v>
      </c>
      <c r="Q842" s="4" t="n">
        <v>0.078</v>
      </c>
      <c r="R842" s="3" t="n">
        <v>73.86</v>
      </c>
      <c r="S842" s="3" t="n">
        <v>43.61</v>
      </c>
      <c r="T842" s="3" t="n">
        <v>22.45</v>
      </c>
      <c r="U842" s="4" t="n">
        <v>0.304</v>
      </c>
      <c r="V842" s="3" t="n">
        <v>7.8</v>
      </c>
      <c r="W842" t="inlineStr">
        <is>
          <t>Bank Transfer</t>
        </is>
      </c>
      <c r="X842" t="inlineStr">
        <is>
          <t>Critical</t>
        </is>
      </c>
      <c r="Y842" t="n">
        <v>2023</v>
      </c>
      <c r="Z842" t="n">
        <v>11</v>
      </c>
      <c r="AA842" t="inlineStr">
        <is>
          <t>Nov</t>
        </is>
      </c>
      <c r="AB842" t="inlineStr">
        <is>
          <t>Monday</t>
        </is>
      </c>
      <c r="AC842" t="n">
        <v>1</v>
      </c>
      <c r="AD842" t="inlineStr">
        <is>
          <t>Profitable</t>
        </is>
      </c>
      <c r="AE842" t="inlineStr">
        <is>
          <t>High</t>
        </is>
      </c>
      <c r="AF842" t="inlineStr">
        <is>
          <t>Small</t>
        </is>
      </c>
    </row>
    <row r="843">
      <c r="A843" t="inlineStr">
        <is>
          <t>ORD-00842</t>
        </is>
      </c>
      <c r="B843" s="2" t="n">
        <v>45897</v>
      </c>
      <c r="C843" s="2" t="n">
        <v>45902</v>
      </c>
      <c r="D843" t="inlineStr">
        <is>
          <t>CUST-00842</t>
        </is>
      </c>
      <c r="E843" t="inlineStr">
        <is>
          <t>Customer 842</t>
        </is>
      </c>
      <c r="F843" t="inlineStr">
        <is>
          <t>Consumer</t>
        </is>
      </c>
      <c r="G843" t="inlineStr">
        <is>
          <t>P1020</t>
        </is>
      </c>
      <c r="H843" t="inlineStr">
        <is>
          <t>FlexNote Notebook</t>
        </is>
      </c>
      <c r="I843" t="inlineStr">
        <is>
          <t>Office Supplies</t>
        </is>
      </c>
      <c r="J843" t="inlineStr">
        <is>
          <t>Chairs</t>
        </is>
      </c>
      <c r="K843" t="inlineStr">
        <is>
          <t>South</t>
        </is>
      </c>
      <c r="L843" t="inlineStr">
        <is>
          <t>Georgia</t>
        </is>
      </c>
      <c r="M843" t="inlineStr">
        <is>
          <t>Miami</t>
        </is>
      </c>
      <c r="N843" t="inlineStr">
        <is>
          <t>James Carter</t>
        </is>
      </c>
      <c r="O843" t="n">
        <v>3</v>
      </c>
      <c r="P843" s="3" t="n">
        <v>72.15000000000001</v>
      </c>
      <c r="Q843" s="4" t="n">
        <v>0.008</v>
      </c>
      <c r="R843" s="3" t="n">
        <v>214.72</v>
      </c>
      <c r="S843" s="3" t="n">
        <v>103.8</v>
      </c>
      <c r="T843" s="3" t="n">
        <v>102.52</v>
      </c>
      <c r="U843" s="4" t="n">
        <v>0.4775</v>
      </c>
      <c r="V843" s="3" t="n">
        <v>8.4</v>
      </c>
      <c r="W843" t="inlineStr">
        <is>
          <t>Cash on Delivery</t>
        </is>
      </c>
      <c r="X843" t="inlineStr">
        <is>
          <t>Medium</t>
        </is>
      </c>
      <c r="Y843" t="n">
        <v>2025</v>
      </c>
      <c r="Z843" t="n">
        <v>8</v>
      </c>
      <c r="AA843" t="inlineStr">
        <is>
          <t>Aug</t>
        </is>
      </c>
      <c r="AB843" t="inlineStr">
        <is>
          <t>Thursday</t>
        </is>
      </c>
      <c r="AC843" t="n">
        <v>5</v>
      </c>
      <c r="AD843" t="inlineStr">
        <is>
          <t>Profitable</t>
        </is>
      </c>
      <c r="AE843" t="inlineStr">
        <is>
          <t>Low</t>
        </is>
      </c>
      <c r="AF843" t="inlineStr">
        <is>
          <t>Small</t>
        </is>
      </c>
    </row>
    <row r="844">
      <c r="A844" t="inlineStr">
        <is>
          <t>ORD-00843</t>
        </is>
      </c>
      <c r="B844" s="2" t="n">
        <v>45013</v>
      </c>
      <c r="C844" s="2" t="n">
        <v>45017</v>
      </c>
      <c r="D844" t="inlineStr">
        <is>
          <t>CUST-00843</t>
        </is>
      </c>
      <c r="E844" t="inlineStr">
        <is>
          <t>Customer 843</t>
        </is>
      </c>
      <c r="F844" t="inlineStr">
        <is>
          <t>Consumer</t>
        </is>
      </c>
      <c r="G844" t="inlineStr">
        <is>
          <t>P1017</t>
        </is>
      </c>
      <c r="H844" t="inlineStr">
        <is>
          <t>CloudDrive File Box</t>
        </is>
      </c>
      <c r="I844" t="inlineStr">
        <is>
          <t>Office Supplies</t>
        </is>
      </c>
      <c r="J844" t="inlineStr">
        <is>
          <t>Desks</t>
        </is>
      </c>
      <c r="K844" t="inlineStr">
        <is>
          <t>Central</t>
        </is>
      </c>
      <c r="L844" t="inlineStr">
        <is>
          <t>Missouri</t>
        </is>
      </c>
      <c r="M844" t="inlineStr">
        <is>
          <t>Kansas City</t>
        </is>
      </c>
      <c r="N844" t="inlineStr">
        <is>
          <t>Sophia Singh</t>
        </is>
      </c>
      <c r="O844" t="n">
        <v>3</v>
      </c>
      <c r="P844" s="3" t="n">
        <v>554.1900000000001</v>
      </c>
      <c r="Q844" s="4" t="n">
        <v>0.02</v>
      </c>
      <c r="R844" s="3" t="n">
        <v>1629.32</v>
      </c>
      <c r="S844" s="3" t="n">
        <v>1082.38</v>
      </c>
      <c r="T844" s="3" t="n">
        <v>538.54</v>
      </c>
      <c r="U844" s="4" t="n">
        <v>0.3305</v>
      </c>
      <c r="V844" s="3" t="n">
        <v>8.4</v>
      </c>
      <c r="W844" t="inlineStr">
        <is>
          <t>Debit Card</t>
        </is>
      </c>
      <c r="X844" t="inlineStr">
        <is>
          <t>Medium</t>
        </is>
      </c>
      <c r="Y844" t="n">
        <v>2023</v>
      </c>
      <c r="Z844" t="n">
        <v>3</v>
      </c>
      <c r="AA844" t="inlineStr">
        <is>
          <t>Mar</t>
        </is>
      </c>
      <c r="AB844" t="inlineStr">
        <is>
          <t>Tuesday</t>
        </is>
      </c>
      <c r="AC844" t="n">
        <v>4</v>
      </c>
      <c r="AD844" t="inlineStr">
        <is>
          <t>Profitable</t>
        </is>
      </c>
      <c r="AE844" t="inlineStr">
        <is>
          <t>Medium</t>
        </is>
      </c>
      <c r="AF844" t="inlineStr">
        <is>
          <t>Large</t>
        </is>
      </c>
    </row>
    <row r="845">
      <c r="A845" t="inlineStr">
        <is>
          <t>ORD-00844</t>
        </is>
      </c>
      <c r="B845" s="2" t="n">
        <v>45865</v>
      </c>
      <c r="C845" s="2" t="n">
        <v>45872</v>
      </c>
      <c r="D845" t="inlineStr">
        <is>
          <t>CUST-00844</t>
        </is>
      </c>
      <c r="E845" t="inlineStr">
        <is>
          <t>Customer 844</t>
        </is>
      </c>
      <c r="F845" t="inlineStr">
        <is>
          <t>Consumer</t>
        </is>
      </c>
      <c r="G845" t="inlineStr">
        <is>
          <t>P1003</t>
        </is>
      </c>
      <c r="H845" t="inlineStr">
        <is>
          <t>CloudDrive File Box</t>
        </is>
      </c>
      <c r="I845" t="inlineStr">
        <is>
          <t>Furniture</t>
        </is>
      </c>
      <c r="J845" t="inlineStr">
        <is>
          <t>Peripherals</t>
        </is>
      </c>
      <c r="K845" t="inlineStr">
        <is>
          <t>Central</t>
        </is>
      </c>
      <c r="L845" t="inlineStr">
        <is>
          <t>Illinois</t>
        </is>
      </c>
      <c r="M845" t="inlineStr">
        <is>
          <t>Minneapolis</t>
        </is>
      </c>
      <c r="N845" t="inlineStr">
        <is>
          <t>Ethan Brooks</t>
        </is>
      </c>
      <c r="O845" t="n">
        <v>1</v>
      </c>
      <c r="P845" s="3" t="n">
        <v>154.02</v>
      </c>
      <c r="Q845" s="4" t="n">
        <v>0.011</v>
      </c>
      <c r="R845" s="3" t="n">
        <v>152.33</v>
      </c>
      <c r="S845" s="3" t="n">
        <v>82.17</v>
      </c>
      <c r="T845" s="3" t="n">
        <v>63.36</v>
      </c>
      <c r="U845" s="4" t="n">
        <v>0.4159</v>
      </c>
      <c r="V845" s="3" t="n">
        <v>6.8</v>
      </c>
      <c r="W845" t="inlineStr">
        <is>
          <t>Credit Card</t>
        </is>
      </c>
      <c r="X845" t="inlineStr">
        <is>
          <t>Medium</t>
        </is>
      </c>
      <c r="Y845" t="n">
        <v>2025</v>
      </c>
      <c r="Z845" t="n">
        <v>7</v>
      </c>
      <c r="AA845" t="inlineStr">
        <is>
          <t>Jul</t>
        </is>
      </c>
      <c r="AB845" t="inlineStr">
        <is>
          <t>Sunday</t>
        </is>
      </c>
      <c r="AC845" t="n">
        <v>7</v>
      </c>
      <c r="AD845" t="inlineStr">
        <is>
          <t>Profitable</t>
        </is>
      </c>
      <c r="AE845" t="inlineStr">
        <is>
          <t>Low</t>
        </is>
      </c>
      <c r="AF845" t="inlineStr">
        <is>
          <t>Small</t>
        </is>
      </c>
    </row>
    <row r="846">
      <c r="A846" t="inlineStr">
        <is>
          <t>ORD-00845</t>
        </is>
      </c>
      <c r="B846" s="2" t="n">
        <v>45273</v>
      </c>
      <c r="C846" s="2" t="n">
        <v>45274</v>
      </c>
      <c r="D846" t="inlineStr">
        <is>
          <t>CUST-00845</t>
        </is>
      </c>
      <c r="E846" t="inlineStr">
        <is>
          <t>Customer 845</t>
        </is>
      </c>
      <c r="F846" t="inlineStr">
        <is>
          <t>Consumer</t>
        </is>
      </c>
      <c r="G846" t="inlineStr">
        <is>
          <t>P1004</t>
        </is>
      </c>
      <c r="H846" t="inlineStr">
        <is>
          <t>Nova Laptop Stand</t>
        </is>
      </c>
      <c r="I846" t="inlineStr">
        <is>
          <t>Office Supplies</t>
        </is>
      </c>
      <c r="J846" t="inlineStr">
        <is>
          <t>Peripherals</t>
        </is>
      </c>
      <c r="K846" t="inlineStr">
        <is>
          <t>West</t>
        </is>
      </c>
      <c r="L846" t="inlineStr">
        <is>
          <t>Oregon</t>
        </is>
      </c>
      <c r="M846" t="inlineStr">
        <is>
          <t>Los Angeles</t>
        </is>
      </c>
      <c r="N846" t="inlineStr">
        <is>
          <t>Liam Chen</t>
        </is>
      </c>
      <c r="O846" t="n">
        <v>5</v>
      </c>
      <c r="P846" s="3" t="n">
        <v>673.49</v>
      </c>
      <c r="Q846" s="4" t="n">
        <v>0.022</v>
      </c>
      <c r="R846" s="3" t="n">
        <v>3293.37</v>
      </c>
      <c r="S846" s="3" t="n">
        <v>2083.18</v>
      </c>
      <c r="T846" s="3" t="n">
        <v>1199.19</v>
      </c>
      <c r="U846" s="4" t="n">
        <v>0.3641</v>
      </c>
      <c r="V846" s="3" t="n">
        <v>11</v>
      </c>
      <c r="W846" t="inlineStr">
        <is>
          <t>Debit Card</t>
        </is>
      </c>
      <c r="X846" t="inlineStr">
        <is>
          <t>Medium</t>
        </is>
      </c>
      <c r="Y846" t="n">
        <v>2023</v>
      </c>
      <c r="Z846" t="n">
        <v>12</v>
      </c>
      <c r="AA846" t="inlineStr">
        <is>
          <t>Dec</t>
        </is>
      </c>
      <c r="AB846" t="inlineStr">
        <is>
          <t>Wednesday</t>
        </is>
      </c>
      <c r="AC846" t="n">
        <v>1</v>
      </c>
      <c r="AD846" t="inlineStr">
        <is>
          <t>Profitable</t>
        </is>
      </c>
      <c r="AE846" t="inlineStr">
        <is>
          <t>Medium</t>
        </is>
      </c>
      <c r="AF846" t="inlineStr">
        <is>
          <t>Large</t>
        </is>
      </c>
    </row>
    <row r="847">
      <c r="A847" t="inlineStr">
        <is>
          <t>ORD-00846</t>
        </is>
      </c>
      <c r="B847" s="2" t="n">
        <v>45574</v>
      </c>
      <c r="C847" s="2" t="n">
        <v>45576</v>
      </c>
      <c r="D847" t="inlineStr">
        <is>
          <t>CUST-00846</t>
        </is>
      </c>
      <c r="E847" t="inlineStr">
        <is>
          <t>Customer 846</t>
        </is>
      </c>
      <c r="F847" t="inlineStr">
        <is>
          <t>Consumer</t>
        </is>
      </c>
      <c r="G847" t="inlineStr">
        <is>
          <t>P1018</t>
        </is>
      </c>
      <c r="H847" t="inlineStr">
        <is>
          <t>Tide Cooler</t>
        </is>
      </c>
      <c r="I847" t="inlineStr">
        <is>
          <t>Outdoor</t>
        </is>
      </c>
      <c r="J847" t="inlineStr">
        <is>
          <t>Flooring</t>
        </is>
      </c>
      <c r="K847" t="inlineStr">
        <is>
          <t>East</t>
        </is>
      </c>
      <c r="L847" t="inlineStr">
        <is>
          <t>Massachusetts</t>
        </is>
      </c>
      <c r="M847" t="inlineStr">
        <is>
          <t>Philadelphia</t>
        </is>
      </c>
      <c r="N847" t="inlineStr">
        <is>
          <t>Ava Patel</t>
        </is>
      </c>
      <c r="O847" t="n">
        <v>1</v>
      </c>
      <c r="P847" s="3" t="n">
        <v>94.33</v>
      </c>
      <c r="Q847" s="4" t="n">
        <v>0.046</v>
      </c>
      <c r="R847" s="3" t="n">
        <v>89.98999999999999</v>
      </c>
      <c r="S847" s="3" t="n">
        <v>45.43</v>
      </c>
      <c r="T847" s="3" t="n">
        <v>36.76</v>
      </c>
      <c r="U847" s="4" t="n">
        <v>0.4085</v>
      </c>
      <c r="V847" s="3" t="n">
        <v>7.8</v>
      </c>
      <c r="W847" t="inlineStr">
        <is>
          <t>Bank Transfer</t>
        </is>
      </c>
      <c r="X847" t="inlineStr">
        <is>
          <t>High</t>
        </is>
      </c>
      <c r="Y847" t="n">
        <v>2024</v>
      </c>
      <c r="Z847" t="n">
        <v>10</v>
      </c>
      <c r="AA847" t="inlineStr">
        <is>
          <t>Oct</t>
        </is>
      </c>
      <c r="AB847" t="inlineStr">
        <is>
          <t>Wednesday</t>
        </is>
      </c>
      <c r="AC847" t="n">
        <v>2</v>
      </c>
      <c r="AD847" t="inlineStr">
        <is>
          <t>Profitable</t>
        </is>
      </c>
      <c r="AE847" t="inlineStr">
        <is>
          <t>Medium</t>
        </is>
      </c>
      <c r="AF847" t="inlineStr">
        <is>
          <t>Small</t>
        </is>
      </c>
    </row>
    <row r="848">
      <c r="A848" t="inlineStr">
        <is>
          <t>ORD-00847</t>
        </is>
      </c>
      <c r="B848" s="2" t="n">
        <v>45242</v>
      </c>
      <c r="C848" s="2" t="n">
        <v>45248</v>
      </c>
      <c r="D848" t="inlineStr">
        <is>
          <t>CUST-00847</t>
        </is>
      </c>
      <c r="E848" t="inlineStr">
        <is>
          <t>Customer 847</t>
        </is>
      </c>
      <c r="F848" t="inlineStr">
        <is>
          <t>Consumer</t>
        </is>
      </c>
      <c r="G848" t="inlineStr">
        <is>
          <t>P1001</t>
        </is>
      </c>
      <c r="H848" t="inlineStr">
        <is>
          <t>SmartInk Pen Set</t>
        </is>
      </c>
      <c r="I848" t="inlineStr">
        <is>
          <t>Office Supplies</t>
        </is>
      </c>
      <c r="J848" t="inlineStr">
        <is>
          <t>Lighting</t>
        </is>
      </c>
      <c r="K848" t="inlineStr">
        <is>
          <t>West</t>
        </is>
      </c>
      <c r="L848" t="inlineStr">
        <is>
          <t>California</t>
        </is>
      </c>
      <c r="M848" t="inlineStr">
        <is>
          <t>San Francisco</t>
        </is>
      </c>
      <c r="N848" t="inlineStr">
        <is>
          <t>Mia Rodriguez</t>
        </is>
      </c>
      <c r="O848" t="n">
        <v>3</v>
      </c>
      <c r="P848" s="3" t="n">
        <v>326.19</v>
      </c>
      <c r="Q848" s="4" t="n">
        <v>0.055</v>
      </c>
      <c r="R848" s="3" t="n">
        <v>924.75</v>
      </c>
      <c r="S848" s="3" t="n">
        <v>541.95</v>
      </c>
      <c r="T848" s="3" t="n">
        <v>373.4</v>
      </c>
      <c r="U848" s="4" t="n">
        <v>0.4038</v>
      </c>
      <c r="V848" s="3" t="n">
        <v>9.4</v>
      </c>
      <c r="W848" t="inlineStr">
        <is>
          <t>PayPal</t>
        </is>
      </c>
      <c r="X848" t="inlineStr">
        <is>
          <t>Critical</t>
        </is>
      </c>
      <c r="Y848" t="n">
        <v>2023</v>
      </c>
      <c r="Z848" t="n">
        <v>11</v>
      </c>
      <c r="AA848" t="inlineStr">
        <is>
          <t>Nov</t>
        </is>
      </c>
      <c r="AB848" t="inlineStr">
        <is>
          <t>Sunday</t>
        </is>
      </c>
      <c r="AC848" t="n">
        <v>6</v>
      </c>
      <c r="AD848" t="inlineStr">
        <is>
          <t>Profitable</t>
        </is>
      </c>
      <c r="AE848" t="inlineStr">
        <is>
          <t>High</t>
        </is>
      </c>
      <c r="AF848" t="inlineStr">
        <is>
          <t>Medium</t>
        </is>
      </c>
    </row>
    <row r="849">
      <c r="A849" t="inlineStr">
        <is>
          <t>ORD-00848</t>
        </is>
      </c>
      <c r="B849" s="2" t="n">
        <v>45675</v>
      </c>
      <c r="C849" s="2" t="n">
        <v>45680</v>
      </c>
      <c r="D849" t="inlineStr">
        <is>
          <t>CUST-00848</t>
        </is>
      </c>
      <c r="E849" t="inlineStr">
        <is>
          <t>Customer 848</t>
        </is>
      </c>
      <c r="F849" t="inlineStr">
        <is>
          <t>Home Office</t>
        </is>
      </c>
      <c r="G849" t="inlineStr">
        <is>
          <t>P1005</t>
        </is>
      </c>
      <c r="H849" t="inlineStr">
        <is>
          <t>Orbit Wireless Mouse</t>
        </is>
      </c>
      <c r="I849" t="inlineStr">
        <is>
          <t>Outdoor</t>
        </is>
      </c>
      <c r="J849" t="inlineStr">
        <is>
          <t>Peripherals</t>
        </is>
      </c>
      <c r="K849" t="inlineStr">
        <is>
          <t>East</t>
        </is>
      </c>
      <c r="L849" t="inlineStr">
        <is>
          <t>New York</t>
        </is>
      </c>
      <c r="M849" t="inlineStr">
        <is>
          <t>Washington</t>
        </is>
      </c>
      <c r="N849" t="inlineStr">
        <is>
          <t>Liam Chen</t>
        </is>
      </c>
      <c r="O849" t="n">
        <v>3</v>
      </c>
      <c r="P849" s="3" t="n">
        <v>13.07</v>
      </c>
      <c r="Q849" s="4" t="n">
        <v>0.005</v>
      </c>
      <c r="R849" s="3" t="n">
        <v>39.01</v>
      </c>
      <c r="S849" s="3" t="n">
        <v>20.13</v>
      </c>
      <c r="T849" s="3" t="n">
        <v>9.48</v>
      </c>
      <c r="U849" s="4" t="n">
        <v>0.243</v>
      </c>
      <c r="V849" s="3" t="n">
        <v>9.4</v>
      </c>
      <c r="W849" t="inlineStr">
        <is>
          <t>Credit Card</t>
        </is>
      </c>
      <c r="X849" t="inlineStr">
        <is>
          <t>Medium</t>
        </is>
      </c>
      <c r="Y849" t="n">
        <v>2025</v>
      </c>
      <c r="Z849" t="n">
        <v>1</v>
      </c>
      <c r="AA849" t="inlineStr">
        <is>
          <t>Jan</t>
        </is>
      </c>
      <c r="AB849" t="inlineStr">
        <is>
          <t>Saturday</t>
        </is>
      </c>
      <c r="AC849" t="n">
        <v>5</v>
      </c>
      <c r="AD849" t="inlineStr">
        <is>
          <t>Profitable</t>
        </is>
      </c>
      <c r="AE849" t="inlineStr">
        <is>
          <t>Low</t>
        </is>
      </c>
      <c r="AF849" t="inlineStr">
        <is>
          <t>Small</t>
        </is>
      </c>
    </row>
    <row r="850">
      <c r="A850" t="inlineStr">
        <is>
          <t>ORD-00849</t>
        </is>
      </c>
      <c r="B850" s="2" t="n">
        <v>45481</v>
      </c>
      <c r="C850" s="2" t="n">
        <v>45482</v>
      </c>
      <c r="D850" t="inlineStr">
        <is>
          <t>CUST-00849</t>
        </is>
      </c>
      <c r="E850" t="inlineStr">
        <is>
          <t>Customer 849</t>
        </is>
      </c>
      <c r="F850" t="inlineStr">
        <is>
          <t>Home Office</t>
        </is>
      </c>
      <c r="G850" t="inlineStr">
        <is>
          <t>P1018</t>
        </is>
      </c>
      <c r="H850" t="inlineStr">
        <is>
          <t>Atlas Throw Pillow</t>
        </is>
      </c>
      <c r="I850" t="inlineStr">
        <is>
          <t>Outdoor</t>
        </is>
      </c>
      <c r="J850" t="inlineStr">
        <is>
          <t>Coolers</t>
        </is>
      </c>
      <c r="K850" t="inlineStr">
        <is>
          <t>West</t>
        </is>
      </c>
      <c r="L850" t="inlineStr">
        <is>
          <t>Washington</t>
        </is>
      </c>
      <c r="M850" t="inlineStr">
        <is>
          <t>Denver</t>
        </is>
      </c>
      <c r="N850" t="inlineStr">
        <is>
          <t>Mia Rodriguez</t>
        </is>
      </c>
      <c r="O850" t="n">
        <v>4</v>
      </c>
      <c r="P850" s="3" t="n">
        <v>93.36</v>
      </c>
      <c r="Q850" s="4" t="n">
        <v>0.014</v>
      </c>
      <c r="R850" s="3" t="n">
        <v>368.21</v>
      </c>
      <c r="S850" s="3" t="n">
        <v>170.13</v>
      </c>
      <c r="T850" s="3" t="n">
        <v>187.88</v>
      </c>
      <c r="U850" s="4" t="n">
        <v>0.5103</v>
      </c>
      <c r="V850" s="3" t="n">
        <v>10.2</v>
      </c>
      <c r="W850" t="inlineStr">
        <is>
          <t>Credit Card</t>
        </is>
      </c>
      <c r="X850" t="inlineStr">
        <is>
          <t>Low</t>
        </is>
      </c>
      <c r="Y850" t="n">
        <v>2024</v>
      </c>
      <c r="Z850" t="n">
        <v>7</v>
      </c>
      <c r="AA850" t="inlineStr">
        <is>
          <t>Jul</t>
        </is>
      </c>
      <c r="AB850" t="inlineStr">
        <is>
          <t>Monday</t>
        </is>
      </c>
      <c r="AC850" t="n">
        <v>1</v>
      </c>
      <c r="AD850" t="inlineStr">
        <is>
          <t>Profitable</t>
        </is>
      </c>
      <c r="AE850" t="inlineStr">
        <is>
          <t>Low</t>
        </is>
      </c>
      <c r="AF850" t="inlineStr">
        <is>
          <t>Small</t>
        </is>
      </c>
    </row>
    <row r="851">
      <c r="A851" t="inlineStr">
        <is>
          <t>ORD-00850</t>
        </is>
      </c>
      <c r="B851" s="2" t="n">
        <v>45560</v>
      </c>
      <c r="C851" s="2" t="n">
        <v>45566</v>
      </c>
      <c r="D851" t="inlineStr">
        <is>
          <t>CUST-00850</t>
        </is>
      </c>
      <c r="E851" t="inlineStr">
        <is>
          <t>Customer 850</t>
        </is>
      </c>
      <c r="F851" t="inlineStr">
        <is>
          <t>Consumer</t>
        </is>
      </c>
      <c r="G851" t="inlineStr">
        <is>
          <t>P1013</t>
        </is>
      </c>
      <c r="H851" t="inlineStr">
        <is>
          <t>Nimbus Monitor Arm</t>
        </is>
      </c>
      <c r="I851" t="inlineStr">
        <is>
          <t>Office Supplies</t>
        </is>
      </c>
      <c r="J851" t="inlineStr">
        <is>
          <t>Accessories</t>
        </is>
      </c>
      <c r="K851" t="inlineStr">
        <is>
          <t>West</t>
        </is>
      </c>
      <c r="L851" t="inlineStr">
        <is>
          <t>California</t>
        </is>
      </c>
      <c r="M851" t="inlineStr">
        <is>
          <t>Seattle</t>
        </is>
      </c>
      <c r="N851" t="inlineStr">
        <is>
          <t>James Carter</t>
        </is>
      </c>
      <c r="O851" t="n">
        <v>3</v>
      </c>
      <c r="P851" s="3" t="n">
        <v>174.15</v>
      </c>
      <c r="Q851" s="4" t="n">
        <v>0.007</v>
      </c>
      <c r="R851" s="3" t="n">
        <v>518.79</v>
      </c>
      <c r="S851" s="3" t="n">
        <v>302.06</v>
      </c>
      <c r="T851" s="3" t="n">
        <v>207.33</v>
      </c>
      <c r="U851" s="4" t="n">
        <v>0.3996</v>
      </c>
      <c r="V851" s="3" t="n">
        <v>9.4</v>
      </c>
      <c r="W851" t="inlineStr">
        <is>
          <t>PayPal</t>
        </is>
      </c>
      <c r="X851" t="inlineStr">
        <is>
          <t>Low</t>
        </is>
      </c>
      <c r="Y851" t="n">
        <v>2024</v>
      </c>
      <c r="Z851" t="n">
        <v>9</v>
      </c>
      <c r="AA851" t="inlineStr">
        <is>
          <t>Sep</t>
        </is>
      </c>
      <c r="AB851" t="inlineStr">
        <is>
          <t>Wednesday</t>
        </is>
      </c>
      <c r="AC851" t="n">
        <v>6</v>
      </c>
      <c r="AD851" t="inlineStr">
        <is>
          <t>Profitable</t>
        </is>
      </c>
      <c r="AE851" t="inlineStr">
        <is>
          <t>Low</t>
        </is>
      </c>
      <c r="AF851" t="inlineStr">
        <is>
          <t>Medium</t>
        </is>
      </c>
    </row>
    <row r="852">
      <c r="A852" t="inlineStr">
        <is>
          <t>ORD-00851</t>
        </is>
      </c>
      <c r="B852" s="2" t="n">
        <v>45248</v>
      </c>
      <c r="C852" s="2" t="n">
        <v>45249</v>
      </c>
      <c r="D852" t="inlineStr">
        <is>
          <t>CUST-00851</t>
        </is>
      </c>
      <c r="E852" t="inlineStr">
        <is>
          <t>Customer 851</t>
        </is>
      </c>
      <c r="F852" t="inlineStr">
        <is>
          <t>Consumer</t>
        </is>
      </c>
      <c r="G852" t="inlineStr">
        <is>
          <t>P1014</t>
        </is>
      </c>
      <c r="H852" t="inlineStr">
        <is>
          <t>Orbit Wireless Mouse</t>
        </is>
      </c>
      <c r="I852" t="inlineStr">
        <is>
          <t>Office Supplies</t>
        </is>
      </c>
      <c r="J852" t="inlineStr">
        <is>
          <t>Accessories</t>
        </is>
      </c>
      <c r="K852" t="inlineStr">
        <is>
          <t>Central</t>
        </is>
      </c>
      <c r="L852" t="inlineStr">
        <is>
          <t>Missouri</t>
        </is>
      </c>
      <c r="M852" t="inlineStr">
        <is>
          <t>Kansas City</t>
        </is>
      </c>
      <c r="N852" t="inlineStr">
        <is>
          <t>Liam Chen</t>
        </is>
      </c>
      <c r="O852" t="n">
        <v>3</v>
      </c>
      <c r="P852" s="3" t="n">
        <v>44.37</v>
      </c>
      <c r="Q852" s="4" t="n">
        <v>0.017</v>
      </c>
      <c r="R852" s="3" t="n">
        <v>130.85</v>
      </c>
      <c r="S852" s="3" t="n">
        <v>59.84</v>
      </c>
      <c r="T852" s="3" t="n">
        <v>62.61</v>
      </c>
      <c r="U852" s="4" t="n">
        <v>0.4785</v>
      </c>
      <c r="V852" s="3" t="n">
        <v>8.4</v>
      </c>
      <c r="W852" t="inlineStr">
        <is>
          <t>PayPal</t>
        </is>
      </c>
      <c r="X852" t="inlineStr">
        <is>
          <t>Low</t>
        </is>
      </c>
      <c r="Y852" t="n">
        <v>2023</v>
      </c>
      <c r="Z852" t="n">
        <v>11</v>
      </c>
      <c r="AA852" t="inlineStr">
        <is>
          <t>Nov</t>
        </is>
      </c>
      <c r="AB852" t="inlineStr">
        <is>
          <t>Saturday</t>
        </is>
      </c>
      <c r="AC852" t="n">
        <v>1</v>
      </c>
      <c r="AD852" t="inlineStr">
        <is>
          <t>Profitable</t>
        </is>
      </c>
      <c r="AE852" t="inlineStr">
        <is>
          <t>Low</t>
        </is>
      </c>
      <c r="AF852" t="inlineStr">
        <is>
          <t>Small</t>
        </is>
      </c>
    </row>
    <row r="853">
      <c r="A853" t="inlineStr">
        <is>
          <t>ORD-00852</t>
        </is>
      </c>
      <c r="B853" s="2" t="n">
        <v>45682</v>
      </c>
      <c r="C853" s="2" t="n">
        <v>45686</v>
      </c>
      <c r="D853" t="inlineStr">
        <is>
          <t>CUST-00852</t>
        </is>
      </c>
      <c r="E853" t="inlineStr">
        <is>
          <t>Customer 852</t>
        </is>
      </c>
      <c r="F853" t="inlineStr">
        <is>
          <t>Home Office</t>
        </is>
      </c>
      <c r="G853" t="inlineStr">
        <is>
          <t>P1020</t>
        </is>
      </c>
      <c r="H853" t="inlineStr">
        <is>
          <t>CloudDrive File Box</t>
        </is>
      </c>
      <c r="I853" t="inlineStr">
        <is>
          <t>Office Supplies</t>
        </is>
      </c>
      <c r="J853" t="inlineStr">
        <is>
          <t>Bags</t>
        </is>
      </c>
      <c r="K853" t="inlineStr">
        <is>
          <t>South</t>
        </is>
      </c>
      <c r="L853" t="inlineStr">
        <is>
          <t>Florida</t>
        </is>
      </c>
      <c r="M853" t="inlineStr">
        <is>
          <t>Miami</t>
        </is>
      </c>
      <c r="N853" t="inlineStr">
        <is>
          <t>Olivia Martin</t>
        </is>
      </c>
      <c r="O853" t="n">
        <v>3</v>
      </c>
      <c r="P853" s="3" t="n">
        <v>70.81</v>
      </c>
      <c r="Q853" s="4" t="n">
        <v>0.042</v>
      </c>
      <c r="R853" s="3" t="n">
        <v>203.51</v>
      </c>
      <c r="S853" s="3" t="n">
        <v>95.72</v>
      </c>
      <c r="T853" s="3" t="n">
        <v>99.39</v>
      </c>
      <c r="U853" s="4" t="n">
        <v>0.4884</v>
      </c>
      <c r="V853" s="3" t="n">
        <v>8.4</v>
      </c>
      <c r="W853" t="inlineStr">
        <is>
          <t>PayPal</t>
        </is>
      </c>
      <c r="X853" t="inlineStr">
        <is>
          <t>High</t>
        </is>
      </c>
      <c r="Y853" t="n">
        <v>2025</v>
      </c>
      <c r="Z853" t="n">
        <v>1</v>
      </c>
      <c r="AA853" t="inlineStr">
        <is>
          <t>Jan</t>
        </is>
      </c>
      <c r="AB853" t="inlineStr">
        <is>
          <t>Saturday</t>
        </is>
      </c>
      <c r="AC853" t="n">
        <v>4</v>
      </c>
      <c r="AD853" t="inlineStr">
        <is>
          <t>Profitable</t>
        </is>
      </c>
      <c r="AE853" t="inlineStr">
        <is>
          <t>Medium</t>
        </is>
      </c>
      <c r="AF853" t="inlineStr">
        <is>
          <t>Small</t>
        </is>
      </c>
    </row>
    <row r="854">
      <c r="A854" t="inlineStr">
        <is>
          <t>ORD-00853</t>
        </is>
      </c>
      <c r="B854" s="2" t="n">
        <v>45253</v>
      </c>
      <c r="C854" s="2" t="n">
        <v>45257</v>
      </c>
      <c r="D854" t="inlineStr">
        <is>
          <t>CUST-00853</t>
        </is>
      </c>
      <c r="E854" t="inlineStr">
        <is>
          <t>Customer 853</t>
        </is>
      </c>
      <c r="F854" t="inlineStr">
        <is>
          <t>Home Office</t>
        </is>
      </c>
      <c r="G854" t="inlineStr">
        <is>
          <t>P1003</t>
        </is>
      </c>
      <c r="H854" t="inlineStr">
        <is>
          <t>Tide Cooler</t>
        </is>
      </c>
      <c r="I854" t="inlineStr">
        <is>
          <t>Office Supplies</t>
        </is>
      </c>
      <c r="J854" t="inlineStr">
        <is>
          <t>Video</t>
        </is>
      </c>
      <c r="K854" t="inlineStr">
        <is>
          <t>East</t>
        </is>
      </c>
      <c r="L854" t="inlineStr">
        <is>
          <t>Massachusetts</t>
        </is>
      </c>
      <c r="M854" t="inlineStr">
        <is>
          <t>New York</t>
        </is>
      </c>
      <c r="N854" t="inlineStr">
        <is>
          <t>Mia Rodriguez</t>
        </is>
      </c>
      <c r="O854" t="n">
        <v>4</v>
      </c>
      <c r="P854" s="3" t="n">
        <v>161.89</v>
      </c>
      <c r="Q854" s="4" t="n">
        <v>0.014</v>
      </c>
      <c r="R854" s="3" t="n">
        <v>638.49</v>
      </c>
      <c r="S854" s="3" t="n">
        <v>330.5</v>
      </c>
      <c r="T854" s="3" t="n">
        <v>297.79</v>
      </c>
      <c r="U854" s="4" t="n">
        <v>0.4664</v>
      </c>
      <c r="V854" s="3" t="n">
        <v>10.2</v>
      </c>
      <c r="W854" t="inlineStr">
        <is>
          <t>Credit Card</t>
        </is>
      </c>
      <c r="X854" t="inlineStr">
        <is>
          <t>Medium</t>
        </is>
      </c>
      <c r="Y854" t="n">
        <v>2023</v>
      </c>
      <c r="Z854" t="n">
        <v>11</v>
      </c>
      <c r="AA854" t="inlineStr">
        <is>
          <t>Nov</t>
        </is>
      </c>
      <c r="AB854" t="inlineStr">
        <is>
          <t>Thursday</t>
        </is>
      </c>
      <c r="AC854" t="n">
        <v>4</v>
      </c>
      <c r="AD854" t="inlineStr">
        <is>
          <t>Profitable</t>
        </is>
      </c>
      <c r="AE854" t="inlineStr">
        <is>
          <t>Low</t>
        </is>
      </c>
      <c r="AF854" t="inlineStr">
        <is>
          <t>Medium</t>
        </is>
      </c>
    </row>
    <row r="855">
      <c r="A855" t="inlineStr">
        <is>
          <t>ORD-00854</t>
        </is>
      </c>
      <c r="B855" s="2" t="n">
        <v>45894</v>
      </c>
      <c r="C855" s="2" t="n">
        <v>45898</v>
      </c>
      <c r="D855" t="inlineStr">
        <is>
          <t>CUST-00854</t>
        </is>
      </c>
      <c r="E855" t="inlineStr">
        <is>
          <t>Customer 854</t>
        </is>
      </c>
      <c r="F855" t="inlineStr">
        <is>
          <t>Home Office</t>
        </is>
      </c>
      <c r="G855" t="inlineStr">
        <is>
          <t>P1006</t>
        </is>
      </c>
      <c r="H855" t="inlineStr">
        <is>
          <t>Aero Standing Desk</t>
        </is>
      </c>
      <c r="I855" t="inlineStr">
        <is>
          <t>Technology</t>
        </is>
      </c>
      <c r="J855" t="inlineStr">
        <is>
          <t>Decor</t>
        </is>
      </c>
      <c r="K855" t="inlineStr">
        <is>
          <t>East</t>
        </is>
      </c>
      <c r="L855" t="inlineStr">
        <is>
          <t>New York</t>
        </is>
      </c>
      <c r="M855" t="inlineStr">
        <is>
          <t>Philadelphia</t>
        </is>
      </c>
      <c r="N855" t="inlineStr">
        <is>
          <t>Olivia Martin</t>
        </is>
      </c>
      <c r="O855" t="n">
        <v>4</v>
      </c>
      <c r="P855" s="3" t="n">
        <v>20.02</v>
      </c>
      <c r="Q855" s="4" t="n">
        <v>0.047</v>
      </c>
      <c r="R855" s="3" t="n">
        <v>76.31999999999999</v>
      </c>
      <c r="S855" s="3" t="n">
        <v>33.56</v>
      </c>
      <c r="T855" s="3" t="n">
        <v>32.56</v>
      </c>
      <c r="U855" s="4" t="n">
        <v>0.4266</v>
      </c>
      <c r="V855" s="3" t="n">
        <v>10.2</v>
      </c>
      <c r="W855" t="inlineStr">
        <is>
          <t>Credit Card</t>
        </is>
      </c>
      <c r="X855" t="inlineStr">
        <is>
          <t>High</t>
        </is>
      </c>
      <c r="Y855" t="n">
        <v>2025</v>
      </c>
      <c r="Z855" t="n">
        <v>8</v>
      </c>
      <c r="AA855" t="inlineStr">
        <is>
          <t>Aug</t>
        </is>
      </c>
      <c r="AB855" t="inlineStr">
        <is>
          <t>Monday</t>
        </is>
      </c>
      <c r="AC855" t="n">
        <v>4</v>
      </c>
      <c r="AD855" t="inlineStr">
        <is>
          <t>Profitable</t>
        </is>
      </c>
      <c r="AE855" t="inlineStr">
        <is>
          <t>Medium</t>
        </is>
      </c>
      <c r="AF855" t="inlineStr">
        <is>
          <t>Small</t>
        </is>
      </c>
    </row>
    <row r="856">
      <c r="A856" t="inlineStr">
        <is>
          <t>ORD-00855</t>
        </is>
      </c>
      <c r="B856" s="2" t="n">
        <v>45038</v>
      </c>
      <c r="C856" s="2" t="n">
        <v>45044</v>
      </c>
      <c r="D856" t="inlineStr">
        <is>
          <t>CUST-00855</t>
        </is>
      </c>
      <c r="E856" t="inlineStr">
        <is>
          <t>Customer 855</t>
        </is>
      </c>
      <c r="F856" t="inlineStr">
        <is>
          <t>Home Office</t>
        </is>
      </c>
      <c r="G856" t="inlineStr">
        <is>
          <t>P1011</t>
        </is>
      </c>
      <c r="H856" t="inlineStr">
        <is>
          <t>Echo Web Camera</t>
        </is>
      </c>
      <c r="I856" t="inlineStr">
        <is>
          <t>Outdoor</t>
        </is>
      </c>
      <c r="J856" t="inlineStr">
        <is>
          <t>Lighting</t>
        </is>
      </c>
      <c r="K856" t="inlineStr">
        <is>
          <t>South</t>
        </is>
      </c>
      <c r="L856" t="inlineStr">
        <is>
          <t>Texas</t>
        </is>
      </c>
      <c r="M856" t="inlineStr">
        <is>
          <t>Miami</t>
        </is>
      </c>
      <c r="N856" t="inlineStr">
        <is>
          <t>Liam Chen</t>
        </is>
      </c>
      <c r="O856" t="n">
        <v>2</v>
      </c>
      <c r="P856" s="3" t="n">
        <v>84.26000000000001</v>
      </c>
      <c r="Q856" s="4" t="n">
        <v>0.059</v>
      </c>
      <c r="R856" s="3" t="n">
        <v>158.58</v>
      </c>
      <c r="S856" s="3" t="n">
        <v>82.86</v>
      </c>
      <c r="T856" s="3" t="n">
        <v>68.12</v>
      </c>
      <c r="U856" s="4" t="n">
        <v>0.4296</v>
      </c>
      <c r="V856" s="3" t="n">
        <v>7.6</v>
      </c>
      <c r="W856" t="inlineStr">
        <is>
          <t>Credit Card</t>
        </is>
      </c>
      <c r="X856" t="inlineStr">
        <is>
          <t>Critical</t>
        </is>
      </c>
      <c r="Y856" t="n">
        <v>2023</v>
      </c>
      <c r="Z856" t="n">
        <v>4</v>
      </c>
      <c r="AA856" t="inlineStr">
        <is>
          <t>Apr</t>
        </is>
      </c>
      <c r="AB856" t="inlineStr">
        <is>
          <t>Saturday</t>
        </is>
      </c>
      <c r="AC856" t="n">
        <v>6</v>
      </c>
      <c r="AD856" t="inlineStr">
        <is>
          <t>Profitable</t>
        </is>
      </c>
      <c r="AE856" t="inlineStr">
        <is>
          <t>High</t>
        </is>
      </c>
      <c r="AF856" t="inlineStr">
        <is>
          <t>Small</t>
        </is>
      </c>
    </row>
    <row r="857">
      <c r="A857" t="inlineStr">
        <is>
          <t>ORD-00856</t>
        </is>
      </c>
      <c r="B857" s="2" t="n">
        <v>45048</v>
      </c>
      <c r="C857" s="2" t="n">
        <v>45051</v>
      </c>
      <c r="D857" t="inlineStr">
        <is>
          <t>CUST-00856</t>
        </is>
      </c>
      <c r="E857" t="inlineStr">
        <is>
          <t>Customer 856</t>
        </is>
      </c>
      <c r="F857" t="inlineStr">
        <is>
          <t>Home Office</t>
        </is>
      </c>
      <c r="G857" t="inlineStr">
        <is>
          <t>P1009</t>
        </is>
      </c>
      <c r="H857" t="inlineStr">
        <is>
          <t>FlexNote Notebook</t>
        </is>
      </c>
      <c r="I857" t="inlineStr">
        <is>
          <t>Technology</t>
        </is>
      </c>
      <c r="J857" t="inlineStr">
        <is>
          <t>Peripherals</t>
        </is>
      </c>
      <c r="K857" t="inlineStr">
        <is>
          <t>South</t>
        </is>
      </c>
      <c r="L857" t="inlineStr">
        <is>
          <t>Florida</t>
        </is>
      </c>
      <c r="M857" t="inlineStr">
        <is>
          <t>Atlanta</t>
        </is>
      </c>
      <c r="N857" t="inlineStr">
        <is>
          <t>Olivia Martin</t>
        </is>
      </c>
      <c r="O857" t="n">
        <v>5</v>
      </c>
      <c r="P857" s="3" t="n">
        <v>85.89</v>
      </c>
      <c r="Q857" s="4" t="n">
        <v>0.017</v>
      </c>
      <c r="R857" s="3" t="n">
        <v>422.15</v>
      </c>
      <c r="S857" s="3" t="n">
        <v>207.84</v>
      </c>
      <c r="T857" s="3" t="n">
        <v>204.31</v>
      </c>
      <c r="U857" s="4" t="n">
        <v>0.484</v>
      </c>
      <c r="V857" s="3" t="n">
        <v>10</v>
      </c>
      <c r="W857" t="inlineStr">
        <is>
          <t>Bank Transfer</t>
        </is>
      </c>
      <c r="X857" t="inlineStr">
        <is>
          <t>High</t>
        </is>
      </c>
      <c r="Y857" t="n">
        <v>2023</v>
      </c>
      <c r="Z857" t="n">
        <v>5</v>
      </c>
      <c r="AA857" t="inlineStr">
        <is>
          <t>May</t>
        </is>
      </c>
      <c r="AB857" t="inlineStr">
        <is>
          <t>Tuesday</t>
        </is>
      </c>
      <c r="AC857" t="n">
        <v>3</v>
      </c>
      <c r="AD857" t="inlineStr">
        <is>
          <t>Profitable</t>
        </is>
      </c>
      <c r="AE857" t="inlineStr">
        <is>
          <t>Low</t>
        </is>
      </c>
      <c r="AF857" t="inlineStr">
        <is>
          <t>Small</t>
        </is>
      </c>
    </row>
    <row r="858">
      <c r="A858" t="inlineStr">
        <is>
          <t>ORD-00857</t>
        </is>
      </c>
      <c r="B858" s="2" t="n">
        <v>45054</v>
      </c>
      <c r="C858" s="2" t="n">
        <v>45060</v>
      </c>
      <c r="D858" t="inlineStr">
        <is>
          <t>CUST-00857</t>
        </is>
      </c>
      <c r="E858" t="inlineStr">
        <is>
          <t>Customer 857</t>
        </is>
      </c>
      <c r="F858" t="inlineStr">
        <is>
          <t>Consumer</t>
        </is>
      </c>
      <c r="G858" t="inlineStr">
        <is>
          <t>P1020</t>
        </is>
      </c>
      <c r="H858" t="inlineStr">
        <is>
          <t>Aero Standing Desk</t>
        </is>
      </c>
      <c r="I858" t="inlineStr">
        <is>
          <t>Home Decor</t>
        </is>
      </c>
      <c r="J858" t="inlineStr">
        <is>
          <t>Coolers</t>
        </is>
      </c>
      <c r="K858" t="inlineStr">
        <is>
          <t>Central</t>
        </is>
      </c>
      <c r="L858" t="inlineStr">
        <is>
          <t>Illinois</t>
        </is>
      </c>
      <c r="M858" t="inlineStr">
        <is>
          <t>St. Louis</t>
        </is>
      </c>
      <c r="N858" t="inlineStr">
        <is>
          <t>Ethan Brooks</t>
        </is>
      </c>
      <c r="O858" t="n">
        <v>4</v>
      </c>
      <c r="P858" s="3" t="n">
        <v>69.40000000000001</v>
      </c>
      <c r="Q858" s="4" t="n">
        <v>0.042</v>
      </c>
      <c r="R858" s="3" t="n">
        <v>265.94</v>
      </c>
      <c r="S858" s="3" t="n">
        <v>123.77</v>
      </c>
      <c r="T858" s="3" t="n">
        <v>132.97</v>
      </c>
      <c r="U858" s="4" t="n">
        <v>0.5</v>
      </c>
      <c r="V858" s="3" t="n">
        <v>9.199999999999999</v>
      </c>
      <c r="W858" t="inlineStr">
        <is>
          <t>Debit Card</t>
        </is>
      </c>
      <c r="X858" t="inlineStr">
        <is>
          <t>High</t>
        </is>
      </c>
      <c r="Y858" t="n">
        <v>2023</v>
      </c>
      <c r="Z858" t="n">
        <v>5</v>
      </c>
      <c r="AA858" t="inlineStr">
        <is>
          <t>May</t>
        </is>
      </c>
      <c r="AB858" t="inlineStr">
        <is>
          <t>Monday</t>
        </is>
      </c>
      <c r="AC858" t="n">
        <v>6</v>
      </c>
      <c r="AD858" t="inlineStr">
        <is>
          <t>Profitable</t>
        </is>
      </c>
      <c r="AE858" t="inlineStr">
        <is>
          <t>Medium</t>
        </is>
      </c>
      <c r="AF858" t="inlineStr">
        <is>
          <t>Small</t>
        </is>
      </c>
    </row>
    <row r="859">
      <c r="A859" t="inlineStr">
        <is>
          <t>ORD-00858</t>
        </is>
      </c>
      <c r="B859" s="2" t="n">
        <v>45514</v>
      </c>
      <c r="C859" s="2" t="n">
        <v>45519</v>
      </c>
      <c r="D859" t="inlineStr">
        <is>
          <t>CUST-00858</t>
        </is>
      </c>
      <c r="E859" t="inlineStr">
        <is>
          <t>Customer 858</t>
        </is>
      </c>
      <c r="F859" t="inlineStr">
        <is>
          <t>Consumer</t>
        </is>
      </c>
      <c r="G859" t="inlineStr">
        <is>
          <t>P1019</t>
        </is>
      </c>
      <c r="H859" t="inlineStr">
        <is>
          <t>Northstar Lantern</t>
        </is>
      </c>
      <c r="I859" t="inlineStr">
        <is>
          <t>Technology</t>
        </is>
      </c>
      <c r="J859" t="inlineStr">
        <is>
          <t>Binders</t>
        </is>
      </c>
      <c r="K859" t="inlineStr">
        <is>
          <t>North</t>
        </is>
      </c>
      <c r="L859" t="inlineStr">
        <is>
          <t>Quebec</t>
        </is>
      </c>
      <c r="M859" t="inlineStr">
        <is>
          <t>Toronto</t>
        </is>
      </c>
      <c r="N859" t="inlineStr">
        <is>
          <t>Ethan Brooks</t>
        </is>
      </c>
      <c r="O859" t="n">
        <v>1</v>
      </c>
      <c r="P859" s="3" t="n">
        <v>59.65</v>
      </c>
      <c r="Q859" s="4" t="n">
        <v>0.018</v>
      </c>
      <c r="R859" s="3" t="n">
        <v>58.58</v>
      </c>
      <c r="S859" s="3" t="n">
        <v>32.61</v>
      </c>
      <c r="T859" s="3" t="n">
        <v>19.17</v>
      </c>
      <c r="U859" s="4" t="n">
        <v>0.3272</v>
      </c>
      <c r="V859" s="3" t="n">
        <v>6.8</v>
      </c>
      <c r="W859" t="inlineStr">
        <is>
          <t>Debit Card</t>
        </is>
      </c>
      <c r="X859" t="inlineStr">
        <is>
          <t>Medium</t>
        </is>
      </c>
      <c r="Y859" t="n">
        <v>2024</v>
      </c>
      <c r="Z859" t="n">
        <v>8</v>
      </c>
      <c r="AA859" t="inlineStr">
        <is>
          <t>Aug</t>
        </is>
      </c>
      <c r="AB859" t="inlineStr">
        <is>
          <t>Saturday</t>
        </is>
      </c>
      <c r="AC859" t="n">
        <v>5</v>
      </c>
      <c r="AD859" t="inlineStr">
        <is>
          <t>Profitable</t>
        </is>
      </c>
      <c r="AE859" t="inlineStr">
        <is>
          <t>Low</t>
        </is>
      </c>
      <c r="AF859" t="inlineStr">
        <is>
          <t>Small</t>
        </is>
      </c>
    </row>
    <row r="860">
      <c r="A860" t="inlineStr">
        <is>
          <t>ORD-00859</t>
        </is>
      </c>
      <c r="B860" s="2" t="n">
        <v>45300</v>
      </c>
      <c r="C860" s="2" t="n">
        <v>45305</v>
      </c>
      <c r="D860" t="inlineStr">
        <is>
          <t>CUST-00859</t>
        </is>
      </c>
      <c r="E860" t="inlineStr">
        <is>
          <t>Customer 859</t>
        </is>
      </c>
      <c r="F860" t="inlineStr">
        <is>
          <t>Corporate</t>
        </is>
      </c>
      <c r="G860" t="inlineStr">
        <is>
          <t>P1007</t>
        </is>
      </c>
      <c r="H860" t="inlineStr">
        <is>
          <t>Northstar Lantern</t>
        </is>
      </c>
      <c r="I860" t="inlineStr">
        <is>
          <t>Home Decor</t>
        </is>
      </c>
      <c r="J860" t="inlineStr">
        <is>
          <t>Lighting</t>
        </is>
      </c>
      <c r="K860" t="inlineStr">
        <is>
          <t>Central</t>
        </is>
      </c>
      <c r="L860" t="inlineStr">
        <is>
          <t>Missouri</t>
        </is>
      </c>
      <c r="M860" t="inlineStr">
        <is>
          <t>St. Louis</t>
        </is>
      </c>
      <c r="N860" t="inlineStr">
        <is>
          <t>Ethan Brooks</t>
        </is>
      </c>
      <c r="O860" t="n">
        <v>2</v>
      </c>
      <c r="P860" s="3" t="n">
        <v>23.36</v>
      </c>
      <c r="Q860" s="4" t="n">
        <v>0.026</v>
      </c>
      <c r="R860" s="3" t="n">
        <v>45.51</v>
      </c>
      <c r="S860" s="3" t="n">
        <v>25.66</v>
      </c>
      <c r="T860" s="3" t="n">
        <v>12.25</v>
      </c>
      <c r="U860" s="4" t="n">
        <v>0.2692</v>
      </c>
      <c r="V860" s="3" t="n">
        <v>7.6</v>
      </c>
      <c r="W860" t="inlineStr">
        <is>
          <t>Credit Card</t>
        </is>
      </c>
      <c r="X860" t="inlineStr">
        <is>
          <t>Medium</t>
        </is>
      </c>
      <c r="Y860" t="n">
        <v>2024</v>
      </c>
      <c r="Z860" t="n">
        <v>1</v>
      </c>
      <c r="AA860" t="inlineStr">
        <is>
          <t>Jan</t>
        </is>
      </c>
      <c r="AB860" t="inlineStr">
        <is>
          <t>Tuesday</t>
        </is>
      </c>
      <c r="AC860" t="n">
        <v>5</v>
      </c>
      <c r="AD860" t="inlineStr">
        <is>
          <t>Profitable</t>
        </is>
      </c>
      <c r="AE860" t="inlineStr">
        <is>
          <t>Medium</t>
        </is>
      </c>
      <c r="AF860" t="inlineStr">
        <is>
          <t>Small</t>
        </is>
      </c>
    </row>
    <row r="861">
      <c r="A861" t="inlineStr">
        <is>
          <t>ORD-00860</t>
        </is>
      </c>
      <c r="B861" s="2" t="n">
        <v>45013</v>
      </c>
      <c r="C861" s="2" t="n">
        <v>45015</v>
      </c>
      <c r="D861" t="inlineStr">
        <is>
          <t>CUST-00860</t>
        </is>
      </c>
      <c r="E861" t="inlineStr">
        <is>
          <t>Customer 860</t>
        </is>
      </c>
      <c r="F861" t="inlineStr">
        <is>
          <t>Consumer</t>
        </is>
      </c>
      <c r="G861" t="inlineStr">
        <is>
          <t>P1010</t>
        </is>
      </c>
      <c r="H861" t="inlineStr">
        <is>
          <t>FlexNote Notebook</t>
        </is>
      </c>
      <c r="I861" t="inlineStr">
        <is>
          <t>Office Supplies</t>
        </is>
      </c>
      <c r="J861" t="inlineStr">
        <is>
          <t>Furniture</t>
        </is>
      </c>
      <c r="K861" t="inlineStr">
        <is>
          <t>South</t>
        </is>
      </c>
      <c r="L861" t="inlineStr">
        <is>
          <t>Georgia</t>
        </is>
      </c>
      <c r="M861" t="inlineStr">
        <is>
          <t>Houston</t>
        </is>
      </c>
      <c r="N861" t="inlineStr">
        <is>
          <t>Ethan Brooks</t>
        </is>
      </c>
      <c r="O861" t="n">
        <v>4</v>
      </c>
      <c r="P861" s="3" t="n">
        <v>54.07</v>
      </c>
      <c r="Q861" s="4" t="n">
        <v>0.059</v>
      </c>
      <c r="R861" s="3" t="n">
        <v>203.52</v>
      </c>
      <c r="S861" s="3" t="n">
        <v>91.84</v>
      </c>
      <c r="T861" s="3" t="n">
        <v>102.48</v>
      </c>
      <c r="U861" s="4" t="n">
        <v>0.5034999999999999</v>
      </c>
      <c r="V861" s="3" t="n">
        <v>9.199999999999999</v>
      </c>
      <c r="W861" t="inlineStr">
        <is>
          <t>Debit Card</t>
        </is>
      </c>
      <c r="X861" t="inlineStr">
        <is>
          <t>High</t>
        </is>
      </c>
      <c r="Y861" t="n">
        <v>2023</v>
      </c>
      <c r="Z861" t="n">
        <v>3</v>
      </c>
      <c r="AA861" t="inlineStr">
        <is>
          <t>Mar</t>
        </is>
      </c>
      <c r="AB861" t="inlineStr">
        <is>
          <t>Tuesday</t>
        </is>
      </c>
      <c r="AC861" t="n">
        <v>2</v>
      </c>
      <c r="AD861" t="inlineStr">
        <is>
          <t>Profitable</t>
        </is>
      </c>
      <c r="AE861" t="inlineStr">
        <is>
          <t>High</t>
        </is>
      </c>
      <c r="AF861" t="inlineStr">
        <is>
          <t>Small</t>
        </is>
      </c>
    </row>
    <row r="862">
      <c r="A862" t="inlineStr">
        <is>
          <t>ORD-00861</t>
        </is>
      </c>
      <c r="B862" s="2" t="n">
        <v>45985</v>
      </c>
      <c r="C862" s="2" t="n">
        <v>45987</v>
      </c>
      <c r="D862" t="inlineStr">
        <is>
          <t>CUST-00861</t>
        </is>
      </c>
      <c r="E862" t="inlineStr">
        <is>
          <t>Customer 861</t>
        </is>
      </c>
      <c r="F862" t="inlineStr">
        <is>
          <t>Home Office</t>
        </is>
      </c>
      <c r="G862" t="inlineStr">
        <is>
          <t>P1007</t>
        </is>
      </c>
      <c r="H862" t="inlineStr">
        <is>
          <t>Halo Planter</t>
        </is>
      </c>
      <c r="I862" t="inlineStr">
        <is>
          <t>Home Decor</t>
        </is>
      </c>
      <c r="J862" t="inlineStr">
        <is>
          <t>Coolers</t>
        </is>
      </c>
      <c r="K862" t="inlineStr">
        <is>
          <t>West</t>
        </is>
      </c>
      <c r="L862" t="inlineStr">
        <is>
          <t>California</t>
        </is>
      </c>
      <c r="M862" t="inlineStr">
        <is>
          <t>Denver</t>
        </is>
      </c>
      <c r="N862" t="inlineStr">
        <is>
          <t>Sophia Singh</t>
        </is>
      </c>
      <c r="O862" t="n">
        <v>3</v>
      </c>
      <c r="P862" s="3" t="n">
        <v>27.89</v>
      </c>
      <c r="Q862" s="4" t="n">
        <v>0.022</v>
      </c>
      <c r="R862" s="3" t="n">
        <v>81.83</v>
      </c>
      <c r="S862" s="3" t="n">
        <v>29.63</v>
      </c>
      <c r="T862" s="3" t="n">
        <v>42.8</v>
      </c>
      <c r="U862" s="4" t="n">
        <v>0.523</v>
      </c>
      <c r="V862" s="3" t="n">
        <v>9.4</v>
      </c>
      <c r="W862" t="inlineStr">
        <is>
          <t>Debit Card</t>
        </is>
      </c>
      <c r="X862" t="inlineStr">
        <is>
          <t>High</t>
        </is>
      </c>
      <c r="Y862" t="n">
        <v>2025</v>
      </c>
      <c r="Z862" t="n">
        <v>11</v>
      </c>
      <c r="AA862" t="inlineStr">
        <is>
          <t>Nov</t>
        </is>
      </c>
      <c r="AB862" t="inlineStr">
        <is>
          <t>Monday</t>
        </is>
      </c>
      <c r="AC862" t="n">
        <v>2</v>
      </c>
      <c r="AD862" t="inlineStr">
        <is>
          <t>Profitable</t>
        </is>
      </c>
      <c r="AE862" t="inlineStr">
        <is>
          <t>Medium</t>
        </is>
      </c>
      <c r="AF862" t="inlineStr">
        <is>
          <t>Small</t>
        </is>
      </c>
    </row>
    <row r="863">
      <c r="A863" t="inlineStr">
        <is>
          <t>ORD-00862</t>
        </is>
      </c>
      <c r="B863" s="2" t="n">
        <v>45369</v>
      </c>
      <c r="C863" s="2" t="n">
        <v>45374</v>
      </c>
      <c r="D863" t="inlineStr">
        <is>
          <t>CUST-00862</t>
        </is>
      </c>
      <c r="E863" t="inlineStr">
        <is>
          <t>Customer 862</t>
        </is>
      </c>
      <c r="F863" t="inlineStr">
        <is>
          <t>Corporate</t>
        </is>
      </c>
      <c r="G863" t="inlineStr">
        <is>
          <t>P1005</t>
        </is>
      </c>
      <c r="H863" t="inlineStr">
        <is>
          <t>Echo Web Camera</t>
        </is>
      </c>
      <c r="I863" t="inlineStr">
        <is>
          <t>Home Decor</t>
        </is>
      </c>
      <c r="J863" t="inlineStr">
        <is>
          <t>Coolers</t>
        </is>
      </c>
      <c r="K863" t="inlineStr">
        <is>
          <t>Central</t>
        </is>
      </c>
      <c r="L863" t="inlineStr">
        <is>
          <t>Kansas</t>
        </is>
      </c>
      <c r="M863" t="inlineStr">
        <is>
          <t>Kansas City</t>
        </is>
      </c>
      <c r="N863" t="inlineStr">
        <is>
          <t>Noah Kim</t>
        </is>
      </c>
      <c r="O863" t="n">
        <v>2</v>
      </c>
      <c r="P863" s="3" t="n">
        <v>12.92</v>
      </c>
      <c r="Q863" s="4" t="n">
        <v>0.012</v>
      </c>
      <c r="R863" s="3" t="n">
        <v>25.53</v>
      </c>
      <c r="S863" s="3" t="n">
        <v>17.41</v>
      </c>
      <c r="T863" s="3" t="n">
        <v>0.52</v>
      </c>
      <c r="U863" s="4" t="n">
        <v>0.0204</v>
      </c>
      <c r="V863" s="3" t="n">
        <v>7.6</v>
      </c>
      <c r="W863" t="inlineStr">
        <is>
          <t>Bank Transfer</t>
        </is>
      </c>
      <c r="X863" t="inlineStr">
        <is>
          <t>Medium</t>
        </is>
      </c>
      <c r="Y863" t="n">
        <v>2024</v>
      </c>
      <c r="Z863" t="n">
        <v>3</v>
      </c>
      <c r="AA863" t="inlineStr">
        <is>
          <t>Mar</t>
        </is>
      </c>
      <c r="AB863" t="inlineStr">
        <is>
          <t>Monday</t>
        </is>
      </c>
      <c r="AC863" t="n">
        <v>5</v>
      </c>
      <c r="AD863" t="inlineStr">
        <is>
          <t>Profitable</t>
        </is>
      </c>
      <c r="AE863" t="inlineStr">
        <is>
          <t>Low</t>
        </is>
      </c>
      <c r="AF863" t="inlineStr">
        <is>
          <t>Small</t>
        </is>
      </c>
    </row>
    <row r="864">
      <c r="A864" t="inlineStr">
        <is>
          <t>ORD-00863</t>
        </is>
      </c>
      <c r="B864" s="2" t="n">
        <v>45390</v>
      </c>
      <c r="C864" s="2" t="n">
        <v>45391</v>
      </c>
      <c r="D864" t="inlineStr">
        <is>
          <t>CUST-00863</t>
        </is>
      </c>
      <c r="E864" t="inlineStr">
        <is>
          <t>Customer 863</t>
        </is>
      </c>
      <c r="F864" t="inlineStr">
        <is>
          <t>Corporate</t>
        </is>
      </c>
      <c r="G864" t="inlineStr">
        <is>
          <t>P1004</t>
        </is>
      </c>
      <c r="H864" t="inlineStr">
        <is>
          <t>Harbor Rug</t>
        </is>
      </c>
      <c r="I864" t="inlineStr">
        <is>
          <t>Outdoor</t>
        </is>
      </c>
      <c r="J864" t="inlineStr">
        <is>
          <t>Decor</t>
        </is>
      </c>
      <c r="K864" t="inlineStr">
        <is>
          <t>North</t>
        </is>
      </c>
      <c r="L864" t="inlineStr">
        <is>
          <t>Ontario</t>
        </is>
      </c>
      <c r="M864" t="inlineStr">
        <is>
          <t>Montreal</t>
        </is>
      </c>
      <c r="N864" t="inlineStr">
        <is>
          <t>James Carter</t>
        </is>
      </c>
      <c r="O864" t="n">
        <v>2</v>
      </c>
      <c r="P864" s="3" t="n">
        <v>605.05</v>
      </c>
      <c r="Q864" s="4" t="n">
        <v>0.014</v>
      </c>
      <c r="R864" s="3" t="n">
        <v>1193.16</v>
      </c>
      <c r="S864" s="3" t="n">
        <v>760.55</v>
      </c>
      <c r="T864" s="3" t="n">
        <v>425.01</v>
      </c>
      <c r="U864" s="4" t="n">
        <v>0.3562</v>
      </c>
      <c r="V864" s="3" t="n">
        <v>7.6</v>
      </c>
      <c r="W864" t="inlineStr">
        <is>
          <t>Cash on Delivery</t>
        </is>
      </c>
      <c r="X864" t="inlineStr">
        <is>
          <t>Medium</t>
        </is>
      </c>
      <c r="Y864" t="n">
        <v>2024</v>
      </c>
      <c r="Z864" t="n">
        <v>4</v>
      </c>
      <c r="AA864" t="inlineStr">
        <is>
          <t>Apr</t>
        </is>
      </c>
      <c r="AB864" t="inlineStr">
        <is>
          <t>Monday</t>
        </is>
      </c>
      <c r="AC864" t="n">
        <v>1</v>
      </c>
      <c r="AD864" t="inlineStr">
        <is>
          <t>Profitable</t>
        </is>
      </c>
      <c r="AE864" t="inlineStr">
        <is>
          <t>Low</t>
        </is>
      </c>
      <c r="AF864" t="inlineStr">
        <is>
          <t>Medium</t>
        </is>
      </c>
    </row>
    <row r="865">
      <c r="A865" t="inlineStr">
        <is>
          <t>ORD-00864</t>
        </is>
      </c>
      <c r="B865" s="2" t="n">
        <v>45492</v>
      </c>
      <c r="C865" s="2" t="n">
        <v>45497</v>
      </c>
      <c r="D865" t="inlineStr">
        <is>
          <t>CUST-00864</t>
        </is>
      </c>
      <c r="E865" t="inlineStr">
        <is>
          <t>Customer 864</t>
        </is>
      </c>
      <c r="F865" t="inlineStr">
        <is>
          <t>Consumer</t>
        </is>
      </c>
      <c r="G865" t="inlineStr">
        <is>
          <t>P1017</t>
        </is>
      </c>
      <c r="H865" t="inlineStr">
        <is>
          <t>ProClip Binder</t>
        </is>
      </c>
      <c r="I865" t="inlineStr">
        <is>
          <t>Furniture</t>
        </is>
      </c>
      <c r="J865" t="inlineStr">
        <is>
          <t>Peripherals</t>
        </is>
      </c>
      <c r="K865" t="inlineStr">
        <is>
          <t>West</t>
        </is>
      </c>
      <c r="L865" t="inlineStr">
        <is>
          <t>Oregon</t>
        </is>
      </c>
      <c r="M865" t="inlineStr">
        <is>
          <t>Seattle</t>
        </is>
      </c>
      <c r="N865" t="inlineStr">
        <is>
          <t>Liam Chen</t>
        </is>
      </c>
      <c r="O865" t="n">
        <v>1</v>
      </c>
      <c r="P865" s="3" t="n">
        <v>591.75</v>
      </c>
      <c r="Q865" s="4" t="n">
        <v>0.018</v>
      </c>
      <c r="R865" s="3" t="n">
        <v>581.1</v>
      </c>
      <c r="S865" s="3" t="n">
        <v>393.73</v>
      </c>
      <c r="T865" s="3" t="n">
        <v>179.57</v>
      </c>
      <c r="U865" s="4" t="n">
        <v>0.309</v>
      </c>
      <c r="V865" s="3" t="n">
        <v>7.8</v>
      </c>
      <c r="W865" t="inlineStr">
        <is>
          <t>Bank Transfer</t>
        </is>
      </c>
      <c r="X865" t="inlineStr">
        <is>
          <t>High</t>
        </is>
      </c>
      <c r="Y865" t="n">
        <v>2024</v>
      </c>
      <c r="Z865" t="n">
        <v>7</v>
      </c>
      <c r="AA865" t="inlineStr">
        <is>
          <t>Jul</t>
        </is>
      </c>
      <c r="AB865" t="inlineStr">
        <is>
          <t>Friday</t>
        </is>
      </c>
      <c r="AC865" t="n">
        <v>5</v>
      </c>
      <c r="AD865" t="inlineStr">
        <is>
          <t>Profitable</t>
        </is>
      </c>
      <c r="AE865" t="inlineStr">
        <is>
          <t>Low</t>
        </is>
      </c>
      <c r="AF865" t="inlineStr">
        <is>
          <t>Medium</t>
        </is>
      </c>
    </row>
    <row r="866">
      <c r="A866" t="inlineStr">
        <is>
          <t>ORD-00865</t>
        </is>
      </c>
      <c r="B866" s="2" t="n">
        <v>45476</v>
      </c>
      <c r="C866" s="2" t="n">
        <v>45483</v>
      </c>
      <c r="D866" t="inlineStr">
        <is>
          <t>CUST-00865</t>
        </is>
      </c>
      <c r="E866" t="inlineStr">
        <is>
          <t>Customer 865</t>
        </is>
      </c>
      <c r="F866" t="inlineStr">
        <is>
          <t>Corporate</t>
        </is>
      </c>
      <c r="G866" t="inlineStr">
        <is>
          <t>P1005</t>
        </is>
      </c>
      <c r="H866" t="inlineStr">
        <is>
          <t>Summit Patio Set</t>
        </is>
      </c>
      <c r="I866" t="inlineStr">
        <is>
          <t>Home Decor</t>
        </is>
      </c>
      <c r="J866" t="inlineStr">
        <is>
          <t>Lighting</t>
        </is>
      </c>
      <c r="K866" t="inlineStr">
        <is>
          <t>South</t>
        </is>
      </c>
      <c r="L866" t="inlineStr">
        <is>
          <t>North Carolina</t>
        </is>
      </c>
      <c r="M866" t="inlineStr">
        <is>
          <t>Houston</t>
        </is>
      </c>
      <c r="N866" t="inlineStr">
        <is>
          <t>Mia Rodriguez</t>
        </is>
      </c>
      <c r="O866" t="n">
        <v>2</v>
      </c>
      <c r="P866" s="3" t="n">
        <v>12.84</v>
      </c>
      <c r="Q866" s="4" t="n">
        <v>0.03</v>
      </c>
      <c r="R866" s="3" t="n">
        <v>24.91</v>
      </c>
      <c r="S866" s="3" t="n">
        <v>17.78</v>
      </c>
      <c r="T866" s="3" t="n">
        <v>-0.47</v>
      </c>
      <c r="U866" s="4" t="n">
        <v>-0.0189</v>
      </c>
      <c r="V866" s="3" t="n">
        <v>7.6</v>
      </c>
      <c r="W866" t="inlineStr">
        <is>
          <t>Debit Card</t>
        </is>
      </c>
      <c r="X866" t="inlineStr">
        <is>
          <t>Medium</t>
        </is>
      </c>
      <c r="Y866" t="n">
        <v>2024</v>
      </c>
      <c r="Z866" t="n">
        <v>7</v>
      </c>
      <c r="AA866" t="inlineStr">
        <is>
          <t>Jul</t>
        </is>
      </c>
      <c r="AB866" t="inlineStr">
        <is>
          <t>Wednesday</t>
        </is>
      </c>
      <c r="AC866" t="n">
        <v>7</v>
      </c>
      <c r="AD866" t="inlineStr">
        <is>
          <t>Unprofitable</t>
        </is>
      </c>
      <c r="AE866" t="inlineStr">
        <is>
          <t>Medium</t>
        </is>
      </c>
      <c r="AF866" t="inlineStr">
        <is>
          <t>Small</t>
        </is>
      </c>
    </row>
    <row r="867">
      <c r="A867" t="inlineStr">
        <is>
          <t>ORD-00866</t>
        </is>
      </c>
      <c r="B867" s="2" t="n">
        <v>45574</v>
      </c>
      <c r="C867" s="2" t="n">
        <v>45577</v>
      </c>
      <c r="D867" t="inlineStr">
        <is>
          <t>CUST-00866</t>
        </is>
      </c>
      <c r="E867" t="inlineStr">
        <is>
          <t>Customer 866</t>
        </is>
      </c>
      <c r="F867" t="inlineStr">
        <is>
          <t>Corporate</t>
        </is>
      </c>
      <c r="G867" t="inlineStr">
        <is>
          <t>P1017</t>
        </is>
      </c>
      <c r="H867" t="inlineStr">
        <is>
          <t>Trail Tote</t>
        </is>
      </c>
      <c r="I867" t="inlineStr">
        <is>
          <t>Technology</t>
        </is>
      </c>
      <c r="J867" t="inlineStr">
        <is>
          <t>Textiles</t>
        </is>
      </c>
      <c r="K867" t="inlineStr">
        <is>
          <t>East</t>
        </is>
      </c>
      <c r="L867" t="inlineStr">
        <is>
          <t>Massachusetts</t>
        </is>
      </c>
      <c r="M867" t="inlineStr">
        <is>
          <t>Boston</t>
        </is>
      </c>
      <c r="N867" t="inlineStr">
        <is>
          <t>Liam Chen</t>
        </is>
      </c>
      <c r="O867" t="n">
        <v>4</v>
      </c>
      <c r="P867" s="3" t="n">
        <v>591.14</v>
      </c>
      <c r="Q867" s="4" t="n">
        <v>0.019</v>
      </c>
      <c r="R867" s="3" t="n">
        <v>2319.63</v>
      </c>
      <c r="S867" s="3" t="n">
        <v>1541.45</v>
      </c>
      <c r="T867" s="3" t="n">
        <v>767.98</v>
      </c>
      <c r="U867" s="4" t="n">
        <v>0.3311</v>
      </c>
      <c r="V867" s="3" t="n">
        <v>10.2</v>
      </c>
      <c r="W867" t="inlineStr">
        <is>
          <t>PayPal</t>
        </is>
      </c>
      <c r="X867" t="inlineStr">
        <is>
          <t>Medium</t>
        </is>
      </c>
      <c r="Y867" t="n">
        <v>2024</v>
      </c>
      <c r="Z867" t="n">
        <v>10</v>
      </c>
      <c r="AA867" t="inlineStr">
        <is>
          <t>Oct</t>
        </is>
      </c>
      <c r="AB867" t="inlineStr">
        <is>
          <t>Wednesday</t>
        </is>
      </c>
      <c r="AC867" t="n">
        <v>3</v>
      </c>
      <c r="AD867" t="inlineStr">
        <is>
          <t>Profitable</t>
        </is>
      </c>
      <c r="AE867" t="inlineStr">
        <is>
          <t>Low</t>
        </is>
      </c>
      <c r="AF867" t="inlineStr">
        <is>
          <t>Large</t>
        </is>
      </c>
    </row>
    <row r="868">
      <c r="A868" t="inlineStr">
        <is>
          <t>ORD-00867</t>
        </is>
      </c>
      <c r="B868" s="2" t="n">
        <v>45120</v>
      </c>
      <c r="C868" s="2" t="n">
        <v>45122</v>
      </c>
      <c r="D868" t="inlineStr">
        <is>
          <t>CUST-00867</t>
        </is>
      </c>
      <c r="E868" t="inlineStr">
        <is>
          <t>Customer 867</t>
        </is>
      </c>
      <c r="F868" t="inlineStr">
        <is>
          <t>Home Office</t>
        </is>
      </c>
      <c r="G868" t="inlineStr">
        <is>
          <t>P1017</t>
        </is>
      </c>
      <c r="H868" t="inlineStr">
        <is>
          <t>Orbit Wireless Mouse</t>
        </is>
      </c>
      <c r="I868" t="inlineStr">
        <is>
          <t>Technology</t>
        </is>
      </c>
      <c r="J868" t="inlineStr">
        <is>
          <t>Storage</t>
        </is>
      </c>
      <c r="K868" t="inlineStr">
        <is>
          <t>Central</t>
        </is>
      </c>
      <c r="L868" t="inlineStr">
        <is>
          <t>Kansas</t>
        </is>
      </c>
      <c r="M868" t="inlineStr">
        <is>
          <t>Kansas City</t>
        </is>
      </c>
      <c r="N868" t="inlineStr">
        <is>
          <t>Olivia Martin</t>
        </is>
      </c>
      <c r="O868" t="n">
        <v>2</v>
      </c>
      <c r="P868" s="3" t="n">
        <v>570.2</v>
      </c>
      <c r="Q868" s="4" t="n">
        <v>0.019</v>
      </c>
      <c r="R868" s="3" t="n">
        <v>1118.73</v>
      </c>
      <c r="S868" s="3" t="n">
        <v>746.49</v>
      </c>
      <c r="T868" s="3" t="n">
        <v>364.64</v>
      </c>
      <c r="U868" s="4" t="n">
        <v>0.3259</v>
      </c>
      <c r="V868" s="3" t="n">
        <v>7.6</v>
      </c>
      <c r="W868" t="inlineStr">
        <is>
          <t>Bank Transfer</t>
        </is>
      </c>
      <c r="X868" t="inlineStr">
        <is>
          <t>Medium</t>
        </is>
      </c>
      <c r="Y868" t="n">
        <v>2023</v>
      </c>
      <c r="Z868" t="n">
        <v>7</v>
      </c>
      <c r="AA868" t="inlineStr">
        <is>
          <t>Jul</t>
        </is>
      </c>
      <c r="AB868" t="inlineStr">
        <is>
          <t>Thursday</t>
        </is>
      </c>
      <c r="AC868" t="n">
        <v>2</v>
      </c>
      <c r="AD868" t="inlineStr">
        <is>
          <t>Profitable</t>
        </is>
      </c>
      <c r="AE868" t="inlineStr">
        <is>
          <t>Low</t>
        </is>
      </c>
      <c r="AF868" t="inlineStr">
        <is>
          <t>Medium</t>
        </is>
      </c>
    </row>
    <row r="869">
      <c r="A869" t="inlineStr">
        <is>
          <t>ORD-00868</t>
        </is>
      </c>
      <c r="B869" s="2" t="n">
        <v>45239</v>
      </c>
      <c r="C869" s="2" t="n">
        <v>45241</v>
      </c>
      <c r="D869" t="inlineStr">
        <is>
          <t>CUST-00868</t>
        </is>
      </c>
      <c r="E869" t="inlineStr">
        <is>
          <t>Customer 868</t>
        </is>
      </c>
      <c r="F869" t="inlineStr">
        <is>
          <t>Consumer</t>
        </is>
      </c>
      <c r="G869" t="inlineStr">
        <is>
          <t>P1017</t>
        </is>
      </c>
      <c r="H869" t="inlineStr">
        <is>
          <t>Cove Wall Clock</t>
        </is>
      </c>
      <c r="I869" t="inlineStr">
        <is>
          <t>Office Supplies</t>
        </is>
      </c>
      <c r="J869" t="inlineStr">
        <is>
          <t>Coolers</t>
        </is>
      </c>
      <c r="K869" t="inlineStr">
        <is>
          <t>Central</t>
        </is>
      </c>
      <c r="L869" t="inlineStr">
        <is>
          <t>Missouri</t>
        </is>
      </c>
      <c r="M869" t="inlineStr">
        <is>
          <t>Minneapolis</t>
        </is>
      </c>
      <c r="N869" t="inlineStr">
        <is>
          <t>Ava Patel</t>
        </is>
      </c>
      <c r="O869" t="n">
        <v>3</v>
      </c>
      <c r="P869" s="3" t="n">
        <v>613.02</v>
      </c>
      <c r="Q869" s="4" t="n">
        <v>0.007</v>
      </c>
      <c r="R869" s="3" t="n">
        <v>1826.19</v>
      </c>
      <c r="S869" s="3" t="n">
        <v>1212.05</v>
      </c>
      <c r="T869" s="3" t="n">
        <v>605.74</v>
      </c>
      <c r="U869" s="4" t="n">
        <v>0.3317</v>
      </c>
      <c r="V869" s="3" t="n">
        <v>8.4</v>
      </c>
      <c r="W869" t="inlineStr">
        <is>
          <t>Credit Card</t>
        </is>
      </c>
      <c r="X869" t="inlineStr">
        <is>
          <t>Low</t>
        </is>
      </c>
      <c r="Y869" t="n">
        <v>2023</v>
      </c>
      <c r="Z869" t="n">
        <v>11</v>
      </c>
      <c r="AA869" t="inlineStr">
        <is>
          <t>Nov</t>
        </is>
      </c>
      <c r="AB869" t="inlineStr">
        <is>
          <t>Thursday</t>
        </is>
      </c>
      <c r="AC869" t="n">
        <v>2</v>
      </c>
      <c r="AD869" t="inlineStr">
        <is>
          <t>Profitable</t>
        </is>
      </c>
      <c r="AE869" t="inlineStr">
        <is>
          <t>Low</t>
        </is>
      </c>
      <c r="AF869" t="inlineStr">
        <is>
          <t>Large</t>
        </is>
      </c>
    </row>
    <row r="870">
      <c r="A870" t="inlineStr">
        <is>
          <t>ORD-00869</t>
        </is>
      </c>
      <c r="B870" s="2" t="n">
        <v>45925</v>
      </c>
      <c r="C870" s="2" t="n">
        <v>45932</v>
      </c>
      <c r="D870" t="inlineStr">
        <is>
          <t>CUST-00869</t>
        </is>
      </c>
      <c r="E870" t="inlineStr">
        <is>
          <t>Customer 869</t>
        </is>
      </c>
      <c r="F870" t="inlineStr">
        <is>
          <t>Home Office</t>
        </is>
      </c>
      <c r="G870" t="inlineStr">
        <is>
          <t>P1001</t>
        </is>
      </c>
      <c r="H870" t="inlineStr">
        <is>
          <t>Halo Planter</t>
        </is>
      </c>
      <c r="I870" t="inlineStr">
        <is>
          <t>Outdoor</t>
        </is>
      </c>
      <c r="J870" t="inlineStr">
        <is>
          <t>Accessories</t>
        </is>
      </c>
      <c r="K870" t="inlineStr">
        <is>
          <t>West</t>
        </is>
      </c>
      <c r="L870" t="inlineStr">
        <is>
          <t>Washington</t>
        </is>
      </c>
      <c r="M870" t="inlineStr">
        <is>
          <t>San Francisco</t>
        </is>
      </c>
      <c r="N870" t="inlineStr">
        <is>
          <t>James Carter</t>
        </is>
      </c>
      <c r="O870" t="n">
        <v>1</v>
      </c>
      <c r="P870" s="3" t="n">
        <v>311.05</v>
      </c>
      <c r="Q870" s="4" t="n">
        <v>0.025</v>
      </c>
      <c r="R870" s="3" t="n">
        <v>303.27</v>
      </c>
      <c r="S870" s="3" t="n">
        <v>184.05</v>
      </c>
      <c r="T870" s="3" t="n">
        <v>111.42</v>
      </c>
      <c r="U870" s="4" t="n">
        <v>0.3674</v>
      </c>
      <c r="V870" s="3" t="n">
        <v>7.8</v>
      </c>
      <c r="W870" t="inlineStr">
        <is>
          <t>Debit Card</t>
        </is>
      </c>
      <c r="X870" t="inlineStr">
        <is>
          <t>High</t>
        </is>
      </c>
      <c r="Y870" t="n">
        <v>2025</v>
      </c>
      <c r="Z870" t="n">
        <v>9</v>
      </c>
      <c r="AA870" t="inlineStr">
        <is>
          <t>Sep</t>
        </is>
      </c>
      <c r="AB870" t="inlineStr">
        <is>
          <t>Thursday</t>
        </is>
      </c>
      <c r="AC870" t="n">
        <v>7</v>
      </c>
      <c r="AD870" t="inlineStr">
        <is>
          <t>Profitable</t>
        </is>
      </c>
      <c r="AE870" t="inlineStr">
        <is>
          <t>Medium</t>
        </is>
      </c>
      <c r="AF870" t="inlineStr">
        <is>
          <t>Small</t>
        </is>
      </c>
    </row>
    <row r="871">
      <c r="A871" t="inlineStr">
        <is>
          <t>ORD-00870</t>
        </is>
      </c>
      <c r="B871" s="2" t="n">
        <v>45708</v>
      </c>
      <c r="C871" s="2" t="n">
        <v>45715</v>
      </c>
      <c r="D871" t="inlineStr">
        <is>
          <t>CUST-00870</t>
        </is>
      </c>
      <c r="E871" t="inlineStr">
        <is>
          <t>Customer 870</t>
        </is>
      </c>
      <c r="F871" t="inlineStr">
        <is>
          <t>Home Office</t>
        </is>
      </c>
      <c r="G871" t="inlineStr">
        <is>
          <t>P1002</t>
        </is>
      </c>
      <c r="H871" t="inlineStr">
        <is>
          <t>Orbit Wireless Mouse</t>
        </is>
      </c>
      <c r="I871" t="inlineStr">
        <is>
          <t>Office Supplies</t>
        </is>
      </c>
      <c r="J871" t="inlineStr">
        <is>
          <t>Desks</t>
        </is>
      </c>
      <c r="K871" t="inlineStr">
        <is>
          <t>Central</t>
        </is>
      </c>
      <c r="L871" t="inlineStr">
        <is>
          <t>Missouri</t>
        </is>
      </c>
      <c r="M871" t="inlineStr">
        <is>
          <t>Minneapolis</t>
        </is>
      </c>
      <c r="N871" t="inlineStr">
        <is>
          <t>Ethan Brooks</t>
        </is>
      </c>
      <c r="O871" t="n">
        <v>3</v>
      </c>
      <c r="P871" s="3" t="n">
        <v>75.83</v>
      </c>
      <c r="Q871" s="4" t="n">
        <v>0.005</v>
      </c>
      <c r="R871" s="3" t="n">
        <v>226.35</v>
      </c>
      <c r="S871" s="3" t="n">
        <v>105.06</v>
      </c>
      <c r="T871" s="3" t="n">
        <v>112.89</v>
      </c>
      <c r="U871" s="4" t="n">
        <v>0.4987</v>
      </c>
      <c r="V871" s="3" t="n">
        <v>8.4</v>
      </c>
      <c r="W871" t="inlineStr">
        <is>
          <t>Debit Card</t>
        </is>
      </c>
      <c r="X871" t="inlineStr">
        <is>
          <t>Medium</t>
        </is>
      </c>
      <c r="Y871" t="n">
        <v>2025</v>
      </c>
      <c r="Z871" t="n">
        <v>2</v>
      </c>
      <c r="AA871" t="inlineStr">
        <is>
          <t>Feb</t>
        </is>
      </c>
      <c r="AB871" t="inlineStr">
        <is>
          <t>Thursday</t>
        </is>
      </c>
      <c r="AC871" t="n">
        <v>7</v>
      </c>
      <c r="AD871" t="inlineStr">
        <is>
          <t>Profitable</t>
        </is>
      </c>
      <c r="AE871" t="inlineStr">
        <is>
          <t>Low</t>
        </is>
      </c>
      <c r="AF871" t="inlineStr">
        <is>
          <t>Small</t>
        </is>
      </c>
    </row>
    <row r="872">
      <c r="A872" t="inlineStr">
        <is>
          <t>ORD-00871</t>
        </is>
      </c>
      <c r="B872" s="2" t="n">
        <v>45363</v>
      </c>
      <c r="C872" s="2" t="n">
        <v>45369</v>
      </c>
      <c r="D872" t="inlineStr">
        <is>
          <t>CUST-00871</t>
        </is>
      </c>
      <c r="E872" t="inlineStr">
        <is>
          <t>Customer 871</t>
        </is>
      </c>
      <c r="F872" t="inlineStr">
        <is>
          <t>Corporate</t>
        </is>
      </c>
      <c r="G872" t="inlineStr">
        <is>
          <t>P1019</t>
        </is>
      </c>
      <c r="H872" t="inlineStr">
        <is>
          <t>ProClip Binder</t>
        </is>
      </c>
      <c r="I872" t="inlineStr">
        <is>
          <t>Office Supplies</t>
        </is>
      </c>
      <c r="J872" t="inlineStr">
        <is>
          <t>Paper</t>
        </is>
      </c>
      <c r="K872" t="inlineStr">
        <is>
          <t>North</t>
        </is>
      </c>
      <c r="L872" t="inlineStr">
        <is>
          <t>Quebec</t>
        </is>
      </c>
      <c r="M872" t="inlineStr">
        <is>
          <t>Toronto</t>
        </is>
      </c>
      <c r="N872" t="inlineStr">
        <is>
          <t>Sophia Singh</t>
        </is>
      </c>
      <c r="O872" t="n">
        <v>2</v>
      </c>
      <c r="P872" s="3" t="n">
        <v>59.08</v>
      </c>
      <c r="Q872" s="4" t="n">
        <v>0.074</v>
      </c>
      <c r="R872" s="3" t="n">
        <v>109.42</v>
      </c>
      <c r="S872" s="3" t="n">
        <v>51.41</v>
      </c>
      <c r="T872" s="3" t="n">
        <v>50.41</v>
      </c>
      <c r="U872" s="4" t="n">
        <v>0.4607</v>
      </c>
      <c r="V872" s="3" t="n">
        <v>7.6</v>
      </c>
      <c r="W872" t="inlineStr">
        <is>
          <t>Debit Card</t>
        </is>
      </c>
      <c r="X872" t="inlineStr">
        <is>
          <t>Critical</t>
        </is>
      </c>
      <c r="Y872" t="n">
        <v>2024</v>
      </c>
      <c r="Z872" t="n">
        <v>3</v>
      </c>
      <c r="AA872" t="inlineStr">
        <is>
          <t>Mar</t>
        </is>
      </c>
      <c r="AB872" t="inlineStr">
        <is>
          <t>Tuesday</t>
        </is>
      </c>
      <c r="AC872" t="n">
        <v>6</v>
      </c>
      <c r="AD872" t="inlineStr">
        <is>
          <t>Profitable</t>
        </is>
      </c>
      <c r="AE872" t="inlineStr">
        <is>
          <t>High</t>
        </is>
      </c>
      <c r="AF872" t="inlineStr">
        <is>
          <t>Small</t>
        </is>
      </c>
    </row>
    <row r="873">
      <c r="A873" t="inlineStr">
        <is>
          <t>ORD-00872</t>
        </is>
      </c>
      <c r="B873" s="2" t="n">
        <v>45100</v>
      </c>
      <c r="C873" s="2" t="n">
        <v>45107</v>
      </c>
      <c r="D873" t="inlineStr">
        <is>
          <t>CUST-00872</t>
        </is>
      </c>
      <c r="E873" t="inlineStr">
        <is>
          <t>Customer 872</t>
        </is>
      </c>
      <c r="F873" t="inlineStr">
        <is>
          <t>Corporate</t>
        </is>
      </c>
      <c r="G873" t="inlineStr">
        <is>
          <t>P1009</t>
        </is>
      </c>
      <c r="H873" t="inlineStr">
        <is>
          <t>Atlas Throw Pillow</t>
        </is>
      </c>
      <c r="I873" t="inlineStr">
        <is>
          <t>Outdoor</t>
        </is>
      </c>
      <c r="J873" t="inlineStr">
        <is>
          <t>Desks</t>
        </is>
      </c>
      <c r="K873" t="inlineStr">
        <is>
          <t>West</t>
        </is>
      </c>
      <c r="L873" t="inlineStr">
        <is>
          <t>Oregon</t>
        </is>
      </c>
      <c r="M873" t="inlineStr">
        <is>
          <t>Los Angeles</t>
        </is>
      </c>
      <c r="N873" t="inlineStr">
        <is>
          <t>Ethan Brooks</t>
        </is>
      </c>
      <c r="O873" t="n">
        <v>2</v>
      </c>
      <c r="P873" s="3" t="n">
        <v>93.45</v>
      </c>
      <c r="Q873" s="4" t="n">
        <v>0.036</v>
      </c>
      <c r="R873" s="3" t="n">
        <v>180.17</v>
      </c>
      <c r="S873" s="3" t="n">
        <v>93.88</v>
      </c>
      <c r="T873" s="3" t="n">
        <v>77.69</v>
      </c>
      <c r="U873" s="4" t="n">
        <v>0.4312</v>
      </c>
      <c r="V873" s="3" t="n">
        <v>8.6</v>
      </c>
      <c r="W873" t="inlineStr">
        <is>
          <t>Debit Card</t>
        </is>
      </c>
      <c r="X873" t="inlineStr">
        <is>
          <t>Critical</t>
        </is>
      </c>
      <c r="Y873" t="n">
        <v>2023</v>
      </c>
      <c r="Z873" t="n">
        <v>6</v>
      </c>
      <c r="AA873" t="inlineStr">
        <is>
          <t>Jun</t>
        </is>
      </c>
      <c r="AB873" t="inlineStr">
        <is>
          <t>Friday</t>
        </is>
      </c>
      <c r="AC873" t="n">
        <v>7</v>
      </c>
      <c r="AD873" t="inlineStr">
        <is>
          <t>Profitable</t>
        </is>
      </c>
      <c r="AE873" t="inlineStr">
        <is>
          <t>Medium</t>
        </is>
      </c>
      <c r="AF873" t="inlineStr">
        <is>
          <t>Small</t>
        </is>
      </c>
    </row>
    <row r="874">
      <c r="A874" t="inlineStr">
        <is>
          <t>ORD-00873</t>
        </is>
      </c>
      <c r="B874" s="2" t="n">
        <v>45456</v>
      </c>
      <c r="C874" s="2" t="n">
        <v>45458</v>
      </c>
      <c r="D874" t="inlineStr">
        <is>
          <t>CUST-00873</t>
        </is>
      </c>
      <c r="E874" t="inlineStr">
        <is>
          <t>Customer 873</t>
        </is>
      </c>
      <c r="F874" t="inlineStr">
        <is>
          <t>Corporate</t>
        </is>
      </c>
      <c r="G874" t="inlineStr">
        <is>
          <t>P1020</t>
        </is>
      </c>
      <c r="H874" t="inlineStr">
        <is>
          <t>Lumen Desk Lamp</t>
        </is>
      </c>
      <c r="I874" t="inlineStr">
        <is>
          <t>Office Supplies</t>
        </is>
      </c>
      <c r="J874" t="inlineStr">
        <is>
          <t>Writing</t>
        </is>
      </c>
      <c r="K874" t="inlineStr">
        <is>
          <t>East</t>
        </is>
      </c>
      <c r="L874" t="inlineStr">
        <is>
          <t>Massachusetts</t>
        </is>
      </c>
      <c r="M874" t="inlineStr">
        <is>
          <t>Washington</t>
        </is>
      </c>
      <c r="N874" t="inlineStr">
        <is>
          <t>Ethan Brooks</t>
        </is>
      </c>
      <c r="O874" t="n">
        <v>4</v>
      </c>
      <c r="P874" s="3" t="n">
        <v>77.08</v>
      </c>
      <c r="Q874" s="4" t="n">
        <v>0.015</v>
      </c>
      <c r="R874" s="3" t="n">
        <v>303.7</v>
      </c>
      <c r="S874" s="3" t="n">
        <v>145.37</v>
      </c>
      <c r="T874" s="3" t="n">
        <v>148.13</v>
      </c>
      <c r="U874" s="4" t="n">
        <v>0.4878</v>
      </c>
      <c r="V874" s="3" t="n">
        <v>10.2</v>
      </c>
      <c r="W874" t="inlineStr">
        <is>
          <t>PayPal</t>
        </is>
      </c>
      <c r="X874" t="inlineStr">
        <is>
          <t>Medium</t>
        </is>
      </c>
      <c r="Y874" t="n">
        <v>2024</v>
      </c>
      <c r="Z874" t="n">
        <v>6</v>
      </c>
      <c r="AA874" t="inlineStr">
        <is>
          <t>Jun</t>
        </is>
      </c>
      <c r="AB874" t="inlineStr">
        <is>
          <t>Thursday</t>
        </is>
      </c>
      <c r="AC874" t="n">
        <v>2</v>
      </c>
      <c r="AD874" t="inlineStr">
        <is>
          <t>Profitable</t>
        </is>
      </c>
      <c r="AE874" t="inlineStr">
        <is>
          <t>Low</t>
        </is>
      </c>
      <c r="AF874" t="inlineStr">
        <is>
          <t>Small</t>
        </is>
      </c>
    </row>
    <row r="875">
      <c r="A875" t="inlineStr">
        <is>
          <t>ORD-00874</t>
        </is>
      </c>
      <c r="B875" s="2" t="n">
        <v>45573</v>
      </c>
      <c r="C875" s="2" t="n">
        <v>45578</v>
      </c>
      <c r="D875" t="inlineStr">
        <is>
          <t>CUST-00874</t>
        </is>
      </c>
      <c r="E875" t="inlineStr">
        <is>
          <t>Customer 874</t>
        </is>
      </c>
      <c r="F875" t="inlineStr">
        <is>
          <t>Consumer</t>
        </is>
      </c>
      <c r="G875" t="inlineStr">
        <is>
          <t>P1015</t>
        </is>
      </c>
      <c r="H875" t="inlineStr">
        <is>
          <t>Orbit Wireless Mouse</t>
        </is>
      </c>
      <c r="I875" t="inlineStr">
        <is>
          <t>Office Supplies</t>
        </is>
      </c>
      <c r="J875" t="inlineStr">
        <is>
          <t>Bags</t>
        </is>
      </c>
      <c r="K875" t="inlineStr">
        <is>
          <t>Central</t>
        </is>
      </c>
      <c r="L875" t="inlineStr">
        <is>
          <t>Minnesota</t>
        </is>
      </c>
      <c r="M875" t="inlineStr">
        <is>
          <t>Minneapolis</t>
        </is>
      </c>
      <c r="N875" t="inlineStr">
        <is>
          <t>Ava Patel</t>
        </is>
      </c>
      <c r="O875" t="n">
        <v>4</v>
      </c>
      <c r="P875" s="3" t="n">
        <v>69.04000000000001</v>
      </c>
      <c r="Q875" s="4" t="n">
        <v>0.054</v>
      </c>
      <c r="R875" s="3" t="n">
        <v>261.25</v>
      </c>
      <c r="S875" s="3" t="n">
        <v>120.34</v>
      </c>
      <c r="T875" s="3" t="n">
        <v>131.71</v>
      </c>
      <c r="U875" s="4" t="n">
        <v>0.5042</v>
      </c>
      <c r="V875" s="3" t="n">
        <v>9.199999999999999</v>
      </c>
      <c r="W875" t="inlineStr">
        <is>
          <t>Debit Card</t>
        </is>
      </c>
      <c r="X875" t="inlineStr">
        <is>
          <t>High</t>
        </is>
      </c>
      <c r="Y875" t="n">
        <v>2024</v>
      </c>
      <c r="Z875" t="n">
        <v>10</v>
      </c>
      <c r="AA875" t="inlineStr">
        <is>
          <t>Oct</t>
        </is>
      </c>
      <c r="AB875" t="inlineStr">
        <is>
          <t>Tuesday</t>
        </is>
      </c>
      <c r="AC875" t="n">
        <v>5</v>
      </c>
      <c r="AD875" t="inlineStr">
        <is>
          <t>Profitable</t>
        </is>
      </c>
      <c r="AE875" t="inlineStr">
        <is>
          <t>High</t>
        </is>
      </c>
      <c r="AF875" t="inlineStr">
        <is>
          <t>Small</t>
        </is>
      </c>
    </row>
    <row r="876">
      <c r="A876" t="inlineStr">
        <is>
          <t>ORD-00875</t>
        </is>
      </c>
      <c r="B876" s="2" t="n">
        <v>45153</v>
      </c>
      <c r="C876" s="2" t="n">
        <v>45155</v>
      </c>
      <c r="D876" t="inlineStr">
        <is>
          <t>CUST-00875</t>
        </is>
      </c>
      <c r="E876" t="inlineStr">
        <is>
          <t>Customer 875</t>
        </is>
      </c>
      <c r="F876" t="inlineStr">
        <is>
          <t>Consumer</t>
        </is>
      </c>
      <c r="G876" t="inlineStr">
        <is>
          <t>P1019</t>
        </is>
      </c>
      <c r="H876" t="inlineStr">
        <is>
          <t>FlexNote Notebook</t>
        </is>
      </c>
      <c r="I876" t="inlineStr">
        <is>
          <t>Furniture</t>
        </is>
      </c>
      <c r="J876" t="inlineStr">
        <is>
          <t>Binders</t>
        </is>
      </c>
      <c r="K876" t="inlineStr">
        <is>
          <t>South</t>
        </is>
      </c>
      <c r="L876" t="inlineStr">
        <is>
          <t>Florida</t>
        </is>
      </c>
      <c r="M876" t="inlineStr">
        <is>
          <t>Houston</t>
        </is>
      </c>
      <c r="N876" t="inlineStr">
        <is>
          <t>Olivia Martin</t>
        </is>
      </c>
      <c r="O876" t="n">
        <v>2</v>
      </c>
      <c r="P876" s="3" t="n">
        <v>59.44</v>
      </c>
      <c r="Q876" s="4" t="n">
        <v>0.049</v>
      </c>
      <c r="R876" s="3" t="n">
        <v>113.05</v>
      </c>
      <c r="S876" s="3" t="n">
        <v>51.42</v>
      </c>
      <c r="T876" s="3" t="n">
        <v>54.03</v>
      </c>
      <c r="U876" s="4" t="n">
        <v>0.4779</v>
      </c>
      <c r="V876" s="3" t="n">
        <v>7.6</v>
      </c>
      <c r="W876" t="inlineStr">
        <is>
          <t>Credit Card</t>
        </is>
      </c>
      <c r="X876" t="inlineStr">
        <is>
          <t>High</t>
        </is>
      </c>
      <c r="Y876" t="n">
        <v>2023</v>
      </c>
      <c r="Z876" t="n">
        <v>8</v>
      </c>
      <c r="AA876" t="inlineStr">
        <is>
          <t>Aug</t>
        </is>
      </c>
      <c r="AB876" t="inlineStr">
        <is>
          <t>Tuesday</t>
        </is>
      </c>
      <c r="AC876" t="n">
        <v>2</v>
      </c>
      <c r="AD876" t="inlineStr">
        <is>
          <t>Profitable</t>
        </is>
      </c>
      <c r="AE876" t="inlineStr">
        <is>
          <t>Medium</t>
        </is>
      </c>
      <c r="AF876" t="inlineStr">
        <is>
          <t>Small</t>
        </is>
      </c>
    </row>
    <row r="877">
      <c r="A877" t="inlineStr">
        <is>
          <t>ORD-00876</t>
        </is>
      </c>
      <c r="B877" s="2" t="n">
        <v>45090</v>
      </c>
      <c r="C877" s="2" t="n">
        <v>45097</v>
      </c>
      <c r="D877" t="inlineStr">
        <is>
          <t>CUST-00876</t>
        </is>
      </c>
      <c r="E877" t="inlineStr">
        <is>
          <t>Customer 876</t>
        </is>
      </c>
      <c r="F877" t="inlineStr">
        <is>
          <t>Home Office</t>
        </is>
      </c>
      <c r="G877" t="inlineStr">
        <is>
          <t>P1005</t>
        </is>
      </c>
      <c r="H877" t="inlineStr">
        <is>
          <t>Nova Laptop Stand</t>
        </is>
      </c>
      <c r="I877" t="inlineStr">
        <is>
          <t>Furniture</t>
        </is>
      </c>
      <c r="J877" t="inlineStr">
        <is>
          <t>Furniture</t>
        </is>
      </c>
      <c r="K877" t="inlineStr">
        <is>
          <t>Central</t>
        </is>
      </c>
      <c r="L877" t="inlineStr">
        <is>
          <t>Kansas</t>
        </is>
      </c>
      <c r="M877" t="inlineStr">
        <is>
          <t>St. Louis</t>
        </is>
      </c>
      <c r="N877" t="inlineStr">
        <is>
          <t>Olivia Martin</t>
        </is>
      </c>
      <c r="O877" t="n">
        <v>3</v>
      </c>
      <c r="P877" s="3" t="n">
        <v>12.85</v>
      </c>
      <c r="Q877" s="4" t="n">
        <v>0.059</v>
      </c>
      <c r="R877" s="3" t="n">
        <v>36.28</v>
      </c>
      <c r="S877" s="3" t="n">
        <v>21.92</v>
      </c>
      <c r="T877" s="3" t="n">
        <v>5.96</v>
      </c>
      <c r="U877" s="4" t="n">
        <v>0.1643</v>
      </c>
      <c r="V877" s="3" t="n">
        <v>8.4</v>
      </c>
      <c r="W877" t="inlineStr">
        <is>
          <t>PayPal</t>
        </is>
      </c>
      <c r="X877" t="inlineStr">
        <is>
          <t>High</t>
        </is>
      </c>
      <c r="Y877" t="n">
        <v>2023</v>
      </c>
      <c r="Z877" t="n">
        <v>6</v>
      </c>
      <c r="AA877" t="inlineStr">
        <is>
          <t>Jun</t>
        </is>
      </c>
      <c r="AB877" t="inlineStr">
        <is>
          <t>Tuesday</t>
        </is>
      </c>
      <c r="AC877" t="n">
        <v>7</v>
      </c>
      <c r="AD877" t="inlineStr">
        <is>
          <t>Profitable</t>
        </is>
      </c>
      <c r="AE877" t="inlineStr">
        <is>
          <t>High</t>
        </is>
      </c>
      <c r="AF877" t="inlineStr">
        <is>
          <t>Small</t>
        </is>
      </c>
    </row>
    <row r="878">
      <c r="A878" t="inlineStr">
        <is>
          <t>ORD-00877</t>
        </is>
      </c>
      <c r="B878" s="2" t="n">
        <v>45737</v>
      </c>
      <c r="C878" s="2" t="n">
        <v>45744</v>
      </c>
      <c r="D878" t="inlineStr">
        <is>
          <t>CUST-00877</t>
        </is>
      </c>
      <c r="E878" t="inlineStr">
        <is>
          <t>Customer 877</t>
        </is>
      </c>
      <c r="F878" t="inlineStr">
        <is>
          <t>Corporate</t>
        </is>
      </c>
      <c r="G878" t="inlineStr">
        <is>
          <t>P1013</t>
        </is>
      </c>
      <c r="H878" t="inlineStr">
        <is>
          <t>Northstar Lantern</t>
        </is>
      </c>
      <c r="I878" t="inlineStr">
        <is>
          <t>Office Supplies</t>
        </is>
      </c>
      <c r="J878" t="inlineStr">
        <is>
          <t>Decor</t>
        </is>
      </c>
      <c r="K878" t="inlineStr">
        <is>
          <t>West</t>
        </is>
      </c>
      <c r="L878" t="inlineStr">
        <is>
          <t>Washington</t>
        </is>
      </c>
      <c r="M878" t="inlineStr">
        <is>
          <t>Denver</t>
        </is>
      </c>
      <c r="N878" t="inlineStr">
        <is>
          <t>Mia Rodriguez</t>
        </is>
      </c>
      <c r="O878" t="n">
        <v>2</v>
      </c>
      <c r="P878" s="3" t="n">
        <v>165.21</v>
      </c>
      <c r="Q878" s="4" t="n">
        <v>0.035</v>
      </c>
      <c r="R878" s="3" t="n">
        <v>318.86</v>
      </c>
      <c r="S878" s="3" t="n">
        <v>188.87</v>
      </c>
      <c r="T878" s="3" t="n">
        <v>121.39</v>
      </c>
      <c r="U878" s="4" t="n">
        <v>0.3807</v>
      </c>
      <c r="V878" s="3" t="n">
        <v>8.6</v>
      </c>
      <c r="W878" t="inlineStr">
        <is>
          <t>Debit Card</t>
        </is>
      </c>
      <c r="X878" t="inlineStr">
        <is>
          <t>Medium</t>
        </is>
      </c>
      <c r="Y878" t="n">
        <v>2025</v>
      </c>
      <c r="Z878" t="n">
        <v>3</v>
      </c>
      <c r="AA878" t="inlineStr">
        <is>
          <t>Mar</t>
        </is>
      </c>
      <c r="AB878" t="inlineStr">
        <is>
          <t>Friday</t>
        </is>
      </c>
      <c r="AC878" t="n">
        <v>7</v>
      </c>
      <c r="AD878" t="inlineStr">
        <is>
          <t>Profitable</t>
        </is>
      </c>
      <c r="AE878" t="inlineStr">
        <is>
          <t>Medium</t>
        </is>
      </c>
      <c r="AF878" t="inlineStr">
        <is>
          <t>Small</t>
        </is>
      </c>
    </row>
    <row r="879">
      <c r="A879" t="inlineStr">
        <is>
          <t>ORD-00878</t>
        </is>
      </c>
      <c r="B879" s="2" t="n">
        <v>45760</v>
      </c>
      <c r="C879" s="2" t="n">
        <v>45767</v>
      </c>
      <c r="D879" t="inlineStr">
        <is>
          <t>CUST-00878</t>
        </is>
      </c>
      <c r="E879" t="inlineStr">
        <is>
          <t>Customer 878</t>
        </is>
      </c>
      <c r="F879" t="inlineStr">
        <is>
          <t>Consumer</t>
        </is>
      </c>
      <c r="G879" t="inlineStr">
        <is>
          <t>P1004</t>
        </is>
      </c>
      <c r="H879" t="inlineStr">
        <is>
          <t>Northstar Lantern</t>
        </is>
      </c>
      <c r="I879" t="inlineStr">
        <is>
          <t>Outdoor</t>
        </is>
      </c>
      <c r="J879" t="inlineStr">
        <is>
          <t>Paper</t>
        </is>
      </c>
      <c r="K879" t="inlineStr">
        <is>
          <t>South</t>
        </is>
      </c>
      <c r="L879" t="inlineStr">
        <is>
          <t>Georgia</t>
        </is>
      </c>
      <c r="M879" t="inlineStr">
        <is>
          <t>Dallas</t>
        </is>
      </c>
      <c r="N879" t="inlineStr">
        <is>
          <t>Liam Chen</t>
        </is>
      </c>
      <c r="O879" t="n">
        <v>1</v>
      </c>
      <c r="P879" s="3" t="n">
        <v>601.13</v>
      </c>
      <c r="Q879" s="4" t="n">
        <v>0.014</v>
      </c>
      <c r="R879" s="3" t="n">
        <v>592.71</v>
      </c>
      <c r="S879" s="3" t="n">
        <v>379.69</v>
      </c>
      <c r="T879" s="3" t="n">
        <v>206.22</v>
      </c>
      <c r="U879" s="4" t="n">
        <v>0.3479</v>
      </c>
      <c r="V879" s="3" t="n">
        <v>6.8</v>
      </c>
      <c r="W879" t="inlineStr">
        <is>
          <t>Credit Card</t>
        </is>
      </c>
      <c r="X879" t="inlineStr">
        <is>
          <t>Medium</t>
        </is>
      </c>
      <c r="Y879" t="n">
        <v>2025</v>
      </c>
      <c r="Z879" t="n">
        <v>4</v>
      </c>
      <c r="AA879" t="inlineStr">
        <is>
          <t>Apr</t>
        </is>
      </c>
      <c r="AB879" t="inlineStr">
        <is>
          <t>Sunday</t>
        </is>
      </c>
      <c r="AC879" t="n">
        <v>7</v>
      </c>
      <c r="AD879" t="inlineStr">
        <is>
          <t>Profitable</t>
        </is>
      </c>
      <c r="AE879" t="inlineStr">
        <is>
          <t>Low</t>
        </is>
      </c>
      <c r="AF879" t="inlineStr">
        <is>
          <t>Medium</t>
        </is>
      </c>
    </row>
    <row r="880">
      <c r="A880" t="inlineStr">
        <is>
          <t>ORD-00879</t>
        </is>
      </c>
      <c r="B880" s="2" t="n">
        <v>45155</v>
      </c>
      <c r="C880" s="2" t="n">
        <v>45157</v>
      </c>
      <c r="D880" t="inlineStr">
        <is>
          <t>CUST-00879</t>
        </is>
      </c>
      <c r="E880" t="inlineStr">
        <is>
          <t>Customer 879</t>
        </is>
      </c>
      <c r="F880" t="inlineStr">
        <is>
          <t>Corporate</t>
        </is>
      </c>
      <c r="G880" t="inlineStr">
        <is>
          <t>P1013</t>
        </is>
      </c>
      <c r="H880" t="inlineStr">
        <is>
          <t>Nova Laptop Stand</t>
        </is>
      </c>
      <c r="I880" t="inlineStr">
        <is>
          <t>Outdoor</t>
        </is>
      </c>
      <c r="J880" t="inlineStr">
        <is>
          <t>Plants</t>
        </is>
      </c>
      <c r="K880" t="inlineStr">
        <is>
          <t>South</t>
        </is>
      </c>
      <c r="L880" t="inlineStr">
        <is>
          <t>Texas</t>
        </is>
      </c>
      <c r="M880" t="inlineStr">
        <is>
          <t>Atlanta</t>
        </is>
      </c>
      <c r="N880" t="inlineStr">
        <is>
          <t>Olivia Martin</t>
        </is>
      </c>
      <c r="O880" t="n">
        <v>3</v>
      </c>
      <c r="P880" s="3" t="n">
        <v>167.31</v>
      </c>
      <c r="Q880" s="4" t="n">
        <v>0.02</v>
      </c>
      <c r="R880" s="3" t="n">
        <v>491.89</v>
      </c>
      <c r="S880" s="3" t="n">
        <v>282.88</v>
      </c>
      <c r="T880" s="3" t="n">
        <v>200.61</v>
      </c>
      <c r="U880" s="4" t="n">
        <v>0.4078</v>
      </c>
      <c r="V880" s="3" t="n">
        <v>8.4</v>
      </c>
      <c r="W880" t="inlineStr">
        <is>
          <t>Debit Card</t>
        </is>
      </c>
      <c r="X880" t="inlineStr">
        <is>
          <t>Medium</t>
        </is>
      </c>
      <c r="Y880" t="n">
        <v>2023</v>
      </c>
      <c r="Z880" t="n">
        <v>8</v>
      </c>
      <c r="AA880" t="inlineStr">
        <is>
          <t>Aug</t>
        </is>
      </c>
      <c r="AB880" t="inlineStr">
        <is>
          <t>Thursday</t>
        </is>
      </c>
      <c r="AC880" t="n">
        <v>2</v>
      </c>
      <c r="AD880" t="inlineStr">
        <is>
          <t>Profitable</t>
        </is>
      </c>
      <c r="AE880" t="inlineStr">
        <is>
          <t>Medium</t>
        </is>
      </c>
      <c r="AF880" t="inlineStr">
        <is>
          <t>Small</t>
        </is>
      </c>
    </row>
    <row r="881">
      <c r="A881" t="inlineStr">
        <is>
          <t>ORD-00880</t>
        </is>
      </c>
      <c r="B881" s="2" t="n">
        <v>45092</v>
      </c>
      <c r="C881" s="2" t="n">
        <v>45099</v>
      </c>
      <c r="D881" t="inlineStr">
        <is>
          <t>CUST-00880</t>
        </is>
      </c>
      <c r="E881" t="inlineStr">
        <is>
          <t>Customer 880</t>
        </is>
      </c>
      <c r="F881" t="inlineStr">
        <is>
          <t>Consumer</t>
        </is>
      </c>
      <c r="G881" t="inlineStr">
        <is>
          <t>P1006</t>
        </is>
      </c>
      <c r="H881" t="inlineStr">
        <is>
          <t>Atlas Throw Pillow</t>
        </is>
      </c>
      <c r="I881" t="inlineStr">
        <is>
          <t>Outdoor</t>
        </is>
      </c>
      <c r="J881" t="inlineStr">
        <is>
          <t>Peripherals</t>
        </is>
      </c>
      <c r="K881" t="inlineStr">
        <is>
          <t>East</t>
        </is>
      </c>
      <c r="L881" t="inlineStr">
        <is>
          <t>New York</t>
        </is>
      </c>
      <c r="M881" t="inlineStr">
        <is>
          <t>Boston</t>
        </is>
      </c>
      <c r="N881" t="inlineStr">
        <is>
          <t>Olivia Martin</t>
        </is>
      </c>
      <c r="O881" t="n">
        <v>3</v>
      </c>
      <c r="P881" s="3" t="n">
        <v>18.42</v>
      </c>
      <c r="Q881" s="4" t="n">
        <v>0.015</v>
      </c>
      <c r="R881" s="3" t="n">
        <v>54.43</v>
      </c>
      <c r="S881" s="3" t="n">
        <v>23.87</v>
      </c>
      <c r="T881" s="3" t="n">
        <v>21.16</v>
      </c>
      <c r="U881" s="4" t="n">
        <v>0.3888</v>
      </c>
      <c r="V881" s="3" t="n">
        <v>9.4</v>
      </c>
      <c r="W881" t="inlineStr">
        <is>
          <t>Credit Card</t>
        </is>
      </c>
      <c r="X881" t="inlineStr">
        <is>
          <t>Low</t>
        </is>
      </c>
      <c r="Y881" t="n">
        <v>2023</v>
      </c>
      <c r="Z881" t="n">
        <v>6</v>
      </c>
      <c r="AA881" t="inlineStr">
        <is>
          <t>Jun</t>
        </is>
      </c>
      <c r="AB881" t="inlineStr">
        <is>
          <t>Thursday</t>
        </is>
      </c>
      <c r="AC881" t="n">
        <v>7</v>
      </c>
      <c r="AD881" t="inlineStr">
        <is>
          <t>Profitable</t>
        </is>
      </c>
      <c r="AE881" t="inlineStr">
        <is>
          <t>Low</t>
        </is>
      </c>
      <c r="AF881" t="inlineStr">
        <is>
          <t>Small</t>
        </is>
      </c>
    </row>
    <row r="882">
      <c r="A882" t="inlineStr">
        <is>
          <t>ORD-00881</t>
        </is>
      </c>
      <c r="B882" s="2" t="n">
        <v>45132</v>
      </c>
      <c r="C882" s="2" t="n">
        <v>45138</v>
      </c>
      <c r="D882" t="inlineStr">
        <is>
          <t>CUST-00881</t>
        </is>
      </c>
      <c r="E882" t="inlineStr">
        <is>
          <t>Customer 881</t>
        </is>
      </c>
      <c r="F882" t="inlineStr">
        <is>
          <t>Consumer</t>
        </is>
      </c>
      <c r="G882" t="inlineStr">
        <is>
          <t>P1012</t>
        </is>
      </c>
      <c r="H882" t="inlineStr">
        <is>
          <t>Northstar Lantern</t>
        </is>
      </c>
      <c r="I882" t="inlineStr">
        <is>
          <t>Home Decor</t>
        </is>
      </c>
      <c r="J882" t="inlineStr">
        <is>
          <t>Lighting</t>
        </is>
      </c>
      <c r="K882" t="inlineStr">
        <is>
          <t>North</t>
        </is>
      </c>
      <c r="L882" t="inlineStr">
        <is>
          <t>Ontario</t>
        </is>
      </c>
      <c r="M882" t="inlineStr">
        <is>
          <t>Vancouver</t>
        </is>
      </c>
      <c r="N882" t="inlineStr">
        <is>
          <t>Liam Chen</t>
        </is>
      </c>
      <c r="O882" t="n">
        <v>2</v>
      </c>
      <c r="P882" s="3" t="n">
        <v>133.42</v>
      </c>
      <c r="Q882" s="4" t="n">
        <v>0.022</v>
      </c>
      <c r="R882" s="3" t="n">
        <v>260.97</v>
      </c>
      <c r="S882" s="3" t="n">
        <v>134.9</v>
      </c>
      <c r="T882" s="3" t="n">
        <v>118.47</v>
      </c>
      <c r="U882" s="4" t="n">
        <v>0.454</v>
      </c>
      <c r="V882" s="3" t="n">
        <v>7.6</v>
      </c>
      <c r="W882" t="inlineStr">
        <is>
          <t>Credit Card</t>
        </is>
      </c>
      <c r="X882" t="inlineStr">
        <is>
          <t>Medium</t>
        </is>
      </c>
      <c r="Y882" t="n">
        <v>2023</v>
      </c>
      <c r="Z882" t="n">
        <v>7</v>
      </c>
      <c r="AA882" t="inlineStr">
        <is>
          <t>Jul</t>
        </is>
      </c>
      <c r="AB882" t="inlineStr">
        <is>
          <t>Tuesday</t>
        </is>
      </c>
      <c r="AC882" t="n">
        <v>6</v>
      </c>
      <c r="AD882" t="inlineStr">
        <is>
          <t>Profitable</t>
        </is>
      </c>
      <c r="AE882" t="inlineStr">
        <is>
          <t>Medium</t>
        </is>
      </c>
      <c r="AF882" t="inlineStr">
        <is>
          <t>Small</t>
        </is>
      </c>
    </row>
    <row r="883">
      <c r="A883" t="inlineStr">
        <is>
          <t>ORD-00882</t>
        </is>
      </c>
      <c r="B883" s="2" t="n">
        <v>45738</v>
      </c>
      <c r="C883" s="2" t="n">
        <v>45743</v>
      </c>
      <c r="D883" t="inlineStr">
        <is>
          <t>CUST-00882</t>
        </is>
      </c>
      <c r="E883" t="inlineStr">
        <is>
          <t>Customer 882</t>
        </is>
      </c>
      <c r="F883" t="inlineStr">
        <is>
          <t>Corporate</t>
        </is>
      </c>
      <c r="G883" t="inlineStr">
        <is>
          <t>P1009</t>
        </is>
      </c>
      <c r="H883" t="inlineStr">
        <is>
          <t>Trail Tote</t>
        </is>
      </c>
      <c r="I883" t="inlineStr">
        <is>
          <t>Outdoor</t>
        </is>
      </c>
      <c r="J883" t="inlineStr">
        <is>
          <t>Video</t>
        </is>
      </c>
      <c r="K883" t="inlineStr">
        <is>
          <t>South</t>
        </is>
      </c>
      <c r="L883" t="inlineStr">
        <is>
          <t>Georgia</t>
        </is>
      </c>
      <c r="M883" t="inlineStr">
        <is>
          <t>Atlanta</t>
        </is>
      </c>
      <c r="N883" t="inlineStr">
        <is>
          <t>Ava Patel</t>
        </is>
      </c>
      <c r="O883" t="n">
        <v>5</v>
      </c>
      <c r="P883" s="3" t="n">
        <v>83.78</v>
      </c>
      <c r="Q883" s="4" t="n">
        <v>0.03</v>
      </c>
      <c r="R883" s="3" t="n">
        <v>406.33</v>
      </c>
      <c r="S883" s="3" t="n">
        <v>198.4</v>
      </c>
      <c r="T883" s="3" t="n">
        <v>197.93</v>
      </c>
      <c r="U883" s="4" t="n">
        <v>0.4871</v>
      </c>
      <c r="V883" s="3" t="n">
        <v>10</v>
      </c>
      <c r="W883" t="inlineStr">
        <is>
          <t>Bank Transfer</t>
        </is>
      </c>
      <c r="X883" t="inlineStr">
        <is>
          <t>Low</t>
        </is>
      </c>
      <c r="Y883" t="n">
        <v>2025</v>
      </c>
      <c r="Z883" t="n">
        <v>3</v>
      </c>
      <c r="AA883" t="inlineStr">
        <is>
          <t>Mar</t>
        </is>
      </c>
      <c r="AB883" t="inlineStr">
        <is>
          <t>Saturday</t>
        </is>
      </c>
      <c r="AC883" t="n">
        <v>5</v>
      </c>
      <c r="AD883" t="inlineStr">
        <is>
          <t>Profitable</t>
        </is>
      </c>
      <c r="AE883" t="inlineStr">
        <is>
          <t>Medium</t>
        </is>
      </c>
      <c r="AF883" t="inlineStr">
        <is>
          <t>Small</t>
        </is>
      </c>
    </row>
    <row r="884">
      <c r="A884" t="inlineStr">
        <is>
          <t>ORD-00883</t>
        </is>
      </c>
      <c r="B884" s="2" t="n">
        <v>45188</v>
      </c>
      <c r="C884" s="2" t="n">
        <v>45189</v>
      </c>
      <c r="D884" t="inlineStr">
        <is>
          <t>CUST-00883</t>
        </is>
      </c>
      <c r="E884" t="inlineStr">
        <is>
          <t>Customer 883</t>
        </is>
      </c>
      <c r="F884" t="inlineStr">
        <is>
          <t>Consumer</t>
        </is>
      </c>
      <c r="G884" t="inlineStr">
        <is>
          <t>P1015</t>
        </is>
      </c>
      <c r="H884" t="inlineStr">
        <is>
          <t>Aero Standing Desk</t>
        </is>
      </c>
      <c r="I884" t="inlineStr">
        <is>
          <t>Outdoor</t>
        </is>
      </c>
      <c r="J884" t="inlineStr">
        <is>
          <t>Peripherals</t>
        </is>
      </c>
      <c r="K884" t="inlineStr">
        <is>
          <t>South</t>
        </is>
      </c>
      <c r="L884" t="inlineStr">
        <is>
          <t>Texas</t>
        </is>
      </c>
      <c r="M884" t="inlineStr">
        <is>
          <t>Atlanta</t>
        </is>
      </c>
      <c r="N884" t="inlineStr">
        <is>
          <t>Noah Kim</t>
        </is>
      </c>
      <c r="O884" t="n">
        <v>3</v>
      </c>
      <c r="P884" s="3" t="n">
        <v>66.44</v>
      </c>
      <c r="Q884" s="4" t="n">
        <v>0.018</v>
      </c>
      <c r="R884" s="3" t="n">
        <v>195.73</v>
      </c>
      <c r="S884" s="3" t="n">
        <v>89.40000000000001</v>
      </c>
      <c r="T884" s="3" t="n">
        <v>97.93000000000001</v>
      </c>
      <c r="U884" s="4" t="n">
        <v>0.5003</v>
      </c>
      <c r="V884" s="3" t="n">
        <v>8.4</v>
      </c>
      <c r="W884" t="inlineStr">
        <is>
          <t>PayPal</t>
        </is>
      </c>
      <c r="X884" t="inlineStr">
        <is>
          <t>High</t>
        </is>
      </c>
      <c r="Y884" t="n">
        <v>2023</v>
      </c>
      <c r="Z884" t="n">
        <v>9</v>
      </c>
      <c r="AA884" t="inlineStr">
        <is>
          <t>Sep</t>
        </is>
      </c>
      <c r="AB884" t="inlineStr">
        <is>
          <t>Tuesday</t>
        </is>
      </c>
      <c r="AC884" t="n">
        <v>1</v>
      </c>
      <c r="AD884" t="inlineStr">
        <is>
          <t>Profitable</t>
        </is>
      </c>
      <c r="AE884" t="inlineStr">
        <is>
          <t>Low</t>
        </is>
      </c>
      <c r="AF884" t="inlineStr">
        <is>
          <t>Small</t>
        </is>
      </c>
    </row>
    <row r="885">
      <c r="A885" t="inlineStr">
        <is>
          <t>ORD-00884</t>
        </is>
      </c>
      <c r="B885" s="2" t="n">
        <v>45233</v>
      </c>
      <c r="C885" s="2" t="n">
        <v>45240</v>
      </c>
      <c r="D885" t="inlineStr">
        <is>
          <t>CUST-00884</t>
        </is>
      </c>
      <c r="E885" t="inlineStr">
        <is>
          <t>Customer 884</t>
        </is>
      </c>
      <c r="F885" t="inlineStr">
        <is>
          <t>Consumer</t>
        </is>
      </c>
      <c r="G885" t="inlineStr">
        <is>
          <t>P1015</t>
        </is>
      </c>
      <c r="H885" t="inlineStr">
        <is>
          <t>FlexNote Notebook</t>
        </is>
      </c>
      <c r="I885" t="inlineStr">
        <is>
          <t>Outdoor</t>
        </is>
      </c>
      <c r="J885" t="inlineStr">
        <is>
          <t>Writing</t>
        </is>
      </c>
      <c r="K885" t="inlineStr">
        <is>
          <t>West</t>
        </is>
      </c>
      <c r="L885" t="inlineStr">
        <is>
          <t>Colorado</t>
        </is>
      </c>
      <c r="M885" t="inlineStr">
        <is>
          <t>Seattle</t>
        </is>
      </c>
      <c r="N885" t="inlineStr">
        <is>
          <t>Olivia Martin</t>
        </is>
      </c>
      <c r="O885" t="n">
        <v>2</v>
      </c>
      <c r="P885" s="3" t="n">
        <v>75.41</v>
      </c>
      <c r="Q885" s="4" t="n">
        <v>0.044</v>
      </c>
      <c r="R885" s="3" t="n">
        <v>144.18</v>
      </c>
      <c r="S885" s="3" t="n">
        <v>67.52</v>
      </c>
      <c r="T885" s="3" t="n">
        <v>68.06</v>
      </c>
      <c r="U885" s="4" t="n">
        <v>0.472</v>
      </c>
      <c r="V885" s="3" t="n">
        <v>8.6</v>
      </c>
      <c r="W885" t="inlineStr">
        <is>
          <t>Debit Card</t>
        </is>
      </c>
      <c r="X885" t="inlineStr">
        <is>
          <t>High</t>
        </is>
      </c>
      <c r="Y885" t="n">
        <v>2023</v>
      </c>
      <c r="Z885" t="n">
        <v>11</v>
      </c>
      <c r="AA885" t="inlineStr">
        <is>
          <t>Nov</t>
        </is>
      </c>
      <c r="AB885" t="inlineStr">
        <is>
          <t>Friday</t>
        </is>
      </c>
      <c r="AC885" t="n">
        <v>7</v>
      </c>
      <c r="AD885" t="inlineStr">
        <is>
          <t>Profitable</t>
        </is>
      </c>
      <c r="AE885" t="inlineStr">
        <is>
          <t>Medium</t>
        </is>
      </c>
      <c r="AF885" t="inlineStr">
        <is>
          <t>Small</t>
        </is>
      </c>
    </row>
    <row r="886">
      <c r="A886" t="inlineStr">
        <is>
          <t>ORD-00885</t>
        </is>
      </c>
      <c r="B886" s="2" t="n">
        <v>45761</v>
      </c>
      <c r="C886" s="2" t="n">
        <v>45763</v>
      </c>
      <c r="D886" t="inlineStr">
        <is>
          <t>CUST-00885</t>
        </is>
      </c>
      <c r="E886" t="inlineStr">
        <is>
          <t>Customer 885</t>
        </is>
      </c>
      <c r="F886" t="inlineStr">
        <is>
          <t>Consumer</t>
        </is>
      </c>
      <c r="G886" t="inlineStr">
        <is>
          <t>P1017</t>
        </is>
      </c>
      <c r="H886" t="inlineStr">
        <is>
          <t>Tide Cooler</t>
        </is>
      </c>
      <c r="I886" t="inlineStr">
        <is>
          <t>Office Supplies</t>
        </is>
      </c>
      <c r="J886" t="inlineStr">
        <is>
          <t>Writing</t>
        </is>
      </c>
      <c r="K886" t="inlineStr">
        <is>
          <t>South</t>
        </is>
      </c>
      <c r="L886" t="inlineStr">
        <is>
          <t>North Carolina</t>
        </is>
      </c>
      <c r="M886" t="inlineStr">
        <is>
          <t>Dallas</t>
        </is>
      </c>
      <c r="N886" t="inlineStr">
        <is>
          <t>Sophia Singh</t>
        </is>
      </c>
      <c r="O886" t="n">
        <v>4</v>
      </c>
      <c r="P886" s="3" t="n">
        <v>512.13</v>
      </c>
      <c r="Q886" s="4" t="n">
        <v>0.008</v>
      </c>
      <c r="R886" s="3" t="n">
        <v>2032.13</v>
      </c>
      <c r="S886" s="3" t="n">
        <v>1348.38</v>
      </c>
      <c r="T886" s="3" t="n">
        <v>674.55</v>
      </c>
      <c r="U886" s="4" t="n">
        <v>0.3319</v>
      </c>
      <c r="V886" s="3" t="n">
        <v>9.199999999999999</v>
      </c>
      <c r="W886" t="inlineStr">
        <is>
          <t>Cash on Delivery</t>
        </is>
      </c>
      <c r="X886" t="inlineStr">
        <is>
          <t>Low</t>
        </is>
      </c>
      <c r="Y886" t="n">
        <v>2025</v>
      </c>
      <c r="Z886" t="n">
        <v>4</v>
      </c>
      <c r="AA886" t="inlineStr">
        <is>
          <t>Apr</t>
        </is>
      </c>
      <c r="AB886" t="inlineStr">
        <is>
          <t>Monday</t>
        </is>
      </c>
      <c r="AC886" t="n">
        <v>2</v>
      </c>
      <c r="AD886" t="inlineStr">
        <is>
          <t>Profitable</t>
        </is>
      </c>
      <c r="AE886" t="inlineStr">
        <is>
          <t>Low</t>
        </is>
      </c>
      <c r="AF886" t="inlineStr">
        <is>
          <t>Large</t>
        </is>
      </c>
    </row>
    <row r="887">
      <c r="A887" t="inlineStr">
        <is>
          <t>ORD-00886</t>
        </is>
      </c>
      <c r="B887" s="2" t="n">
        <v>45117</v>
      </c>
      <c r="C887" s="2" t="n">
        <v>45119</v>
      </c>
      <c r="D887" t="inlineStr">
        <is>
          <t>CUST-00886</t>
        </is>
      </c>
      <c r="E887" t="inlineStr">
        <is>
          <t>Customer 886</t>
        </is>
      </c>
      <c r="F887" t="inlineStr">
        <is>
          <t>Corporate</t>
        </is>
      </c>
      <c r="G887" t="inlineStr">
        <is>
          <t>P1005</t>
        </is>
      </c>
      <c r="H887" t="inlineStr">
        <is>
          <t>CloudDrive File Box</t>
        </is>
      </c>
      <c r="I887" t="inlineStr">
        <is>
          <t>Technology</t>
        </is>
      </c>
      <c r="J887" t="inlineStr">
        <is>
          <t>Lighting</t>
        </is>
      </c>
      <c r="K887" t="inlineStr">
        <is>
          <t>Central</t>
        </is>
      </c>
      <c r="L887" t="inlineStr">
        <is>
          <t>Kansas</t>
        </is>
      </c>
      <c r="M887" t="inlineStr">
        <is>
          <t>Kansas City</t>
        </is>
      </c>
      <c r="N887" t="inlineStr">
        <is>
          <t>Liam Chen</t>
        </is>
      </c>
      <c r="O887" t="n">
        <v>2</v>
      </c>
      <c r="P887" s="3" t="n">
        <v>12.36</v>
      </c>
      <c r="Q887" s="4" t="n">
        <v>0.026</v>
      </c>
      <c r="R887" s="3" t="n">
        <v>24.08</v>
      </c>
      <c r="S887" s="3" t="n">
        <v>13.13</v>
      </c>
      <c r="T887" s="3" t="n">
        <v>3.35</v>
      </c>
      <c r="U887" s="4" t="n">
        <v>0.1391</v>
      </c>
      <c r="V887" s="3" t="n">
        <v>7.6</v>
      </c>
      <c r="W887" t="inlineStr">
        <is>
          <t>Debit Card</t>
        </is>
      </c>
      <c r="X887" t="inlineStr">
        <is>
          <t>Medium</t>
        </is>
      </c>
      <c r="Y887" t="n">
        <v>2023</v>
      </c>
      <c r="Z887" t="n">
        <v>7</v>
      </c>
      <c r="AA887" t="inlineStr">
        <is>
          <t>Jul</t>
        </is>
      </c>
      <c r="AB887" t="inlineStr">
        <is>
          <t>Monday</t>
        </is>
      </c>
      <c r="AC887" t="n">
        <v>2</v>
      </c>
      <c r="AD887" t="inlineStr">
        <is>
          <t>Profitable</t>
        </is>
      </c>
      <c r="AE887" t="inlineStr">
        <is>
          <t>Medium</t>
        </is>
      </c>
      <c r="AF887" t="inlineStr">
        <is>
          <t>Small</t>
        </is>
      </c>
    </row>
    <row r="888">
      <c r="A888" t="inlineStr">
        <is>
          <t>ORD-00887</t>
        </is>
      </c>
      <c r="B888" s="2" t="n">
        <v>46008</v>
      </c>
      <c r="C888" s="2" t="n">
        <v>46015</v>
      </c>
      <c r="D888" t="inlineStr">
        <is>
          <t>CUST-00887</t>
        </is>
      </c>
      <c r="E888" t="inlineStr">
        <is>
          <t>Customer 887</t>
        </is>
      </c>
      <c r="F888" t="inlineStr">
        <is>
          <t>Consumer</t>
        </is>
      </c>
      <c r="G888" t="inlineStr">
        <is>
          <t>P1005</t>
        </is>
      </c>
      <c r="H888" t="inlineStr">
        <is>
          <t>Harbor Rug</t>
        </is>
      </c>
      <c r="I888" t="inlineStr">
        <is>
          <t>Office Supplies</t>
        </is>
      </c>
      <c r="J888" t="inlineStr">
        <is>
          <t>Writing</t>
        </is>
      </c>
      <c r="K888" t="inlineStr">
        <is>
          <t>Central</t>
        </is>
      </c>
      <c r="L888" t="inlineStr">
        <is>
          <t>Minnesota</t>
        </is>
      </c>
      <c r="M888" t="inlineStr">
        <is>
          <t>St. Louis</t>
        </is>
      </c>
      <c r="N888" t="inlineStr">
        <is>
          <t>Liam Chen</t>
        </is>
      </c>
      <c r="O888" t="n">
        <v>1</v>
      </c>
      <c r="P888" s="3" t="n">
        <v>13.29</v>
      </c>
      <c r="Q888" s="4" t="n">
        <v>0.001</v>
      </c>
      <c r="R888" s="3" t="n">
        <v>13.28</v>
      </c>
      <c r="S888" s="3" t="n">
        <v>9.84</v>
      </c>
      <c r="T888" s="3" t="n">
        <v>-3.36</v>
      </c>
      <c r="U888" s="4" t="n">
        <v>-0.253</v>
      </c>
      <c r="V888" s="3" t="n">
        <v>6.8</v>
      </c>
      <c r="W888" t="inlineStr">
        <is>
          <t>Credit Card</t>
        </is>
      </c>
      <c r="X888" t="inlineStr">
        <is>
          <t>Medium</t>
        </is>
      </c>
      <c r="Y888" t="n">
        <v>2025</v>
      </c>
      <c r="Z888" t="n">
        <v>12</v>
      </c>
      <c r="AA888" t="inlineStr">
        <is>
          <t>Dec</t>
        </is>
      </c>
      <c r="AB888" t="inlineStr">
        <is>
          <t>Wednesday</t>
        </is>
      </c>
      <c r="AC888" t="n">
        <v>7</v>
      </c>
      <c r="AD888" t="inlineStr">
        <is>
          <t>Unprofitable</t>
        </is>
      </c>
      <c r="AE888" t="inlineStr">
        <is>
          <t>Low</t>
        </is>
      </c>
      <c r="AF888" t="inlineStr">
        <is>
          <t>Small</t>
        </is>
      </c>
    </row>
    <row r="889">
      <c r="A889" t="inlineStr">
        <is>
          <t>ORD-00888</t>
        </is>
      </c>
      <c r="B889" s="2" t="n">
        <v>45054</v>
      </c>
      <c r="C889" s="2" t="n">
        <v>45056</v>
      </c>
      <c r="D889" t="inlineStr">
        <is>
          <t>CUST-00888</t>
        </is>
      </c>
      <c r="E889" t="inlineStr">
        <is>
          <t>Customer 888</t>
        </is>
      </c>
      <c r="F889" t="inlineStr">
        <is>
          <t>Consumer</t>
        </is>
      </c>
      <c r="G889" t="inlineStr">
        <is>
          <t>P1005</t>
        </is>
      </c>
      <c r="H889" t="inlineStr">
        <is>
          <t>Nova Laptop Stand</t>
        </is>
      </c>
      <c r="I889" t="inlineStr">
        <is>
          <t>Office Supplies</t>
        </is>
      </c>
      <c r="J889" t="inlineStr">
        <is>
          <t>Decor</t>
        </is>
      </c>
      <c r="K889" t="inlineStr">
        <is>
          <t>North</t>
        </is>
      </c>
      <c r="L889" t="inlineStr">
        <is>
          <t>Quebec</t>
        </is>
      </c>
      <c r="M889" t="inlineStr">
        <is>
          <t>Vancouver</t>
        </is>
      </c>
      <c r="N889" t="inlineStr">
        <is>
          <t>Mia Rodriguez</t>
        </is>
      </c>
      <c r="O889" t="n">
        <v>1</v>
      </c>
      <c r="P889" s="3" t="n">
        <v>12.29</v>
      </c>
      <c r="Q889" s="4" t="n">
        <v>0.018</v>
      </c>
      <c r="R889" s="3" t="n">
        <v>12.07</v>
      </c>
      <c r="S889" s="3" t="n">
        <v>8.460000000000001</v>
      </c>
      <c r="T889" s="3" t="n">
        <v>-3.19</v>
      </c>
      <c r="U889" s="4" t="n">
        <v>-0.2643</v>
      </c>
      <c r="V889" s="3" t="n">
        <v>6.8</v>
      </c>
      <c r="W889" t="inlineStr">
        <is>
          <t>Debit Card</t>
        </is>
      </c>
      <c r="X889" t="inlineStr">
        <is>
          <t>Medium</t>
        </is>
      </c>
      <c r="Y889" t="n">
        <v>2023</v>
      </c>
      <c r="Z889" t="n">
        <v>5</v>
      </c>
      <c r="AA889" t="inlineStr">
        <is>
          <t>May</t>
        </is>
      </c>
      <c r="AB889" t="inlineStr">
        <is>
          <t>Monday</t>
        </is>
      </c>
      <c r="AC889" t="n">
        <v>2</v>
      </c>
      <c r="AD889" t="inlineStr">
        <is>
          <t>Unprofitable</t>
        </is>
      </c>
      <c r="AE889" t="inlineStr">
        <is>
          <t>Low</t>
        </is>
      </c>
      <c r="AF889" t="inlineStr">
        <is>
          <t>Small</t>
        </is>
      </c>
    </row>
    <row r="890">
      <c r="A890" t="inlineStr">
        <is>
          <t>ORD-00889</t>
        </is>
      </c>
      <c r="B890" s="2" t="n">
        <v>45156</v>
      </c>
      <c r="C890" s="2" t="n">
        <v>45163</v>
      </c>
      <c r="D890" t="inlineStr">
        <is>
          <t>CUST-00889</t>
        </is>
      </c>
      <c r="E890" t="inlineStr">
        <is>
          <t>Customer 889</t>
        </is>
      </c>
      <c r="F890" t="inlineStr">
        <is>
          <t>Consumer</t>
        </is>
      </c>
      <c r="G890" t="inlineStr">
        <is>
          <t>P1014</t>
        </is>
      </c>
      <c r="H890" t="inlineStr">
        <is>
          <t>Orbit Wireless Mouse</t>
        </is>
      </c>
      <c r="I890" t="inlineStr">
        <is>
          <t>Furniture</t>
        </is>
      </c>
      <c r="J890" t="inlineStr">
        <is>
          <t>Video</t>
        </is>
      </c>
      <c r="K890" t="inlineStr">
        <is>
          <t>East</t>
        </is>
      </c>
      <c r="L890" t="inlineStr">
        <is>
          <t>New Jersey</t>
        </is>
      </c>
      <c r="M890" t="inlineStr">
        <is>
          <t>New York</t>
        </is>
      </c>
      <c r="N890" t="inlineStr">
        <is>
          <t>Olivia Martin</t>
        </is>
      </c>
      <c r="O890" t="n">
        <v>2</v>
      </c>
      <c r="P890" s="3" t="n">
        <v>45.96</v>
      </c>
      <c r="Q890" s="4" t="n">
        <v>0.006</v>
      </c>
      <c r="R890" s="3" t="n">
        <v>91.37</v>
      </c>
      <c r="S890" s="3" t="n">
        <v>44.47</v>
      </c>
      <c r="T890" s="3" t="n">
        <v>38.3</v>
      </c>
      <c r="U890" s="4" t="n">
        <v>0.4192</v>
      </c>
      <c r="V890" s="3" t="n">
        <v>8.6</v>
      </c>
      <c r="W890" t="inlineStr">
        <is>
          <t>Cash on Delivery</t>
        </is>
      </c>
      <c r="X890" t="inlineStr">
        <is>
          <t>Low</t>
        </is>
      </c>
      <c r="Y890" t="n">
        <v>2023</v>
      </c>
      <c r="Z890" t="n">
        <v>8</v>
      </c>
      <c r="AA890" t="inlineStr">
        <is>
          <t>Aug</t>
        </is>
      </c>
      <c r="AB890" t="inlineStr">
        <is>
          <t>Friday</t>
        </is>
      </c>
      <c r="AC890" t="n">
        <v>7</v>
      </c>
      <c r="AD890" t="inlineStr">
        <is>
          <t>Profitable</t>
        </is>
      </c>
      <c r="AE890" t="inlineStr">
        <is>
          <t>Low</t>
        </is>
      </c>
      <c r="AF890" t="inlineStr">
        <is>
          <t>Small</t>
        </is>
      </c>
    </row>
    <row r="891">
      <c r="A891" t="inlineStr">
        <is>
          <t>ORD-00890</t>
        </is>
      </c>
      <c r="B891" s="2" t="n">
        <v>44969</v>
      </c>
      <c r="C891" s="2" t="n">
        <v>44972</v>
      </c>
      <c r="D891" t="inlineStr">
        <is>
          <t>CUST-00890</t>
        </is>
      </c>
      <c r="E891" t="inlineStr">
        <is>
          <t>Customer 890</t>
        </is>
      </c>
      <c r="F891" t="inlineStr">
        <is>
          <t>Consumer</t>
        </is>
      </c>
      <c r="G891" t="inlineStr">
        <is>
          <t>P1002</t>
        </is>
      </c>
      <c r="H891" t="inlineStr">
        <is>
          <t>Aero Standing Desk</t>
        </is>
      </c>
      <c r="I891" t="inlineStr">
        <is>
          <t>Office Supplies</t>
        </is>
      </c>
      <c r="J891" t="inlineStr">
        <is>
          <t>Peripherals</t>
        </is>
      </c>
      <c r="K891" t="inlineStr">
        <is>
          <t>East</t>
        </is>
      </c>
      <c r="L891" t="inlineStr">
        <is>
          <t>New Jersey</t>
        </is>
      </c>
      <c r="M891" t="inlineStr">
        <is>
          <t>Boston</t>
        </is>
      </c>
      <c r="N891" t="inlineStr">
        <is>
          <t>Ava Patel</t>
        </is>
      </c>
      <c r="O891" t="n">
        <v>2</v>
      </c>
      <c r="P891" s="3" t="n">
        <v>82.90000000000001</v>
      </c>
      <c r="Q891" s="4" t="n">
        <v>0.052</v>
      </c>
      <c r="R891" s="3" t="n">
        <v>157.18</v>
      </c>
      <c r="S891" s="3" t="n">
        <v>76.66</v>
      </c>
      <c r="T891" s="3" t="n">
        <v>71.92</v>
      </c>
      <c r="U891" s="4" t="n">
        <v>0.4576</v>
      </c>
      <c r="V891" s="3" t="n">
        <v>8.6</v>
      </c>
      <c r="W891" t="inlineStr">
        <is>
          <t>PayPal</t>
        </is>
      </c>
      <c r="X891" t="inlineStr">
        <is>
          <t>High</t>
        </is>
      </c>
      <c r="Y891" t="n">
        <v>2023</v>
      </c>
      <c r="Z891" t="n">
        <v>2</v>
      </c>
      <c r="AA891" t="inlineStr">
        <is>
          <t>Feb</t>
        </is>
      </c>
      <c r="AB891" t="inlineStr">
        <is>
          <t>Sunday</t>
        </is>
      </c>
      <c r="AC891" t="n">
        <v>3</v>
      </c>
      <c r="AD891" t="inlineStr">
        <is>
          <t>Profitable</t>
        </is>
      </c>
      <c r="AE891" t="inlineStr">
        <is>
          <t>High</t>
        </is>
      </c>
      <c r="AF891" t="inlineStr">
        <is>
          <t>Small</t>
        </is>
      </c>
    </row>
    <row r="892">
      <c r="A892" t="inlineStr">
        <is>
          <t>ORD-00891</t>
        </is>
      </c>
      <c r="B892" s="2" t="n">
        <v>45917</v>
      </c>
      <c r="C892" s="2" t="n">
        <v>45922</v>
      </c>
      <c r="D892" t="inlineStr">
        <is>
          <t>CUST-00891</t>
        </is>
      </c>
      <c r="E892" t="inlineStr">
        <is>
          <t>Customer 891</t>
        </is>
      </c>
      <c r="F892" t="inlineStr">
        <is>
          <t>Consumer</t>
        </is>
      </c>
      <c r="G892" t="inlineStr">
        <is>
          <t>P1009</t>
        </is>
      </c>
      <c r="H892" t="inlineStr">
        <is>
          <t>Northstar Lantern</t>
        </is>
      </c>
      <c r="I892" t="inlineStr">
        <is>
          <t>Home Decor</t>
        </is>
      </c>
      <c r="J892" t="inlineStr">
        <is>
          <t>Paper</t>
        </is>
      </c>
      <c r="K892" t="inlineStr">
        <is>
          <t>Central</t>
        </is>
      </c>
      <c r="L892" t="inlineStr">
        <is>
          <t>Kansas</t>
        </is>
      </c>
      <c r="M892" t="inlineStr">
        <is>
          <t>Kansas City</t>
        </is>
      </c>
      <c r="N892" t="inlineStr">
        <is>
          <t>Mia Rodriguez</t>
        </is>
      </c>
      <c r="O892" t="n">
        <v>2</v>
      </c>
      <c r="P892" s="3" t="n">
        <v>88.88</v>
      </c>
      <c r="Q892" s="4" t="n">
        <v>0.001</v>
      </c>
      <c r="R892" s="3" t="n">
        <v>177.58</v>
      </c>
      <c r="S892" s="3" t="n">
        <v>91.44</v>
      </c>
      <c r="T892" s="3" t="n">
        <v>78.54000000000001</v>
      </c>
      <c r="U892" s="4" t="n">
        <v>0.4423</v>
      </c>
      <c r="V892" s="3" t="n">
        <v>7.6</v>
      </c>
      <c r="W892" t="inlineStr">
        <is>
          <t>Bank Transfer</t>
        </is>
      </c>
      <c r="X892" t="inlineStr">
        <is>
          <t>Low</t>
        </is>
      </c>
      <c r="Y892" t="n">
        <v>2025</v>
      </c>
      <c r="Z892" t="n">
        <v>9</v>
      </c>
      <c r="AA892" t="inlineStr">
        <is>
          <t>Sep</t>
        </is>
      </c>
      <c r="AB892" t="inlineStr">
        <is>
          <t>Wednesday</t>
        </is>
      </c>
      <c r="AC892" t="n">
        <v>5</v>
      </c>
      <c r="AD892" t="inlineStr">
        <is>
          <t>Profitable</t>
        </is>
      </c>
      <c r="AE892" t="inlineStr">
        <is>
          <t>Low</t>
        </is>
      </c>
      <c r="AF892" t="inlineStr">
        <is>
          <t>Small</t>
        </is>
      </c>
    </row>
    <row r="893">
      <c r="A893" t="inlineStr">
        <is>
          <t>ORD-00892</t>
        </is>
      </c>
      <c r="B893" s="2" t="n">
        <v>45711</v>
      </c>
      <c r="C893" s="2" t="n">
        <v>45718</v>
      </c>
      <c r="D893" t="inlineStr">
        <is>
          <t>CUST-00892</t>
        </is>
      </c>
      <c r="E893" t="inlineStr">
        <is>
          <t>Customer 892</t>
        </is>
      </c>
      <c r="F893" t="inlineStr">
        <is>
          <t>Consumer</t>
        </is>
      </c>
      <c r="G893" t="inlineStr">
        <is>
          <t>P1014</t>
        </is>
      </c>
      <c r="H893" t="inlineStr">
        <is>
          <t>Aero Standing Desk</t>
        </is>
      </c>
      <c r="I893" t="inlineStr">
        <is>
          <t>Outdoor</t>
        </is>
      </c>
      <c r="J893" t="inlineStr">
        <is>
          <t>Writing</t>
        </is>
      </c>
      <c r="K893" t="inlineStr">
        <is>
          <t>Central</t>
        </is>
      </c>
      <c r="L893" t="inlineStr">
        <is>
          <t>Minnesota</t>
        </is>
      </c>
      <c r="M893" t="inlineStr">
        <is>
          <t>Chicago</t>
        </is>
      </c>
      <c r="N893" t="inlineStr">
        <is>
          <t>Sophia Singh</t>
        </is>
      </c>
      <c r="O893" t="n">
        <v>4</v>
      </c>
      <c r="P893" s="3" t="n">
        <v>43.33</v>
      </c>
      <c r="Q893" s="4" t="n">
        <v>0.037</v>
      </c>
      <c r="R893" s="3" t="n">
        <v>166.91</v>
      </c>
      <c r="S893" s="3" t="n">
        <v>69.90000000000001</v>
      </c>
      <c r="T893" s="3" t="n">
        <v>87.81</v>
      </c>
      <c r="U893" s="4" t="n">
        <v>0.5261</v>
      </c>
      <c r="V893" s="3" t="n">
        <v>9.199999999999999</v>
      </c>
      <c r="W893" t="inlineStr">
        <is>
          <t>Credit Card</t>
        </is>
      </c>
      <c r="X893" t="inlineStr">
        <is>
          <t>High</t>
        </is>
      </c>
      <c r="Y893" t="n">
        <v>2025</v>
      </c>
      <c r="Z893" t="n">
        <v>2</v>
      </c>
      <c r="AA893" t="inlineStr">
        <is>
          <t>Feb</t>
        </is>
      </c>
      <c r="AB893" t="inlineStr">
        <is>
          <t>Sunday</t>
        </is>
      </c>
      <c r="AC893" t="n">
        <v>7</v>
      </c>
      <c r="AD893" t="inlineStr">
        <is>
          <t>Profitable</t>
        </is>
      </c>
      <c r="AE893" t="inlineStr">
        <is>
          <t>Medium</t>
        </is>
      </c>
      <c r="AF893" t="inlineStr">
        <is>
          <t>Small</t>
        </is>
      </c>
    </row>
    <row r="894">
      <c r="A894" t="inlineStr">
        <is>
          <t>ORD-00893</t>
        </is>
      </c>
      <c r="B894" s="2" t="n">
        <v>46002</v>
      </c>
      <c r="C894" s="2" t="n">
        <v>46004</v>
      </c>
      <c r="D894" t="inlineStr">
        <is>
          <t>CUST-00893</t>
        </is>
      </c>
      <c r="E894" t="inlineStr">
        <is>
          <t>Customer 893</t>
        </is>
      </c>
      <c r="F894" t="inlineStr">
        <is>
          <t>Consumer</t>
        </is>
      </c>
      <c r="G894" t="inlineStr">
        <is>
          <t>P1015</t>
        </is>
      </c>
      <c r="H894" t="inlineStr">
        <is>
          <t>Harbor Rug</t>
        </is>
      </c>
      <c r="I894" t="inlineStr">
        <is>
          <t>Furniture</t>
        </is>
      </c>
      <c r="J894" t="inlineStr">
        <is>
          <t>Binders</t>
        </is>
      </c>
      <c r="K894" t="inlineStr">
        <is>
          <t>South</t>
        </is>
      </c>
      <c r="L894" t="inlineStr">
        <is>
          <t>Georgia</t>
        </is>
      </c>
      <c r="M894" t="inlineStr">
        <is>
          <t>Dallas</t>
        </is>
      </c>
      <c r="N894" t="inlineStr">
        <is>
          <t>Liam Chen</t>
        </is>
      </c>
      <c r="O894" t="n">
        <v>2</v>
      </c>
      <c r="P894" s="3" t="n">
        <v>72.56</v>
      </c>
      <c r="Q894" s="4" t="n">
        <v>0.002</v>
      </c>
      <c r="R894" s="3" t="n">
        <v>144.83</v>
      </c>
      <c r="S894" s="3" t="n">
        <v>68.75</v>
      </c>
      <c r="T894" s="3" t="n">
        <v>68.48</v>
      </c>
      <c r="U894" s="4" t="n">
        <v>0.4728</v>
      </c>
      <c r="V894" s="3" t="n">
        <v>7.6</v>
      </c>
      <c r="W894" t="inlineStr">
        <is>
          <t>Credit Card</t>
        </is>
      </c>
      <c r="X894" t="inlineStr">
        <is>
          <t>Low</t>
        </is>
      </c>
      <c r="Y894" t="n">
        <v>2025</v>
      </c>
      <c r="Z894" t="n">
        <v>12</v>
      </c>
      <c r="AA894" t="inlineStr">
        <is>
          <t>Dec</t>
        </is>
      </c>
      <c r="AB894" t="inlineStr">
        <is>
          <t>Thursday</t>
        </is>
      </c>
      <c r="AC894" t="n">
        <v>2</v>
      </c>
      <c r="AD894" t="inlineStr">
        <is>
          <t>Profitable</t>
        </is>
      </c>
      <c r="AE894" t="inlineStr">
        <is>
          <t>Low</t>
        </is>
      </c>
      <c r="AF894" t="inlineStr">
        <is>
          <t>Small</t>
        </is>
      </c>
    </row>
    <row r="895">
      <c r="A895" t="inlineStr">
        <is>
          <t>ORD-00894</t>
        </is>
      </c>
      <c r="B895" s="2" t="n">
        <v>45574</v>
      </c>
      <c r="C895" s="2" t="n">
        <v>45577</v>
      </c>
      <c r="D895" t="inlineStr">
        <is>
          <t>CUST-00894</t>
        </is>
      </c>
      <c r="E895" t="inlineStr">
        <is>
          <t>Customer 894</t>
        </is>
      </c>
      <c r="F895" t="inlineStr">
        <is>
          <t>Home Office</t>
        </is>
      </c>
      <c r="G895" t="inlineStr">
        <is>
          <t>P1004</t>
        </is>
      </c>
      <c r="H895" t="inlineStr">
        <is>
          <t>Summit Patio Set</t>
        </is>
      </c>
      <c r="I895" t="inlineStr">
        <is>
          <t>Office Supplies</t>
        </is>
      </c>
      <c r="J895" t="inlineStr">
        <is>
          <t>Bags</t>
        </is>
      </c>
      <c r="K895" t="inlineStr">
        <is>
          <t>East</t>
        </is>
      </c>
      <c r="L895" t="inlineStr">
        <is>
          <t>New York</t>
        </is>
      </c>
      <c r="M895" t="inlineStr">
        <is>
          <t>New York</t>
        </is>
      </c>
      <c r="N895" t="inlineStr">
        <is>
          <t>Ava Patel</t>
        </is>
      </c>
      <c r="O895" t="n">
        <v>3</v>
      </c>
      <c r="P895" s="3" t="n">
        <v>688.3</v>
      </c>
      <c r="Q895" s="4" t="n">
        <v>0.016</v>
      </c>
      <c r="R895" s="3" t="n">
        <v>2031.86</v>
      </c>
      <c r="S895" s="3" t="n">
        <v>1286.03</v>
      </c>
      <c r="T895" s="3" t="n">
        <v>736.4299999999999</v>
      </c>
      <c r="U895" s="4" t="n">
        <v>0.3624</v>
      </c>
      <c r="V895" s="3" t="n">
        <v>9.4</v>
      </c>
      <c r="W895" t="inlineStr">
        <is>
          <t>Debit Card</t>
        </is>
      </c>
      <c r="X895" t="inlineStr">
        <is>
          <t>Low</t>
        </is>
      </c>
      <c r="Y895" t="n">
        <v>2024</v>
      </c>
      <c r="Z895" t="n">
        <v>10</v>
      </c>
      <c r="AA895" t="inlineStr">
        <is>
          <t>Oct</t>
        </is>
      </c>
      <c r="AB895" t="inlineStr">
        <is>
          <t>Wednesday</t>
        </is>
      </c>
      <c r="AC895" t="n">
        <v>3</v>
      </c>
      <c r="AD895" t="inlineStr">
        <is>
          <t>Profitable</t>
        </is>
      </c>
      <c r="AE895" t="inlineStr">
        <is>
          <t>Low</t>
        </is>
      </c>
      <c r="AF895" t="inlineStr">
        <is>
          <t>Large</t>
        </is>
      </c>
    </row>
    <row r="896">
      <c r="A896" t="inlineStr">
        <is>
          <t>ORD-00895</t>
        </is>
      </c>
      <c r="B896" s="2" t="n">
        <v>45983</v>
      </c>
      <c r="C896" s="2" t="n">
        <v>45984</v>
      </c>
      <c r="D896" t="inlineStr">
        <is>
          <t>CUST-00895</t>
        </is>
      </c>
      <c r="E896" t="inlineStr">
        <is>
          <t>Customer 895</t>
        </is>
      </c>
      <c r="F896" t="inlineStr">
        <is>
          <t>Consumer</t>
        </is>
      </c>
      <c r="G896" t="inlineStr">
        <is>
          <t>P1006</t>
        </is>
      </c>
      <c r="H896" t="inlineStr">
        <is>
          <t>Pulse Keyboard</t>
        </is>
      </c>
      <c r="I896" t="inlineStr">
        <is>
          <t>Office Supplies</t>
        </is>
      </c>
      <c r="J896" t="inlineStr">
        <is>
          <t>Lighting</t>
        </is>
      </c>
      <c r="K896" t="inlineStr">
        <is>
          <t>South</t>
        </is>
      </c>
      <c r="L896" t="inlineStr">
        <is>
          <t>North Carolina</t>
        </is>
      </c>
      <c r="M896" t="inlineStr">
        <is>
          <t>Miami</t>
        </is>
      </c>
      <c r="N896" t="inlineStr">
        <is>
          <t>Ethan Brooks</t>
        </is>
      </c>
      <c r="O896" t="n">
        <v>5</v>
      </c>
      <c r="P896" s="3" t="n">
        <v>18.92</v>
      </c>
      <c r="Q896" s="4" t="n">
        <v>0.015</v>
      </c>
      <c r="R896" s="3" t="n">
        <v>93.18000000000001</v>
      </c>
      <c r="S896" s="3" t="n">
        <v>33.98</v>
      </c>
      <c r="T896" s="3" t="n">
        <v>49.2</v>
      </c>
      <c r="U896" s="4" t="n">
        <v>0.528</v>
      </c>
      <c r="V896" s="3" t="n">
        <v>10</v>
      </c>
      <c r="W896" t="inlineStr">
        <is>
          <t>Credit Card</t>
        </is>
      </c>
      <c r="X896" t="inlineStr">
        <is>
          <t>Medium</t>
        </is>
      </c>
      <c r="Y896" t="n">
        <v>2025</v>
      </c>
      <c r="Z896" t="n">
        <v>11</v>
      </c>
      <c r="AA896" t="inlineStr">
        <is>
          <t>Nov</t>
        </is>
      </c>
      <c r="AB896" t="inlineStr">
        <is>
          <t>Saturday</t>
        </is>
      </c>
      <c r="AC896" t="n">
        <v>1</v>
      </c>
      <c r="AD896" t="inlineStr">
        <is>
          <t>Profitable</t>
        </is>
      </c>
      <c r="AE896" t="inlineStr">
        <is>
          <t>Low</t>
        </is>
      </c>
      <c r="AF896" t="inlineStr">
        <is>
          <t>Small</t>
        </is>
      </c>
    </row>
    <row r="897">
      <c r="A897" t="inlineStr">
        <is>
          <t>ORD-00896</t>
        </is>
      </c>
      <c r="B897" s="2" t="n">
        <v>45223</v>
      </c>
      <c r="C897" s="2" t="n">
        <v>45224</v>
      </c>
      <c r="D897" t="inlineStr">
        <is>
          <t>CUST-00896</t>
        </is>
      </c>
      <c r="E897" t="inlineStr">
        <is>
          <t>Customer 896</t>
        </is>
      </c>
      <c r="F897" t="inlineStr">
        <is>
          <t>Consumer</t>
        </is>
      </c>
      <c r="G897" t="inlineStr">
        <is>
          <t>P1014</t>
        </is>
      </c>
      <c r="H897" t="inlineStr">
        <is>
          <t>Lumen Desk Lamp</t>
        </is>
      </c>
      <c r="I897" t="inlineStr">
        <is>
          <t>Home Decor</t>
        </is>
      </c>
      <c r="J897" t="inlineStr">
        <is>
          <t>Flooring</t>
        </is>
      </c>
      <c r="K897" t="inlineStr">
        <is>
          <t>Central</t>
        </is>
      </c>
      <c r="L897" t="inlineStr">
        <is>
          <t>Illinois</t>
        </is>
      </c>
      <c r="M897" t="inlineStr">
        <is>
          <t>Chicago</t>
        </is>
      </c>
      <c r="N897" t="inlineStr">
        <is>
          <t>Olivia Martin</t>
        </is>
      </c>
      <c r="O897" t="n">
        <v>3</v>
      </c>
      <c r="P897" s="3" t="n">
        <v>47.58</v>
      </c>
      <c r="Q897" s="4" t="n">
        <v>0.003</v>
      </c>
      <c r="R897" s="3" t="n">
        <v>142.31</v>
      </c>
      <c r="S897" s="3" t="n">
        <v>60.17</v>
      </c>
      <c r="T897" s="3" t="n">
        <v>73.73999999999999</v>
      </c>
      <c r="U897" s="4" t="n">
        <v>0.5182</v>
      </c>
      <c r="V897" s="3" t="n">
        <v>8.4</v>
      </c>
      <c r="W897" t="inlineStr">
        <is>
          <t>Credit Card</t>
        </is>
      </c>
      <c r="X897" t="inlineStr">
        <is>
          <t>Medium</t>
        </is>
      </c>
      <c r="Y897" t="n">
        <v>2023</v>
      </c>
      <c r="Z897" t="n">
        <v>10</v>
      </c>
      <c r="AA897" t="inlineStr">
        <is>
          <t>Oct</t>
        </is>
      </c>
      <c r="AB897" t="inlineStr">
        <is>
          <t>Tuesday</t>
        </is>
      </c>
      <c r="AC897" t="n">
        <v>1</v>
      </c>
      <c r="AD897" t="inlineStr">
        <is>
          <t>Profitable</t>
        </is>
      </c>
      <c r="AE897" t="inlineStr">
        <is>
          <t>Low</t>
        </is>
      </c>
      <c r="AF897" t="inlineStr">
        <is>
          <t>Small</t>
        </is>
      </c>
    </row>
    <row r="898">
      <c r="A898" t="inlineStr">
        <is>
          <t>ORD-00897</t>
        </is>
      </c>
      <c r="B898" s="2" t="n">
        <v>45162</v>
      </c>
      <c r="C898" s="2" t="n">
        <v>45168</v>
      </c>
      <c r="D898" t="inlineStr">
        <is>
          <t>CUST-00897</t>
        </is>
      </c>
      <c r="E898" t="inlineStr">
        <is>
          <t>Customer 897</t>
        </is>
      </c>
      <c r="F898" t="inlineStr">
        <is>
          <t>Consumer</t>
        </is>
      </c>
      <c r="G898" t="inlineStr">
        <is>
          <t>P1005</t>
        </is>
      </c>
      <c r="H898" t="inlineStr">
        <is>
          <t>FlexNote Notebook</t>
        </is>
      </c>
      <c r="I898" t="inlineStr">
        <is>
          <t>Office Supplies</t>
        </is>
      </c>
      <c r="J898" t="inlineStr">
        <is>
          <t>Textiles</t>
        </is>
      </c>
      <c r="K898" t="inlineStr">
        <is>
          <t>East</t>
        </is>
      </c>
      <c r="L898" t="inlineStr">
        <is>
          <t>New York</t>
        </is>
      </c>
      <c r="M898" t="inlineStr">
        <is>
          <t>Philadelphia</t>
        </is>
      </c>
      <c r="N898" t="inlineStr">
        <is>
          <t>James Carter</t>
        </is>
      </c>
      <c r="O898" t="n">
        <v>3</v>
      </c>
      <c r="P898" s="3" t="n">
        <v>12.96</v>
      </c>
      <c r="Q898" s="4" t="n">
        <v>0.011</v>
      </c>
      <c r="R898" s="3" t="n">
        <v>38.45</v>
      </c>
      <c r="S898" s="3" t="n">
        <v>23.27</v>
      </c>
      <c r="T898" s="3" t="n">
        <v>5.78</v>
      </c>
      <c r="U898" s="4" t="n">
        <v>0.1503</v>
      </c>
      <c r="V898" s="3" t="n">
        <v>9.4</v>
      </c>
      <c r="W898" t="inlineStr">
        <is>
          <t>Bank Transfer</t>
        </is>
      </c>
      <c r="X898" t="inlineStr">
        <is>
          <t>Low</t>
        </is>
      </c>
      <c r="Y898" t="n">
        <v>2023</v>
      </c>
      <c r="Z898" t="n">
        <v>8</v>
      </c>
      <c r="AA898" t="inlineStr">
        <is>
          <t>Aug</t>
        </is>
      </c>
      <c r="AB898" t="inlineStr">
        <is>
          <t>Thursday</t>
        </is>
      </c>
      <c r="AC898" t="n">
        <v>6</v>
      </c>
      <c r="AD898" t="inlineStr">
        <is>
          <t>Profitable</t>
        </is>
      </c>
      <c r="AE898" t="inlineStr">
        <is>
          <t>Low</t>
        </is>
      </c>
      <c r="AF898" t="inlineStr">
        <is>
          <t>Small</t>
        </is>
      </c>
    </row>
    <row r="899">
      <c r="A899" t="inlineStr">
        <is>
          <t>ORD-00898</t>
        </is>
      </c>
      <c r="B899" s="2" t="n">
        <v>45863</v>
      </c>
      <c r="C899" s="2" t="n">
        <v>45870</v>
      </c>
      <c r="D899" t="inlineStr">
        <is>
          <t>CUST-00898</t>
        </is>
      </c>
      <c r="E899" t="inlineStr">
        <is>
          <t>Customer 898</t>
        </is>
      </c>
      <c r="F899" t="inlineStr">
        <is>
          <t>Consumer</t>
        </is>
      </c>
      <c r="G899" t="inlineStr">
        <is>
          <t>P1011</t>
        </is>
      </c>
      <c r="H899" t="inlineStr">
        <is>
          <t>Harbor Rug</t>
        </is>
      </c>
      <c r="I899" t="inlineStr">
        <is>
          <t>Outdoor</t>
        </is>
      </c>
      <c r="J899" t="inlineStr">
        <is>
          <t>Storage</t>
        </is>
      </c>
      <c r="K899" t="inlineStr">
        <is>
          <t>East</t>
        </is>
      </c>
      <c r="L899" t="inlineStr">
        <is>
          <t>New York</t>
        </is>
      </c>
      <c r="M899" t="inlineStr">
        <is>
          <t>Boston</t>
        </is>
      </c>
      <c r="N899" t="inlineStr">
        <is>
          <t>Ava Patel</t>
        </is>
      </c>
      <c r="O899" t="n">
        <v>4</v>
      </c>
      <c r="P899" s="3" t="n">
        <v>92.31</v>
      </c>
      <c r="Q899" s="4" t="n">
        <v>0.052</v>
      </c>
      <c r="R899" s="3" t="n">
        <v>350.04</v>
      </c>
      <c r="S899" s="3" t="n">
        <v>165.19</v>
      </c>
      <c r="T899" s="3" t="n">
        <v>174.65</v>
      </c>
      <c r="U899" s="4" t="n">
        <v>0.4989</v>
      </c>
      <c r="V899" s="3" t="n">
        <v>10.2</v>
      </c>
      <c r="W899" t="inlineStr">
        <is>
          <t>Credit Card</t>
        </is>
      </c>
      <c r="X899" t="inlineStr">
        <is>
          <t>High</t>
        </is>
      </c>
      <c r="Y899" t="n">
        <v>2025</v>
      </c>
      <c r="Z899" t="n">
        <v>7</v>
      </c>
      <c r="AA899" t="inlineStr">
        <is>
          <t>Jul</t>
        </is>
      </c>
      <c r="AB899" t="inlineStr">
        <is>
          <t>Friday</t>
        </is>
      </c>
      <c r="AC899" t="n">
        <v>7</v>
      </c>
      <c r="AD899" t="inlineStr">
        <is>
          <t>Profitable</t>
        </is>
      </c>
      <c r="AE899" t="inlineStr">
        <is>
          <t>High</t>
        </is>
      </c>
      <c r="AF899" t="inlineStr">
        <is>
          <t>Small</t>
        </is>
      </c>
    </row>
    <row r="900">
      <c r="A900" t="inlineStr">
        <is>
          <t>ORD-00899</t>
        </is>
      </c>
      <c r="B900" s="2" t="n">
        <v>45253</v>
      </c>
      <c r="C900" s="2" t="n">
        <v>45259</v>
      </c>
      <c r="D900" t="inlineStr">
        <is>
          <t>CUST-00899</t>
        </is>
      </c>
      <c r="E900" t="inlineStr">
        <is>
          <t>Customer 899</t>
        </is>
      </c>
      <c r="F900" t="inlineStr">
        <is>
          <t>Corporate</t>
        </is>
      </c>
      <c r="G900" t="inlineStr">
        <is>
          <t>P1014</t>
        </is>
      </c>
      <c r="H900" t="inlineStr">
        <is>
          <t>Nimbus Monitor Arm</t>
        </is>
      </c>
      <c r="I900" t="inlineStr">
        <is>
          <t>Technology</t>
        </is>
      </c>
      <c r="J900" t="inlineStr">
        <is>
          <t>Flooring</t>
        </is>
      </c>
      <c r="K900" t="inlineStr">
        <is>
          <t>West</t>
        </is>
      </c>
      <c r="L900" t="inlineStr">
        <is>
          <t>California</t>
        </is>
      </c>
      <c r="M900" t="inlineStr">
        <is>
          <t>San Francisco</t>
        </is>
      </c>
      <c r="N900" t="inlineStr">
        <is>
          <t>James Carter</t>
        </is>
      </c>
      <c r="O900" t="n">
        <v>2</v>
      </c>
      <c r="P900" s="3" t="n">
        <v>48.32</v>
      </c>
      <c r="Q900" s="4" t="n">
        <v>0.048</v>
      </c>
      <c r="R900" s="3" t="n">
        <v>92</v>
      </c>
      <c r="S900" s="3" t="n">
        <v>43.92</v>
      </c>
      <c r="T900" s="3" t="n">
        <v>39.48</v>
      </c>
      <c r="U900" s="4" t="n">
        <v>0.4291</v>
      </c>
      <c r="V900" s="3" t="n">
        <v>8.6</v>
      </c>
      <c r="W900" t="inlineStr">
        <is>
          <t>Credit Card</t>
        </is>
      </c>
      <c r="X900" t="inlineStr">
        <is>
          <t>High</t>
        </is>
      </c>
      <c r="Y900" t="n">
        <v>2023</v>
      </c>
      <c r="Z900" t="n">
        <v>11</v>
      </c>
      <c r="AA900" t="inlineStr">
        <is>
          <t>Nov</t>
        </is>
      </c>
      <c r="AB900" t="inlineStr">
        <is>
          <t>Thursday</t>
        </is>
      </c>
      <c r="AC900" t="n">
        <v>6</v>
      </c>
      <c r="AD900" t="inlineStr">
        <is>
          <t>Profitable</t>
        </is>
      </c>
      <c r="AE900" t="inlineStr">
        <is>
          <t>Medium</t>
        </is>
      </c>
      <c r="AF900" t="inlineStr">
        <is>
          <t>Small</t>
        </is>
      </c>
    </row>
    <row r="901">
      <c r="A901" t="inlineStr">
        <is>
          <t>ORD-00900</t>
        </is>
      </c>
      <c r="B901" s="2" t="n">
        <v>45285</v>
      </c>
      <c r="C901" s="2" t="n">
        <v>45291</v>
      </c>
      <c r="D901" t="inlineStr">
        <is>
          <t>CUST-00900</t>
        </is>
      </c>
      <c r="E901" t="inlineStr">
        <is>
          <t>Customer 900</t>
        </is>
      </c>
      <c r="F901" t="inlineStr">
        <is>
          <t>Consumer</t>
        </is>
      </c>
      <c r="G901" t="inlineStr">
        <is>
          <t>P1007</t>
        </is>
      </c>
      <c r="H901" t="inlineStr">
        <is>
          <t>Northstar Lantern</t>
        </is>
      </c>
      <c r="I901" t="inlineStr">
        <is>
          <t>Office Supplies</t>
        </is>
      </c>
      <c r="J901" t="inlineStr">
        <is>
          <t>Decor</t>
        </is>
      </c>
      <c r="K901" t="inlineStr">
        <is>
          <t>East</t>
        </is>
      </c>
      <c r="L901" t="inlineStr">
        <is>
          <t>Massachusetts</t>
        </is>
      </c>
      <c r="M901" t="inlineStr">
        <is>
          <t>New York</t>
        </is>
      </c>
      <c r="N901" t="inlineStr">
        <is>
          <t>Ava Patel</t>
        </is>
      </c>
      <c r="O901" t="n">
        <v>2</v>
      </c>
      <c r="P901" s="3" t="n">
        <v>27.33</v>
      </c>
      <c r="Q901" s="4" t="n">
        <v>0.015</v>
      </c>
      <c r="R901" s="3" t="n">
        <v>53.84</v>
      </c>
      <c r="S901" s="3" t="n">
        <v>22.38</v>
      </c>
      <c r="T901" s="3" t="n">
        <v>22.86</v>
      </c>
      <c r="U901" s="4" t="n">
        <v>0.4246</v>
      </c>
      <c r="V901" s="3" t="n">
        <v>8.6</v>
      </c>
      <c r="W901" t="inlineStr">
        <is>
          <t>Credit Card</t>
        </is>
      </c>
      <c r="X901" t="inlineStr">
        <is>
          <t>Medium</t>
        </is>
      </c>
      <c r="Y901" t="n">
        <v>2023</v>
      </c>
      <c r="Z901" t="n">
        <v>12</v>
      </c>
      <c r="AA901" t="inlineStr">
        <is>
          <t>Dec</t>
        </is>
      </c>
      <c r="AB901" t="inlineStr">
        <is>
          <t>Monday</t>
        </is>
      </c>
      <c r="AC901" t="n">
        <v>6</v>
      </c>
      <c r="AD901" t="inlineStr">
        <is>
          <t>Profitable</t>
        </is>
      </c>
      <c r="AE901" t="inlineStr">
        <is>
          <t>Low</t>
        </is>
      </c>
      <c r="AF901" t="inlineStr">
        <is>
          <t>Small</t>
        </is>
      </c>
    </row>
    <row r="902">
      <c r="A902" t="inlineStr">
        <is>
          <t>ORD-00901</t>
        </is>
      </c>
      <c r="B902" s="2" t="n">
        <v>45122</v>
      </c>
      <c r="C902" s="2" t="n">
        <v>45125</v>
      </c>
      <c r="D902" t="inlineStr">
        <is>
          <t>CUST-00901</t>
        </is>
      </c>
      <c r="E902" t="inlineStr">
        <is>
          <t>Customer 901</t>
        </is>
      </c>
      <c r="F902" t="inlineStr">
        <is>
          <t>Consumer</t>
        </is>
      </c>
      <c r="G902" t="inlineStr">
        <is>
          <t>P1014</t>
        </is>
      </c>
      <c r="H902" t="inlineStr">
        <is>
          <t>Northstar Lantern</t>
        </is>
      </c>
      <c r="I902" t="inlineStr">
        <is>
          <t>Furniture</t>
        </is>
      </c>
      <c r="J902" t="inlineStr">
        <is>
          <t>Paper</t>
        </is>
      </c>
      <c r="K902" t="inlineStr">
        <is>
          <t>East</t>
        </is>
      </c>
      <c r="L902" t="inlineStr">
        <is>
          <t>New York</t>
        </is>
      </c>
      <c r="M902" t="inlineStr">
        <is>
          <t>Washington</t>
        </is>
      </c>
      <c r="N902" t="inlineStr">
        <is>
          <t>Sophia Singh</t>
        </is>
      </c>
      <c r="O902" t="n">
        <v>4</v>
      </c>
      <c r="P902" s="3" t="n">
        <v>46.76</v>
      </c>
      <c r="Q902" s="4" t="n">
        <v>0.015</v>
      </c>
      <c r="R902" s="3" t="n">
        <v>184.23</v>
      </c>
      <c r="S902" s="3" t="n">
        <v>80.11</v>
      </c>
      <c r="T902" s="3" t="n">
        <v>93.92</v>
      </c>
      <c r="U902" s="4" t="n">
        <v>0.5098</v>
      </c>
      <c r="V902" s="3" t="n">
        <v>10.2</v>
      </c>
      <c r="W902" t="inlineStr">
        <is>
          <t>Debit Card</t>
        </is>
      </c>
      <c r="X902" t="inlineStr">
        <is>
          <t>Low</t>
        </is>
      </c>
      <c r="Y902" t="n">
        <v>2023</v>
      </c>
      <c r="Z902" t="n">
        <v>7</v>
      </c>
      <c r="AA902" t="inlineStr">
        <is>
          <t>Jul</t>
        </is>
      </c>
      <c r="AB902" t="inlineStr">
        <is>
          <t>Saturday</t>
        </is>
      </c>
      <c r="AC902" t="n">
        <v>3</v>
      </c>
      <c r="AD902" t="inlineStr">
        <is>
          <t>Profitable</t>
        </is>
      </c>
      <c r="AE902" t="inlineStr">
        <is>
          <t>Low</t>
        </is>
      </c>
      <c r="AF902" t="inlineStr">
        <is>
          <t>Small</t>
        </is>
      </c>
    </row>
    <row r="903">
      <c r="A903" t="inlineStr">
        <is>
          <t>ORD-00902</t>
        </is>
      </c>
      <c r="B903" s="2" t="n">
        <v>45269</v>
      </c>
      <c r="C903" s="2" t="n">
        <v>45270</v>
      </c>
      <c r="D903" t="inlineStr">
        <is>
          <t>CUST-00902</t>
        </is>
      </c>
      <c r="E903" t="inlineStr">
        <is>
          <t>Customer 902</t>
        </is>
      </c>
      <c r="F903" t="inlineStr">
        <is>
          <t>Consumer</t>
        </is>
      </c>
      <c r="G903" t="inlineStr">
        <is>
          <t>P1013</t>
        </is>
      </c>
      <c r="H903" t="inlineStr">
        <is>
          <t>Atlas Throw Pillow</t>
        </is>
      </c>
      <c r="I903" t="inlineStr">
        <is>
          <t>Home Decor</t>
        </is>
      </c>
      <c r="J903" t="inlineStr">
        <is>
          <t>Accessories</t>
        </is>
      </c>
      <c r="K903" t="inlineStr">
        <is>
          <t>East</t>
        </is>
      </c>
      <c r="L903" t="inlineStr">
        <is>
          <t>Massachusetts</t>
        </is>
      </c>
      <c r="M903" t="inlineStr">
        <is>
          <t>Boston</t>
        </is>
      </c>
      <c r="N903" t="inlineStr">
        <is>
          <t>Noah Kim</t>
        </is>
      </c>
      <c r="O903" t="n">
        <v>1</v>
      </c>
      <c r="P903" s="3" t="n">
        <v>168.33</v>
      </c>
      <c r="Q903" s="4" t="n">
        <v>0.022</v>
      </c>
      <c r="R903" s="3" t="n">
        <v>164.63</v>
      </c>
      <c r="S903" s="3" t="n">
        <v>103.55</v>
      </c>
      <c r="T903" s="3" t="n">
        <v>53.28</v>
      </c>
      <c r="U903" s="4" t="n">
        <v>0.3236</v>
      </c>
      <c r="V903" s="3" t="n">
        <v>7.8</v>
      </c>
      <c r="W903" t="inlineStr">
        <is>
          <t>Debit Card</t>
        </is>
      </c>
      <c r="X903" t="inlineStr">
        <is>
          <t>Medium</t>
        </is>
      </c>
      <c r="Y903" t="n">
        <v>2023</v>
      </c>
      <c r="Z903" t="n">
        <v>12</v>
      </c>
      <c r="AA903" t="inlineStr">
        <is>
          <t>Dec</t>
        </is>
      </c>
      <c r="AB903" t="inlineStr">
        <is>
          <t>Saturday</t>
        </is>
      </c>
      <c r="AC903" t="n">
        <v>1</v>
      </c>
      <c r="AD903" t="inlineStr">
        <is>
          <t>Profitable</t>
        </is>
      </c>
      <c r="AE903" t="inlineStr">
        <is>
          <t>Medium</t>
        </is>
      </c>
      <c r="AF903" t="inlineStr">
        <is>
          <t>Small</t>
        </is>
      </c>
    </row>
    <row r="904">
      <c r="A904" t="inlineStr">
        <is>
          <t>ORD-00903</t>
        </is>
      </c>
      <c r="B904" s="2" t="n">
        <v>45150</v>
      </c>
      <c r="C904" s="2" t="n">
        <v>45156</v>
      </c>
      <c r="D904" t="inlineStr">
        <is>
          <t>CUST-00903</t>
        </is>
      </c>
      <c r="E904" t="inlineStr">
        <is>
          <t>Customer 903</t>
        </is>
      </c>
      <c r="F904" t="inlineStr">
        <is>
          <t>Corporate</t>
        </is>
      </c>
      <c r="G904" t="inlineStr">
        <is>
          <t>P1018</t>
        </is>
      </c>
      <c r="H904" t="inlineStr">
        <is>
          <t>Atlas Throw Pillow</t>
        </is>
      </c>
      <c r="I904" t="inlineStr">
        <is>
          <t>Outdoor</t>
        </is>
      </c>
      <c r="J904" t="inlineStr">
        <is>
          <t>Decor</t>
        </is>
      </c>
      <c r="K904" t="inlineStr">
        <is>
          <t>South</t>
        </is>
      </c>
      <c r="L904" t="inlineStr">
        <is>
          <t>Texas</t>
        </is>
      </c>
      <c r="M904" t="inlineStr">
        <is>
          <t>Dallas</t>
        </is>
      </c>
      <c r="N904" t="inlineStr">
        <is>
          <t>James Carter</t>
        </is>
      </c>
      <c r="O904" t="n">
        <v>3</v>
      </c>
      <c r="P904" s="3" t="n">
        <v>92.27</v>
      </c>
      <c r="Q904" s="4" t="n">
        <v>0.023</v>
      </c>
      <c r="R904" s="3" t="n">
        <v>270.44</v>
      </c>
      <c r="S904" s="3" t="n">
        <v>122.43</v>
      </c>
      <c r="T904" s="3" t="n">
        <v>139.61</v>
      </c>
      <c r="U904" s="4" t="n">
        <v>0.5162</v>
      </c>
      <c r="V904" s="3" t="n">
        <v>8.4</v>
      </c>
      <c r="W904" t="inlineStr">
        <is>
          <t>Debit Card</t>
        </is>
      </c>
      <c r="X904" t="inlineStr">
        <is>
          <t>Low</t>
        </is>
      </c>
      <c r="Y904" t="n">
        <v>2023</v>
      </c>
      <c r="Z904" t="n">
        <v>8</v>
      </c>
      <c r="AA904" t="inlineStr">
        <is>
          <t>Aug</t>
        </is>
      </c>
      <c r="AB904" t="inlineStr">
        <is>
          <t>Saturday</t>
        </is>
      </c>
      <c r="AC904" t="n">
        <v>6</v>
      </c>
      <c r="AD904" t="inlineStr">
        <is>
          <t>Profitable</t>
        </is>
      </c>
      <c r="AE904" t="inlineStr">
        <is>
          <t>Medium</t>
        </is>
      </c>
      <c r="AF904" t="inlineStr">
        <is>
          <t>Small</t>
        </is>
      </c>
    </row>
    <row r="905">
      <c r="A905" t="inlineStr">
        <is>
          <t>ORD-00904</t>
        </is>
      </c>
      <c r="B905" s="2" t="n">
        <v>45515</v>
      </c>
      <c r="C905" s="2" t="n">
        <v>45519</v>
      </c>
      <c r="D905" t="inlineStr">
        <is>
          <t>CUST-00904</t>
        </is>
      </c>
      <c r="E905" t="inlineStr">
        <is>
          <t>Customer 904</t>
        </is>
      </c>
      <c r="F905" t="inlineStr">
        <is>
          <t>Consumer</t>
        </is>
      </c>
      <c r="G905" t="inlineStr">
        <is>
          <t>P1002</t>
        </is>
      </c>
      <c r="H905" t="inlineStr">
        <is>
          <t>Nimbus Monitor Arm</t>
        </is>
      </c>
      <c r="I905" t="inlineStr">
        <is>
          <t>Technology</t>
        </is>
      </c>
      <c r="J905" t="inlineStr">
        <is>
          <t>Flooring</t>
        </is>
      </c>
      <c r="K905" t="inlineStr">
        <is>
          <t>East</t>
        </is>
      </c>
      <c r="L905" t="inlineStr">
        <is>
          <t>Massachusetts</t>
        </is>
      </c>
      <c r="M905" t="inlineStr">
        <is>
          <t>Washington</t>
        </is>
      </c>
      <c r="N905" t="inlineStr">
        <is>
          <t>Olivia Martin</t>
        </is>
      </c>
      <c r="O905" t="n">
        <v>2</v>
      </c>
      <c r="P905" s="3" t="n">
        <v>86.58</v>
      </c>
      <c r="Q905" s="4" t="n">
        <v>0.063</v>
      </c>
      <c r="R905" s="3" t="n">
        <v>162.25</v>
      </c>
      <c r="S905" s="3" t="n">
        <v>83.31</v>
      </c>
      <c r="T905" s="3" t="n">
        <v>70.34</v>
      </c>
      <c r="U905" s="4" t="n">
        <v>0.4335</v>
      </c>
      <c r="V905" s="3" t="n">
        <v>8.6</v>
      </c>
      <c r="W905" t="inlineStr">
        <is>
          <t>Bank Transfer</t>
        </is>
      </c>
      <c r="X905" t="inlineStr">
        <is>
          <t>Critical</t>
        </is>
      </c>
      <c r="Y905" t="n">
        <v>2024</v>
      </c>
      <c r="Z905" t="n">
        <v>8</v>
      </c>
      <c r="AA905" t="inlineStr">
        <is>
          <t>Aug</t>
        </is>
      </c>
      <c r="AB905" t="inlineStr">
        <is>
          <t>Sunday</t>
        </is>
      </c>
      <c r="AC905" t="n">
        <v>4</v>
      </c>
      <c r="AD905" t="inlineStr">
        <is>
          <t>Profitable</t>
        </is>
      </c>
      <c r="AE905" t="inlineStr">
        <is>
          <t>High</t>
        </is>
      </c>
      <c r="AF905" t="inlineStr">
        <is>
          <t>Small</t>
        </is>
      </c>
    </row>
    <row r="906">
      <c r="A906" t="inlineStr">
        <is>
          <t>ORD-00905</t>
        </is>
      </c>
      <c r="B906" s="2" t="n">
        <v>45490</v>
      </c>
      <c r="C906" s="2" t="n">
        <v>45496</v>
      </c>
      <c r="D906" t="inlineStr">
        <is>
          <t>CUST-00905</t>
        </is>
      </c>
      <c r="E906" t="inlineStr">
        <is>
          <t>Customer 905</t>
        </is>
      </c>
      <c r="F906" t="inlineStr">
        <is>
          <t>Corporate</t>
        </is>
      </c>
      <c r="G906" t="inlineStr">
        <is>
          <t>P1009</t>
        </is>
      </c>
      <c r="H906" t="inlineStr">
        <is>
          <t>Nova Laptop Stand</t>
        </is>
      </c>
      <c r="I906" t="inlineStr">
        <is>
          <t>Technology</t>
        </is>
      </c>
      <c r="J906" t="inlineStr">
        <is>
          <t>Furniture</t>
        </is>
      </c>
      <c r="K906" t="inlineStr">
        <is>
          <t>South</t>
        </is>
      </c>
      <c r="L906" t="inlineStr">
        <is>
          <t>North Carolina</t>
        </is>
      </c>
      <c r="M906" t="inlineStr">
        <is>
          <t>Miami</t>
        </is>
      </c>
      <c r="N906" t="inlineStr">
        <is>
          <t>Noah Kim</t>
        </is>
      </c>
      <c r="O906" t="n">
        <v>6</v>
      </c>
      <c r="P906" s="3" t="n">
        <v>89.33</v>
      </c>
      <c r="Q906" s="4" t="n">
        <v>0.036</v>
      </c>
      <c r="R906" s="3" t="n">
        <v>516.6799999999999</v>
      </c>
      <c r="S906" s="3" t="n">
        <v>247.05</v>
      </c>
      <c r="T906" s="3" t="n">
        <v>258.83</v>
      </c>
      <c r="U906" s="4" t="n">
        <v>0.5009</v>
      </c>
      <c r="V906" s="3" t="n">
        <v>10.8</v>
      </c>
      <c r="W906" t="inlineStr">
        <is>
          <t>Credit Card</t>
        </is>
      </c>
      <c r="X906" t="inlineStr">
        <is>
          <t>Medium</t>
        </is>
      </c>
      <c r="Y906" t="n">
        <v>2024</v>
      </c>
      <c r="Z906" t="n">
        <v>7</v>
      </c>
      <c r="AA906" t="inlineStr">
        <is>
          <t>Jul</t>
        </is>
      </c>
      <c r="AB906" t="inlineStr">
        <is>
          <t>Wednesday</t>
        </is>
      </c>
      <c r="AC906" t="n">
        <v>6</v>
      </c>
      <c r="AD906" t="inlineStr">
        <is>
          <t>Profitable</t>
        </is>
      </c>
      <c r="AE906" t="inlineStr">
        <is>
          <t>Medium</t>
        </is>
      </c>
      <c r="AF906" t="inlineStr">
        <is>
          <t>Medium</t>
        </is>
      </c>
    </row>
    <row r="907">
      <c r="A907" t="inlineStr">
        <is>
          <t>ORD-00906</t>
        </is>
      </c>
      <c r="B907" s="2" t="n">
        <v>45753</v>
      </c>
      <c r="C907" s="2" t="n">
        <v>45754</v>
      </c>
      <c r="D907" t="inlineStr">
        <is>
          <t>CUST-00906</t>
        </is>
      </c>
      <c r="E907" t="inlineStr">
        <is>
          <t>Customer 906</t>
        </is>
      </c>
      <c r="F907" t="inlineStr">
        <is>
          <t>Consumer</t>
        </is>
      </c>
      <c r="G907" t="inlineStr">
        <is>
          <t>P1011</t>
        </is>
      </c>
      <c r="H907" t="inlineStr">
        <is>
          <t>Northstar Lantern</t>
        </is>
      </c>
      <c r="I907" t="inlineStr">
        <is>
          <t>Home Decor</t>
        </is>
      </c>
      <c r="J907" t="inlineStr">
        <is>
          <t>Accessories</t>
        </is>
      </c>
      <c r="K907" t="inlineStr">
        <is>
          <t>West</t>
        </is>
      </c>
      <c r="L907" t="inlineStr">
        <is>
          <t>Washington</t>
        </is>
      </c>
      <c r="M907" t="inlineStr">
        <is>
          <t>Denver</t>
        </is>
      </c>
      <c r="N907" t="inlineStr">
        <is>
          <t>Noah Kim</t>
        </is>
      </c>
      <c r="O907" t="n">
        <v>2</v>
      </c>
      <c r="P907" s="3" t="n">
        <v>95.68000000000001</v>
      </c>
      <c r="Q907" s="4" t="n">
        <v>0.016</v>
      </c>
      <c r="R907" s="3" t="n">
        <v>188.3</v>
      </c>
      <c r="S907" s="3" t="n">
        <v>93.08</v>
      </c>
      <c r="T907" s="3" t="n">
        <v>86.62</v>
      </c>
      <c r="U907" s="4" t="n">
        <v>0.46</v>
      </c>
      <c r="V907" s="3" t="n">
        <v>8.6</v>
      </c>
      <c r="W907" t="inlineStr">
        <is>
          <t>PayPal</t>
        </is>
      </c>
      <c r="X907" t="inlineStr">
        <is>
          <t>Low</t>
        </is>
      </c>
      <c r="Y907" t="n">
        <v>2025</v>
      </c>
      <c r="Z907" t="n">
        <v>4</v>
      </c>
      <c r="AA907" t="inlineStr">
        <is>
          <t>Apr</t>
        </is>
      </c>
      <c r="AB907" t="inlineStr">
        <is>
          <t>Sunday</t>
        </is>
      </c>
      <c r="AC907" t="n">
        <v>1</v>
      </c>
      <c r="AD907" t="inlineStr">
        <is>
          <t>Profitable</t>
        </is>
      </c>
      <c r="AE907" t="inlineStr">
        <is>
          <t>Low</t>
        </is>
      </c>
      <c r="AF907" t="inlineStr">
        <is>
          <t>Small</t>
        </is>
      </c>
    </row>
    <row r="908">
      <c r="A908" t="inlineStr">
        <is>
          <t>ORD-00907</t>
        </is>
      </c>
      <c r="B908" s="2" t="n">
        <v>45685</v>
      </c>
      <c r="C908" s="2" t="n">
        <v>45689</v>
      </c>
      <c r="D908" t="inlineStr">
        <is>
          <t>CUST-00907</t>
        </is>
      </c>
      <c r="E908" t="inlineStr">
        <is>
          <t>Customer 907</t>
        </is>
      </c>
      <c r="F908" t="inlineStr">
        <is>
          <t>Consumer</t>
        </is>
      </c>
      <c r="G908" t="inlineStr">
        <is>
          <t>P1020</t>
        </is>
      </c>
      <c r="H908" t="inlineStr">
        <is>
          <t>ErgoMesh Chair</t>
        </is>
      </c>
      <c r="I908" t="inlineStr">
        <is>
          <t>Home Decor</t>
        </is>
      </c>
      <c r="J908" t="inlineStr">
        <is>
          <t>Writing</t>
        </is>
      </c>
      <c r="K908" t="inlineStr">
        <is>
          <t>West</t>
        </is>
      </c>
      <c r="L908" t="inlineStr">
        <is>
          <t>California</t>
        </is>
      </c>
      <c r="M908" t="inlineStr">
        <is>
          <t>Los Angeles</t>
        </is>
      </c>
      <c r="N908" t="inlineStr">
        <is>
          <t>Mia Rodriguez</t>
        </is>
      </c>
      <c r="O908" t="n">
        <v>3</v>
      </c>
      <c r="P908" s="3" t="n">
        <v>74.44</v>
      </c>
      <c r="Q908" s="4" t="n">
        <v>0.009000000000000001</v>
      </c>
      <c r="R908" s="3" t="n">
        <v>221.31</v>
      </c>
      <c r="S908" s="3" t="n">
        <v>108.22</v>
      </c>
      <c r="T908" s="3" t="n">
        <v>103.69</v>
      </c>
      <c r="U908" s="4" t="n">
        <v>0.4685</v>
      </c>
      <c r="V908" s="3" t="n">
        <v>9.4</v>
      </c>
      <c r="W908" t="inlineStr">
        <is>
          <t>Debit Card</t>
        </is>
      </c>
      <c r="X908" t="inlineStr">
        <is>
          <t>Medium</t>
        </is>
      </c>
      <c r="Y908" t="n">
        <v>2025</v>
      </c>
      <c r="Z908" t="n">
        <v>1</v>
      </c>
      <c r="AA908" t="inlineStr">
        <is>
          <t>Jan</t>
        </is>
      </c>
      <c r="AB908" t="inlineStr">
        <is>
          <t>Tuesday</t>
        </is>
      </c>
      <c r="AC908" t="n">
        <v>4</v>
      </c>
      <c r="AD908" t="inlineStr">
        <is>
          <t>Profitable</t>
        </is>
      </c>
      <c r="AE908" t="inlineStr">
        <is>
          <t>Low</t>
        </is>
      </c>
      <c r="AF908" t="inlineStr">
        <is>
          <t>Small</t>
        </is>
      </c>
    </row>
    <row r="909">
      <c r="A909" t="inlineStr">
        <is>
          <t>ORD-00908</t>
        </is>
      </c>
      <c r="B909" s="2" t="n">
        <v>45390</v>
      </c>
      <c r="C909" s="2" t="n">
        <v>45393</v>
      </c>
      <c r="D909" t="inlineStr">
        <is>
          <t>CUST-00908</t>
        </is>
      </c>
      <c r="E909" t="inlineStr">
        <is>
          <t>Customer 908</t>
        </is>
      </c>
      <c r="F909" t="inlineStr">
        <is>
          <t>Corporate</t>
        </is>
      </c>
      <c r="G909" t="inlineStr">
        <is>
          <t>P1011</t>
        </is>
      </c>
      <c r="H909" t="inlineStr">
        <is>
          <t>Cove Wall Clock</t>
        </is>
      </c>
      <c r="I909" t="inlineStr">
        <is>
          <t>Office Supplies</t>
        </is>
      </c>
      <c r="J909" t="inlineStr">
        <is>
          <t>Coolers</t>
        </is>
      </c>
      <c r="K909" t="inlineStr">
        <is>
          <t>North</t>
        </is>
      </c>
      <c r="L909" t="inlineStr">
        <is>
          <t>Alberta</t>
        </is>
      </c>
      <c r="M909" t="inlineStr">
        <is>
          <t>Toronto</t>
        </is>
      </c>
      <c r="N909" t="inlineStr">
        <is>
          <t>James Carter</t>
        </is>
      </c>
      <c r="O909" t="n">
        <v>2</v>
      </c>
      <c r="P909" s="3" t="n">
        <v>84.17</v>
      </c>
      <c r="Q909" s="4" t="n">
        <v>0.051</v>
      </c>
      <c r="R909" s="3" t="n">
        <v>159.75</v>
      </c>
      <c r="S909" s="3" t="n">
        <v>80.45999999999999</v>
      </c>
      <c r="T909" s="3" t="n">
        <v>71.69</v>
      </c>
      <c r="U909" s="4" t="n">
        <v>0.4488</v>
      </c>
      <c r="V909" s="3" t="n">
        <v>7.6</v>
      </c>
      <c r="W909" t="inlineStr">
        <is>
          <t>Debit Card</t>
        </is>
      </c>
      <c r="X909" t="inlineStr">
        <is>
          <t>High</t>
        </is>
      </c>
      <c r="Y909" t="n">
        <v>2024</v>
      </c>
      <c r="Z909" t="n">
        <v>4</v>
      </c>
      <c r="AA909" t="inlineStr">
        <is>
          <t>Apr</t>
        </is>
      </c>
      <c r="AB909" t="inlineStr">
        <is>
          <t>Monday</t>
        </is>
      </c>
      <c r="AC909" t="n">
        <v>3</v>
      </c>
      <c r="AD909" t="inlineStr">
        <is>
          <t>Profitable</t>
        </is>
      </c>
      <c r="AE909" t="inlineStr">
        <is>
          <t>High</t>
        </is>
      </c>
      <c r="AF909" t="inlineStr">
        <is>
          <t>Small</t>
        </is>
      </c>
    </row>
    <row r="910">
      <c r="A910" t="inlineStr">
        <is>
          <t>ORD-00909</t>
        </is>
      </c>
      <c r="B910" s="2" t="n">
        <v>45117</v>
      </c>
      <c r="C910" s="2" t="n">
        <v>45124</v>
      </c>
      <c r="D910" t="inlineStr">
        <is>
          <t>CUST-00909</t>
        </is>
      </c>
      <c r="E910" t="inlineStr">
        <is>
          <t>Customer 909</t>
        </is>
      </c>
      <c r="F910" t="inlineStr">
        <is>
          <t>Corporate</t>
        </is>
      </c>
      <c r="G910" t="inlineStr">
        <is>
          <t>P1006</t>
        </is>
      </c>
      <c r="H910" t="inlineStr">
        <is>
          <t>Pulse Keyboard</t>
        </is>
      </c>
      <c r="I910" t="inlineStr">
        <is>
          <t>Office Supplies</t>
        </is>
      </c>
      <c r="J910" t="inlineStr">
        <is>
          <t>Peripherals</t>
        </is>
      </c>
      <c r="K910" t="inlineStr">
        <is>
          <t>Central</t>
        </is>
      </c>
      <c r="L910" t="inlineStr">
        <is>
          <t>Minnesota</t>
        </is>
      </c>
      <c r="M910" t="inlineStr">
        <is>
          <t>Kansas City</t>
        </is>
      </c>
      <c r="N910" t="inlineStr">
        <is>
          <t>James Carter</t>
        </is>
      </c>
      <c r="O910" t="n">
        <v>6</v>
      </c>
      <c r="P910" s="3" t="n">
        <v>18.97</v>
      </c>
      <c r="Q910" s="4" t="n">
        <v>0.046</v>
      </c>
      <c r="R910" s="3" t="n">
        <v>108.58</v>
      </c>
      <c r="S910" s="3" t="n">
        <v>36.85</v>
      </c>
      <c r="T910" s="3" t="n">
        <v>60.93</v>
      </c>
      <c r="U910" s="4" t="n">
        <v>0.5612</v>
      </c>
      <c r="V910" s="3" t="n">
        <v>10.8</v>
      </c>
      <c r="W910" t="inlineStr">
        <is>
          <t>Cash on Delivery</t>
        </is>
      </c>
      <c r="X910" t="inlineStr">
        <is>
          <t>Critical</t>
        </is>
      </c>
      <c r="Y910" t="n">
        <v>2023</v>
      </c>
      <c r="Z910" t="n">
        <v>7</v>
      </c>
      <c r="AA910" t="inlineStr">
        <is>
          <t>Jul</t>
        </is>
      </c>
      <c r="AB910" t="inlineStr">
        <is>
          <t>Monday</t>
        </is>
      </c>
      <c r="AC910" t="n">
        <v>7</v>
      </c>
      <c r="AD910" t="inlineStr">
        <is>
          <t>Profitable</t>
        </is>
      </c>
      <c r="AE910" t="inlineStr">
        <is>
          <t>Medium</t>
        </is>
      </c>
      <c r="AF910" t="inlineStr">
        <is>
          <t>Small</t>
        </is>
      </c>
    </row>
    <row r="911">
      <c r="A911" t="inlineStr">
        <is>
          <t>ORD-00910</t>
        </is>
      </c>
      <c r="B911" s="2" t="n">
        <v>45468</v>
      </c>
      <c r="C911" s="2" t="n">
        <v>45475</v>
      </c>
      <c r="D911" t="inlineStr">
        <is>
          <t>CUST-00910</t>
        </is>
      </c>
      <c r="E911" t="inlineStr">
        <is>
          <t>Customer 910</t>
        </is>
      </c>
      <c r="F911" t="inlineStr">
        <is>
          <t>Corporate</t>
        </is>
      </c>
      <c r="G911" t="inlineStr">
        <is>
          <t>P1001</t>
        </is>
      </c>
      <c r="H911" t="inlineStr">
        <is>
          <t>Tide Cooler</t>
        </is>
      </c>
      <c r="I911" t="inlineStr">
        <is>
          <t>Technology</t>
        </is>
      </c>
      <c r="J911" t="inlineStr">
        <is>
          <t>Textiles</t>
        </is>
      </c>
      <c r="K911" t="inlineStr">
        <is>
          <t>West</t>
        </is>
      </c>
      <c r="L911" t="inlineStr">
        <is>
          <t>Washington</t>
        </is>
      </c>
      <c r="M911" t="inlineStr">
        <is>
          <t>Seattle</t>
        </is>
      </c>
      <c r="N911" t="inlineStr">
        <is>
          <t>Mia Rodriguez</t>
        </is>
      </c>
      <c r="O911" t="n">
        <v>2</v>
      </c>
      <c r="P911" s="3" t="n">
        <v>312.47</v>
      </c>
      <c r="Q911" s="4" t="n">
        <v>0.034</v>
      </c>
      <c r="R911" s="3" t="n">
        <v>603.6900000000001</v>
      </c>
      <c r="S911" s="3" t="n">
        <v>361.94</v>
      </c>
      <c r="T911" s="3" t="n">
        <v>233.15</v>
      </c>
      <c r="U911" s="4" t="n">
        <v>0.3862</v>
      </c>
      <c r="V911" s="3" t="n">
        <v>8.6</v>
      </c>
      <c r="W911" t="inlineStr">
        <is>
          <t>PayPal</t>
        </is>
      </c>
      <c r="X911" t="inlineStr">
        <is>
          <t>Medium</t>
        </is>
      </c>
      <c r="Y911" t="n">
        <v>2024</v>
      </c>
      <c r="Z911" t="n">
        <v>6</v>
      </c>
      <c r="AA911" t="inlineStr">
        <is>
          <t>Jun</t>
        </is>
      </c>
      <c r="AB911" t="inlineStr">
        <is>
          <t>Tuesday</t>
        </is>
      </c>
      <c r="AC911" t="n">
        <v>7</v>
      </c>
      <c r="AD911" t="inlineStr">
        <is>
          <t>Profitable</t>
        </is>
      </c>
      <c r="AE911" t="inlineStr">
        <is>
          <t>Medium</t>
        </is>
      </c>
      <c r="AF911" t="inlineStr">
        <is>
          <t>Medium</t>
        </is>
      </c>
    </row>
    <row r="912">
      <c r="A912" t="inlineStr">
        <is>
          <t>ORD-00911</t>
        </is>
      </c>
      <c r="B912" s="2" t="n">
        <v>45488</v>
      </c>
      <c r="C912" s="2" t="n">
        <v>45492</v>
      </c>
      <c r="D912" t="inlineStr">
        <is>
          <t>CUST-00911</t>
        </is>
      </c>
      <c r="E912" t="inlineStr">
        <is>
          <t>Customer 911</t>
        </is>
      </c>
      <c r="F912" t="inlineStr">
        <is>
          <t>Consumer</t>
        </is>
      </c>
      <c r="G912" t="inlineStr">
        <is>
          <t>P1005</t>
        </is>
      </c>
      <c r="H912" t="inlineStr">
        <is>
          <t>Trail Tote</t>
        </is>
      </c>
      <c r="I912" t="inlineStr">
        <is>
          <t>Furniture</t>
        </is>
      </c>
      <c r="J912" t="inlineStr">
        <is>
          <t>Coolers</t>
        </is>
      </c>
      <c r="K912" t="inlineStr">
        <is>
          <t>West</t>
        </is>
      </c>
      <c r="L912" t="inlineStr">
        <is>
          <t>Oregon</t>
        </is>
      </c>
      <c r="M912" t="inlineStr">
        <is>
          <t>San Francisco</t>
        </is>
      </c>
      <c r="N912" t="inlineStr">
        <is>
          <t>James Carter</t>
        </is>
      </c>
      <c r="O912" t="n">
        <v>5</v>
      </c>
      <c r="P912" s="3" t="n">
        <v>13.8</v>
      </c>
      <c r="Q912" s="4" t="n">
        <v>0.009000000000000001</v>
      </c>
      <c r="R912" s="3" t="n">
        <v>68.38</v>
      </c>
      <c r="S912" s="3" t="n">
        <v>34.74</v>
      </c>
      <c r="T912" s="3" t="n">
        <v>22.64</v>
      </c>
      <c r="U912" s="4" t="n">
        <v>0.3311</v>
      </c>
      <c r="V912" s="3" t="n">
        <v>11</v>
      </c>
      <c r="W912" t="inlineStr">
        <is>
          <t>Debit Card</t>
        </is>
      </c>
      <c r="X912" t="inlineStr">
        <is>
          <t>Medium</t>
        </is>
      </c>
      <c r="Y912" t="n">
        <v>2024</v>
      </c>
      <c r="Z912" t="n">
        <v>7</v>
      </c>
      <c r="AA912" t="inlineStr">
        <is>
          <t>Jul</t>
        </is>
      </c>
      <c r="AB912" t="inlineStr">
        <is>
          <t>Monday</t>
        </is>
      </c>
      <c r="AC912" t="n">
        <v>4</v>
      </c>
      <c r="AD912" t="inlineStr">
        <is>
          <t>Profitable</t>
        </is>
      </c>
      <c r="AE912" t="inlineStr">
        <is>
          <t>Low</t>
        </is>
      </c>
      <c r="AF912" t="inlineStr">
        <is>
          <t>Small</t>
        </is>
      </c>
    </row>
    <row r="913">
      <c r="A913" t="inlineStr">
        <is>
          <t>ORD-00912</t>
        </is>
      </c>
      <c r="B913" s="2" t="n">
        <v>45264</v>
      </c>
      <c r="C913" s="2" t="n">
        <v>45265</v>
      </c>
      <c r="D913" t="inlineStr">
        <is>
          <t>CUST-00912</t>
        </is>
      </c>
      <c r="E913" t="inlineStr">
        <is>
          <t>Customer 912</t>
        </is>
      </c>
      <c r="F913" t="inlineStr">
        <is>
          <t>Corporate</t>
        </is>
      </c>
      <c r="G913" t="inlineStr">
        <is>
          <t>P1014</t>
        </is>
      </c>
      <c r="H913" t="inlineStr">
        <is>
          <t>SmartInk Pen Set</t>
        </is>
      </c>
      <c r="I913" t="inlineStr">
        <is>
          <t>Home Decor</t>
        </is>
      </c>
      <c r="J913" t="inlineStr">
        <is>
          <t>Writing</t>
        </is>
      </c>
      <c r="K913" t="inlineStr">
        <is>
          <t>East</t>
        </is>
      </c>
      <c r="L913" t="inlineStr">
        <is>
          <t>New Jersey</t>
        </is>
      </c>
      <c r="M913" t="inlineStr">
        <is>
          <t>New York</t>
        </is>
      </c>
      <c r="N913" t="inlineStr">
        <is>
          <t>Sophia Singh</t>
        </is>
      </c>
      <c r="O913" t="n">
        <v>3</v>
      </c>
      <c r="P913" s="3" t="n">
        <v>47.25</v>
      </c>
      <c r="Q913" s="4" t="n">
        <v>0.063</v>
      </c>
      <c r="R913" s="3" t="n">
        <v>132.82</v>
      </c>
      <c r="S913" s="3" t="n">
        <v>60.31</v>
      </c>
      <c r="T913" s="3" t="n">
        <v>63.11</v>
      </c>
      <c r="U913" s="4" t="n">
        <v>0.4752</v>
      </c>
      <c r="V913" s="3" t="n">
        <v>9.4</v>
      </c>
      <c r="W913" t="inlineStr">
        <is>
          <t>Credit Card</t>
        </is>
      </c>
      <c r="X913" t="inlineStr">
        <is>
          <t>Critical</t>
        </is>
      </c>
      <c r="Y913" t="n">
        <v>2023</v>
      </c>
      <c r="Z913" t="n">
        <v>12</v>
      </c>
      <c r="AA913" t="inlineStr">
        <is>
          <t>Dec</t>
        </is>
      </c>
      <c r="AB913" t="inlineStr">
        <is>
          <t>Monday</t>
        </is>
      </c>
      <c r="AC913" t="n">
        <v>1</v>
      </c>
      <c r="AD913" t="inlineStr">
        <is>
          <t>Profitable</t>
        </is>
      </c>
      <c r="AE913" t="inlineStr">
        <is>
          <t>High</t>
        </is>
      </c>
      <c r="AF913" t="inlineStr">
        <is>
          <t>Small</t>
        </is>
      </c>
    </row>
    <row r="914">
      <c r="A914" t="inlineStr">
        <is>
          <t>ORD-00913</t>
        </is>
      </c>
      <c r="B914" s="2" t="n">
        <v>45461</v>
      </c>
      <c r="C914" s="2" t="n">
        <v>45463</v>
      </c>
      <c r="D914" t="inlineStr">
        <is>
          <t>CUST-00913</t>
        </is>
      </c>
      <c r="E914" t="inlineStr">
        <is>
          <t>Customer 913</t>
        </is>
      </c>
      <c r="F914" t="inlineStr">
        <is>
          <t>Consumer</t>
        </is>
      </c>
      <c r="G914" t="inlineStr">
        <is>
          <t>P1016</t>
        </is>
      </c>
      <c r="H914" t="inlineStr">
        <is>
          <t>ProClip Binder</t>
        </is>
      </c>
      <c r="I914" t="inlineStr">
        <is>
          <t>Technology</t>
        </is>
      </c>
      <c r="J914" t="inlineStr">
        <is>
          <t>Desks</t>
        </is>
      </c>
      <c r="K914" t="inlineStr">
        <is>
          <t>Central</t>
        </is>
      </c>
      <c r="L914" t="inlineStr">
        <is>
          <t>Kansas</t>
        </is>
      </c>
      <c r="M914" t="inlineStr">
        <is>
          <t>Chicago</t>
        </is>
      </c>
      <c r="N914" t="inlineStr">
        <is>
          <t>Ava Patel</t>
        </is>
      </c>
      <c r="O914" t="n">
        <v>3</v>
      </c>
      <c r="P914" s="3" t="n">
        <v>37.72</v>
      </c>
      <c r="Q914" s="4" t="n">
        <v>0.001</v>
      </c>
      <c r="R914" s="3" t="n">
        <v>113.05</v>
      </c>
      <c r="S914" s="3" t="n">
        <v>46.23</v>
      </c>
      <c r="T914" s="3" t="n">
        <v>58.42</v>
      </c>
      <c r="U914" s="4" t="n">
        <v>0.5168</v>
      </c>
      <c r="V914" s="3" t="n">
        <v>8.4</v>
      </c>
      <c r="W914" t="inlineStr">
        <is>
          <t>Credit Card</t>
        </is>
      </c>
      <c r="X914" t="inlineStr">
        <is>
          <t>Low</t>
        </is>
      </c>
      <c r="Y914" t="n">
        <v>2024</v>
      </c>
      <c r="Z914" t="n">
        <v>6</v>
      </c>
      <c r="AA914" t="inlineStr">
        <is>
          <t>Jun</t>
        </is>
      </c>
      <c r="AB914" t="inlineStr">
        <is>
          <t>Tuesday</t>
        </is>
      </c>
      <c r="AC914" t="n">
        <v>2</v>
      </c>
      <c r="AD914" t="inlineStr">
        <is>
          <t>Profitable</t>
        </is>
      </c>
      <c r="AE914" t="inlineStr">
        <is>
          <t>Low</t>
        </is>
      </c>
      <c r="AF914" t="inlineStr">
        <is>
          <t>Small</t>
        </is>
      </c>
    </row>
    <row r="915">
      <c r="A915" t="inlineStr">
        <is>
          <t>ORD-00914</t>
        </is>
      </c>
      <c r="B915" s="2" t="n">
        <v>45484</v>
      </c>
      <c r="C915" s="2" t="n">
        <v>45488</v>
      </c>
      <c r="D915" t="inlineStr">
        <is>
          <t>CUST-00914</t>
        </is>
      </c>
      <c r="E915" t="inlineStr">
        <is>
          <t>Customer 914</t>
        </is>
      </c>
      <c r="F915" t="inlineStr">
        <is>
          <t>Corporate</t>
        </is>
      </c>
      <c r="G915" t="inlineStr">
        <is>
          <t>P1009</t>
        </is>
      </c>
      <c r="H915" t="inlineStr">
        <is>
          <t>Echo Web Camera</t>
        </is>
      </c>
      <c r="I915" t="inlineStr">
        <is>
          <t>Outdoor</t>
        </is>
      </c>
      <c r="J915" t="inlineStr">
        <is>
          <t>Lighting</t>
        </is>
      </c>
      <c r="K915" t="inlineStr">
        <is>
          <t>East</t>
        </is>
      </c>
      <c r="L915" t="inlineStr">
        <is>
          <t>New Jersey</t>
        </is>
      </c>
      <c r="M915" t="inlineStr">
        <is>
          <t>Philadelphia</t>
        </is>
      </c>
      <c r="N915" t="inlineStr">
        <is>
          <t>James Carter</t>
        </is>
      </c>
      <c r="O915" t="n">
        <v>4</v>
      </c>
      <c r="P915" s="3" t="n">
        <v>90.23</v>
      </c>
      <c r="Q915" s="4" t="n">
        <v>0.02</v>
      </c>
      <c r="R915" s="3" t="n">
        <v>353.7</v>
      </c>
      <c r="S915" s="3" t="n">
        <v>174.31</v>
      </c>
      <c r="T915" s="3" t="n">
        <v>169.19</v>
      </c>
      <c r="U915" s="4" t="n">
        <v>0.4783</v>
      </c>
      <c r="V915" s="3" t="n">
        <v>10.2</v>
      </c>
      <c r="W915" t="inlineStr">
        <is>
          <t>Credit Card</t>
        </is>
      </c>
      <c r="X915" t="inlineStr">
        <is>
          <t>Low</t>
        </is>
      </c>
      <c r="Y915" t="n">
        <v>2024</v>
      </c>
      <c r="Z915" t="n">
        <v>7</v>
      </c>
      <c r="AA915" t="inlineStr">
        <is>
          <t>Jul</t>
        </is>
      </c>
      <c r="AB915" t="inlineStr">
        <is>
          <t>Thursday</t>
        </is>
      </c>
      <c r="AC915" t="n">
        <v>4</v>
      </c>
      <c r="AD915" t="inlineStr">
        <is>
          <t>Profitable</t>
        </is>
      </c>
      <c r="AE915" t="inlineStr">
        <is>
          <t>Medium</t>
        </is>
      </c>
      <c r="AF915" t="inlineStr">
        <is>
          <t>Small</t>
        </is>
      </c>
    </row>
    <row r="916">
      <c r="A916" t="inlineStr">
        <is>
          <t>ORD-00915</t>
        </is>
      </c>
      <c r="B916" s="2" t="n">
        <v>45360</v>
      </c>
      <c r="C916" s="2" t="n">
        <v>45361</v>
      </c>
      <c r="D916" t="inlineStr">
        <is>
          <t>CUST-00915</t>
        </is>
      </c>
      <c r="E916" t="inlineStr">
        <is>
          <t>Customer 915</t>
        </is>
      </c>
      <c r="F916" t="inlineStr">
        <is>
          <t>Corporate</t>
        </is>
      </c>
      <c r="G916" t="inlineStr">
        <is>
          <t>P1019</t>
        </is>
      </c>
      <c r="H916" t="inlineStr">
        <is>
          <t>Lumen Desk Lamp</t>
        </is>
      </c>
      <c r="I916" t="inlineStr">
        <is>
          <t>Furniture</t>
        </is>
      </c>
      <c r="J916" t="inlineStr">
        <is>
          <t>Peripherals</t>
        </is>
      </c>
      <c r="K916" t="inlineStr">
        <is>
          <t>East</t>
        </is>
      </c>
      <c r="L916" t="inlineStr">
        <is>
          <t>New York</t>
        </is>
      </c>
      <c r="M916" t="inlineStr">
        <is>
          <t>Boston</t>
        </is>
      </c>
      <c r="N916" t="inlineStr">
        <is>
          <t>Noah Kim</t>
        </is>
      </c>
      <c r="O916" t="n">
        <v>1</v>
      </c>
      <c r="P916" s="3" t="n">
        <v>58.76</v>
      </c>
      <c r="Q916" s="4" t="n">
        <v>0.038</v>
      </c>
      <c r="R916" s="3" t="n">
        <v>56.53</v>
      </c>
      <c r="S916" s="3" t="n">
        <v>34.2</v>
      </c>
      <c r="T916" s="3" t="n">
        <v>14.53</v>
      </c>
      <c r="U916" s="4" t="n">
        <v>0.257</v>
      </c>
      <c r="V916" s="3" t="n">
        <v>7.8</v>
      </c>
      <c r="W916" t="inlineStr">
        <is>
          <t>PayPal</t>
        </is>
      </c>
      <c r="X916" t="inlineStr">
        <is>
          <t>Medium</t>
        </is>
      </c>
      <c r="Y916" t="n">
        <v>2024</v>
      </c>
      <c r="Z916" t="n">
        <v>3</v>
      </c>
      <c r="AA916" t="inlineStr">
        <is>
          <t>Mar</t>
        </is>
      </c>
      <c r="AB916" t="inlineStr">
        <is>
          <t>Saturday</t>
        </is>
      </c>
      <c r="AC916" t="n">
        <v>1</v>
      </c>
      <c r="AD916" t="inlineStr">
        <is>
          <t>Profitable</t>
        </is>
      </c>
      <c r="AE916" t="inlineStr">
        <is>
          <t>Medium</t>
        </is>
      </c>
      <c r="AF916" t="inlineStr">
        <is>
          <t>Small</t>
        </is>
      </c>
    </row>
    <row r="917">
      <c r="A917" t="inlineStr">
        <is>
          <t>ORD-00916</t>
        </is>
      </c>
      <c r="B917" s="2" t="n">
        <v>45300</v>
      </c>
      <c r="C917" s="2" t="n">
        <v>45306</v>
      </c>
      <c r="D917" t="inlineStr">
        <is>
          <t>CUST-00916</t>
        </is>
      </c>
      <c r="E917" t="inlineStr">
        <is>
          <t>Customer 916</t>
        </is>
      </c>
      <c r="F917" t="inlineStr">
        <is>
          <t>Consumer</t>
        </is>
      </c>
      <c r="G917" t="inlineStr">
        <is>
          <t>P1020</t>
        </is>
      </c>
      <c r="H917" t="inlineStr">
        <is>
          <t>Harbor Rug</t>
        </is>
      </c>
      <c r="I917" t="inlineStr">
        <is>
          <t>Outdoor</t>
        </is>
      </c>
      <c r="J917" t="inlineStr">
        <is>
          <t>Flooring</t>
        </is>
      </c>
      <c r="K917" t="inlineStr">
        <is>
          <t>South</t>
        </is>
      </c>
      <c r="L917" t="inlineStr">
        <is>
          <t>Florida</t>
        </is>
      </c>
      <c r="M917" t="inlineStr">
        <is>
          <t>Dallas</t>
        </is>
      </c>
      <c r="N917" t="inlineStr">
        <is>
          <t>James Carter</t>
        </is>
      </c>
      <c r="O917" t="n">
        <v>3</v>
      </c>
      <c r="P917" s="3" t="n">
        <v>72.26000000000001</v>
      </c>
      <c r="Q917" s="4" t="n">
        <v>0.044</v>
      </c>
      <c r="R917" s="3" t="n">
        <v>207.24</v>
      </c>
      <c r="S917" s="3" t="n">
        <v>98.2</v>
      </c>
      <c r="T917" s="3" t="n">
        <v>100.64</v>
      </c>
      <c r="U917" s="4" t="n">
        <v>0.4856</v>
      </c>
      <c r="V917" s="3" t="n">
        <v>8.4</v>
      </c>
      <c r="W917" t="inlineStr">
        <is>
          <t>Credit Card</t>
        </is>
      </c>
      <c r="X917" t="inlineStr">
        <is>
          <t>High</t>
        </is>
      </c>
      <c r="Y917" t="n">
        <v>2024</v>
      </c>
      <c r="Z917" t="n">
        <v>1</v>
      </c>
      <c r="AA917" t="inlineStr">
        <is>
          <t>Jan</t>
        </is>
      </c>
      <c r="AB917" t="inlineStr">
        <is>
          <t>Tuesday</t>
        </is>
      </c>
      <c r="AC917" t="n">
        <v>6</v>
      </c>
      <c r="AD917" t="inlineStr">
        <is>
          <t>Profitable</t>
        </is>
      </c>
      <c r="AE917" t="inlineStr">
        <is>
          <t>Medium</t>
        </is>
      </c>
      <c r="AF917" t="inlineStr">
        <is>
          <t>Small</t>
        </is>
      </c>
    </row>
    <row r="918">
      <c r="A918" t="inlineStr">
        <is>
          <t>ORD-00917</t>
        </is>
      </c>
      <c r="B918" s="2" t="n">
        <v>45258</v>
      </c>
      <c r="C918" s="2" t="n">
        <v>45260</v>
      </c>
      <c r="D918" t="inlineStr">
        <is>
          <t>CUST-00917</t>
        </is>
      </c>
      <c r="E918" t="inlineStr">
        <is>
          <t>Customer 917</t>
        </is>
      </c>
      <c r="F918" t="inlineStr">
        <is>
          <t>Corporate</t>
        </is>
      </c>
      <c r="G918" t="inlineStr">
        <is>
          <t>P1008</t>
        </is>
      </c>
      <c r="H918" t="inlineStr">
        <is>
          <t>Trail Tote</t>
        </is>
      </c>
      <c r="I918" t="inlineStr">
        <is>
          <t>Technology</t>
        </is>
      </c>
      <c r="J918" t="inlineStr">
        <is>
          <t>Binders</t>
        </is>
      </c>
      <c r="K918" t="inlineStr">
        <is>
          <t>East</t>
        </is>
      </c>
      <c r="L918" t="inlineStr">
        <is>
          <t>New Jersey</t>
        </is>
      </c>
      <c r="M918" t="inlineStr">
        <is>
          <t>Philadelphia</t>
        </is>
      </c>
      <c r="N918" t="inlineStr">
        <is>
          <t>Liam Chen</t>
        </is>
      </c>
      <c r="O918" t="n">
        <v>2</v>
      </c>
      <c r="P918" s="3" t="n">
        <v>37.23</v>
      </c>
      <c r="Q918" s="4" t="n">
        <v>0.032</v>
      </c>
      <c r="R918" s="3" t="n">
        <v>72.08</v>
      </c>
      <c r="S918" s="3" t="n">
        <v>32.69</v>
      </c>
      <c r="T918" s="3" t="n">
        <v>30.79</v>
      </c>
      <c r="U918" s="4" t="n">
        <v>0.4272</v>
      </c>
      <c r="V918" s="3" t="n">
        <v>8.6</v>
      </c>
      <c r="W918" t="inlineStr">
        <is>
          <t>Debit Card</t>
        </is>
      </c>
      <c r="X918" t="inlineStr">
        <is>
          <t>Medium</t>
        </is>
      </c>
      <c r="Y918" t="n">
        <v>2023</v>
      </c>
      <c r="Z918" t="n">
        <v>11</v>
      </c>
      <c r="AA918" t="inlineStr">
        <is>
          <t>Nov</t>
        </is>
      </c>
      <c r="AB918" t="inlineStr">
        <is>
          <t>Tuesday</t>
        </is>
      </c>
      <c r="AC918" t="n">
        <v>2</v>
      </c>
      <c r="AD918" t="inlineStr">
        <is>
          <t>Profitable</t>
        </is>
      </c>
      <c r="AE918" t="inlineStr">
        <is>
          <t>Medium</t>
        </is>
      </c>
      <c r="AF918" t="inlineStr">
        <is>
          <t>Small</t>
        </is>
      </c>
    </row>
    <row r="919">
      <c r="A919" t="inlineStr">
        <is>
          <t>ORD-00918</t>
        </is>
      </c>
      <c r="B919" s="2" t="n">
        <v>45877</v>
      </c>
      <c r="C919" s="2" t="n">
        <v>45880</v>
      </c>
      <c r="D919" t="inlineStr">
        <is>
          <t>CUST-00918</t>
        </is>
      </c>
      <c r="E919" t="inlineStr">
        <is>
          <t>Customer 918</t>
        </is>
      </c>
      <c r="F919" t="inlineStr">
        <is>
          <t>Corporate</t>
        </is>
      </c>
      <c r="G919" t="inlineStr">
        <is>
          <t>P1008</t>
        </is>
      </c>
      <c r="H919" t="inlineStr">
        <is>
          <t>ErgoMesh Chair</t>
        </is>
      </c>
      <c r="I919" t="inlineStr">
        <is>
          <t>Office Supplies</t>
        </is>
      </c>
      <c r="J919" t="inlineStr">
        <is>
          <t>Flooring</t>
        </is>
      </c>
      <c r="K919" t="inlineStr">
        <is>
          <t>South</t>
        </is>
      </c>
      <c r="L919" t="inlineStr">
        <is>
          <t>North Carolina</t>
        </is>
      </c>
      <c r="M919" t="inlineStr">
        <is>
          <t>Miami</t>
        </is>
      </c>
      <c r="N919" t="inlineStr">
        <is>
          <t>Noah Kim</t>
        </is>
      </c>
      <c r="O919" t="n">
        <v>2</v>
      </c>
      <c r="P919" s="3" t="n">
        <v>34.15</v>
      </c>
      <c r="Q919" s="4" t="n">
        <v>0.019</v>
      </c>
      <c r="R919" s="3" t="n">
        <v>67</v>
      </c>
      <c r="S919" s="3" t="n">
        <v>32.45</v>
      </c>
      <c r="T919" s="3" t="n">
        <v>26.95</v>
      </c>
      <c r="U919" s="4" t="n">
        <v>0.4022</v>
      </c>
      <c r="V919" s="3" t="n">
        <v>7.6</v>
      </c>
      <c r="W919" t="inlineStr">
        <is>
          <t>Debit Card</t>
        </is>
      </c>
      <c r="X919" t="inlineStr">
        <is>
          <t>Medium</t>
        </is>
      </c>
      <c r="Y919" t="n">
        <v>2025</v>
      </c>
      <c r="Z919" t="n">
        <v>8</v>
      </c>
      <c r="AA919" t="inlineStr">
        <is>
          <t>Aug</t>
        </is>
      </c>
      <c r="AB919" t="inlineStr">
        <is>
          <t>Friday</t>
        </is>
      </c>
      <c r="AC919" t="n">
        <v>3</v>
      </c>
      <c r="AD919" t="inlineStr">
        <is>
          <t>Profitable</t>
        </is>
      </c>
      <c r="AE919" t="inlineStr">
        <is>
          <t>Low</t>
        </is>
      </c>
      <c r="AF919" t="inlineStr">
        <is>
          <t>Small</t>
        </is>
      </c>
    </row>
    <row r="920">
      <c r="A920" t="inlineStr">
        <is>
          <t>ORD-00919</t>
        </is>
      </c>
      <c r="B920" s="2" t="n">
        <v>45933</v>
      </c>
      <c r="C920" s="2" t="n">
        <v>45940</v>
      </c>
      <c r="D920" t="inlineStr">
        <is>
          <t>CUST-00919</t>
        </is>
      </c>
      <c r="E920" t="inlineStr">
        <is>
          <t>Customer 919</t>
        </is>
      </c>
      <c r="F920" t="inlineStr">
        <is>
          <t>Consumer</t>
        </is>
      </c>
      <c r="G920" t="inlineStr">
        <is>
          <t>P1016</t>
        </is>
      </c>
      <c r="H920" t="inlineStr">
        <is>
          <t>Halo Planter</t>
        </is>
      </c>
      <c r="I920" t="inlineStr">
        <is>
          <t>Home Decor</t>
        </is>
      </c>
      <c r="J920" t="inlineStr">
        <is>
          <t>Lighting</t>
        </is>
      </c>
      <c r="K920" t="inlineStr">
        <is>
          <t>East</t>
        </is>
      </c>
      <c r="L920" t="inlineStr">
        <is>
          <t>New York</t>
        </is>
      </c>
      <c r="M920" t="inlineStr">
        <is>
          <t>Boston</t>
        </is>
      </c>
      <c r="N920" t="inlineStr">
        <is>
          <t>Sophia Singh</t>
        </is>
      </c>
      <c r="O920" t="n">
        <v>4</v>
      </c>
      <c r="P920" s="3" t="n">
        <v>41.07</v>
      </c>
      <c r="Q920" s="4" t="n">
        <v>0.052</v>
      </c>
      <c r="R920" s="3" t="n">
        <v>155.74</v>
      </c>
      <c r="S920" s="3" t="n">
        <v>66.66</v>
      </c>
      <c r="T920" s="3" t="n">
        <v>78.88</v>
      </c>
      <c r="U920" s="4" t="n">
        <v>0.5065</v>
      </c>
      <c r="V920" s="3" t="n">
        <v>10.2</v>
      </c>
      <c r="W920" t="inlineStr">
        <is>
          <t>Cash on Delivery</t>
        </is>
      </c>
      <c r="X920" t="inlineStr">
        <is>
          <t>Critical</t>
        </is>
      </c>
      <c r="Y920" t="n">
        <v>2025</v>
      </c>
      <c r="Z920" t="n">
        <v>10</v>
      </c>
      <c r="AA920" t="inlineStr">
        <is>
          <t>Oct</t>
        </is>
      </c>
      <c r="AB920" t="inlineStr">
        <is>
          <t>Friday</t>
        </is>
      </c>
      <c r="AC920" t="n">
        <v>7</v>
      </c>
      <c r="AD920" t="inlineStr">
        <is>
          <t>Profitable</t>
        </is>
      </c>
      <c r="AE920" t="inlineStr">
        <is>
          <t>High</t>
        </is>
      </c>
      <c r="AF920" t="inlineStr">
        <is>
          <t>Small</t>
        </is>
      </c>
    </row>
    <row r="921">
      <c r="A921" t="inlineStr">
        <is>
          <t>ORD-00920</t>
        </is>
      </c>
      <c r="B921" s="2" t="n">
        <v>45006</v>
      </c>
      <c r="C921" s="2" t="n">
        <v>45009</v>
      </c>
      <c r="D921" t="inlineStr">
        <is>
          <t>CUST-00920</t>
        </is>
      </c>
      <c r="E921" t="inlineStr">
        <is>
          <t>Customer 920</t>
        </is>
      </c>
      <c r="F921" t="inlineStr">
        <is>
          <t>Home Office</t>
        </is>
      </c>
      <c r="G921" t="inlineStr">
        <is>
          <t>P1018</t>
        </is>
      </c>
      <c r="H921" t="inlineStr">
        <is>
          <t>Trail Tote</t>
        </is>
      </c>
      <c r="I921" t="inlineStr">
        <is>
          <t>Technology</t>
        </is>
      </c>
      <c r="J921" t="inlineStr">
        <is>
          <t>Decor</t>
        </is>
      </c>
      <c r="K921" t="inlineStr">
        <is>
          <t>East</t>
        </is>
      </c>
      <c r="L921" t="inlineStr">
        <is>
          <t>New York</t>
        </is>
      </c>
      <c r="M921" t="inlineStr">
        <is>
          <t>Boston</t>
        </is>
      </c>
      <c r="N921" t="inlineStr">
        <is>
          <t>Noah Kim</t>
        </is>
      </c>
      <c r="O921" t="n">
        <v>6</v>
      </c>
      <c r="P921" s="3" t="n">
        <v>85.93000000000001</v>
      </c>
      <c r="Q921" s="4" t="n">
        <v>0.02</v>
      </c>
      <c r="R921" s="3" t="n">
        <v>505.27</v>
      </c>
      <c r="S921" s="3" t="n">
        <v>223.74</v>
      </c>
      <c r="T921" s="3" t="n">
        <v>269.73</v>
      </c>
      <c r="U921" s="4" t="n">
        <v>0.5338000000000001</v>
      </c>
      <c r="V921" s="3" t="n">
        <v>11.8</v>
      </c>
      <c r="W921" t="inlineStr">
        <is>
          <t>Debit Card</t>
        </is>
      </c>
      <c r="X921" t="inlineStr">
        <is>
          <t>High</t>
        </is>
      </c>
      <c r="Y921" t="n">
        <v>2023</v>
      </c>
      <c r="Z921" t="n">
        <v>3</v>
      </c>
      <c r="AA921" t="inlineStr">
        <is>
          <t>Mar</t>
        </is>
      </c>
      <c r="AB921" t="inlineStr">
        <is>
          <t>Tuesday</t>
        </is>
      </c>
      <c r="AC921" t="n">
        <v>3</v>
      </c>
      <c r="AD921" t="inlineStr">
        <is>
          <t>Profitable</t>
        </is>
      </c>
      <c r="AE921" t="inlineStr">
        <is>
          <t>Medium</t>
        </is>
      </c>
      <c r="AF921" t="inlineStr">
        <is>
          <t>Medium</t>
        </is>
      </c>
    </row>
    <row r="922">
      <c r="A922" t="inlineStr">
        <is>
          <t>ORD-00921</t>
        </is>
      </c>
      <c r="B922" s="2" t="n">
        <v>45887</v>
      </c>
      <c r="C922" s="2" t="n">
        <v>45892</v>
      </c>
      <c r="D922" t="inlineStr">
        <is>
          <t>CUST-00921</t>
        </is>
      </c>
      <c r="E922" t="inlineStr">
        <is>
          <t>Customer 921</t>
        </is>
      </c>
      <c r="F922" t="inlineStr">
        <is>
          <t>Home Office</t>
        </is>
      </c>
      <c r="G922" t="inlineStr">
        <is>
          <t>P1008</t>
        </is>
      </c>
      <c r="H922" t="inlineStr">
        <is>
          <t>CloudDrive File Box</t>
        </is>
      </c>
      <c r="I922" t="inlineStr">
        <is>
          <t>Home Decor</t>
        </is>
      </c>
      <c r="J922" t="inlineStr">
        <is>
          <t>Flooring</t>
        </is>
      </c>
      <c r="K922" t="inlineStr">
        <is>
          <t>Central</t>
        </is>
      </c>
      <c r="L922" t="inlineStr">
        <is>
          <t>Kansas</t>
        </is>
      </c>
      <c r="M922" t="inlineStr">
        <is>
          <t>Minneapolis</t>
        </is>
      </c>
      <c r="N922" t="inlineStr">
        <is>
          <t>Liam Chen</t>
        </is>
      </c>
      <c r="O922" t="n">
        <v>6</v>
      </c>
      <c r="P922" s="3" t="n">
        <v>36.04</v>
      </c>
      <c r="Q922" s="4" t="n">
        <v>0.049</v>
      </c>
      <c r="R922" s="3" t="n">
        <v>205.64</v>
      </c>
      <c r="S922" s="3" t="n">
        <v>88.42</v>
      </c>
      <c r="T922" s="3" t="n">
        <v>106.42</v>
      </c>
      <c r="U922" s="4" t="n">
        <v>0.5175</v>
      </c>
      <c r="V922" s="3" t="n">
        <v>10.8</v>
      </c>
      <c r="W922" t="inlineStr">
        <is>
          <t>Bank Transfer</t>
        </is>
      </c>
      <c r="X922" t="inlineStr">
        <is>
          <t>Critical</t>
        </is>
      </c>
      <c r="Y922" t="n">
        <v>2025</v>
      </c>
      <c r="Z922" t="n">
        <v>8</v>
      </c>
      <c r="AA922" t="inlineStr">
        <is>
          <t>Aug</t>
        </is>
      </c>
      <c r="AB922" t="inlineStr">
        <is>
          <t>Monday</t>
        </is>
      </c>
      <c r="AC922" t="n">
        <v>5</v>
      </c>
      <c r="AD922" t="inlineStr">
        <is>
          <t>Profitable</t>
        </is>
      </c>
      <c r="AE922" t="inlineStr">
        <is>
          <t>Medium</t>
        </is>
      </c>
      <c r="AF922" t="inlineStr">
        <is>
          <t>Small</t>
        </is>
      </c>
    </row>
    <row r="923">
      <c r="A923" t="inlineStr">
        <is>
          <t>ORD-00922</t>
        </is>
      </c>
      <c r="B923" s="2" t="n">
        <v>45396</v>
      </c>
      <c r="C923" s="2" t="n">
        <v>45399</v>
      </c>
      <c r="D923" t="inlineStr">
        <is>
          <t>CUST-00922</t>
        </is>
      </c>
      <c r="E923" t="inlineStr">
        <is>
          <t>Customer 922</t>
        </is>
      </c>
      <c r="F923" t="inlineStr">
        <is>
          <t>Consumer</t>
        </is>
      </c>
      <c r="G923" t="inlineStr">
        <is>
          <t>P1009</t>
        </is>
      </c>
      <c r="H923" t="inlineStr">
        <is>
          <t>Tide Cooler</t>
        </is>
      </c>
      <c r="I923" t="inlineStr">
        <is>
          <t>Office Supplies</t>
        </is>
      </c>
      <c r="J923" t="inlineStr">
        <is>
          <t>Paper</t>
        </is>
      </c>
      <c r="K923" t="inlineStr">
        <is>
          <t>South</t>
        </is>
      </c>
      <c r="L923" t="inlineStr">
        <is>
          <t>Florida</t>
        </is>
      </c>
      <c r="M923" t="inlineStr">
        <is>
          <t>Atlanta</t>
        </is>
      </c>
      <c r="N923" t="inlineStr">
        <is>
          <t>Olivia Martin</t>
        </is>
      </c>
      <c r="O923" t="n">
        <v>4</v>
      </c>
      <c r="P923" s="3" t="n">
        <v>87.98</v>
      </c>
      <c r="Q923" s="4" t="n">
        <v>0.012</v>
      </c>
      <c r="R923" s="3" t="n">
        <v>347.7</v>
      </c>
      <c r="S923" s="3" t="n">
        <v>169.01</v>
      </c>
      <c r="T923" s="3" t="n">
        <v>169.49</v>
      </c>
      <c r="U923" s="4" t="n">
        <v>0.4875</v>
      </c>
      <c r="V923" s="3" t="n">
        <v>9.199999999999999</v>
      </c>
      <c r="W923" t="inlineStr">
        <is>
          <t>PayPal</t>
        </is>
      </c>
      <c r="X923" t="inlineStr">
        <is>
          <t>Low</t>
        </is>
      </c>
      <c r="Y923" t="n">
        <v>2024</v>
      </c>
      <c r="Z923" t="n">
        <v>4</v>
      </c>
      <c r="AA923" t="inlineStr">
        <is>
          <t>Apr</t>
        </is>
      </c>
      <c r="AB923" t="inlineStr">
        <is>
          <t>Sunday</t>
        </is>
      </c>
      <c r="AC923" t="n">
        <v>3</v>
      </c>
      <c r="AD923" t="inlineStr">
        <is>
          <t>Profitable</t>
        </is>
      </c>
      <c r="AE923" t="inlineStr">
        <is>
          <t>Low</t>
        </is>
      </c>
      <c r="AF923" t="inlineStr">
        <is>
          <t>Small</t>
        </is>
      </c>
    </row>
    <row r="924">
      <c r="A924" t="inlineStr">
        <is>
          <t>ORD-00923</t>
        </is>
      </c>
      <c r="B924" s="2" t="n">
        <v>45750</v>
      </c>
      <c r="C924" s="2" t="n">
        <v>45755</v>
      </c>
      <c r="D924" t="inlineStr">
        <is>
          <t>CUST-00923</t>
        </is>
      </c>
      <c r="E924" t="inlineStr">
        <is>
          <t>Customer 923</t>
        </is>
      </c>
      <c r="F924" t="inlineStr">
        <is>
          <t>Home Office</t>
        </is>
      </c>
      <c r="G924" t="inlineStr">
        <is>
          <t>P1005</t>
        </is>
      </c>
      <c r="H924" t="inlineStr">
        <is>
          <t>Halo Planter</t>
        </is>
      </c>
      <c r="I924" t="inlineStr">
        <is>
          <t>Home Decor</t>
        </is>
      </c>
      <c r="J924" t="inlineStr">
        <is>
          <t>Accessories</t>
        </is>
      </c>
      <c r="K924" t="inlineStr">
        <is>
          <t>East</t>
        </is>
      </c>
      <c r="L924" t="inlineStr">
        <is>
          <t>New Jersey</t>
        </is>
      </c>
      <c r="M924" t="inlineStr">
        <is>
          <t>Washington</t>
        </is>
      </c>
      <c r="N924" t="inlineStr">
        <is>
          <t>Liam Chen</t>
        </is>
      </c>
      <c r="O924" t="n">
        <v>5</v>
      </c>
      <c r="P924" s="3" t="n">
        <v>12.53</v>
      </c>
      <c r="Q924" s="4" t="n">
        <v>0.023</v>
      </c>
      <c r="R924" s="3" t="n">
        <v>61.21</v>
      </c>
      <c r="S924" s="3" t="n">
        <v>31.64</v>
      </c>
      <c r="T924" s="3" t="n">
        <v>18.57</v>
      </c>
      <c r="U924" s="4" t="n">
        <v>0.3034</v>
      </c>
      <c r="V924" s="3" t="n">
        <v>11</v>
      </c>
      <c r="W924" t="inlineStr">
        <is>
          <t>Debit Card</t>
        </is>
      </c>
      <c r="X924" t="inlineStr">
        <is>
          <t>Medium</t>
        </is>
      </c>
      <c r="Y924" t="n">
        <v>2025</v>
      </c>
      <c r="Z924" t="n">
        <v>4</v>
      </c>
      <c r="AA924" t="inlineStr">
        <is>
          <t>Apr</t>
        </is>
      </c>
      <c r="AB924" t="inlineStr">
        <is>
          <t>Thursday</t>
        </is>
      </c>
      <c r="AC924" t="n">
        <v>5</v>
      </c>
      <c r="AD924" t="inlineStr">
        <is>
          <t>Profitable</t>
        </is>
      </c>
      <c r="AE924" t="inlineStr">
        <is>
          <t>Medium</t>
        </is>
      </c>
      <c r="AF924" t="inlineStr">
        <is>
          <t>Small</t>
        </is>
      </c>
    </row>
    <row r="925">
      <c r="A925" t="inlineStr">
        <is>
          <t>ORD-00924</t>
        </is>
      </c>
      <c r="B925" s="2" t="n">
        <v>45674</v>
      </c>
      <c r="C925" s="2" t="n">
        <v>45677</v>
      </c>
      <c r="D925" t="inlineStr">
        <is>
          <t>CUST-00924</t>
        </is>
      </c>
      <c r="E925" t="inlineStr">
        <is>
          <t>Customer 924</t>
        </is>
      </c>
      <c r="F925" t="inlineStr">
        <is>
          <t>Consumer</t>
        </is>
      </c>
      <c r="G925" t="inlineStr">
        <is>
          <t>P1002</t>
        </is>
      </c>
      <c r="H925" t="inlineStr">
        <is>
          <t>CloudDrive File Box</t>
        </is>
      </c>
      <c r="I925" t="inlineStr">
        <is>
          <t>Office Supplies</t>
        </is>
      </c>
      <c r="J925" t="inlineStr">
        <is>
          <t>Desks</t>
        </is>
      </c>
      <c r="K925" t="inlineStr">
        <is>
          <t>East</t>
        </is>
      </c>
      <c r="L925" t="inlineStr">
        <is>
          <t>New York</t>
        </is>
      </c>
      <c r="M925" t="inlineStr">
        <is>
          <t>Washington</t>
        </is>
      </c>
      <c r="N925" t="inlineStr">
        <is>
          <t>Liam Chen</t>
        </is>
      </c>
      <c r="O925" t="n">
        <v>5</v>
      </c>
      <c r="P925" s="3" t="n">
        <v>77.81999999999999</v>
      </c>
      <c r="Q925" s="4" t="n">
        <v>0.056</v>
      </c>
      <c r="R925" s="3" t="n">
        <v>367.31</v>
      </c>
      <c r="S925" s="3" t="n">
        <v>168.72</v>
      </c>
      <c r="T925" s="3" t="n">
        <v>187.59</v>
      </c>
      <c r="U925" s="4" t="n">
        <v>0.5107</v>
      </c>
      <c r="V925" s="3" t="n">
        <v>11</v>
      </c>
      <c r="W925" t="inlineStr">
        <is>
          <t>Debit Card</t>
        </is>
      </c>
      <c r="X925" t="inlineStr">
        <is>
          <t>High</t>
        </is>
      </c>
      <c r="Y925" t="n">
        <v>2025</v>
      </c>
      <c r="Z925" t="n">
        <v>1</v>
      </c>
      <c r="AA925" t="inlineStr">
        <is>
          <t>Jan</t>
        </is>
      </c>
      <c r="AB925" t="inlineStr">
        <is>
          <t>Friday</t>
        </is>
      </c>
      <c r="AC925" t="n">
        <v>3</v>
      </c>
      <c r="AD925" t="inlineStr">
        <is>
          <t>Profitable</t>
        </is>
      </c>
      <c r="AE925" t="inlineStr">
        <is>
          <t>High</t>
        </is>
      </c>
      <c r="AF925" t="inlineStr">
        <is>
          <t>Small</t>
        </is>
      </c>
    </row>
    <row r="926">
      <c r="A926" t="inlineStr">
        <is>
          <t>ORD-00925</t>
        </is>
      </c>
      <c r="B926" s="2" t="n">
        <v>45355</v>
      </c>
      <c r="C926" s="2" t="n">
        <v>45358</v>
      </c>
      <c r="D926" t="inlineStr">
        <is>
          <t>CUST-00925</t>
        </is>
      </c>
      <c r="E926" t="inlineStr">
        <is>
          <t>Customer 925</t>
        </is>
      </c>
      <c r="F926" t="inlineStr">
        <is>
          <t>Corporate</t>
        </is>
      </c>
      <c r="G926" t="inlineStr">
        <is>
          <t>P1014</t>
        </is>
      </c>
      <c r="H926" t="inlineStr">
        <is>
          <t>Lumen Desk Lamp</t>
        </is>
      </c>
      <c r="I926" t="inlineStr">
        <is>
          <t>Outdoor</t>
        </is>
      </c>
      <c r="J926" t="inlineStr">
        <is>
          <t>Decor</t>
        </is>
      </c>
      <c r="K926" t="inlineStr">
        <is>
          <t>East</t>
        </is>
      </c>
      <c r="L926" t="inlineStr">
        <is>
          <t>New Jersey</t>
        </is>
      </c>
      <c r="M926" t="inlineStr">
        <is>
          <t>Washington</t>
        </is>
      </c>
      <c r="N926" t="inlineStr">
        <is>
          <t>Sophia Singh</t>
        </is>
      </c>
      <c r="O926" t="n">
        <v>2</v>
      </c>
      <c r="P926" s="3" t="n">
        <v>43.38</v>
      </c>
      <c r="Q926" s="4" t="n">
        <v>0.06</v>
      </c>
      <c r="R926" s="3" t="n">
        <v>81.55</v>
      </c>
      <c r="S926" s="3" t="n">
        <v>36.05</v>
      </c>
      <c r="T926" s="3" t="n">
        <v>36.9</v>
      </c>
      <c r="U926" s="4" t="n">
        <v>0.4525</v>
      </c>
      <c r="V926" s="3" t="n">
        <v>8.6</v>
      </c>
      <c r="W926" t="inlineStr">
        <is>
          <t>Credit Card</t>
        </is>
      </c>
      <c r="X926" t="inlineStr">
        <is>
          <t>High</t>
        </is>
      </c>
      <c r="Y926" t="n">
        <v>2024</v>
      </c>
      <c r="Z926" t="n">
        <v>3</v>
      </c>
      <c r="AA926" t="inlineStr">
        <is>
          <t>Mar</t>
        </is>
      </c>
      <c r="AB926" t="inlineStr">
        <is>
          <t>Monday</t>
        </is>
      </c>
      <c r="AC926" t="n">
        <v>3</v>
      </c>
      <c r="AD926" t="inlineStr">
        <is>
          <t>Profitable</t>
        </is>
      </c>
      <c r="AE926" t="inlineStr">
        <is>
          <t>High</t>
        </is>
      </c>
      <c r="AF926" t="inlineStr">
        <is>
          <t>Small</t>
        </is>
      </c>
    </row>
    <row r="927">
      <c r="A927" t="inlineStr">
        <is>
          <t>ORD-00926</t>
        </is>
      </c>
      <c r="B927" s="2" t="n">
        <v>45067</v>
      </c>
      <c r="C927" s="2" t="n">
        <v>45070</v>
      </c>
      <c r="D927" t="inlineStr">
        <is>
          <t>CUST-00926</t>
        </is>
      </c>
      <c r="E927" t="inlineStr">
        <is>
          <t>Customer 926</t>
        </is>
      </c>
      <c r="F927" t="inlineStr">
        <is>
          <t>Home Office</t>
        </is>
      </c>
      <c r="G927" t="inlineStr">
        <is>
          <t>P1018</t>
        </is>
      </c>
      <c r="H927" t="inlineStr">
        <is>
          <t>Pulse Keyboard</t>
        </is>
      </c>
      <c r="I927" t="inlineStr">
        <is>
          <t>Furniture</t>
        </is>
      </c>
      <c r="J927" t="inlineStr">
        <is>
          <t>Coolers</t>
        </is>
      </c>
      <c r="K927" t="inlineStr">
        <is>
          <t>Central</t>
        </is>
      </c>
      <c r="L927" t="inlineStr">
        <is>
          <t>Illinois</t>
        </is>
      </c>
      <c r="M927" t="inlineStr">
        <is>
          <t>Kansas City</t>
        </is>
      </c>
      <c r="N927" t="inlineStr">
        <is>
          <t>Noah Kim</t>
        </is>
      </c>
      <c r="O927" t="n">
        <v>1</v>
      </c>
      <c r="P927" s="3" t="n">
        <v>88.94</v>
      </c>
      <c r="Q927" s="4" t="n">
        <v>0.011</v>
      </c>
      <c r="R927" s="3" t="n">
        <v>87.95999999999999</v>
      </c>
      <c r="S927" s="3" t="n">
        <v>48.14</v>
      </c>
      <c r="T927" s="3" t="n">
        <v>33.02</v>
      </c>
      <c r="U927" s="4" t="n">
        <v>0.3754</v>
      </c>
      <c r="V927" s="3" t="n">
        <v>6.8</v>
      </c>
      <c r="W927" t="inlineStr">
        <is>
          <t>Bank Transfer</t>
        </is>
      </c>
      <c r="X927" t="inlineStr">
        <is>
          <t>Medium</t>
        </is>
      </c>
      <c r="Y927" t="n">
        <v>2023</v>
      </c>
      <c r="Z927" t="n">
        <v>5</v>
      </c>
      <c r="AA927" t="inlineStr">
        <is>
          <t>May</t>
        </is>
      </c>
      <c r="AB927" t="inlineStr">
        <is>
          <t>Sunday</t>
        </is>
      </c>
      <c r="AC927" t="n">
        <v>3</v>
      </c>
      <c r="AD927" t="inlineStr">
        <is>
          <t>Profitable</t>
        </is>
      </c>
      <c r="AE927" t="inlineStr">
        <is>
          <t>Low</t>
        </is>
      </c>
      <c r="AF927" t="inlineStr">
        <is>
          <t>Small</t>
        </is>
      </c>
    </row>
    <row r="928">
      <c r="A928" t="inlineStr">
        <is>
          <t>ORD-00927</t>
        </is>
      </c>
      <c r="B928" s="2" t="n">
        <v>45013</v>
      </c>
      <c r="C928" s="2" t="n">
        <v>45018</v>
      </c>
      <c r="D928" t="inlineStr">
        <is>
          <t>CUST-00927</t>
        </is>
      </c>
      <c r="E928" t="inlineStr">
        <is>
          <t>Customer 927</t>
        </is>
      </c>
      <c r="F928" t="inlineStr">
        <is>
          <t>Corporate</t>
        </is>
      </c>
      <c r="G928" t="inlineStr">
        <is>
          <t>P1013</t>
        </is>
      </c>
      <c r="H928" t="inlineStr">
        <is>
          <t>CloudDrive File Box</t>
        </is>
      </c>
      <c r="I928" t="inlineStr">
        <is>
          <t>Office Supplies</t>
        </is>
      </c>
      <c r="J928" t="inlineStr">
        <is>
          <t>Peripherals</t>
        </is>
      </c>
      <c r="K928" t="inlineStr">
        <is>
          <t>South</t>
        </is>
      </c>
      <c r="L928" t="inlineStr">
        <is>
          <t>Georgia</t>
        </is>
      </c>
      <c r="M928" t="inlineStr">
        <is>
          <t>Dallas</t>
        </is>
      </c>
      <c r="N928" t="inlineStr">
        <is>
          <t>Sophia Singh</t>
        </is>
      </c>
      <c r="O928" t="n">
        <v>1</v>
      </c>
      <c r="P928" s="3" t="n">
        <v>154.1</v>
      </c>
      <c r="Q928" s="4" t="n">
        <v>0.042</v>
      </c>
      <c r="R928" s="3" t="n">
        <v>147.63</v>
      </c>
      <c r="S928" s="3" t="n">
        <v>90.59999999999999</v>
      </c>
      <c r="T928" s="3" t="n">
        <v>50.23</v>
      </c>
      <c r="U928" s="4" t="n">
        <v>0.3402</v>
      </c>
      <c r="V928" s="3" t="n">
        <v>6.8</v>
      </c>
      <c r="W928" t="inlineStr">
        <is>
          <t>PayPal</t>
        </is>
      </c>
      <c r="X928" t="inlineStr">
        <is>
          <t>High</t>
        </is>
      </c>
      <c r="Y928" t="n">
        <v>2023</v>
      </c>
      <c r="Z928" t="n">
        <v>3</v>
      </c>
      <c r="AA928" t="inlineStr">
        <is>
          <t>Mar</t>
        </is>
      </c>
      <c r="AB928" t="inlineStr">
        <is>
          <t>Tuesday</t>
        </is>
      </c>
      <c r="AC928" t="n">
        <v>5</v>
      </c>
      <c r="AD928" t="inlineStr">
        <is>
          <t>Profitable</t>
        </is>
      </c>
      <c r="AE928" t="inlineStr">
        <is>
          <t>Medium</t>
        </is>
      </c>
      <c r="AF928" t="inlineStr">
        <is>
          <t>Small</t>
        </is>
      </c>
    </row>
    <row r="929">
      <c r="A929" t="inlineStr">
        <is>
          <t>ORD-00928</t>
        </is>
      </c>
      <c r="B929" s="2" t="n">
        <v>45644</v>
      </c>
      <c r="C929" s="2" t="n">
        <v>45650</v>
      </c>
      <c r="D929" t="inlineStr">
        <is>
          <t>CUST-00928</t>
        </is>
      </c>
      <c r="E929" t="inlineStr">
        <is>
          <t>Customer 928</t>
        </is>
      </c>
      <c r="F929" t="inlineStr">
        <is>
          <t>Consumer</t>
        </is>
      </c>
      <c r="G929" t="inlineStr">
        <is>
          <t>P1012</t>
        </is>
      </c>
      <c r="H929" t="inlineStr">
        <is>
          <t>Harbor Rug</t>
        </is>
      </c>
      <c r="I929" t="inlineStr">
        <is>
          <t>Home Decor</t>
        </is>
      </c>
      <c r="J929" t="inlineStr">
        <is>
          <t>Lighting</t>
        </is>
      </c>
      <c r="K929" t="inlineStr">
        <is>
          <t>South</t>
        </is>
      </c>
      <c r="L929" t="inlineStr">
        <is>
          <t>Texas</t>
        </is>
      </c>
      <c r="M929" t="inlineStr">
        <is>
          <t>Dallas</t>
        </is>
      </c>
      <c r="N929" t="inlineStr">
        <is>
          <t>Ethan Brooks</t>
        </is>
      </c>
      <c r="O929" t="n">
        <v>2</v>
      </c>
      <c r="P929" s="3" t="n">
        <v>133.78</v>
      </c>
      <c r="Q929" s="4" t="n">
        <v>0.005</v>
      </c>
      <c r="R929" s="3" t="n">
        <v>266.22</v>
      </c>
      <c r="S929" s="3" t="n">
        <v>135.35</v>
      </c>
      <c r="T929" s="3" t="n">
        <v>123.27</v>
      </c>
      <c r="U929" s="4" t="n">
        <v>0.463</v>
      </c>
      <c r="V929" s="3" t="n">
        <v>7.6</v>
      </c>
      <c r="W929" t="inlineStr">
        <is>
          <t>Debit Card</t>
        </is>
      </c>
      <c r="X929" t="inlineStr">
        <is>
          <t>Low</t>
        </is>
      </c>
      <c r="Y929" t="n">
        <v>2024</v>
      </c>
      <c r="Z929" t="n">
        <v>12</v>
      </c>
      <c r="AA929" t="inlineStr">
        <is>
          <t>Dec</t>
        </is>
      </c>
      <c r="AB929" t="inlineStr">
        <is>
          <t>Wednesday</t>
        </is>
      </c>
      <c r="AC929" t="n">
        <v>6</v>
      </c>
      <c r="AD929" t="inlineStr">
        <is>
          <t>Profitable</t>
        </is>
      </c>
      <c r="AE929" t="inlineStr">
        <is>
          <t>Low</t>
        </is>
      </c>
      <c r="AF929" t="inlineStr">
        <is>
          <t>Small</t>
        </is>
      </c>
    </row>
    <row r="930">
      <c r="A930" t="inlineStr">
        <is>
          <t>ORD-00929</t>
        </is>
      </c>
      <c r="B930" s="2" t="n">
        <v>45427</v>
      </c>
      <c r="C930" s="2" t="n">
        <v>45432</v>
      </c>
      <c r="D930" t="inlineStr">
        <is>
          <t>CUST-00929</t>
        </is>
      </c>
      <c r="E930" t="inlineStr">
        <is>
          <t>Customer 929</t>
        </is>
      </c>
      <c r="F930" t="inlineStr">
        <is>
          <t>Home Office</t>
        </is>
      </c>
      <c r="G930" t="inlineStr">
        <is>
          <t>P1015</t>
        </is>
      </c>
      <c r="H930" t="inlineStr">
        <is>
          <t>ErgoMesh Chair</t>
        </is>
      </c>
      <c r="I930" t="inlineStr">
        <is>
          <t>Furniture</t>
        </is>
      </c>
      <c r="J930" t="inlineStr">
        <is>
          <t>Lighting</t>
        </is>
      </c>
      <c r="K930" t="inlineStr">
        <is>
          <t>East</t>
        </is>
      </c>
      <c r="L930" t="inlineStr">
        <is>
          <t>Massachusetts</t>
        </is>
      </c>
      <c r="M930" t="inlineStr">
        <is>
          <t>Boston</t>
        </is>
      </c>
      <c r="N930" t="inlineStr">
        <is>
          <t>Liam Chen</t>
        </is>
      </c>
      <c r="O930" t="n">
        <v>4</v>
      </c>
      <c r="P930" s="3" t="n">
        <v>68.12</v>
      </c>
      <c r="Q930" s="4" t="n">
        <v>0.013</v>
      </c>
      <c r="R930" s="3" t="n">
        <v>268.94</v>
      </c>
      <c r="S930" s="3" t="n">
        <v>122.28</v>
      </c>
      <c r="T930" s="3" t="n">
        <v>136.46</v>
      </c>
      <c r="U930" s="4" t="n">
        <v>0.5074</v>
      </c>
      <c r="V930" s="3" t="n">
        <v>10.2</v>
      </c>
      <c r="W930" t="inlineStr">
        <is>
          <t>Bank Transfer</t>
        </is>
      </c>
      <c r="X930" t="inlineStr">
        <is>
          <t>Low</t>
        </is>
      </c>
      <c r="Y930" t="n">
        <v>2024</v>
      </c>
      <c r="Z930" t="n">
        <v>5</v>
      </c>
      <c r="AA930" t="inlineStr">
        <is>
          <t>May</t>
        </is>
      </c>
      <c r="AB930" t="inlineStr">
        <is>
          <t>Wednesday</t>
        </is>
      </c>
      <c r="AC930" t="n">
        <v>5</v>
      </c>
      <c r="AD930" t="inlineStr">
        <is>
          <t>Profitable</t>
        </is>
      </c>
      <c r="AE930" t="inlineStr">
        <is>
          <t>Low</t>
        </is>
      </c>
      <c r="AF930" t="inlineStr">
        <is>
          <t>Small</t>
        </is>
      </c>
    </row>
    <row r="931">
      <c r="A931" t="inlineStr">
        <is>
          <t>ORD-00930</t>
        </is>
      </c>
      <c r="B931" s="2" t="n">
        <v>45004</v>
      </c>
      <c r="C931" s="2" t="n">
        <v>45008</v>
      </c>
      <c r="D931" t="inlineStr">
        <is>
          <t>CUST-00930</t>
        </is>
      </c>
      <c r="E931" t="inlineStr">
        <is>
          <t>Customer 930</t>
        </is>
      </c>
      <c r="F931" t="inlineStr">
        <is>
          <t>Consumer</t>
        </is>
      </c>
      <c r="G931" t="inlineStr">
        <is>
          <t>P1015</t>
        </is>
      </c>
      <c r="H931" t="inlineStr">
        <is>
          <t>Tide Cooler</t>
        </is>
      </c>
      <c r="I931" t="inlineStr">
        <is>
          <t>Home Decor</t>
        </is>
      </c>
      <c r="J931" t="inlineStr">
        <is>
          <t>Lighting</t>
        </is>
      </c>
      <c r="K931" t="inlineStr">
        <is>
          <t>South</t>
        </is>
      </c>
      <c r="L931" t="inlineStr">
        <is>
          <t>Georgia</t>
        </is>
      </c>
      <c r="M931" t="inlineStr">
        <is>
          <t>Atlanta</t>
        </is>
      </c>
      <c r="N931" t="inlineStr">
        <is>
          <t>Noah Kim</t>
        </is>
      </c>
      <c r="O931" t="n">
        <v>5</v>
      </c>
      <c r="P931" s="3" t="n">
        <v>66.44</v>
      </c>
      <c r="Q931" s="4" t="n">
        <v>0.029</v>
      </c>
      <c r="R931" s="3" t="n">
        <v>322.57</v>
      </c>
      <c r="S931" s="3" t="n">
        <v>147.34</v>
      </c>
      <c r="T931" s="3" t="n">
        <v>165.23</v>
      </c>
      <c r="U931" s="4" t="n">
        <v>0.5122</v>
      </c>
      <c r="V931" s="3" t="n">
        <v>10</v>
      </c>
      <c r="W931" t="inlineStr">
        <is>
          <t>Debit Card</t>
        </is>
      </c>
      <c r="X931" t="inlineStr">
        <is>
          <t>Medium</t>
        </is>
      </c>
      <c r="Y931" t="n">
        <v>2023</v>
      </c>
      <c r="Z931" t="n">
        <v>3</v>
      </c>
      <c r="AA931" t="inlineStr">
        <is>
          <t>Mar</t>
        </is>
      </c>
      <c r="AB931" t="inlineStr">
        <is>
          <t>Sunday</t>
        </is>
      </c>
      <c r="AC931" t="n">
        <v>4</v>
      </c>
      <c r="AD931" t="inlineStr">
        <is>
          <t>Profitable</t>
        </is>
      </c>
      <c r="AE931" t="inlineStr">
        <is>
          <t>Medium</t>
        </is>
      </c>
      <c r="AF931" t="inlineStr">
        <is>
          <t>Small</t>
        </is>
      </c>
    </row>
    <row r="932">
      <c r="A932" t="inlineStr">
        <is>
          <t>ORD-00931</t>
        </is>
      </c>
      <c r="B932" s="2" t="n">
        <v>45044</v>
      </c>
      <c r="C932" s="2" t="n">
        <v>45045</v>
      </c>
      <c r="D932" t="inlineStr">
        <is>
          <t>CUST-00931</t>
        </is>
      </c>
      <c r="E932" t="inlineStr">
        <is>
          <t>Customer 931</t>
        </is>
      </c>
      <c r="F932" t="inlineStr">
        <is>
          <t>Consumer</t>
        </is>
      </c>
      <c r="G932" t="inlineStr">
        <is>
          <t>P1001</t>
        </is>
      </c>
      <c r="H932" t="inlineStr">
        <is>
          <t>FlexNote Notebook</t>
        </is>
      </c>
      <c r="I932" t="inlineStr">
        <is>
          <t>Furniture</t>
        </is>
      </c>
      <c r="J932" t="inlineStr">
        <is>
          <t>Accessories</t>
        </is>
      </c>
      <c r="K932" t="inlineStr">
        <is>
          <t>East</t>
        </is>
      </c>
      <c r="L932" t="inlineStr">
        <is>
          <t>Massachusetts</t>
        </is>
      </c>
      <c r="M932" t="inlineStr">
        <is>
          <t>New York</t>
        </is>
      </c>
      <c r="N932" t="inlineStr">
        <is>
          <t>Mia Rodriguez</t>
        </is>
      </c>
      <c r="O932" t="n">
        <v>2</v>
      </c>
      <c r="P932" s="3" t="n">
        <v>306.99</v>
      </c>
      <c r="Q932" s="4" t="n">
        <v>0.017</v>
      </c>
      <c r="R932" s="3" t="n">
        <v>603.54</v>
      </c>
      <c r="S932" s="3" t="n">
        <v>356.28</v>
      </c>
      <c r="T932" s="3" t="n">
        <v>238.66</v>
      </c>
      <c r="U932" s="4" t="n">
        <v>0.3954</v>
      </c>
      <c r="V932" s="3" t="n">
        <v>8.6</v>
      </c>
      <c r="W932" t="inlineStr">
        <is>
          <t>Debit Card</t>
        </is>
      </c>
      <c r="X932" t="inlineStr">
        <is>
          <t>High</t>
        </is>
      </c>
      <c r="Y932" t="n">
        <v>2023</v>
      </c>
      <c r="Z932" t="n">
        <v>4</v>
      </c>
      <c r="AA932" t="inlineStr">
        <is>
          <t>Apr</t>
        </is>
      </c>
      <c r="AB932" t="inlineStr">
        <is>
          <t>Friday</t>
        </is>
      </c>
      <c r="AC932" t="n">
        <v>1</v>
      </c>
      <c r="AD932" t="inlineStr">
        <is>
          <t>Profitable</t>
        </is>
      </c>
      <c r="AE932" t="inlineStr">
        <is>
          <t>Low</t>
        </is>
      </c>
      <c r="AF932" t="inlineStr">
        <is>
          <t>Medium</t>
        </is>
      </c>
    </row>
    <row r="933">
      <c r="A933" t="inlineStr">
        <is>
          <t>ORD-00932</t>
        </is>
      </c>
      <c r="B933" s="2" t="n">
        <v>45891</v>
      </c>
      <c r="C933" s="2" t="n">
        <v>45892</v>
      </c>
      <c r="D933" t="inlineStr">
        <is>
          <t>CUST-00932</t>
        </is>
      </c>
      <c r="E933" t="inlineStr">
        <is>
          <t>Customer 932</t>
        </is>
      </c>
      <c r="F933" t="inlineStr">
        <is>
          <t>Consumer</t>
        </is>
      </c>
      <c r="G933" t="inlineStr">
        <is>
          <t>P1007</t>
        </is>
      </c>
      <c r="H933" t="inlineStr">
        <is>
          <t>ErgoMesh Chair</t>
        </is>
      </c>
      <c r="I933" t="inlineStr">
        <is>
          <t>Technology</t>
        </is>
      </c>
      <c r="J933" t="inlineStr">
        <is>
          <t>Textiles</t>
        </is>
      </c>
      <c r="K933" t="inlineStr">
        <is>
          <t>South</t>
        </is>
      </c>
      <c r="L933" t="inlineStr">
        <is>
          <t>Texas</t>
        </is>
      </c>
      <c r="M933" t="inlineStr">
        <is>
          <t>Atlanta</t>
        </is>
      </c>
      <c r="N933" t="inlineStr">
        <is>
          <t>Sophia Singh</t>
        </is>
      </c>
      <c r="O933" t="n">
        <v>1</v>
      </c>
      <c r="P933" s="3" t="n">
        <v>23.56</v>
      </c>
      <c r="Q933" s="4" t="n">
        <v>0.07199999999999999</v>
      </c>
      <c r="R933" s="3" t="n">
        <v>21.86</v>
      </c>
      <c r="S933" s="3" t="n">
        <v>14.29</v>
      </c>
      <c r="T933" s="3" t="n">
        <v>0.77</v>
      </c>
      <c r="U933" s="4" t="n">
        <v>0.0352</v>
      </c>
      <c r="V933" s="3" t="n">
        <v>6.8</v>
      </c>
      <c r="W933" t="inlineStr">
        <is>
          <t>Debit Card</t>
        </is>
      </c>
      <c r="X933" t="inlineStr">
        <is>
          <t>Critical</t>
        </is>
      </c>
      <c r="Y933" t="n">
        <v>2025</v>
      </c>
      <c r="Z933" t="n">
        <v>8</v>
      </c>
      <c r="AA933" t="inlineStr">
        <is>
          <t>Aug</t>
        </is>
      </c>
      <c r="AB933" t="inlineStr">
        <is>
          <t>Friday</t>
        </is>
      </c>
      <c r="AC933" t="n">
        <v>1</v>
      </c>
      <c r="AD933" t="inlineStr">
        <is>
          <t>Profitable</t>
        </is>
      </c>
      <c r="AE933" t="inlineStr">
        <is>
          <t>High</t>
        </is>
      </c>
      <c r="AF933" t="inlineStr">
        <is>
          <t>Small</t>
        </is>
      </c>
    </row>
    <row r="934">
      <c r="A934" t="inlineStr">
        <is>
          <t>ORD-00933</t>
        </is>
      </c>
      <c r="B934" s="2" t="n">
        <v>45694</v>
      </c>
      <c r="C934" s="2" t="n">
        <v>45700</v>
      </c>
      <c r="D934" t="inlineStr">
        <is>
          <t>CUST-00933</t>
        </is>
      </c>
      <c r="E934" t="inlineStr">
        <is>
          <t>Customer 933</t>
        </is>
      </c>
      <c r="F934" t="inlineStr">
        <is>
          <t>Home Office</t>
        </is>
      </c>
      <c r="G934" t="inlineStr">
        <is>
          <t>P1013</t>
        </is>
      </c>
      <c r="H934" t="inlineStr">
        <is>
          <t>Echo Web Camera</t>
        </is>
      </c>
      <c r="I934" t="inlineStr">
        <is>
          <t>Office Supplies</t>
        </is>
      </c>
      <c r="J934" t="inlineStr">
        <is>
          <t>Chairs</t>
        </is>
      </c>
      <c r="K934" t="inlineStr">
        <is>
          <t>South</t>
        </is>
      </c>
      <c r="L934" t="inlineStr">
        <is>
          <t>Florida</t>
        </is>
      </c>
      <c r="M934" t="inlineStr">
        <is>
          <t>Dallas</t>
        </is>
      </c>
      <c r="N934" t="inlineStr">
        <is>
          <t>Mia Rodriguez</t>
        </is>
      </c>
      <c r="O934" t="n">
        <v>2</v>
      </c>
      <c r="P934" s="3" t="n">
        <v>159.19</v>
      </c>
      <c r="Q934" s="4" t="n">
        <v>0.01</v>
      </c>
      <c r="R934" s="3" t="n">
        <v>315.2</v>
      </c>
      <c r="S934" s="3" t="n">
        <v>181.46</v>
      </c>
      <c r="T934" s="3" t="n">
        <v>126.14</v>
      </c>
      <c r="U934" s="4" t="n">
        <v>0.4002</v>
      </c>
      <c r="V934" s="3" t="n">
        <v>7.6</v>
      </c>
      <c r="W934" t="inlineStr">
        <is>
          <t>Cash on Delivery</t>
        </is>
      </c>
      <c r="X934" t="inlineStr">
        <is>
          <t>Medium</t>
        </is>
      </c>
      <c r="Y934" t="n">
        <v>2025</v>
      </c>
      <c r="Z934" t="n">
        <v>2</v>
      </c>
      <c r="AA934" t="inlineStr">
        <is>
          <t>Feb</t>
        </is>
      </c>
      <c r="AB934" t="inlineStr">
        <is>
          <t>Thursday</t>
        </is>
      </c>
      <c r="AC934" t="n">
        <v>6</v>
      </c>
      <c r="AD934" t="inlineStr">
        <is>
          <t>Profitable</t>
        </is>
      </c>
      <c r="AE934" t="inlineStr">
        <is>
          <t>Low</t>
        </is>
      </c>
      <c r="AF934" t="inlineStr">
        <is>
          <t>Small</t>
        </is>
      </c>
    </row>
    <row r="935">
      <c r="A935" t="inlineStr">
        <is>
          <t>ORD-00934</t>
        </is>
      </c>
      <c r="B935" s="2" t="n">
        <v>45611</v>
      </c>
      <c r="C935" s="2" t="n">
        <v>45612</v>
      </c>
      <c r="D935" t="inlineStr">
        <is>
          <t>CUST-00934</t>
        </is>
      </c>
      <c r="E935" t="inlineStr">
        <is>
          <t>Customer 934</t>
        </is>
      </c>
      <c r="F935" t="inlineStr">
        <is>
          <t>Home Office</t>
        </is>
      </c>
      <c r="G935" t="inlineStr">
        <is>
          <t>P1018</t>
        </is>
      </c>
      <c r="H935" t="inlineStr">
        <is>
          <t>FlexNote Notebook</t>
        </is>
      </c>
      <c r="I935" t="inlineStr">
        <is>
          <t>Technology</t>
        </is>
      </c>
      <c r="J935" t="inlineStr">
        <is>
          <t>Peripherals</t>
        </is>
      </c>
      <c r="K935" t="inlineStr">
        <is>
          <t>Central</t>
        </is>
      </c>
      <c r="L935" t="inlineStr">
        <is>
          <t>Missouri</t>
        </is>
      </c>
      <c r="M935" t="inlineStr">
        <is>
          <t>St. Louis</t>
        </is>
      </c>
      <c r="N935" t="inlineStr">
        <is>
          <t>Ethan Brooks</t>
        </is>
      </c>
      <c r="O935" t="n">
        <v>4</v>
      </c>
      <c r="P935" s="3" t="n">
        <v>96.98</v>
      </c>
      <c r="Q935" s="4" t="n">
        <v>0.026</v>
      </c>
      <c r="R935" s="3" t="n">
        <v>377.83</v>
      </c>
      <c r="S935" s="3" t="n">
        <v>174.06</v>
      </c>
      <c r="T935" s="3" t="n">
        <v>194.57</v>
      </c>
      <c r="U935" s="4" t="n">
        <v>0.515</v>
      </c>
      <c r="V935" s="3" t="n">
        <v>9.199999999999999</v>
      </c>
      <c r="W935" t="inlineStr">
        <is>
          <t>Bank Transfer</t>
        </is>
      </c>
      <c r="X935" t="inlineStr">
        <is>
          <t>High</t>
        </is>
      </c>
      <c r="Y935" t="n">
        <v>2024</v>
      </c>
      <c r="Z935" t="n">
        <v>11</v>
      </c>
      <c r="AA935" t="inlineStr">
        <is>
          <t>Nov</t>
        </is>
      </c>
      <c r="AB935" t="inlineStr">
        <is>
          <t>Friday</t>
        </is>
      </c>
      <c r="AC935" t="n">
        <v>1</v>
      </c>
      <c r="AD935" t="inlineStr">
        <is>
          <t>Profitable</t>
        </is>
      </c>
      <c r="AE935" t="inlineStr">
        <is>
          <t>Medium</t>
        </is>
      </c>
      <c r="AF935" t="inlineStr">
        <is>
          <t>Small</t>
        </is>
      </c>
    </row>
    <row r="936">
      <c r="A936" t="inlineStr">
        <is>
          <t>ORD-00935</t>
        </is>
      </c>
      <c r="B936" s="2" t="n">
        <v>45267</v>
      </c>
      <c r="C936" s="2" t="n">
        <v>45270</v>
      </c>
      <c r="D936" t="inlineStr">
        <is>
          <t>CUST-00935</t>
        </is>
      </c>
      <c r="E936" t="inlineStr">
        <is>
          <t>Customer 935</t>
        </is>
      </c>
      <c r="F936" t="inlineStr">
        <is>
          <t>Consumer</t>
        </is>
      </c>
      <c r="G936" t="inlineStr">
        <is>
          <t>P1001</t>
        </is>
      </c>
      <c r="H936" t="inlineStr">
        <is>
          <t>Atlas Throw Pillow</t>
        </is>
      </c>
      <c r="I936" t="inlineStr">
        <is>
          <t>Furniture</t>
        </is>
      </c>
      <c r="J936" t="inlineStr">
        <is>
          <t>Binders</t>
        </is>
      </c>
      <c r="K936" t="inlineStr">
        <is>
          <t>Central</t>
        </is>
      </c>
      <c r="L936" t="inlineStr">
        <is>
          <t>Kansas</t>
        </is>
      </c>
      <c r="M936" t="inlineStr">
        <is>
          <t>Chicago</t>
        </is>
      </c>
      <c r="N936" t="inlineStr">
        <is>
          <t>Mia Rodriguez</t>
        </is>
      </c>
      <c r="O936" t="n">
        <v>5</v>
      </c>
      <c r="P936" s="3" t="n">
        <v>312.89</v>
      </c>
      <c r="Q936" s="4" t="n">
        <v>0.024</v>
      </c>
      <c r="R936" s="3" t="n">
        <v>1526.9</v>
      </c>
      <c r="S936" s="3" t="n">
        <v>895.98</v>
      </c>
      <c r="T936" s="3" t="n">
        <v>620.92</v>
      </c>
      <c r="U936" s="4" t="n">
        <v>0.4067</v>
      </c>
      <c r="V936" s="3" t="n">
        <v>10</v>
      </c>
      <c r="W936" t="inlineStr">
        <is>
          <t>Cash on Delivery</t>
        </is>
      </c>
      <c r="X936" t="inlineStr">
        <is>
          <t>Medium</t>
        </is>
      </c>
      <c r="Y936" t="n">
        <v>2023</v>
      </c>
      <c r="Z936" t="n">
        <v>12</v>
      </c>
      <c r="AA936" t="inlineStr">
        <is>
          <t>Dec</t>
        </is>
      </c>
      <c r="AB936" t="inlineStr">
        <is>
          <t>Thursday</t>
        </is>
      </c>
      <c r="AC936" t="n">
        <v>3</v>
      </c>
      <c r="AD936" t="inlineStr">
        <is>
          <t>Profitable</t>
        </is>
      </c>
      <c r="AE936" t="inlineStr">
        <is>
          <t>Medium</t>
        </is>
      </c>
      <c r="AF936" t="inlineStr">
        <is>
          <t>Large</t>
        </is>
      </c>
    </row>
    <row r="937">
      <c r="A937" t="inlineStr">
        <is>
          <t>ORD-00936</t>
        </is>
      </c>
      <c r="B937" s="2" t="n">
        <v>45028</v>
      </c>
      <c r="C937" s="2" t="n">
        <v>45034</v>
      </c>
      <c r="D937" t="inlineStr">
        <is>
          <t>CUST-00936</t>
        </is>
      </c>
      <c r="E937" t="inlineStr">
        <is>
          <t>Customer 936</t>
        </is>
      </c>
      <c r="F937" t="inlineStr">
        <is>
          <t>Home Office</t>
        </is>
      </c>
      <c r="G937" t="inlineStr">
        <is>
          <t>P1011</t>
        </is>
      </c>
      <c r="H937" t="inlineStr">
        <is>
          <t>Tide Cooler</t>
        </is>
      </c>
      <c r="I937" t="inlineStr">
        <is>
          <t>Office Supplies</t>
        </is>
      </c>
      <c r="J937" t="inlineStr">
        <is>
          <t>Furniture</t>
        </is>
      </c>
      <c r="K937" t="inlineStr">
        <is>
          <t>East</t>
        </is>
      </c>
      <c r="L937" t="inlineStr">
        <is>
          <t>Massachusetts</t>
        </is>
      </c>
      <c r="M937" t="inlineStr">
        <is>
          <t>Boston</t>
        </is>
      </c>
      <c r="N937" t="inlineStr">
        <is>
          <t>Ava Patel</t>
        </is>
      </c>
      <c r="O937" t="n">
        <v>3</v>
      </c>
      <c r="P937" s="3" t="n">
        <v>92.75</v>
      </c>
      <c r="Q937" s="4" t="n">
        <v>0.055</v>
      </c>
      <c r="R937" s="3" t="n">
        <v>262.95</v>
      </c>
      <c r="S937" s="3" t="n">
        <v>132.16</v>
      </c>
      <c r="T937" s="3" t="n">
        <v>121.39</v>
      </c>
      <c r="U937" s="4" t="n">
        <v>0.4616</v>
      </c>
      <c r="V937" s="3" t="n">
        <v>9.4</v>
      </c>
      <c r="W937" t="inlineStr">
        <is>
          <t>Debit Card</t>
        </is>
      </c>
      <c r="X937" t="inlineStr">
        <is>
          <t>Critical</t>
        </is>
      </c>
      <c r="Y937" t="n">
        <v>2023</v>
      </c>
      <c r="Z937" t="n">
        <v>4</v>
      </c>
      <c r="AA937" t="inlineStr">
        <is>
          <t>Apr</t>
        </is>
      </c>
      <c r="AB937" t="inlineStr">
        <is>
          <t>Wednesday</t>
        </is>
      </c>
      <c r="AC937" t="n">
        <v>6</v>
      </c>
      <c r="AD937" t="inlineStr">
        <is>
          <t>Profitable</t>
        </is>
      </c>
      <c r="AE937" t="inlineStr">
        <is>
          <t>High</t>
        </is>
      </c>
      <c r="AF937" t="inlineStr">
        <is>
          <t>Small</t>
        </is>
      </c>
    </row>
    <row r="938">
      <c r="A938" t="inlineStr">
        <is>
          <t>ORD-00937</t>
        </is>
      </c>
      <c r="B938" s="2" t="n">
        <v>45123</v>
      </c>
      <c r="C938" s="2" t="n">
        <v>45124</v>
      </c>
      <c r="D938" t="inlineStr">
        <is>
          <t>CUST-00937</t>
        </is>
      </c>
      <c r="E938" t="inlineStr">
        <is>
          <t>Customer 937</t>
        </is>
      </c>
      <c r="F938" t="inlineStr">
        <is>
          <t>Consumer</t>
        </is>
      </c>
      <c r="G938" t="inlineStr">
        <is>
          <t>P1013</t>
        </is>
      </c>
      <c r="H938" t="inlineStr">
        <is>
          <t>Lumen Desk Lamp</t>
        </is>
      </c>
      <c r="I938" t="inlineStr">
        <is>
          <t>Home Decor</t>
        </is>
      </c>
      <c r="J938" t="inlineStr">
        <is>
          <t>Lighting</t>
        </is>
      </c>
      <c r="K938" t="inlineStr">
        <is>
          <t>North</t>
        </is>
      </c>
      <c r="L938" t="inlineStr">
        <is>
          <t>Ontario</t>
        </is>
      </c>
      <c r="M938" t="inlineStr">
        <is>
          <t>Calgary</t>
        </is>
      </c>
      <c r="N938" t="inlineStr">
        <is>
          <t>Liam Chen</t>
        </is>
      </c>
      <c r="O938" t="n">
        <v>2</v>
      </c>
      <c r="P938" s="3" t="n">
        <v>171.39</v>
      </c>
      <c r="Q938" s="4" t="n">
        <v>0.034</v>
      </c>
      <c r="R938" s="3" t="n">
        <v>331.13</v>
      </c>
      <c r="S938" s="3" t="n">
        <v>196.24</v>
      </c>
      <c r="T938" s="3" t="n">
        <v>127.29</v>
      </c>
      <c r="U938" s="4" t="n">
        <v>0.3844</v>
      </c>
      <c r="V938" s="3" t="n">
        <v>7.6</v>
      </c>
      <c r="W938" t="inlineStr">
        <is>
          <t>Debit Card</t>
        </is>
      </c>
      <c r="X938" t="inlineStr">
        <is>
          <t>Critical</t>
        </is>
      </c>
      <c r="Y938" t="n">
        <v>2023</v>
      </c>
      <c r="Z938" t="n">
        <v>7</v>
      </c>
      <c r="AA938" t="inlineStr">
        <is>
          <t>Jul</t>
        </is>
      </c>
      <c r="AB938" t="inlineStr">
        <is>
          <t>Sunday</t>
        </is>
      </c>
      <c r="AC938" t="n">
        <v>1</v>
      </c>
      <c r="AD938" t="inlineStr">
        <is>
          <t>Profitable</t>
        </is>
      </c>
      <c r="AE938" t="inlineStr">
        <is>
          <t>Medium</t>
        </is>
      </c>
      <c r="AF938" t="inlineStr">
        <is>
          <t>Small</t>
        </is>
      </c>
    </row>
    <row r="939">
      <c r="A939" t="inlineStr">
        <is>
          <t>ORD-00938</t>
        </is>
      </c>
      <c r="B939" s="2" t="n">
        <v>45666</v>
      </c>
      <c r="C939" s="2" t="n">
        <v>45671</v>
      </c>
      <c r="D939" t="inlineStr">
        <is>
          <t>CUST-00938</t>
        </is>
      </c>
      <c r="E939" t="inlineStr">
        <is>
          <t>Customer 938</t>
        </is>
      </c>
      <c r="F939" t="inlineStr">
        <is>
          <t>Home Office</t>
        </is>
      </c>
      <c r="G939" t="inlineStr">
        <is>
          <t>P1020</t>
        </is>
      </c>
      <c r="H939" t="inlineStr">
        <is>
          <t>Halo Planter</t>
        </is>
      </c>
      <c r="I939" t="inlineStr">
        <is>
          <t>Home Decor</t>
        </is>
      </c>
      <c r="J939" t="inlineStr">
        <is>
          <t>Video</t>
        </is>
      </c>
      <c r="K939" t="inlineStr">
        <is>
          <t>East</t>
        </is>
      </c>
      <c r="L939" t="inlineStr">
        <is>
          <t>Virginia</t>
        </is>
      </c>
      <c r="M939" t="inlineStr">
        <is>
          <t>New York</t>
        </is>
      </c>
      <c r="N939" t="inlineStr">
        <is>
          <t>Ethan Brooks</t>
        </is>
      </c>
      <c r="O939" t="n">
        <v>3</v>
      </c>
      <c r="P939" s="3" t="n">
        <v>75.09999999999999</v>
      </c>
      <c r="Q939" s="4" t="n">
        <v>0.026</v>
      </c>
      <c r="R939" s="3" t="n">
        <v>219.44</v>
      </c>
      <c r="S939" s="3" t="n">
        <v>110.37</v>
      </c>
      <c r="T939" s="3" t="n">
        <v>99.67</v>
      </c>
      <c r="U939" s="4" t="n">
        <v>0.4542</v>
      </c>
      <c r="V939" s="3" t="n">
        <v>9.4</v>
      </c>
      <c r="W939" t="inlineStr">
        <is>
          <t>Credit Card</t>
        </is>
      </c>
      <c r="X939" t="inlineStr">
        <is>
          <t>High</t>
        </is>
      </c>
      <c r="Y939" t="n">
        <v>2025</v>
      </c>
      <c r="Z939" t="n">
        <v>1</v>
      </c>
      <c r="AA939" t="inlineStr">
        <is>
          <t>Jan</t>
        </is>
      </c>
      <c r="AB939" t="inlineStr">
        <is>
          <t>Thursday</t>
        </is>
      </c>
      <c r="AC939" t="n">
        <v>5</v>
      </c>
      <c r="AD939" t="inlineStr">
        <is>
          <t>Profitable</t>
        </is>
      </c>
      <c r="AE939" t="inlineStr">
        <is>
          <t>Medium</t>
        </is>
      </c>
      <c r="AF939" t="inlineStr">
        <is>
          <t>Small</t>
        </is>
      </c>
    </row>
    <row r="940">
      <c r="A940" t="inlineStr">
        <is>
          <t>ORD-00939</t>
        </is>
      </c>
      <c r="B940" s="2" t="n">
        <v>45189</v>
      </c>
      <c r="C940" s="2" t="n">
        <v>45193</v>
      </c>
      <c r="D940" t="inlineStr">
        <is>
          <t>CUST-00939</t>
        </is>
      </c>
      <c r="E940" t="inlineStr">
        <is>
          <t>Customer 939</t>
        </is>
      </c>
      <c r="F940" t="inlineStr">
        <is>
          <t>Corporate</t>
        </is>
      </c>
      <c r="G940" t="inlineStr">
        <is>
          <t>P1009</t>
        </is>
      </c>
      <c r="H940" t="inlineStr">
        <is>
          <t>Pulse Keyboard</t>
        </is>
      </c>
      <c r="I940" t="inlineStr">
        <is>
          <t>Furniture</t>
        </is>
      </c>
      <c r="J940" t="inlineStr">
        <is>
          <t>Bags</t>
        </is>
      </c>
      <c r="K940" t="inlineStr">
        <is>
          <t>West</t>
        </is>
      </c>
      <c r="L940" t="inlineStr">
        <is>
          <t>Washington</t>
        </is>
      </c>
      <c r="M940" t="inlineStr">
        <is>
          <t>San Francisco</t>
        </is>
      </c>
      <c r="N940" t="inlineStr">
        <is>
          <t>Mia Rodriguez</t>
        </is>
      </c>
      <c r="O940" t="n">
        <v>2</v>
      </c>
      <c r="P940" s="3" t="n">
        <v>93.7</v>
      </c>
      <c r="Q940" s="4" t="n">
        <v>0.027</v>
      </c>
      <c r="R940" s="3" t="n">
        <v>182.34</v>
      </c>
      <c r="S940" s="3" t="n">
        <v>93.98</v>
      </c>
      <c r="T940" s="3" t="n">
        <v>79.76000000000001</v>
      </c>
      <c r="U940" s="4" t="n">
        <v>0.4374</v>
      </c>
      <c r="V940" s="3" t="n">
        <v>8.6</v>
      </c>
      <c r="W940" t="inlineStr">
        <is>
          <t>Credit Card</t>
        </is>
      </c>
      <c r="X940" t="inlineStr">
        <is>
          <t>Medium</t>
        </is>
      </c>
      <c r="Y940" t="n">
        <v>2023</v>
      </c>
      <c r="Z940" t="n">
        <v>9</v>
      </c>
      <c r="AA940" t="inlineStr">
        <is>
          <t>Sep</t>
        </is>
      </c>
      <c r="AB940" t="inlineStr">
        <is>
          <t>Wednesday</t>
        </is>
      </c>
      <c r="AC940" t="n">
        <v>4</v>
      </c>
      <c r="AD940" t="inlineStr">
        <is>
          <t>Profitable</t>
        </is>
      </c>
      <c r="AE940" t="inlineStr">
        <is>
          <t>Medium</t>
        </is>
      </c>
      <c r="AF940" t="inlineStr">
        <is>
          <t>Small</t>
        </is>
      </c>
    </row>
    <row r="941">
      <c r="A941" t="inlineStr">
        <is>
          <t>ORD-00940</t>
        </is>
      </c>
      <c r="B941" s="2" t="n">
        <v>45448</v>
      </c>
      <c r="C941" s="2" t="n">
        <v>45450</v>
      </c>
      <c r="D941" t="inlineStr">
        <is>
          <t>CUST-00940</t>
        </is>
      </c>
      <c r="E941" t="inlineStr">
        <is>
          <t>Customer 940</t>
        </is>
      </c>
      <c r="F941" t="inlineStr">
        <is>
          <t>Consumer</t>
        </is>
      </c>
      <c r="G941" t="inlineStr">
        <is>
          <t>P1016</t>
        </is>
      </c>
      <c r="H941" t="inlineStr">
        <is>
          <t>Orbit Wireless Mouse</t>
        </is>
      </c>
      <c r="I941" t="inlineStr">
        <is>
          <t>Furniture</t>
        </is>
      </c>
      <c r="J941" t="inlineStr">
        <is>
          <t>Textiles</t>
        </is>
      </c>
      <c r="K941" t="inlineStr">
        <is>
          <t>East</t>
        </is>
      </c>
      <c r="L941" t="inlineStr">
        <is>
          <t>Virginia</t>
        </is>
      </c>
      <c r="M941" t="inlineStr">
        <is>
          <t>Boston</t>
        </is>
      </c>
      <c r="N941" t="inlineStr">
        <is>
          <t>James Carter</t>
        </is>
      </c>
      <c r="O941" t="n">
        <v>4</v>
      </c>
      <c r="P941" s="3" t="n">
        <v>40.33</v>
      </c>
      <c r="Q941" s="4" t="n">
        <v>0.004</v>
      </c>
      <c r="R941" s="3" t="n">
        <v>160.67</v>
      </c>
      <c r="S941" s="3" t="n">
        <v>63.69</v>
      </c>
      <c r="T941" s="3" t="n">
        <v>86.78</v>
      </c>
      <c r="U941" s="4" t="n">
        <v>0.5401</v>
      </c>
      <c r="V941" s="3" t="n">
        <v>10.2</v>
      </c>
      <c r="W941" t="inlineStr">
        <is>
          <t>Credit Card</t>
        </is>
      </c>
      <c r="X941" t="inlineStr">
        <is>
          <t>Medium</t>
        </is>
      </c>
      <c r="Y941" t="n">
        <v>2024</v>
      </c>
      <c r="Z941" t="n">
        <v>6</v>
      </c>
      <c r="AA941" t="inlineStr">
        <is>
          <t>Jun</t>
        </is>
      </c>
      <c r="AB941" t="inlineStr">
        <is>
          <t>Wednesday</t>
        </is>
      </c>
      <c r="AC941" t="n">
        <v>2</v>
      </c>
      <c r="AD941" t="inlineStr">
        <is>
          <t>Profitable</t>
        </is>
      </c>
      <c r="AE941" t="inlineStr">
        <is>
          <t>Low</t>
        </is>
      </c>
      <c r="AF941" t="inlineStr">
        <is>
          <t>Small</t>
        </is>
      </c>
    </row>
    <row r="942">
      <c r="A942" t="inlineStr">
        <is>
          <t>ORD-00941</t>
        </is>
      </c>
      <c r="B942" s="2" t="n">
        <v>45057</v>
      </c>
      <c r="C942" s="2" t="n">
        <v>45061</v>
      </c>
      <c r="D942" t="inlineStr">
        <is>
          <t>CUST-00941</t>
        </is>
      </c>
      <c r="E942" t="inlineStr">
        <is>
          <t>Customer 941</t>
        </is>
      </c>
      <c r="F942" t="inlineStr">
        <is>
          <t>Consumer</t>
        </is>
      </c>
      <c r="G942" t="inlineStr">
        <is>
          <t>P1011</t>
        </is>
      </c>
      <c r="H942" t="inlineStr">
        <is>
          <t>Nimbus Monitor Arm</t>
        </is>
      </c>
      <c r="I942" t="inlineStr">
        <is>
          <t>Technology</t>
        </is>
      </c>
      <c r="J942" t="inlineStr">
        <is>
          <t>Lighting</t>
        </is>
      </c>
      <c r="K942" t="inlineStr">
        <is>
          <t>Central</t>
        </is>
      </c>
      <c r="L942" t="inlineStr">
        <is>
          <t>Illinois</t>
        </is>
      </c>
      <c r="M942" t="inlineStr">
        <is>
          <t>Kansas City</t>
        </is>
      </c>
      <c r="N942" t="inlineStr">
        <is>
          <t>James Carter</t>
        </is>
      </c>
      <c r="O942" t="n">
        <v>3</v>
      </c>
      <c r="P942" s="3" t="n">
        <v>86.73</v>
      </c>
      <c r="Q942" s="4" t="n">
        <v>0.015</v>
      </c>
      <c r="R942" s="3" t="n">
        <v>256.29</v>
      </c>
      <c r="S942" s="3" t="n">
        <v>129.35</v>
      </c>
      <c r="T942" s="3" t="n">
        <v>118.54</v>
      </c>
      <c r="U942" s="4" t="n">
        <v>0.4625</v>
      </c>
      <c r="V942" s="3" t="n">
        <v>8.4</v>
      </c>
      <c r="W942" t="inlineStr">
        <is>
          <t>Cash on Delivery</t>
        </is>
      </c>
      <c r="X942" t="inlineStr">
        <is>
          <t>Medium</t>
        </is>
      </c>
      <c r="Y942" t="n">
        <v>2023</v>
      </c>
      <c r="Z942" t="n">
        <v>5</v>
      </c>
      <c r="AA942" t="inlineStr">
        <is>
          <t>May</t>
        </is>
      </c>
      <c r="AB942" t="inlineStr">
        <is>
          <t>Thursday</t>
        </is>
      </c>
      <c r="AC942" t="n">
        <v>4</v>
      </c>
      <c r="AD942" t="inlineStr">
        <is>
          <t>Profitable</t>
        </is>
      </c>
      <c r="AE942" t="inlineStr">
        <is>
          <t>Low</t>
        </is>
      </c>
      <c r="AF942" t="inlineStr">
        <is>
          <t>Small</t>
        </is>
      </c>
    </row>
    <row r="943">
      <c r="A943" t="inlineStr">
        <is>
          <t>ORD-00942</t>
        </is>
      </c>
      <c r="B943" s="2" t="n">
        <v>45384</v>
      </c>
      <c r="C943" s="2" t="n">
        <v>45385</v>
      </c>
      <c r="D943" t="inlineStr">
        <is>
          <t>CUST-00942</t>
        </is>
      </c>
      <c r="E943" t="inlineStr">
        <is>
          <t>Customer 942</t>
        </is>
      </c>
      <c r="F943" t="inlineStr">
        <is>
          <t>Consumer</t>
        </is>
      </c>
      <c r="G943" t="inlineStr">
        <is>
          <t>P1003</t>
        </is>
      </c>
      <c r="H943" t="inlineStr">
        <is>
          <t>Harbor Rug</t>
        </is>
      </c>
      <c r="I943" t="inlineStr">
        <is>
          <t>Home Decor</t>
        </is>
      </c>
      <c r="J943" t="inlineStr">
        <is>
          <t>Plants</t>
        </is>
      </c>
      <c r="K943" t="inlineStr">
        <is>
          <t>South</t>
        </is>
      </c>
      <c r="L943" t="inlineStr">
        <is>
          <t>North Carolina</t>
        </is>
      </c>
      <c r="M943" t="inlineStr">
        <is>
          <t>Miami</t>
        </is>
      </c>
      <c r="N943" t="inlineStr">
        <is>
          <t>Sophia Singh</t>
        </is>
      </c>
      <c r="O943" t="n">
        <v>6</v>
      </c>
      <c r="P943" s="3" t="n">
        <v>146.78</v>
      </c>
      <c r="Q943" s="4" t="n">
        <v>0.011</v>
      </c>
      <c r="R943" s="3" t="n">
        <v>870.99</v>
      </c>
      <c r="S943" s="3" t="n">
        <v>451.77</v>
      </c>
      <c r="T943" s="3" t="n">
        <v>408.42</v>
      </c>
      <c r="U943" s="4" t="n">
        <v>0.4689</v>
      </c>
      <c r="V943" s="3" t="n">
        <v>10.8</v>
      </c>
      <c r="W943" t="inlineStr">
        <is>
          <t>Debit Card</t>
        </is>
      </c>
      <c r="X943" t="inlineStr">
        <is>
          <t>Low</t>
        </is>
      </c>
      <c r="Y943" t="n">
        <v>2024</v>
      </c>
      <c r="Z943" t="n">
        <v>4</v>
      </c>
      <c r="AA943" t="inlineStr">
        <is>
          <t>Apr</t>
        </is>
      </c>
      <c r="AB943" t="inlineStr">
        <is>
          <t>Tuesday</t>
        </is>
      </c>
      <c r="AC943" t="n">
        <v>1</v>
      </c>
      <c r="AD943" t="inlineStr">
        <is>
          <t>Profitable</t>
        </is>
      </c>
      <c r="AE943" t="inlineStr">
        <is>
          <t>Low</t>
        </is>
      </c>
      <c r="AF943" t="inlineStr">
        <is>
          <t>Medium</t>
        </is>
      </c>
    </row>
    <row r="944">
      <c r="A944" t="inlineStr">
        <is>
          <t>ORD-00943</t>
        </is>
      </c>
      <c r="B944" s="2" t="n">
        <v>45922</v>
      </c>
      <c r="C944" s="2" t="n">
        <v>45928</v>
      </c>
      <c r="D944" t="inlineStr">
        <is>
          <t>CUST-00943</t>
        </is>
      </c>
      <c r="E944" t="inlineStr">
        <is>
          <t>Customer 943</t>
        </is>
      </c>
      <c r="F944" t="inlineStr">
        <is>
          <t>Consumer</t>
        </is>
      </c>
      <c r="G944" t="inlineStr">
        <is>
          <t>P1017</t>
        </is>
      </c>
      <c r="H944" t="inlineStr">
        <is>
          <t>Harbor Rug</t>
        </is>
      </c>
      <c r="I944" t="inlineStr">
        <is>
          <t>Furniture</t>
        </is>
      </c>
      <c r="J944" t="inlineStr">
        <is>
          <t>Lighting</t>
        </is>
      </c>
      <c r="K944" t="inlineStr">
        <is>
          <t>East</t>
        </is>
      </c>
      <c r="L944" t="inlineStr">
        <is>
          <t>Virginia</t>
        </is>
      </c>
      <c r="M944" t="inlineStr">
        <is>
          <t>Philadelphia</t>
        </is>
      </c>
      <c r="N944" t="inlineStr">
        <is>
          <t>James Carter</t>
        </is>
      </c>
      <c r="O944" t="n">
        <v>5</v>
      </c>
      <c r="P944" s="3" t="n">
        <v>563.72</v>
      </c>
      <c r="Q944" s="4" t="n">
        <v>0.025</v>
      </c>
      <c r="R944" s="3" t="n">
        <v>2748.14</v>
      </c>
      <c r="S944" s="3" t="n">
        <v>1824.65</v>
      </c>
      <c r="T944" s="3" t="n">
        <v>912.49</v>
      </c>
      <c r="U944" s="4" t="n">
        <v>0.332</v>
      </c>
      <c r="V944" s="3" t="n">
        <v>11</v>
      </c>
      <c r="W944" t="inlineStr">
        <is>
          <t>Credit Card</t>
        </is>
      </c>
      <c r="X944" t="inlineStr">
        <is>
          <t>Medium</t>
        </is>
      </c>
      <c r="Y944" t="n">
        <v>2025</v>
      </c>
      <c r="Z944" t="n">
        <v>9</v>
      </c>
      <c r="AA944" t="inlineStr">
        <is>
          <t>Sep</t>
        </is>
      </c>
      <c r="AB944" t="inlineStr">
        <is>
          <t>Monday</t>
        </is>
      </c>
      <c r="AC944" t="n">
        <v>6</v>
      </c>
      <c r="AD944" t="inlineStr">
        <is>
          <t>Profitable</t>
        </is>
      </c>
      <c r="AE944" t="inlineStr">
        <is>
          <t>Medium</t>
        </is>
      </c>
      <c r="AF944" t="inlineStr">
        <is>
          <t>Large</t>
        </is>
      </c>
    </row>
    <row r="945">
      <c r="A945" t="inlineStr">
        <is>
          <t>ORD-00944</t>
        </is>
      </c>
      <c r="B945" s="2" t="n">
        <v>45824</v>
      </c>
      <c r="C945" s="2" t="n">
        <v>45831</v>
      </c>
      <c r="D945" t="inlineStr">
        <is>
          <t>CUST-00944</t>
        </is>
      </c>
      <c r="E945" t="inlineStr">
        <is>
          <t>Customer 944</t>
        </is>
      </c>
      <c r="F945" t="inlineStr">
        <is>
          <t>Corporate</t>
        </is>
      </c>
      <c r="G945" t="inlineStr">
        <is>
          <t>P1002</t>
        </is>
      </c>
      <c r="H945" t="inlineStr">
        <is>
          <t>Nimbus Monitor Arm</t>
        </is>
      </c>
      <c r="I945" t="inlineStr">
        <is>
          <t>Outdoor</t>
        </is>
      </c>
      <c r="J945" t="inlineStr">
        <is>
          <t>Chairs</t>
        </is>
      </c>
      <c r="K945" t="inlineStr">
        <is>
          <t>East</t>
        </is>
      </c>
      <c r="L945" t="inlineStr">
        <is>
          <t>Massachusetts</t>
        </is>
      </c>
      <c r="M945" t="inlineStr">
        <is>
          <t>New York</t>
        </is>
      </c>
      <c r="N945" t="inlineStr">
        <is>
          <t>Liam Chen</t>
        </is>
      </c>
      <c r="O945" t="n">
        <v>3</v>
      </c>
      <c r="P945" s="3" t="n">
        <v>87.47</v>
      </c>
      <c r="Q945" s="4" t="n">
        <v>0.058</v>
      </c>
      <c r="R945" s="3" t="n">
        <v>247.19</v>
      </c>
      <c r="S945" s="3" t="n">
        <v>116.64</v>
      </c>
      <c r="T945" s="3" t="n">
        <v>121.15</v>
      </c>
      <c r="U945" s="4" t="n">
        <v>0.4901</v>
      </c>
      <c r="V945" s="3" t="n">
        <v>9.4</v>
      </c>
      <c r="W945" t="inlineStr">
        <is>
          <t>Debit Card</t>
        </is>
      </c>
      <c r="X945" t="inlineStr">
        <is>
          <t>High</t>
        </is>
      </c>
      <c r="Y945" t="n">
        <v>2025</v>
      </c>
      <c r="Z945" t="n">
        <v>6</v>
      </c>
      <c r="AA945" t="inlineStr">
        <is>
          <t>Jun</t>
        </is>
      </c>
      <c r="AB945" t="inlineStr">
        <is>
          <t>Monday</t>
        </is>
      </c>
      <c r="AC945" t="n">
        <v>7</v>
      </c>
      <c r="AD945" t="inlineStr">
        <is>
          <t>Profitable</t>
        </is>
      </c>
      <c r="AE945" t="inlineStr">
        <is>
          <t>High</t>
        </is>
      </c>
      <c r="AF945" t="inlineStr">
        <is>
          <t>Small</t>
        </is>
      </c>
    </row>
    <row r="946">
      <c r="A946" t="inlineStr">
        <is>
          <t>ORD-00945</t>
        </is>
      </c>
      <c r="B946" s="2" t="n">
        <v>44989</v>
      </c>
      <c r="C946" s="2" t="n">
        <v>44990</v>
      </c>
      <c r="D946" t="inlineStr">
        <is>
          <t>CUST-00945</t>
        </is>
      </c>
      <c r="E946" t="inlineStr">
        <is>
          <t>Customer 945</t>
        </is>
      </c>
      <c r="F946" t="inlineStr">
        <is>
          <t>Consumer</t>
        </is>
      </c>
      <c r="G946" t="inlineStr">
        <is>
          <t>P1009</t>
        </is>
      </c>
      <c r="H946" t="inlineStr">
        <is>
          <t>Orbit Wireless Mouse</t>
        </is>
      </c>
      <c r="I946" t="inlineStr">
        <is>
          <t>Technology</t>
        </is>
      </c>
      <c r="J946" t="inlineStr">
        <is>
          <t>Binders</t>
        </is>
      </c>
      <c r="K946" t="inlineStr">
        <is>
          <t>East</t>
        </is>
      </c>
      <c r="L946" t="inlineStr">
        <is>
          <t>Virginia</t>
        </is>
      </c>
      <c r="M946" t="inlineStr">
        <is>
          <t>Washington</t>
        </is>
      </c>
      <c r="N946" t="inlineStr">
        <is>
          <t>Ethan Brooks</t>
        </is>
      </c>
      <c r="O946" t="n">
        <v>3</v>
      </c>
      <c r="P946" s="3" t="n">
        <v>88.33</v>
      </c>
      <c r="Q946" s="4" t="n">
        <v>0.025</v>
      </c>
      <c r="R946" s="3" t="n">
        <v>258.37</v>
      </c>
      <c r="S946" s="3" t="n">
        <v>129.88</v>
      </c>
      <c r="T946" s="3" t="n">
        <v>119.09</v>
      </c>
      <c r="U946" s="4" t="n">
        <v>0.4609</v>
      </c>
      <c r="V946" s="3" t="n">
        <v>9.4</v>
      </c>
      <c r="W946" t="inlineStr">
        <is>
          <t>Bank Transfer</t>
        </is>
      </c>
      <c r="X946" t="inlineStr">
        <is>
          <t>Medium</t>
        </is>
      </c>
      <c r="Y946" t="n">
        <v>2023</v>
      </c>
      <c r="Z946" t="n">
        <v>3</v>
      </c>
      <c r="AA946" t="inlineStr">
        <is>
          <t>Mar</t>
        </is>
      </c>
      <c r="AB946" t="inlineStr">
        <is>
          <t>Saturday</t>
        </is>
      </c>
      <c r="AC946" t="n">
        <v>1</v>
      </c>
      <c r="AD946" t="inlineStr">
        <is>
          <t>Profitable</t>
        </is>
      </c>
      <c r="AE946" t="inlineStr">
        <is>
          <t>Medium</t>
        </is>
      </c>
      <c r="AF946" t="inlineStr">
        <is>
          <t>Small</t>
        </is>
      </c>
    </row>
    <row r="947">
      <c r="A947" t="inlineStr">
        <is>
          <t>ORD-00946</t>
        </is>
      </c>
      <c r="B947" s="2" t="n">
        <v>45204</v>
      </c>
      <c r="C947" s="2" t="n">
        <v>45209</v>
      </c>
      <c r="D947" t="inlineStr">
        <is>
          <t>CUST-00946</t>
        </is>
      </c>
      <c r="E947" t="inlineStr">
        <is>
          <t>Customer 946</t>
        </is>
      </c>
      <c r="F947" t="inlineStr">
        <is>
          <t>Home Office</t>
        </is>
      </c>
      <c r="G947" t="inlineStr">
        <is>
          <t>P1009</t>
        </is>
      </c>
      <c r="H947" t="inlineStr">
        <is>
          <t>Aero Standing Desk</t>
        </is>
      </c>
      <c r="I947" t="inlineStr">
        <is>
          <t>Home Decor</t>
        </is>
      </c>
      <c r="J947" t="inlineStr">
        <is>
          <t>Coolers</t>
        </is>
      </c>
      <c r="K947" t="inlineStr">
        <is>
          <t>North</t>
        </is>
      </c>
      <c r="L947" t="inlineStr">
        <is>
          <t>Quebec</t>
        </is>
      </c>
      <c r="M947" t="inlineStr">
        <is>
          <t>Vancouver</t>
        </is>
      </c>
      <c r="N947" t="inlineStr">
        <is>
          <t>Olivia Martin</t>
        </is>
      </c>
      <c r="O947" t="n">
        <v>1</v>
      </c>
      <c r="P947" s="3" t="n">
        <v>97.77</v>
      </c>
      <c r="Q947" s="4" t="n">
        <v>0.063</v>
      </c>
      <c r="R947" s="3" t="n">
        <v>91.61</v>
      </c>
      <c r="S947" s="3" t="n">
        <v>49.28</v>
      </c>
      <c r="T947" s="3" t="n">
        <v>35.53</v>
      </c>
      <c r="U947" s="4" t="n">
        <v>0.3878</v>
      </c>
      <c r="V947" s="3" t="n">
        <v>6.8</v>
      </c>
      <c r="W947" t="inlineStr">
        <is>
          <t>Debit Card</t>
        </is>
      </c>
      <c r="X947" t="inlineStr">
        <is>
          <t>Critical</t>
        </is>
      </c>
      <c r="Y947" t="n">
        <v>2023</v>
      </c>
      <c r="Z947" t="n">
        <v>10</v>
      </c>
      <c r="AA947" t="inlineStr">
        <is>
          <t>Oct</t>
        </is>
      </c>
      <c r="AB947" t="inlineStr">
        <is>
          <t>Thursday</t>
        </is>
      </c>
      <c r="AC947" t="n">
        <v>5</v>
      </c>
      <c r="AD947" t="inlineStr">
        <is>
          <t>Profitable</t>
        </is>
      </c>
      <c r="AE947" t="inlineStr">
        <is>
          <t>High</t>
        </is>
      </c>
      <c r="AF947" t="inlineStr">
        <is>
          <t>Small</t>
        </is>
      </c>
    </row>
    <row r="948">
      <c r="A948" t="inlineStr">
        <is>
          <t>ORD-00947</t>
        </is>
      </c>
      <c r="B948" s="2" t="n">
        <v>45145</v>
      </c>
      <c r="C948" s="2" t="n">
        <v>45149</v>
      </c>
      <c r="D948" t="inlineStr">
        <is>
          <t>CUST-00947</t>
        </is>
      </c>
      <c r="E948" t="inlineStr">
        <is>
          <t>Customer 947</t>
        </is>
      </c>
      <c r="F948" t="inlineStr">
        <is>
          <t>Corporate</t>
        </is>
      </c>
      <c r="G948" t="inlineStr">
        <is>
          <t>P1016</t>
        </is>
      </c>
      <c r="H948" t="inlineStr">
        <is>
          <t>Cove Wall Clock</t>
        </is>
      </c>
      <c r="I948" t="inlineStr">
        <is>
          <t>Furniture</t>
        </is>
      </c>
      <c r="J948" t="inlineStr">
        <is>
          <t>Lighting</t>
        </is>
      </c>
      <c r="K948" t="inlineStr">
        <is>
          <t>South</t>
        </is>
      </c>
      <c r="L948" t="inlineStr">
        <is>
          <t>North Carolina</t>
        </is>
      </c>
      <c r="M948" t="inlineStr">
        <is>
          <t>Atlanta</t>
        </is>
      </c>
      <c r="N948" t="inlineStr">
        <is>
          <t>Liam Chen</t>
        </is>
      </c>
      <c r="O948" t="n">
        <v>2</v>
      </c>
      <c r="P948" s="3" t="n">
        <v>40.31</v>
      </c>
      <c r="Q948" s="4" t="n">
        <v>0.029</v>
      </c>
      <c r="R948" s="3" t="n">
        <v>78.28</v>
      </c>
      <c r="S948" s="3" t="n">
        <v>37.18</v>
      </c>
      <c r="T948" s="3" t="n">
        <v>33.5</v>
      </c>
      <c r="U948" s="4" t="n">
        <v>0.428</v>
      </c>
      <c r="V948" s="3" t="n">
        <v>7.6</v>
      </c>
      <c r="W948" t="inlineStr">
        <is>
          <t>Cash on Delivery</t>
        </is>
      </c>
      <c r="X948" t="inlineStr">
        <is>
          <t>Low</t>
        </is>
      </c>
      <c r="Y948" t="n">
        <v>2023</v>
      </c>
      <c r="Z948" t="n">
        <v>8</v>
      </c>
      <c r="AA948" t="inlineStr">
        <is>
          <t>Aug</t>
        </is>
      </c>
      <c r="AB948" t="inlineStr">
        <is>
          <t>Monday</t>
        </is>
      </c>
      <c r="AC948" t="n">
        <v>4</v>
      </c>
      <c r="AD948" t="inlineStr">
        <is>
          <t>Profitable</t>
        </is>
      </c>
      <c r="AE948" t="inlineStr">
        <is>
          <t>Medium</t>
        </is>
      </c>
      <c r="AF948" t="inlineStr">
        <is>
          <t>Small</t>
        </is>
      </c>
    </row>
    <row r="949">
      <c r="A949" t="inlineStr">
        <is>
          <t>ORD-00948</t>
        </is>
      </c>
      <c r="B949" s="2" t="n">
        <v>45967</v>
      </c>
      <c r="C949" s="2" t="n">
        <v>45974</v>
      </c>
      <c r="D949" t="inlineStr">
        <is>
          <t>CUST-00948</t>
        </is>
      </c>
      <c r="E949" t="inlineStr">
        <is>
          <t>Customer 948</t>
        </is>
      </c>
      <c r="F949" t="inlineStr">
        <is>
          <t>Corporate</t>
        </is>
      </c>
      <c r="G949" t="inlineStr">
        <is>
          <t>P1001</t>
        </is>
      </c>
      <c r="H949" t="inlineStr">
        <is>
          <t>Summit Patio Set</t>
        </is>
      </c>
      <c r="I949" t="inlineStr">
        <is>
          <t>Furniture</t>
        </is>
      </c>
      <c r="J949" t="inlineStr">
        <is>
          <t>Accessories</t>
        </is>
      </c>
      <c r="K949" t="inlineStr">
        <is>
          <t>East</t>
        </is>
      </c>
      <c r="L949" t="inlineStr">
        <is>
          <t>Virginia</t>
        </is>
      </c>
      <c r="M949" t="inlineStr">
        <is>
          <t>Philadelphia</t>
        </is>
      </c>
      <c r="N949" t="inlineStr">
        <is>
          <t>Ethan Brooks</t>
        </is>
      </c>
      <c r="O949" t="n">
        <v>4</v>
      </c>
      <c r="P949" s="3" t="n">
        <v>304.16</v>
      </c>
      <c r="Q949" s="4" t="n">
        <v>0.022</v>
      </c>
      <c r="R949" s="3" t="n">
        <v>1189.87</v>
      </c>
      <c r="S949" s="3" t="n">
        <v>696.85</v>
      </c>
      <c r="T949" s="3" t="n">
        <v>482.82</v>
      </c>
      <c r="U949" s="4" t="n">
        <v>0.4058</v>
      </c>
      <c r="V949" s="3" t="n">
        <v>10.2</v>
      </c>
      <c r="W949" t="inlineStr">
        <is>
          <t>Bank Transfer</t>
        </is>
      </c>
      <c r="X949" t="inlineStr">
        <is>
          <t>Medium</t>
        </is>
      </c>
      <c r="Y949" t="n">
        <v>2025</v>
      </c>
      <c r="Z949" t="n">
        <v>11</v>
      </c>
      <c r="AA949" t="inlineStr">
        <is>
          <t>Nov</t>
        </is>
      </c>
      <c r="AB949" t="inlineStr">
        <is>
          <t>Thursday</t>
        </is>
      </c>
      <c r="AC949" t="n">
        <v>7</v>
      </c>
      <c r="AD949" t="inlineStr">
        <is>
          <t>Profitable</t>
        </is>
      </c>
      <c r="AE949" t="inlineStr">
        <is>
          <t>Medium</t>
        </is>
      </c>
      <c r="AF949" t="inlineStr">
        <is>
          <t>Medium</t>
        </is>
      </c>
    </row>
    <row r="950">
      <c r="A950" t="inlineStr">
        <is>
          <t>ORD-00949</t>
        </is>
      </c>
      <c r="B950" s="2" t="n">
        <v>45740</v>
      </c>
      <c r="C950" s="2" t="n">
        <v>45745</v>
      </c>
      <c r="D950" t="inlineStr">
        <is>
          <t>CUST-00949</t>
        </is>
      </c>
      <c r="E950" t="inlineStr">
        <is>
          <t>Customer 949</t>
        </is>
      </c>
      <c r="F950" t="inlineStr">
        <is>
          <t>Consumer</t>
        </is>
      </c>
      <c r="G950" t="inlineStr">
        <is>
          <t>P1017</t>
        </is>
      </c>
      <c r="H950" t="inlineStr">
        <is>
          <t>ErgoMesh Chair</t>
        </is>
      </c>
      <c r="I950" t="inlineStr">
        <is>
          <t>Technology</t>
        </is>
      </c>
      <c r="J950" t="inlineStr">
        <is>
          <t>Paper</t>
        </is>
      </c>
      <c r="K950" t="inlineStr">
        <is>
          <t>Central</t>
        </is>
      </c>
      <c r="L950" t="inlineStr">
        <is>
          <t>Minnesota</t>
        </is>
      </c>
      <c r="M950" t="inlineStr">
        <is>
          <t>Minneapolis</t>
        </is>
      </c>
      <c r="N950" t="inlineStr">
        <is>
          <t>Sophia Singh</t>
        </is>
      </c>
      <c r="O950" t="n">
        <v>2</v>
      </c>
      <c r="P950" s="3" t="n">
        <v>561.04</v>
      </c>
      <c r="Q950" s="4" t="n">
        <v>0.028</v>
      </c>
      <c r="R950" s="3" t="n">
        <v>1090.66</v>
      </c>
      <c r="S950" s="3" t="n">
        <v>730.16</v>
      </c>
      <c r="T950" s="3" t="n">
        <v>352.9</v>
      </c>
      <c r="U950" s="4" t="n">
        <v>0.3236</v>
      </c>
      <c r="V950" s="3" t="n">
        <v>7.6</v>
      </c>
      <c r="W950" t="inlineStr">
        <is>
          <t>Debit Card</t>
        </is>
      </c>
      <c r="X950" t="inlineStr">
        <is>
          <t>High</t>
        </is>
      </c>
      <c r="Y950" t="n">
        <v>2025</v>
      </c>
      <c r="Z950" t="n">
        <v>3</v>
      </c>
      <c r="AA950" t="inlineStr">
        <is>
          <t>Mar</t>
        </is>
      </c>
      <c r="AB950" t="inlineStr">
        <is>
          <t>Monday</t>
        </is>
      </c>
      <c r="AC950" t="n">
        <v>5</v>
      </c>
      <c r="AD950" t="inlineStr">
        <is>
          <t>Profitable</t>
        </is>
      </c>
      <c r="AE950" t="inlineStr">
        <is>
          <t>Medium</t>
        </is>
      </c>
      <c r="AF950" t="inlineStr">
        <is>
          <t>Medium</t>
        </is>
      </c>
    </row>
    <row r="951">
      <c r="A951" t="inlineStr">
        <is>
          <t>ORD-00950</t>
        </is>
      </c>
      <c r="B951" s="2" t="n">
        <v>45618</v>
      </c>
      <c r="C951" s="2" t="n">
        <v>45623</v>
      </c>
      <c r="D951" t="inlineStr">
        <is>
          <t>CUST-00950</t>
        </is>
      </c>
      <c r="E951" t="inlineStr">
        <is>
          <t>Customer 950</t>
        </is>
      </c>
      <c r="F951" t="inlineStr">
        <is>
          <t>Home Office</t>
        </is>
      </c>
      <c r="G951" t="inlineStr">
        <is>
          <t>P1010</t>
        </is>
      </c>
      <c r="H951" t="inlineStr">
        <is>
          <t>Halo Planter</t>
        </is>
      </c>
      <c r="I951" t="inlineStr">
        <is>
          <t>Technology</t>
        </is>
      </c>
      <c r="J951" t="inlineStr">
        <is>
          <t>Accessories</t>
        </is>
      </c>
      <c r="K951" t="inlineStr">
        <is>
          <t>East</t>
        </is>
      </c>
      <c r="L951" t="inlineStr">
        <is>
          <t>Massachusetts</t>
        </is>
      </c>
      <c r="M951" t="inlineStr">
        <is>
          <t>Philadelphia</t>
        </is>
      </c>
      <c r="N951" t="inlineStr">
        <is>
          <t>Noah Kim</t>
        </is>
      </c>
      <c r="O951" t="n">
        <v>3</v>
      </c>
      <c r="P951" s="3" t="n">
        <v>59.76</v>
      </c>
      <c r="Q951" s="4" t="n">
        <v>0.006</v>
      </c>
      <c r="R951" s="3" t="n">
        <v>178.2</v>
      </c>
      <c r="S951" s="3" t="n">
        <v>84.72</v>
      </c>
      <c r="T951" s="3" t="n">
        <v>84.08</v>
      </c>
      <c r="U951" s="4" t="n">
        <v>0.4718</v>
      </c>
      <c r="V951" s="3" t="n">
        <v>9.4</v>
      </c>
      <c r="W951" t="inlineStr">
        <is>
          <t>Credit Card</t>
        </is>
      </c>
      <c r="X951" t="inlineStr">
        <is>
          <t>Low</t>
        </is>
      </c>
      <c r="Y951" t="n">
        <v>2024</v>
      </c>
      <c r="Z951" t="n">
        <v>11</v>
      </c>
      <c r="AA951" t="inlineStr">
        <is>
          <t>Nov</t>
        </is>
      </c>
      <c r="AB951" t="inlineStr">
        <is>
          <t>Friday</t>
        </is>
      </c>
      <c r="AC951" t="n">
        <v>5</v>
      </c>
      <c r="AD951" t="inlineStr">
        <is>
          <t>Profitable</t>
        </is>
      </c>
      <c r="AE951" t="inlineStr">
        <is>
          <t>Low</t>
        </is>
      </c>
      <c r="AF951" t="inlineStr">
        <is>
          <t>Small</t>
        </is>
      </c>
    </row>
    <row r="952">
      <c r="A952" t="inlineStr">
        <is>
          <t>ORD-00951</t>
        </is>
      </c>
      <c r="B952" s="2" t="n">
        <v>45545</v>
      </c>
      <c r="C952" s="2" t="n">
        <v>45547</v>
      </c>
      <c r="D952" t="inlineStr">
        <is>
          <t>CUST-00951</t>
        </is>
      </c>
      <c r="E952" t="inlineStr">
        <is>
          <t>Customer 951</t>
        </is>
      </c>
      <c r="F952" t="inlineStr">
        <is>
          <t>Corporate</t>
        </is>
      </c>
      <c r="G952" t="inlineStr">
        <is>
          <t>P1020</t>
        </is>
      </c>
      <c r="H952" t="inlineStr">
        <is>
          <t>Lumen Desk Lamp</t>
        </is>
      </c>
      <c r="I952" t="inlineStr">
        <is>
          <t>Outdoor</t>
        </is>
      </c>
      <c r="J952" t="inlineStr">
        <is>
          <t>Writing</t>
        </is>
      </c>
      <c r="K952" t="inlineStr">
        <is>
          <t>South</t>
        </is>
      </c>
      <c r="L952" t="inlineStr">
        <is>
          <t>Florida</t>
        </is>
      </c>
      <c r="M952" t="inlineStr">
        <is>
          <t>Atlanta</t>
        </is>
      </c>
      <c r="N952" t="inlineStr">
        <is>
          <t>James Carter</t>
        </is>
      </c>
      <c r="O952" t="n">
        <v>4</v>
      </c>
      <c r="P952" s="3" t="n">
        <v>68.62</v>
      </c>
      <c r="Q952" s="4" t="n">
        <v>0.04</v>
      </c>
      <c r="R952" s="3" t="n">
        <v>263.5</v>
      </c>
      <c r="S952" s="3" t="n">
        <v>122.66</v>
      </c>
      <c r="T952" s="3" t="n">
        <v>131.64</v>
      </c>
      <c r="U952" s="4" t="n">
        <v>0.4996</v>
      </c>
      <c r="V952" s="3" t="n">
        <v>9.199999999999999</v>
      </c>
      <c r="W952" t="inlineStr">
        <is>
          <t>Bank Transfer</t>
        </is>
      </c>
      <c r="X952" t="inlineStr">
        <is>
          <t>Medium</t>
        </is>
      </c>
      <c r="Y952" t="n">
        <v>2024</v>
      </c>
      <c r="Z952" t="n">
        <v>9</v>
      </c>
      <c r="AA952" t="inlineStr">
        <is>
          <t>Sep</t>
        </is>
      </c>
      <c r="AB952" t="inlineStr">
        <is>
          <t>Tuesday</t>
        </is>
      </c>
      <c r="AC952" t="n">
        <v>2</v>
      </c>
      <c r="AD952" t="inlineStr">
        <is>
          <t>Profitable</t>
        </is>
      </c>
      <c r="AE952" t="inlineStr">
        <is>
          <t>Medium</t>
        </is>
      </c>
      <c r="AF952" t="inlineStr">
        <is>
          <t>Small</t>
        </is>
      </c>
    </row>
    <row r="953">
      <c r="A953" t="inlineStr">
        <is>
          <t>ORD-00952</t>
        </is>
      </c>
      <c r="B953" s="2" t="n">
        <v>45702</v>
      </c>
      <c r="C953" s="2" t="n">
        <v>45707</v>
      </c>
      <c r="D953" t="inlineStr">
        <is>
          <t>CUST-00952</t>
        </is>
      </c>
      <c r="E953" t="inlineStr">
        <is>
          <t>Customer 952</t>
        </is>
      </c>
      <c r="F953" t="inlineStr">
        <is>
          <t>Home Office</t>
        </is>
      </c>
      <c r="G953" t="inlineStr">
        <is>
          <t>P1005</t>
        </is>
      </c>
      <c r="H953" t="inlineStr">
        <is>
          <t>Tide Cooler</t>
        </is>
      </c>
      <c r="I953" t="inlineStr">
        <is>
          <t>Furniture</t>
        </is>
      </c>
      <c r="J953" t="inlineStr">
        <is>
          <t>Writing</t>
        </is>
      </c>
      <c r="K953" t="inlineStr">
        <is>
          <t>West</t>
        </is>
      </c>
      <c r="L953" t="inlineStr">
        <is>
          <t>California</t>
        </is>
      </c>
      <c r="M953" t="inlineStr">
        <is>
          <t>San Francisco</t>
        </is>
      </c>
      <c r="N953" t="inlineStr">
        <is>
          <t>James Carter</t>
        </is>
      </c>
      <c r="O953" t="n">
        <v>3</v>
      </c>
      <c r="P953" s="3" t="n">
        <v>13.37</v>
      </c>
      <c r="Q953" s="4" t="n">
        <v>0.009000000000000001</v>
      </c>
      <c r="R953" s="3" t="n">
        <v>39.75</v>
      </c>
      <c r="S953" s="3" t="n">
        <v>17.93</v>
      </c>
      <c r="T953" s="3" t="n">
        <v>12.42</v>
      </c>
      <c r="U953" s="4" t="n">
        <v>0.3125</v>
      </c>
      <c r="V953" s="3" t="n">
        <v>9.4</v>
      </c>
      <c r="W953" t="inlineStr">
        <is>
          <t>Debit Card</t>
        </is>
      </c>
      <c r="X953" t="inlineStr">
        <is>
          <t>Low</t>
        </is>
      </c>
      <c r="Y953" t="n">
        <v>2025</v>
      </c>
      <c r="Z953" t="n">
        <v>2</v>
      </c>
      <c r="AA953" t="inlineStr">
        <is>
          <t>Feb</t>
        </is>
      </c>
      <c r="AB953" t="inlineStr">
        <is>
          <t>Friday</t>
        </is>
      </c>
      <c r="AC953" t="n">
        <v>5</v>
      </c>
      <c r="AD953" t="inlineStr">
        <is>
          <t>Profitable</t>
        </is>
      </c>
      <c r="AE953" t="inlineStr">
        <is>
          <t>Low</t>
        </is>
      </c>
      <c r="AF953" t="inlineStr">
        <is>
          <t>Small</t>
        </is>
      </c>
    </row>
    <row r="954">
      <c r="A954" t="inlineStr">
        <is>
          <t>ORD-00953</t>
        </is>
      </c>
      <c r="B954" s="2" t="n">
        <v>45207</v>
      </c>
      <c r="C954" s="2" t="n">
        <v>45214</v>
      </c>
      <c r="D954" t="inlineStr">
        <is>
          <t>CUST-00953</t>
        </is>
      </c>
      <c r="E954" t="inlineStr">
        <is>
          <t>Customer 953</t>
        </is>
      </c>
      <c r="F954" t="inlineStr">
        <is>
          <t>Home Office</t>
        </is>
      </c>
      <c r="G954" t="inlineStr">
        <is>
          <t>P1008</t>
        </is>
      </c>
      <c r="H954" t="inlineStr">
        <is>
          <t>SmartInk Pen Set</t>
        </is>
      </c>
      <c r="I954" t="inlineStr">
        <is>
          <t>Outdoor</t>
        </is>
      </c>
      <c r="J954" t="inlineStr">
        <is>
          <t>Chairs</t>
        </is>
      </c>
      <c r="K954" t="inlineStr">
        <is>
          <t>West</t>
        </is>
      </c>
      <c r="L954" t="inlineStr">
        <is>
          <t>California</t>
        </is>
      </c>
      <c r="M954" t="inlineStr">
        <is>
          <t>Seattle</t>
        </is>
      </c>
      <c r="N954" t="inlineStr">
        <is>
          <t>Sophia Singh</t>
        </is>
      </c>
      <c r="O954" t="n">
        <v>4</v>
      </c>
      <c r="P954" s="3" t="n">
        <v>41.38</v>
      </c>
      <c r="Q954" s="4" t="n">
        <v>0.017</v>
      </c>
      <c r="R954" s="3" t="n">
        <v>162.71</v>
      </c>
      <c r="S954" s="3" t="n">
        <v>67.2</v>
      </c>
      <c r="T954" s="3" t="n">
        <v>85.31</v>
      </c>
      <c r="U954" s="4" t="n">
        <v>0.5243</v>
      </c>
      <c r="V954" s="3" t="n">
        <v>10.2</v>
      </c>
      <c r="W954" t="inlineStr">
        <is>
          <t>Bank Transfer</t>
        </is>
      </c>
      <c r="X954" t="inlineStr">
        <is>
          <t>Low</t>
        </is>
      </c>
      <c r="Y954" t="n">
        <v>2023</v>
      </c>
      <c r="Z954" t="n">
        <v>10</v>
      </c>
      <c r="AA954" t="inlineStr">
        <is>
          <t>Oct</t>
        </is>
      </c>
      <c r="AB954" t="inlineStr">
        <is>
          <t>Sunday</t>
        </is>
      </c>
      <c r="AC954" t="n">
        <v>7</v>
      </c>
      <c r="AD954" t="inlineStr">
        <is>
          <t>Profitable</t>
        </is>
      </c>
      <c r="AE954" t="inlineStr">
        <is>
          <t>Low</t>
        </is>
      </c>
      <c r="AF954" t="inlineStr">
        <is>
          <t>Small</t>
        </is>
      </c>
    </row>
    <row r="955">
      <c r="A955" t="inlineStr">
        <is>
          <t>ORD-00954</t>
        </is>
      </c>
      <c r="B955" s="2" t="n">
        <v>45822</v>
      </c>
      <c r="C955" s="2" t="n">
        <v>45827</v>
      </c>
      <c r="D955" t="inlineStr">
        <is>
          <t>CUST-00954</t>
        </is>
      </c>
      <c r="E955" t="inlineStr">
        <is>
          <t>Customer 954</t>
        </is>
      </c>
      <c r="F955" t="inlineStr">
        <is>
          <t>Consumer</t>
        </is>
      </c>
      <c r="G955" t="inlineStr">
        <is>
          <t>P1013</t>
        </is>
      </c>
      <c r="H955" t="inlineStr">
        <is>
          <t>Harbor Rug</t>
        </is>
      </c>
      <c r="I955" t="inlineStr">
        <is>
          <t>Technology</t>
        </is>
      </c>
      <c r="J955" t="inlineStr">
        <is>
          <t>Flooring</t>
        </is>
      </c>
      <c r="K955" t="inlineStr">
        <is>
          <t>West</t>
        </is>
      </c>
      <c r="L955" t="inlineStr">
        <is>
          <t>Washington</t>
        </is>
      </c>
      <c r="M955" t="inlineStr">
        <is>
          <t>Seattle</t>
        </is>
      </c>
      <c r="N955" t="inlineStr">
        <is>
          <t>James Carter</t>
        </is>
      </c>
      <c r="O955" t="n">
        <v>1</v>
      </c>
      <c r="P955" s="3" t="n">
        <v>164.99</v>
      </c>
      <c r="Q955" s="4" t="n">
        <v>0.047</v>
      </c>
      <c r="R955" s="3" t="n">
        <v>157.24</v>
      </c>
      <c r="S955" s="3" t="n">
        <v>98.2</v>
      </c>
      <c r="T955" s="3" t="n">
        <v>51.24</v>
      </c>
      <c r="U955" s="4" t="n">
        <v>0.3259</v>
      </c>
      <c r="V955" s="3" t="n">
        <v>7.8</v>
      </c>
      <c r="W955" t="inlineStr">
        <is>
          <t>Credit Card</t>
        </is>
      </c>
      <c r="X955" t="inlineStr">
        <is>
          <t>Critical</t>
        </is>
      </c>
      <c r="Y955" t="n">
        <v>2025</v>
      </c>
      <c r="Z955" t="n">
        <v>6</v>
      </c>
      <c r="AA955" t="inlineStr">
        <is>
          <t>Jun</t>
        </is>
      </c>
      <c r="AB955" t="inlineStr">
        <is>
          <t>Saturday</t>
        </is>
      </c>
      <c r="AC955" t="n">
        <v>5</v>
      </c>
      <c r="AD955" t="inlineStr">
        <is>
          <t>Profitable</t>
        </is>
      </c>
      <c r="AE955" t="inlineStr">
        <is>
          <t>Medium</t>
        </is>
      </c>
      <c r="AF955" t="inlineStr">
        <is>
          <t>Small</t>
        </is>
      </c>
    </row>
    <row r="956">
      <c r="A956" t="inlineStr">
        <is>
          <t>ORD-00955</t>
        </is>
      </c>
      <c r="B956" s="2" t="n">
        <v>45640</v>
      </c>
      <c r="C956" s="2" t="n">
        <v>45642</v>
      </c>
      <c r="D956" t="inlineStr">
        <is>
          <t>CUST-00955</t>
        </is>
      </c>
      <c r="E956" t="inlineStr">
        <is>
          <t>Customer 955</t>
        </is>
      </c>
      <c r="F956" t="inlineStr">
        <is>
          <t>Consumer</t>
        </is>
      </c>
      <c r="G956" t="inlineStr">
        <is>
          <t>P1005</t>
        </is>
      </c>
      <c r="H956" t="inlineStr">
        <is>
          <t>Nimbus Monitor Arm</t>
        </is>
      </c>
      <c r="I956" t="inlineStr">
        <is>
          <t>Furniture</t>
        </is>
      </c>
      <c r="J956" t="inlineStr">
        <is>
          <t>Flooring</t>
        </is>
      </c>
      <c r="K956" t="inlineStr">
        <is>
          <t>South</t>
        </is>
      </c>
      <c r="L956" t="inlineStr">
        <is>
          <t>Georgia</t>
        </is>
      </c>
      <c r="M956" t="inlineStr">
        <is>
          <t>Dallas</t>
        </is>
      </c>
      <c r="N956" t="inlineStr">
        <is>
          <t>Olivia Martin</t>
        </is>
      </c>
      <c r="O956" t="n">
        <v>3</v>
      </c>
      <c r="P956" s="3" t="n">
        <v>13.37</v>
      </c>
      <c r="Q956" s="4" t="n">
        <v>0.008999999999999999</v>
      </c>
      <c r="R956" s="3" t="n">
        <v>39.75</v>
      </c>
      <c r="S956" s="3" t="n">
        <v>18.3</v>
      </c>
      <c r="T956" s="3" t="n">
        <v>13.05</v>
      </c>
      <c r="U956" s="4" t="n">
        <v>0.3283</v>
      </c>
      <c r="V956" s="3" t="n">
        <v>8.4</v>
      </c>
      <c r="W956" t="inlineStr">
        <is>
          <t>Credit Card</t>
        </is>
      </c>
      <c r="X956" t="inlineStr">
        <is>
          <t>Medium</t>
        </is>
      </c>
      <c r="Y956" t="n">
        <v>2024</v>
      </c>
      <c r="Z956" t="n">
        <v>12</v>
      </c>
      <c r="AA956" t="inlineStr">
        <is>
          <t>Dec</t>
        </is>
      </c>
      <c r="AB956" t="inlineStr">
        <is>
          <t>Saturday</t>
        </is>
      </c>
      <c r="AC956" t="n">
        <v>2</v>
      </c>
      <c r="AD956" t="inlineStr">
        <is>
          <t>Profitable</t>
        </is>
      </c>
      <c r="AE956" t="inlineStr">
        <is>
          <t>Low</t>
        </is>
      </c>
      <c r="AF956" t="inlineStr">
        <is>
          <t>Small</t>
        </is>
      </c>
    </row>
    <row r="957">
      <c r="A957" t="inlineStr">
        <is>
          <t>ORD-00956</t>
        </is>
      </c>
      <c r="B957" s="2" t="n">
        <v>45371</v>
      </c>
      <c r="C957" s="2" t="n">
        <v>45374</v>
      </c>
      <c r="D957" t="inlineStr">
        <is>
          <t>CUST-00956</t>
        </is>
      </c>
      <c r="E957" t="inlineStr">
        <is>
          <t>Customer 956</t>
        </is>
      </c>
      <c r="F957" t="inlineStr">
        <is>
          <t>Home Office</t>
        </is>
      </c>
      <c r="G957" t="inlineStr">
        <is>
          <t>P1004</t>
        </is>
      </c>
      <c r="H957" t="inlineStr">
        <is>
          <t>Nimbus Monitor Arm</t>
        </is>
      </c>
      <c r="I957" t="inlineStr">
        <is>
          <t>Office Supplies</t>
        </is>
      </c>
      <c r="J957" t="inlineStr">
        <is>
          <t>Plants</t>
        </is>
      </c>
      <c r="K957" t="inlineStr">
        <is>
          <t>North</t>
        </is>
      </c>
      <c r="L957" t="inlineStr">
        <is>
          <t>British Columbia</t>
        </is>
      </c>
      <c r="M957" t="inlineStr">
        <is>
          <t>Toronto</t>
        </is>
      </c>
      <c r="N957" t="inlineStr">
        <is>
          <t>Noah Kim</t>
        </is>
      </c>
      <c r="O957" t="n">
        <v>1</v>
      </c>
      <c r="P957" s="3" t="n">
        <v>607.91</v>
      </c>
      <c r="Q957" s="4" t="n">
        <v>0.05</v>
      </c>
      <c r="R957" s="3" t="n">
        <v>577.51</v>
      </c>
      <c r="S957" s="3" t="n">
        <v>375.58</v>
      </c>
      <c r="T957" s="3" t="n">
        <v>195.13</v>
      </c>
      <c r="U957" s="4" t="n">
        <v>0.3379</v>
      </c>
      <c r="V957" s="3" t="n">
        <v>6.8</v>
      </c>
      <c r="W957" t="inlineStr">
        <is>
          <t>Debit Card</t>
        </is>
      </c>
      <c r="X957" t="inlineStr">
        <is>
          <t>High</t>
        </is>
      </c>
      <c r="Y957" t="n">
        <v>2024</v>
      </c>
      <c r="Z957" t="n">
        <v>3</v>
      </c>
      <c r="AA957" t="inlineStr">
        <is>
          <t>Mar</t>
        </is>
      </c>
      <c r="AB957" t="inlineStr">
        <is>
          <t>Wednesday</t>
        </is>
      </c>
      <c r="AC957" t="n">
        <v>3</v>
      </c>
      <c r="AD957" t="inlineStr">
        <is>
          <t>Profitable</t>
        </is>
      </c>
      <c r="AE957" t="inlineStr">
        <is>
          <t>High</t>
        </is>
      </c>
      <c r="AF957" t="inlineStr">
        <is>
          <t>Medium</t>
        </is>
      </c>
    </row>
    <row r="958">
      <c r="A958" t="inlineStr">
        <is>
          <t>ORD-00957</t>
        </is>
      </c>
      <c r="B958" s="2" t="n">
        <v>45563</v>
      </c>
      <c r="C958" s="2" t="n">
        <v>45570</v>
      </c>
      <c r="D958" t="inlineStr">
        <is>
          <t>CUST-00957</t>
        </is>
      </c>
      <c r="E958" t="inlineStr">
        <is>
          <t>Customer 957</t>
        </is>
      </c>
      <c r="F958" t="inlineStr">
        <is>
          <t>Home Office</t>
        </is>
      </c>
      <c r="G958" t="inlineStr">
        <is>
          <t>P1008</t>
        </is>
      </c>
      <c r="H958" t="inlineStr">
        <is>
          <t>Harbor Rug</t>
        </is>
      </c>
      <c r="I958" t="inlineStr">
        <is>
          <t>Outdoor</t>
        </is>
      </c>
      <c r="J958" t="inlineStr">
        <is>
          <t>Lighting</t>
        </is>
      </c>
      <c r="K958" t="inlineStr">
        <is>
          <t>Central</t>
        </is>
      </c>
      <c r="L958" t="inlineStr">
        <is>
          <t>Missouri</t>
        </is>
      </c>
      <c r="M958" t="inlineStr">
        <is>
          <t>St. Louis</t>
        </is>
      </c>
      <c r="N958" t="inlineStr">
        <is>
          <t>Liam Chen</t>
        </is>
      </c>
      <c r="O958" t="n">
        <v>4</v>
      </c>
      <c r="P958" s="3" t="n">
        <v>33.73</v>
      </c>
      <c r="Q958" s="4" t="n">
        <v>0.02</v>
      </c>
      <c r="R958" s="3" t="n">
        <v>132.22</v>
      </c>
      <c r="S958" s="3" t="n">
        <v>56.11</v>
      </c>
      <c r="T958" s="3" t="n">
        <v>66.91</v>
      </c>
      <c r="U958" s="4" t="n">
        <v>0.5061</v>
      </c>
      <c r="V958" s="3" t="n">
        <v>9.199999999999999</v>
      </c>
      <c r="W958" t="inlineStr">
        <is>
          <t>Credit Card</t>
        </is>
      </c>
      <c r="X958" t="inlineStr">
        <is>
          <t>Low</t>
        </is>
      </c>
      <c r="Y958" t="n">
        <v>2024</v>
      </c>
      <c r="Z958" t="n">
        <v>9</v>
      </c>
      <c r="AA958" t="inlineStr">
        <is>
          <t>Sep</t>
        </is>
      </c>
      <c r="AB958" t="inlineStr">
        <is>
          <t>Saturday</t>
        </is>
      </c>
      <c r="AC958" t="n">
        <v>7</v>
      </c>
      <c r="AD958" t="inlineStr">
        <is>
          <t>Profitable</t>
        </is>
      </c>
      <c r="AE958" t="inlineStr">
        <is>
          <t>Medium</t>
        </is>
      </c>
      <c r="AF958" t="inlineStr">
        <is>
          <t>Small</t>
        </is>
      </c>
    </row>
    <row r="959">
      <c r="A959" t="inlineStr">
        <is>
          <t>ORD-00958</t>
        </is>
      </c>
      <c r="B959" s="2" t="n">
        <v>45100</v>
      </c>
      <c r="C959" s="2" t="n">
        <v>45103</v>
      </c>
      <c r="D959" t="inlineStr">
        <is>
          <t>CUST-00958</t>
        </is>
      </c>
      <c r="E959" t="inlineStr">
        <is>
          <t>Customer 958</t>
        </is>
      </c>
      <c r="F959" t="inlineStr">
        <is>
          <t>Corporate</t>
        </is>
      </c>
      <c r="G959" t="inlineStr">
        <is>
          <t>P1007</t>
        </is>
      </c>
      <c r="H959" t="inlineStr">
        <is>
          <t>Aero Standing Desk</t>
        </is>
      </c>
      <c r="I959" t="inlineStr">
        <is>
          <t>Furniture</t>
        </is>
      </c>
      <c r="J959" t="inlineStr">
        <is>
          <t>Writing</t>
        </is>
      </c>
      <c r="K959" t="inlineStr">
        <is>
          <t>South</t>
        </is>
      </c>
      <c r="L959" t="inlineStr">
        <is>
          <t>Georgia</t>
        </is>
      </c>
      <c r="M959" t="inlineStr">
        <is>
          <t>Dallas</t>
        </is>
      </c>
      <c r="N959" t="inlineStr">
        <is>
          <t>Sophia Singh</t>
        </is>
      </c>
      <c r="O959" t="n">
        <v>3</v>
      </c>
      <c r="P959" s="3" t="n">
        <v>25.28</v>
      </c>
      <c r="Q959" s="4" t="n">
        <v>0.017</v>
      </c>
      <c r="R959" s="3" t="n">
        <v>74.55</v>
      </c>
      <c r="S959" s="3" t="n">
        <v>32.8</v>
      </c>
      <c r="T959" s="3" t="n">
        <v>33.35</v>
      </c>
      <c r="U959" s="4" t="n">
        <v>0.4474</v>
      </c>
      <c r="V959" s="3" t="n">
        <v>8.4</v>
      </c>
      <c r="W959" t="inlineStr">
        <is>
          <t>Credit Card</t>
        </is>
      </c>
      <c r="X959" t="inlineStr">
        <is>
          <t>Medium</t>
        </is>
      </c>
      <c r="Y959" t="n">
        <v>2023</v>
      </c>
      <c r="Z959" t="n">
        <v>6</v>
      </c>
      <c r="AA959" t="inlineStr">
        <is>
          <t>Jun</t>
        </is>
      </c>
      <c r="AB959" t="inlineStr">
        <is>
          <t>Friday</t>
        </is>
      </c>
      <c r="AC959" t="n">
        <v>3</v>
      </c>
      <c r="AD959" t="inlineStr">
        <is>
          <t>Profitable</t>
        </is>
      </c>
      <c r="AE959" t="inlineStr">
        <is>
          <t>Low</t>
        </is>
      </c>
      <c r="AF959" t="inlineStr">
        <is>
          <t>Small</t>
        </is>
      </c>
    </row>
    <row r="960">
      <c r="A960" t="inlineStr">
        <is>
          <t>ORD-00959</t>
        </is>
      </c>
      <c r="B960" s="2" t="n">
        <v>45263</v>
      </c>
      <c r="C960" s="2" t="n">
        <v>45270</v>
      </c>
      <c r="D960" t="inlineStr">
        <is>
          <t>CUST-00959</t>
        </is>
      </c>
      <c r="E960" t="inlineStr">
        <is>
          <t>Customer 959</t>
        </is>
      </c>
      <c r="F960" t="inlineStr">
        <is>
          <t>Consumer</t>
        </is>
      </c>
      <c r="G960" t="inlineStr">
        <is>
          <t>P1005</t>
        </is>
      </c>
      <c r="H960" t="inlineStr">
        <is>
          <t>Atlas Throw Pillow</t>
        </is>
      </c>
      <c r="I960" t="inlineStr">
        <is>
          <t>Home Decor</t>
        </is>
      </c>
      <c r="J960" t="inlineStr">
        <is>
          <t>Furniture</t>
        </is>
      </c>
      <c r="K960" t="inlineStr">
        <is>
          <t>Central</t>
        </is>
      </c>
      <c r="L960" t="inlineStr">
        <is>
          <t>Minnesota</t>
        </is>
      </c>
      <c r="M960" t="inlineStr">
        <is>
          <t>St. Louis</t>
        </is>
      </c>
      <c r="N960" t="inlineStr">
        <is>
          <t>Mia Rodriguez</t>
        </is>
      </c>
      <c r="O960" t="n">
        <v>3</v>
      </c>
      <c r="P960" s="3" t="n">
        <v>13.5</v>
      </c>
      <c r="Q960" s="4" t="n">
        <v>0.01</v>
      </c>
      <c r="R960" s="3" t="n">
        <v>40.09</v>
      </c>
      <c r="S960" s="3" t="n">
        <v>19.46</v>
      </c>
      <c r="T960" s="3" t="n">
        <v>12.23</v>
      </c>
      <c r="U960" s="4" t="n">
        <v>0.3051</v>
      </c>
      <c r="V960" s="3" t="n">
        <v>8.4</v>
      </c>
      <c r="W960" t="inlineStr">
        <is>
          <t>Bank Transfer</t>
        </is>
      </c>
      <c r="X960" t="inlineStr">
        <is>
          <t>Low</t>
        </is>
      </c>
      <c r="Y960" t="n">
        <v>2023</v>
      </c>
      <c r="Z960" t="n">
        <v>12</v>
      </c>
      <c r="AA960" t="inlineStr">
        <is>
          <t>Dec</t>
        </is>
      </c>
      <c r="AB960" t="inlineStr">
        <is>
          <t>Sunday</t>
        </is>
      </c>
      <c r="AC960" t="n">
        <v>7</v>
      </c>
      <c r="AD960" t="inlineStr">
        <is>
          <t>Profitable</t>
        </is>
      </c>
      <c r="AE960" t="inlineStr">
        <is>
          <t>Low</t>
        </is>
      </c>
      <c r="AF960" t="inlineStr">
        <is>
          <t>Small</t>
        </is>
      </c>
    </row>
    <row r="961">
      <c r="A961" t="inlineStr">
        <is>
          <t>ORD-00960</t>
        </is>
      </c>
      <c r="B961" s="2" t="n">
        <v>45778</v>
      </c>
      <c r="C961" s="2" t="n">
        <v>45784</v>
      </c>
      <c r="D961" t="inlineStr">
        <is>
          <t>CUST-00960</t>
        </is>
      </c>
      <c r="E961" t="inlineStr">
        <is>
          <t>Customer 960</t>
        </is>
      </c>
      <c r="F961" t="inlineStr">
        <is>
          <t>Corporate</t>
        </is>
      </c>
      <c r="G961" t="inlineStr">
        <is>
          <t>P1010</t>
        </is>
      </c>
      <c r="H961" t="inlineStr">
        <is>
          <t>CloudDrive File Box</t>
        </is>
      </c>
      <c r="I961" t="inlineStr">
        <is>
          <t>Technology</t>
        </is>
      </c>
      <c r="J961" t="inlineStr">
        <is>
          <t>Peripherals</t>
        </is>
      </c>
      <c r="K961" t="inlineStr">
        <is>
          <t>South</t>
        </is>
      </c>
      <c r="L961" t="inlineStr">
        <is>
          <t>North Carolina</t>
        </is>
      </c>
      <c r="M961" t="inlineStr">
        <is>
          <t>Atlanta</t>
        </is>
      </c>
      <c r="N961" t="inlineStr">
        <is>
          <t>Sophia Singh</t>
        </is>
      </c>
      <c r="O961" t="n">
        <v>2</v>
      </c>
      <c r="P961" s="3" t="n">
        <v>51.34</v>
      </c>
      <c r="Q961" s="4" t="n">
        <v>0.018</v>
      </c>
      <c r="R961" s="3" t="n">
        <v>100.83</v>
      </c>
      <c r="S961" s="3" t="n">
        <v>50.11</v>
      </c>
      <c r="T961" s="3" t="n">
        <v>43.12</v>
      </c>
      <c r="U961" s="4" t="n">
        <v>0.4277</v>
      </c>
      <c r="V961" s="3" t="n">
        <v>7.6</v>
      </c>
      <c r="W961" t="inlineStr">
        <is>
          <t>Cash on Delivery</t>
        </is>
      </c>
      <c r="X961" t="inlineStr">
        <is>
          <t>Medium</t>
        </is>
      </c>
      <c r="Y961" t="n">
        <v>2025</v>
      </c>
      <c r="Z961" t="n">
        <v>5</v>
      </c>
      <c r="AA961" t="inlineStr">
        <is>
          <t>May</t>
        </is>
      </c>
      <c r="AB961" t="inlineStr">
        <is>
          <t>Thursday</t>
        </is>
      </c>
      <c r="AC961" t="n">
        <v>6</v>
      </c>
      <c r="AD961" t="inlineStr">
        <is>
          <t>Profitable</t>
        </is>
      </c>
      <c r="AE961" t="inlineStr">
        <is>
          <t>Low</t>
        </is>
      </c>
      <c r="AF961" t="inlineStr">
        <is>
          <t>Small</t>
        </is>
      </c>
    </row>
    <row r="962">
      <c r="A962" t="inlineStr">
        <is>
          <t>ORD-00961</t>
        </is>
      </c>
      <c r="B962" s="2" t="n">
        <v>45269</v>
      </c>
      <c r="C962" s="2" t="n">
        <v>45271</v>
      </c>
      <c r="D962" t="inlineStr">
        <is>
          <t>CUST-00961</t>
        </is>
      </c>
      <c r="E962" t="inlineStr">
        <is>
          <t>Customer 961</t>
        </is>
      </c>
      <c r="F962" t="inlineStr">
        <is>
          <t>Consumer</t>
        </is>
      </c>
      <c r="G962" t="inlineStr">
        <is>
          <t>P1017</t>
        </is>
      </c>
      <c r="H962" t="inlineStr">
        <is>
          <t>CloudDrive File Box</t>
        </is>
      </c>
      <c r="I962" t="inlineStr">
        <is>
          <t>Technology</t>
        </is>
      </c>
      <c r="J962" t="inlineStr">
        <is>
          <t>Lighting</t>
        </is>
      </c>
      <c r="K962" t="inlineStr">
        <is>
          <t>East</t>
        </is>
      </c>
      <c r="L962" t="inlineStr">
        <is>
          <t>New Jersey</t>
        </is>
      </c>
      <c r="M962" t="inlineStr">
        <is>
          <t>Boston</t>
        </is>
      </c>
      <c r="N962" t="inlineStr">
        <is>
          <t>Mia Rodriguez</t>
        </is>
      </c>
      <c r="O962" t="n">
        <v>5</v>
      </c>
      <c r="P962" s="3" t="n">
        <v>602.59</v>
      </c>
      <c r="Q962" s="4" t="n">
        <v>0.029</v>
      </c>
      <c r="R962" s="3" t="n">
        <v>2925.57</v>
      </c>
      <c r="S962" s="3" t="n">
        <v>1939.63</v>
      </c>
      <c r="T962" s="3" t="n">
        <v>974.9400000000001</v>
      </c>
      <c r="U962" s="4" t="n">
        <v>0.3332</v>
      </c>
      <c r="V962" s="3" t="n">
        <v>11</v>
      </c>
      <c r="W962" t="inlineStr">
        <is>
          <t>Credit Card</t>
        </is>
      </c>
      <c r="X962" t="inlineStr">
        <is>
          <t>Medium</t>
        </is>
      </c>
      <c r="Y962" t="n">
        <v>2023</v>
      </c>
      <c r="Z962" t="n">
        <v>12</v>
      </c>
      <c r="AA962" t="inlineStr">
        <is>
          <t>Dec</t>
        </is>
      </c>
      <c r="AB962" t="inlineStr">
        <is>
          <t>Saturday</t>
        </is>
      </c>
      <c r="AC962" t="n">
        <v>2</v>
      </c>
      <c r="AD962" t="inlineStr">
        <is>
          <t>Profitable</t>
        </is>
      </c>
      <c r="AE962" t="inlineStr">
        <is>
          <t>Medium</t>
        </is>
      </c>
      <c r="AF962" t="inlineStr">
        <is>
          <t>Large</t>
        </is>
      </c>
    </row>
    <row r="963">
      <c r="A963" t="inlineStr">
        <is>
          <t>ORD-00962</t>
        </is>
      </c>
      <c r="B963" s="2" t="n">
        <v>45635</v>
      </c>
      <c r="C963" s="2" t="n">
        <v>45641</v>
      </c>
      <c r="D963" t="inlineStr">
        <is>
          <t>CUST-00962</t>
        </is>
      </c>
      <c r="E963" t="inlineStr">
        <is>
          <t>Customer 962</t>
        </is>
      </c>
      <c r="F963" t="inlineStr">
        <is>
          <t>Consumer</t>
        </is>
      </c>
      <c r="G963" t="inlineStr">
        <is>
          <t>P1006</t>
        </is>
      </c>
      <c r="H963" t="inlineStr">
        <is>
          <t>Atlas Throw Pillow</t>
        </is>
      </c>
      <c r="I963" t="inlineStr">
        <is>
          <t>Outdoor</t>
        </is>
      </c>
      <c r="J963" t="inlineStr">
        <is>
          <t>Coolers</t>
        </is>
      </c>
      <c r="K963" t="inlineStr">
        <is>
          <t>North</t>
        </is>
      </c>
      <c r="L963" t="inlineStr">
        <is>
          <t>Alberta</t>
        </is>
      </c>
      <c r="M963" t="inlineStr">
        <is>
          <t>Toronto</t>
        </is>
      </c>
      <c r="N963" t="inlineStr">
        <is>
          <t>Mia Rodriguez</t>
        </is>
      </c>
      <c r="O963" t="n">
        <v>3</v>
      </c>
      <c r="P963" s="3" t="n">
        <v>20.03</v>
      </c>
      <c r="Q963" s="4" t="n">
        <v>0.029</v>
      </c>
      <c r="R963" s="3" t="n">
        <v>58.35</v>
      </c>
      <c r="S963" s="3" t="n">
        <v>21.78</v>
      </c>
      <c r="T963" s="3" t="n">
        <v>28.17</v>
      </c>
      <c r="U963" s="4" t="n">
        <v>0.4828</v>
      </c>
      <c r="V963" s="3" t="n">
        <v>8.4</v>
      </c>
      <c r="W963" t="inlineStr">
        <is>
          <t>Bank Transfer</t>
        </is>
      </c>
      <c r="X963" t="inlineStr">
        <is>
          <t>Medium</t>
        </is>
      </c>
      <c r="Y963" t="n">
        <v>2024</v>
      </c>
      <c r="Z963" t="n">
        <v>12</v>
      </c>
      <c r="AA963" t="inlineStr">
        <is>
          <t>Dec</t>
        </is>
      </c>
      <c r="AB963" t="inlineStr">
        <is>
          <t>Monday</t>
        </is>
      </c>
      <c r="AC963" t="n">
        <v>6</v>
      </c>
      <c r="AD963" t="inlineStr">
        <is>
          <t>Profitable</t>
        </is>
      </c>
      <c r="AE963" t="inlineStr">
        <is>
          <t>Medium</t>
        </is>
      </c>
      <c r="AF963" t="inlineStr">
        <is>
          <t>Small</t>
        </is>
      </c>
    </row>
    <row r="964">
      <c r="A964" t="inlineStr">
        <is>
          <t>ORD-00963</t>
        </is>
      </c>
      <c r="B964" s="2" t="n">
        <v>45068</v>
      </c>
      <c r="C964" s="2" t="n">
        <v>45074</v>
      </c>
      <c r="D964" t="inlineStr">
        <is>
          <t>CUST-00963</t>
        </is>
      </c>
      <c r="E964" t="inlineStr">
        <is>
          <t>Customer 963</t>
        </is>
      </c>
      <c r="F964" t="inlineStr">
        <is>
          <t>Consumer</t>
        </is>
      </c>
      <c r="G964" t="inlineStr">
        <is>
          <t>P1010</t>
        </is>
      </c>
      <c r="H964" t="inlineStr">
        <is>
          <t>Lumen Desk Lamp</t>
        </is>
      </c>
      <c r="I964" t="inlineStr">
        <is>
          <t>Home Decor</t>
        </is>
      </c>
      <c r="J964" t="inlineStr">
        <is>
          <t>Storage</t>
        </is>
      </c>
      <c r="K964" t="inlineStr">
        <is>
          <t>South</t>
        </is>
      </c>
      <c r="L964" t="inlineStr">
        <is>
          <t>Georgia</t>
        </is>
      </c>
      <c r="M964" t="inlineStr">
        <is>
          <t>Dallas</t>
        </is>
      </c>
      <c r="N964" t="inlineStr">
        <is>
          <t>Liam Chen</t>
        </is>
      </c>
      <c r="O964" t="n">
        <v>2</v>
      </c>
      <c r="P964" s="3" t="n">
        <v>53.9</v>
      </c>
      <c r="Q964" s="4" t="n">
        <v>0.052</v>
      </c>
      <c r="R964" s="3" t="n">
        <v>102.19</v>
      </c>
      <c r="S964" s="3" t="n">
        <v>51.87</v>
      </c>
      <c r="T964" s="3" t="n">
        <v>42.72</v>
      </c>
      <c r="U964" s="4" t="n">
        <v>0.418</v>
      </c>
      <c r="V964" s="3" t="n">
        <v>7.6</v>
      </c>
      <c r="W964" t="inlineStr">
        <is>
          <t>Credit Card</t>
        </is>
      </c>
      <c r="X964" t="inlineStr">
        <is>
          <t>High</t>
        </is>
      </c>
      <c r="Y964" t="n">
        <v>2023</v>
      </c>
      <c r="Z964" t="n">
        <v>5</v>
      </c>
      <c r="AA964" t="inlineStr">
        <is>
          <t>May</t>
        </is>
      </c>
      <c r="AB964" t="inlineStr">
        <is>
          <t>Monday</t>
        </is>
      </c>
      <c r="AC964" t="n">
        <v>6</v>
      </c>
      <c r="AD964" t="inlineStr">
        <is>
          <t>Profitable</t>
        </is>
      </c>
      <c r="AE964" t="inlineStr">
        <is>
          <t>High</t>
        </is>
      </c>
      <c r="AF964" t="inlineStr">
        <is>
          <t>Small</t>
        </is>
      </c>
    </row>
    <row r="965">
      <c r="A965" t="inlineStr">
        <is>
          <t>ORD-00964</t>
        </is>
      </c>
      <c r="B965" s="2" t="n">
        <v>45598</v>
      </c>
      <c r="C965" s="2" t="n">
        <v>45603</v>
      </c>
      <c r="D965" t="inlineStr">
        <is>
          <t>CUST-00964</t>
        </is>
      </c>
      <c r="E965" t="inlineStr">
        <is>
          <t>Customer 964</t>
        </is>
      </c>
      <c r="F965" t="inlineStr">
        <is>
          <t>Consumer</t>
        </is>
      </c>
      <c r="G965" t="inlineStr">
        <is>
          <t>P1016</t>
        </is>
      </c>
      <c r="H965" t="inlineStr">
        <is>
          <t>Nova Laptop Stand</t>
        </is>
      </c>
      <c r="I965" t="inlineStr">
        <is>
          <t>Furniture</t>
        </is>
      </c>
      <c r="J965" t="inlineStr">
        <is>
          <t>Storage</t>
        </is>
      </c>
      <c r="K965" t="inlineStr">
        <is>
          <t>West</t>
        </is>
      </c>
      <c r="L965" t="inlineStr">
        <is>
          <t>Oregon</t>
        </is>
      </c>
      <c r="M965" t="inlineStr">
        <is>
          <t>Seattle</t>
        </is>
      </c>
      <c r="N965" t="inlineStr">
        <is>
          <t>Noah Kim</t>
        </is>
      </c>
      <c r="O965" t="n">
        <v>4</v>
      </c>
      <c r="P965" s="3" t="n">
        <v>43.87</v>
      </c>
      <c r="Q965" s="4" t="n">
        <v>0.024</v>
      </c>
      <c r="R965" s="3" t="n">
        <v>171.27</v>
      </c>
      <c r="S965" s="3" t="n">
        <v>69.95</v>
      </c>
      <c r="T965" s="3" t="n">
        <v>91.12</v>
      </c>
      <c r="U965" s="4" t="n">
        <v>0.532</v>
      </c>
      <c r="V965" s="3" t="n">
        <v>10.2</v>
      </c>
      <c r="W965" t="inlineStr">
        <is>
          <t>Debit Card</t>
        </is>
      </c>
      <c r="X965" t="inlineStr">
        <is>
          <t>Medium</t>
        </is>
      </c>
      <c r="Y965" t="n">
        <v>2024</v>
      </c>
      <c r="Z965" t="n">
        <v>11</v>
      </c>
      <c r="AA965" t="inlineStr">
        <is>
          <t>Nov</t>
        </is>
      </c>
      <c r="AB965" t="inlineStr">
        <is>
          <t>Saturday</t>
        </is>
      </c>
      <c r="AC965" t="n">
        <v>5</v>
      </c>
      <c r="AD965" t="inlineStr">
        <is>
          <t>Profitable</t>
        </is>
      </c>
      <c r="AE965" t="inlineStr">
        <is>
          <t>Medium</t>
        </is>
      </c>
      <c r="AF965" t="inlineStr">
        <is>
          <t>Small</t>
        </is>
      </c>
    </row>
    <row r="966">
      <c r="A966" t="inlineStr">
        <is>
          <t>ORD-00965</t>
        </is>
      </c>
      <c r="B966" s="2" t="n">
        <v>45276</v>
      </c>
      <c r="C966" s="2" t="n">
        <v>45282</v>
      </c>
      <c r="D966" t="inlineStr">
        <is>
          <t>CUST-00965</t>
        </is>
      </c>
      <c r="E966" t="inlineStr">
        <is>
          <t>Customer 965</t>
        </is>
      </c>
      <c r="F966" t="inlineStr">
        <is>
          <t>Consumer</t>
        </is>
      </c>
      <c r="G966" t="inlineStr">
        <is>
          <t>P1010</t>
        </is>
      </c>
      <c r="H966" t="inlineStr">
        <is>
          <t>Harbor Rug</t>
        </is>
      </c>
      <c r="I966" t="inlineStr">
        <is>
          <t>Furniture</t>
        </is>
      </c>
      <c r="J966" t="inlineStr">
        <is>
          <t>Accessories</t>
        </is>
      </c>
      <c r="K966" t="inlineStr">
        <is>
          <t>Central</t>
        </is>
      </c>
      <c r="L966" t="inlineStr">
        <is>
          <t>Minnesota</t>
        </is>
      </c>
      <c r="M966" t="inlineStr">
        <is>
          <t>Chicago</t>
        </is>
      </c>
      <c r="N966" t="inlineStr">
        <is>
          <t>Noah Kim</t>
        </is>
      </c>
      <c r="O966" t="n">
        <v>5</v>
      </c>
      <c r="P966" s="3" t="n">
        <v>58.94</v>
      </c>
      <c r="Q966" s="4" t="n">
        <v>0.005</v>
      </c>
      <c r="R966" s="3" t="n">
        <v>293.23</v>
      </c>
      <c r="S966" s="3" t="n">
        <v>126.88</v>
      </c>
      <c r="T966" s="3" t="n">
        <v>156.35</v>
      </c>
      <c r="U966" s="4" t="n">
        <v>0.5332</v>
      </c>
      <c r="V966" s="3" t="n">
        <v>10</v>
      </c>
      <c r="W966" t="inlineStr">
        <is>
          <t>Debit Card</t>
        </is>
      </c>
      <c r="X966" t="inlineStr">
        <is>
          <t>Medium</t>
        </is>
      </c>
      <c r="Y966" t="n">
        <v>2023</v>
      </c>
      <c r="Z966" t="n">
        <v>12</v>
      </c>
      <c r="AA966" t="inlineStr">
        <is>
          <t>Dec</t>
        </is>
      </c>
      <c r="AB966" t="inlineStr">
        <is>
          <t>Saturday</t>
        </is>
      </c>
      <c r="AC966" t="n">
        <v>6</v>
      </c>
      <c r="AD966" t="inlineStr">
        <is>
          <t>Profitable</t>
        </is>
      </c>
      <c r="AE966" t="inlineStr">
        <is>
          <t>Low</t>
        </is>
      </c>
      <c r="AF966" t="inlineStr">
        <is>
          <t>Small</t>
        </is>
      </c>
    </row>
    <row r="967">
      <c r="A967" t="inlineStr">
        <is>
          <t>ORD-00966</t>
        </is>
      </c>
      <c r="B967" s="2" t="n">
        <v>45390</v>
      </c>
      <c r="C967" s="2" t="n">
        <v>45391</v>
      </c>
      <c r="D967" t="inlineStr">
        <is>
          <t>CUST-00966</t>
        </is>
      </c>
      <c r="E967" t="inlineStr">
        <is>
          <t>Customer 966</t>
        </is>
      </c>
      <c r="F967" t="inlineStr">
        <is>
          <t>Home Office</t>
        </is>
      </c>
      <c r="G967" t="inlineStr">
        <is>
          <t>P1004</t>
        </is>
      </c>
      <c r="H967" t="inlineStr">
        <is>
          <t>Echo Web Camera</t>
        </is>
      </c>
      <c r="I967" t="inlineStr">
        <is>
          <t>Technology</t>
        </is>
      </c>
      <c r="J967" t="inlineStr">
        <is>
          <t>Flooring</t>
        </is>
      </c>
      <c r="K967" t="inlineStr">
        <is>
          <t>West</t>
        </is>
      </c>
      <c r="L967" t="inlineStr">
        <is>
          <t>California</t>
        </is>
      </c>
      <c r="M967" t="inlineStr">
        <is>
          <t>Los Angeles</t>
        </is>
      </c>
      <c r="N967" t="inlineStr">
        <is>
          <t>Mia Rodriguez</t>
        </is>
      </c>
      <c r="O967" t="n">
        <v>2</v>
      </c>
      <c r="P967" s="3" t="n">
        <v>602.5</v>
      </c>
      <c r="Q967" s="4" t="n">
        <v>0.051</v>
      </c>
      <c r="R967" s="3" t="n">
        <v>1143.54</v>
      </c>
      <c r="S967" s="3" t="n">
        <v>730.39</v>
      </c>
      <c r="T967" s="3" t="n">
        <v>404.55</v>
      </c>
      <c r="U967" s="4" t="n">
        <v>0.3538</v>
      </c>
      <c r="V967" s="3" t="n">
        <v>8.6</v>
      </c>
      <c r="W967" t="inlineStr">
        <is>
          <t>PayPal</t>
        </is>
      </c>
      <c r="X967" t="inlineStr">
        <is>
          <t>High</t>
        </is>
      </c>
      <c r="Y967" t="n">
        <v>2024</v>
      </c>
      <c r="Z967" t="n">
        <v>4</v>
      </c>
      <c r="AA967" t="inlineStr">
        <is>
          <t>Apr</t>
        </is>
      </c>
      <c r="AB967" t="inlineStr">
        <is>
          <t>Monday</t>
        </is>
      </c>
      <c r="AC967" t="n">
        <v>1</v>
      </c>
      <c r="AD967" t="inlineStr">
        <is>
          <t>Profitable</t>
        </is>
      </c>
      <c r="AE967" t="inlineStr">
        <is>
          <t>High</t>
        </is>
      </c>
      <c r="AF967" t="inlineStr">
        <is>
          <t>Medium</t>
        </is>
      </c>
    </row>
    <row r="968">
      <c r="A968" t="inlineStr">
        <is>
          <t>ORD-00967</t>
        </is>
      </c>
      <c r="B968" s="2" t="n">
        <v>45834</v>
      </c>
      <c r="C968" s="2" t="n">
        <v>45841</v>
      </c>
      <c r="D968" t="inlineStr">
        <is>
          <t>CUST-00967</t>
        </is>
      </c>
      <c r="E968" t="inlineStr">
        <is>
          <t>Customer 967</t>
        </is>
      </c>
      <c r="F968" t="inlineStr">
        <is>
          <t>Home Office</t>
        </is>
      </c>
      <c r="G968" t="inlineStr">
        <is>
          <t>P1002</t>
        </is>
      </c>
      <c r="H968" t="inlineStr">
        <is>
          <t>Lumen Desk Lamp</t>
        </is>
      </c>
      <c r="I968" t="inlineStr">
        <is>
          <t>Technology</t>
        </is>
      </c>
      <c r="J968" t="inlineStr">
        <is>
          <t>Flooring</t>
        </is>
      </c>
      <c r="K968" t="inlineStr">
        <is>
          <t>East</t>
        </is>
      </c>
      <c r="L968" t="inlineStr">
        <is>
          <t>New York</t>
        </is>
      </c>
      <c r="M968" t="inlineStr">
        <is>
          <t>Washington</t>
        </is>
      </c>
      <c r="N968" t="inlineStr">
        <is>
          <t>Olivia Martin</t>
        </is>
      </c>
      <c r="O968" t="n">
        <v>3</v>
      </c>
      <c r="P968" s="3" t="n">
        <v>81.98999999999999</v>
      </c>
      <c r="Q968" s="4" t="n">
        <v>0.007</v>
      </c>
      <c r="R968" s="3" t="n">
        <v>244.25</v>
      </c>
      <c r="S968" s="3" t="n">
        <v>113.15</v>
      </c>
      <c r="T968" s="3" t="n">
        <v>121.7</v>
      </c>
      <c r="U968" s="4" t="n">
        <v>0.4983</v>
      </c>
      <c r="V968" s="3" t="n">
        <v>9.4</v>
      </c>
      <c r="W968" t="inlineStr">
        <is>
          <t>Debit Card</t>
        </is>
      </c>
      <c r="X968" t="inlineStr">
        <is>
          <t>Medium</t>
        </is>
      </c>
      <c r="Y968" t="n">
        <v>2025</v>
      </c>
      <c r="Z968" t="n">
        <v>6</v>
      </c>
      <c r="AA968" t="inlineStr">
        <is>
          <t>Jun</t>
        </is>
      </c>
      <c r="AB968" t="inlineStr">
        <is>
          <t>Thursday</t>
        </is>
      </c>
      <c r="AC968" t="n">
        <v>7</v>
      </c>
      <c r="AD968" t="inlineStr">
        <is>
          <t>Profitable</t>
        </is>
      </c>
      <c r="AE968" t="inlineStr">
        <is>
          <t>Low</t>
        </is>
      </c>
      <c r="AF968" t="inlineStr">
        <is>
          <t>Small</t>
        </is>
      </c>
    </row>
    <row r="969">
      <c r="A969" t="inlineStr">
        <is>
          <t>ORD-00968</t>
        </is>
      </c>
      <c r="B969" s="2" t="n">
        <v>45113</v>
      </c>
      <c r="C969" s="2" t="n">
        <v>45117</v>
      </c>
      <c r="D969" t="inlineStr">
        <is>
          <t>CUST-00968</t>
        </is>
      </c>
      <c r="E969" t="inlineStr">
        <is>
          <t>Customer 968</t>
        </is>
      </c>
      <c r="F969" t="inlineStr">
        <is>
          <t>Home Office</t>
        </is>
      </c>
      <c r="G969" t="inlineStr">
        <is>
          <t>P1001</t>
        </is>
      </c>
      <c r="H969" t="inlineStr">
        <is>
          <t>Nova Laptop Stand</t>
        </is>
      </c>
      <c r="I969" t="inlineStr">
        <is>
          <t>Office Supplies</t>
        </is>
      </c>
      <c r="J969" t="inlineStr">
        <is>
          <t>Lighting</t>
        </is>
      </c>
      <c r="K969" t="inlineStr">
        <is>
          <t>West</t>
        </is>
      </c>
      <c r="L969" t="inlineStr">
        <is>
          <t>Washington</t>
        </is>
      </c>
      <c r="M969" t="inlineStr">
        <is>
          <t>Seattle</t>
        </is>
      </c>
      <c r="N969" t="inlineStr">
        <is>
          <t>Noah Kim</t>
        </is>
      </c>
      <c r="O969" t="n">
        <v>3</v>
      </c>
      <c r="P969" s="3" t="n">
        <v>323.62</v>
      </c>
      <c r="Q969" s="4" t="n">
        <v>0.035</v>
      </c>
      <c r="R969" s="3" t="n">
        <v>936.88</v>
      </c>
      <c r="S969" s="3" t="n">
        <v>551.67</v>
      </c>
      <c r="T969" s="3" t="n">
        <v>375.81</v>
      </c>
      <c r="U969" s="4" t="n">
        <v>0.4011</v>
      </c>
      <c r="V969" s="3" t="n">
        <v>9.4</v>
      </c>
      <c r="W969" t="inlineStr">
        <is>
          <t>Bank Transfer</t>
        </is>
      </c>
      <c r="X969" t="inlineStr">
        <is>
          <t>High</t>
        </is>
      </c>
      <c r="Y969" t="n">
        <v>2023</v>
      </c>
      <c r="Z969" t="n">
        <v>7</v>
      </c>
      <c r="AA969" t="inlineStr">
        <is>
          <t>Jul</t>
        </is>
      </c>
      <c r="AB969" t="inlineStr">
        <is>
          <t>Thursday</t>
        </is>
      </c>
      <c r="AC969" t="n">
        <v>4</v>
      </c>
      <c r="AD969" t="inlineStr">
        <is>
          <t>Profitable</t>
        </is>
      </c>
      <c r="AE969" t="inlineStr">
        <is>
          <t>Medium</t>
        </is>
      </c>
      <c r="AF969" t="inlineStr">
        <is>
          <t>Medium</t>
        </is>
      </c>
    </row>
    <row r="970">
      <c r="A970" t="inlineStr">
        <is>
          <t>ORD-00969</t>
        </is>
      </c>
      <c r="B970" s="2" t="n">
        <v>45435</v>
      </c>
      <c r="C970" s="2" t="n">
        <v>45436</v>
      </c>
      <c r="D970" t="inlineStr">
        <is>
          <t>CUST-00969</t>
        </is>
      </c>
      <c r="E970" t="inlineStr">
        <is>
          <t>Customer 969</t>
        </is>
      </c>
      <c r="F970" t="inlineStr">
        <is>
          <t>Home Office</t>
        </is>
      </c>
      <c r="G970" t="inlineStr">
        <is>
          <t>P1003</t>
        </is>
      </c>
      <c r="H970" t="inlineStr">
        <is>
          <t>ErgoMesh Chair</t>
        </is>
      </c>
      <c r="I970" t="inlineStr">
        <is>
          <t>Furniture</t>
        </is>
      </c>
      <c r="J970" t="inlineStr">
        <is>
          <t>Writing</t>
        </is>
      </c>
      <c r="K970" t="inlineStr">
        <is>
          <t>West</t>
        </is>
      </c>
      <c r="L970" t="inlineStr">
        <is>
          <t>Colorado</t>
        </is>
      </c>
      <c r="M970" t="inlineStr">
        <is>
          <t>Denver</t>
        </is>
      </c>
      <c r="N970" t="inlineStr">
        <is>
          <t>Sophia Singh</t>
        </is>
      </c>
      <c r="O970" t="n">
        <v>3</v>
      </c>
      <c r="P970" s="3" t="n">
        <v>158.24</v>
      </c>
      <c r="Q970" s="4" t="n">
        <v>0.035</v>
      </c>
      <c r="R970" s="3" t="n">
        <v>458.1</v>
      </c>
      <c r="S970" s="3" t="n">
        <v>243.46</v>
      </c>
      <c r="T970" s="3" t="n">
        <v>205.24</v>
      </c>
      <c r="U970" s="4" t="n">
        <v>0.448</v>
      </c>
      <c r="V970" s="3" t="n">
        <v>9.4</v>
      </c>
      <c r="W970" t="inlineStr">
        <is>
          <t>Credit Card</t>
        </is>
      </c>
      <c r="X970" t="inlineStr">
        <is>
          <t>Medium</t>
        </is>
      </c>
      <c r="Y970" t="n">
        <v>2024</v>
      </c>
      <c r="Z970" t="n">
        <v>5</v>
      </c>
      <c r="AA970" t="inlineStr">
        <is>
          <t>May</t>
        </is>
      </c>
      <c r="AB970" t="inlineStr">
        <is>
          <t>Thursday</t>
        </is>
      </c>
      <c r="AC970" t="n">
        <v>1</v>
      </c>
      <c r="AD970" t="inlineStr">
        <is>
          <t>Profitable</t>
        </is>
      </c>
      <c r="AE970" t="inlineStr">
        <is>
          <t>Medium</t>
        </is>
      </c>
      <c r="AF970" t="inlineStr">
        <is>
          <t>Small</t>
        </is>
      </c>
    </row>
    <row r="971">
      <c r="A971" t="inlineStr">
        <is>
          <t>ORD-00970</t>
        </is>
      </c>
      <c r="B971" s="2" t="n">
        <v>45304</v>
      </c>
      <c r="C971" s="2" t="n">
        <v>45305</v>
      </c>
      <c r="D971" t="inlineStr">
        <is>
          <t>CUST-00970</t>
        </is>
      </c>
      <c r="E971" t="inlineStr">
        <is>
          <t>Customer 970</t>
        </is>
      </c>
      <c r="F971" t="inlineStr">
        <is>
          <t>Consumer</t>
        </is>
      </c>
      <c r="G971" t="inlineStr">
        <is>
          <t>P1013</t>
        </is>
      </c>
      <c r="H971" t="inlineStr">
        <is>
          <t>ProClip Binder</t>
        </is>
      </c>
      <c r="I971" t="inlineStr">
        <is>
          <t>Technology</t>
        </is>
      </c>
      <c r="J971" t="inlineStr">
        <is>
          <t>Writing</t>
        </is>
      </c>
      <c r="K971" t="inlineStr">
        <is>
          <t>West</t>
        </is>
      </c>
      <c r="L971" t="inlineStr">
        <is>
          <t>California</t>
        </is>
      </c>
      <c r="M971" t="inlineStr">
        <is>
          <t>San Francisco</t>
        </is>
      </c>
      <c r="N971" t="inlineStr">
        <is>
          <t>Mia Rodriguez</t>
        </is>
      </c>
      <c r="O971" t="n">
        <v>3</v>
      </c>
      <c r="P971" s="3" t="n">
        <v>166.47</v>
      </c>
      <c r="Q971" s="4" t="n">
        <v>0.08</v>
      </c>
      <c r="R971" s="3" t="n">
        <v>459.46</v>
      </c>
      <c r="S971" s="3" t="n">
        <v>264.56</v>
      </c>
      <c r="T971" s="3" t="n">
        <v>185.5</v>
      </c>
      <c r="U971" s="4" t="n">
        <v>0.4037</v>
      </c>
      <c r="V971" s="3" t="n">
        <v>9.4</v>
      </c>
      <c r="W971" t="inlineStr">
        <is>
          <t>Debit Card</t>
        </is>
      </c>
      <c r="X971" t="inlineStr">
        <is>
          <t>Critical</t>
        </is>
      </c>
      <c r="Y971" t="n">
        <v>2024</v>
      </c>
      <c r="Z971" t="n">
        <v>1</v>
      </c>
      <c r="AA971" t="inlineStr">
        <is>
          <t>Jan</t>
        </is>
      </c>
      <c r="AB971" t="inlineStr">
        <is>
          <t>Saturday</t>
        </is>
      </c>
      <c r="AC971" t="n">
        <v>1</v>
      </c>
      <c r="AD971" t="inlineStr">
        <is>
          <t>Profitable</t>
        </is>
      </c>
      <c r="AE971" t="inlineStr">
        <is>
          <t>High</t>
        </is>
      </c>
      <c r="AF971" t="inlineStr">
        <is>
          <t>Small</t>
        </is>
      </c>
    </row>
    <row r="972">
      <c r="A972" t="inlineStr">
        <is>
          <t>ORD-00971</t>
        </is>
      </c>
      <c r="B972" s="2" t="n">
        <v>45748</v>
      </c>
      <c r="C972" s="2" t="n">
        <v>45753</v>
      </c>
      <c r="D972" t="inlineStr">
        <is>
          <t>CUST-00971</t>
        </is>
      </c>
      <c r="E972" t="inlineStr">
        <is>
          <t>Customer 971</t>
        </is>
      </c>
      <c r="F972" t="inlineStr">
        <is>
          <t>Home Office</t>
        </is>
      </c>
      <c r="G972" t="inlineStr">
        <is>
          <t>P1012</t>
        </is>
      </c>
      <c r="H972" t="inlineStr">
        <is>
          <t>Lumen Desk Lamp</t>
        </is>
      </c>
      <c r="I972" t="inlineStr">
        <is>
          <t>Furniture</t>
        </is>
      </c>
      <c r="J972" t="inlineStr">
        <is>
          <t>Bags</t>
        </is>
      </c>
      <c r="K972" t="inlineStr">
        <is>
          <t>South</t>
        </is>
      </c>
      <c r="L972" t="inlineStr">
        <is>
          <t>Georgia</t>
        </is>
      </c>
      <c r="M972" t="inlineStr">
        <is>
          <t>Miami</t>
        </is>
      </c>
      <c r="N972" t="inlineStr">
        <is>
          <t>Mia Rodriguez</t>
        </is>
      </c>
      <c r="O972" t="n">
        <v>1</v>
      </c>
      <c r="P972" s="3" t="n">
        <v>127.81</v>
      </c>
      <c r="Q972" s="4" t="n">
        <v>0.019</v>
      </c>
      <c r="R972" s="3" t="n">
        <v>125.38</v>
      </c>
      <c r="S972" s="3" t="n">
        <v>66.11</v>
      </c>
      <c r="T972" s="3" t="n">
        <v>52.47</v>
      </c>
      <c r="U972" s="4" t="n">
        <v>0.4185</v>
      </c>
      <c r="V972" s="3" t="n">
        <v>6.8</v>
      </c>
      <c r="W972" t="inlineStr">
        <is>
          <t>Credit Card</t>
        </is>
      </c>
      <c r="X972" t="inlineStr">
        <is>
          <t>Medium</t>
        </is>
      </c>
      <c r="Y972" t="n">
        <v>2025</v>
      </c>
      <c r="Z972" t="n">
        <v>4</v>
      </c>
      <c r="AA972" t="inlineStr">
        <is>
          <t>Apr</t>
        </is>
      </c>
      <c r="AB972" t="inlineStr">
        <is>
          <t>Tuesday</t>
        </is>
      </c>
      <c r="AC972" t="n">
        <v>5</v>
      </c>
      <c r="AD972" t="inlineStr">
        <is>
          <t>Profitable</t>
        </is>
      </c>
      <c r="AE972" t="inlineStr">
        <is>
          <t>Low</t>
        </is>
      </c>
      <c r="AF972" t="inlineStr">
        <is>
          <t>Small</t>
        </is>
      </c>
    </row>
    <row r="973">
      <c r="A973" t="inlineStr">
        <is>
          <t>ORD-00972</t>
        </is>
      </c>
      <c r="B973" s="2" t="n">
        <v>45796</v>
      </c>
      <c r="C973" s="2" t="n">
        <v>45800</v>
      </c>
      <c r="D973" t="inlineStr">
        <is>
          <t>CUST-00972</t>
        </is>
      </c>
      <c r="E973" t="inlineStr">
        <is>
          <t>Customer 972</t>
        </is>
      </c>
      <c r="F973" t="inlineStr">
        <is>
          <t>Home Office</t>
        </is>
      </c>
      <c r="G973" t="inlineStr">
        <is>
          <t>P1001</t>
        </is>
      </c>
      <c r="H973" t="inlineStr">
        <is>
          <t>Nimbus Monitor Arm</t>
        </is>
      </c>
      <c r="I973" t="inlineStr">
        <is>
          <t>Office Supplies</t>
        </is>
      </c>
      <c r="J973" t="inlineStr">
        <is>
          <t>Chairs</t>
        </is>
      </c>
      <c r="K973" t="inlineStr">
        <is>
          <t>East</t>
        </is>
      </c>
      <c r="L973" t="inlineStr">
        <is>
          <t>New York</t>
        </is>
      </c>
      <c r="M973" t="inlineStr">
        <is>
          <t>Philadelphia</t>
        </is>
      </c>
      <c r="N973" t="inlineStr">
        <is>
          <t>Ava Patel</t>
        </is>
      </c>
      <c r="O973" t="n">
        <v>3</v>
      </c>
      <c r="P973" s="3" t="n">
        <v>298.97</v>
      </c>
      <c r="Q973" s="4" t="n">
        <v>0.022</v>
      </c>
      <c r="R973" s="3" t="n">
        <v>877.1799999999999</v>
      </c>
      <c r="S973" s="3" t="n">
        <v>518.1799999999999</v>
      </c>
      <c r="T973" s="3" t="n">
        <v>349.6</v>
      </c>
      <c r="U973" s="4" t="n">
        <v>0.3985</v>
      </c>
      <c r="V973" s="3" t="n">
        <v>9.4</v>
      </c>
      <c r="W973" t="inlineStr">
        <is>
          <t>PayPal</t>
        </is>
      </c>
      <c r="X973" t="inlineStr">
        <is>
          <t>Medium</t>
        </is>
      </c>
      <c r="Y973" t="n">
        <v>2025</v>
      </c>
      <c r="Z973" t="n">
        <v>5</v>
      </c>
      <c r="AA973" t="inlineStr">
        <is>
          <t>May</t>
        </is>
      </c>
      <c r="AB973" t="inlineStr">
        <is>
          <t>Monday</t>
        </is>
      </c>
      <c r="AC973" t="n">
        <v>4</v>
      </c>
      <c r="AD973" t="inlineStr">
        <is>
          <t>Profitable</t>
        </is>
      </c>
      <c r="AE973" t="inlineStr">
        <is>
          <t>Medium</t>
        </is>
      </c>
      <c r="AF973" t="inlineStr">
        <is>
          <t>Medium</t>
        </is>
      </c>
    </row>
    <row r="974">
      <c r="A974" t="inlineStr">
        <is>
          <t>ORD-00973</t>
        </is>
      </c>
      <c r="B974" s="2" t="n">
        <v>45853</v>
      </c>
      <c r="C974" s="2" t="n">
        <v>45859</v>
      </c>
      <c r="D974" t="inlineStr">
        <is>
          <t>CUST-00973</t>
        </is>
      </c>
      <c r="E974" t="inlineStr">
        <is>
          <t>Customer 973</t>
        </is>
      </c>
      <c r="F974" t="inlineStr">
        <is>
          <t>Home Office</t>
        </is>
      </c>
      <c r="G974" t="inlineStr">
        <is>
          <t>P1010</t>
        </is>
      </c>
      <c r="H974" t="inlineStr">
        <is>
          <t>Halo Planter</t>
        </is>
      </c>
      <c r="I974" t="inlineStr">
        <is>
          <t>Outdoor</t>
        </is>
      </c>
      <c r="J974" t="inlineStr">
        <is>
          <t>Decor</t>
        </is>
      </c>
      <c r="K974" t="inlineStr">
        <is>
          <t>South</t>
        </is>
      </c>
      <c r="L974" t="inlineStr">
        <is>
          <t>Florida</t>
        </is>
      </c>
      <c r="M974" t="inlineStr">
        <is>
          <t>Dallas</t>
        </is>
      </c>
      <c r="N974" t="inlineStr">
        <is>
          <t>Sophia Singh</t>
        </is>
      </c>
      <c r="O974" t="n">
        <v>6</v>
      </c>
      <c r="P974" s="3" t="n">
        <v>57.77</v>
      </c>
      <c r="Q974" s="4" t="n">
        <v>0.006</v>
      </c>
      <c r="R974" s="3" t="n">
        <v>344.54</v>
      </c>
      <c r="S974" s="3" t="n">
        <v>152.37</v>
      </c>
      <c r="T974" s="3" t="n">
        <v>181.37</v>
      </c>
      <c r="U974" s="4" t="n">
        <v>0.5264</v>
      </c>
      <c r="V974" s="3" t="n">
        <v>10.8</v>
      </c>
      <c r="W974" t="inlineStr">
        <is>
          <t>Credit Card</t>
        </is>
      </c>
      <c r="X974" t="inlineStr">
        <is>
          <t>Medium</t>
        </is>
      </c>
      <c r="Y974" t="n">
        <v>2025</v>
      </c>
      <c r="Z974" t="n">
        <v>7</v>
      </c>
      <c r="AA974" t="inlineStr">
        <is>
          <t>Jul</t>
        </is>
      </c>
      <c r="AB974" t="inlineStr">
        <is>
          <t>Tuesday</t>
        </is>
      </c>
      <c r="AC974" t="n">
        <v>6</v>
      </c>
      <c r="AD974" t="inlineStr">
        <is>
          <t>Profitable</t>
        </is>
      </c>
      <c r="AE974" t="inlineStr">
        <is>
          <t>Low</t>
        </is>
      </c>
      <c r="AF974" t="inlineStr">
        <is>
          <t>Small</t>
        </is>
      </c>
    </row>
    <row r="975">
      <c r="A975" t="inlineStr">
        <is>
          <t>ORD-00974</t>
        </is>
      </c>
      <c r="B975" s="2" t="n">
        <v>44986</v>
      </c>
      <c r="C975" s="2" t="n">
        <v>44990</v>
      </c>
      <c r="D975" t="inlineStr">
        <is>
          <t>CUST-00974</t>
        </is>
      </c>
      <c r="E975" t="inlineStr">
        <is>
          <t>Customer 974</t>
        </is>
      </c>
      <c r="F975" t="inlineStr">
        <is>
          <t>Corporate</t>
        </is>
      </c>
      <c r="G975" t="inlineStr">
        <is>
          <t>P1006</t>
        </is>
      </c>
      <c r="H975" t="inlineStr">
        <is>
          <t>SmartInk Pen Set</t>
        </is>
      </c>
      <c r="I975" t="inlineStr">
        <is>
          <t>Office Supplies</t>
        </is>
      </c>
      <c r="J975" t="inlineStr">
        <is>
          <t>Binders</t>
        </is>
      </c>
      <c r="K975" t="inlineStr">
        <is>
          <t>North</t>
        </is>
      </c>
      <c r="L975" t="inlineStr">
        <is>
          <t>Quebec</t>
        </is>
      </c>
      <c r="M975" t="inlineStr">
        <is>
          <t>Vancouver</t>
        </is>
      </c>
      <c r="N975" t="inlineStr">
        <is>
          <t>Noah Kim</t>
        </is>
      </c>
      <c r="O975" t="n">
        <v>1</v>
      </c>
      <c r="P975" s="3" t="n">
        <v>17.75</v>
      </c>
      <c r="Q975" s="4" t="n">
        <v>0.014</v>
      </c>
      <c r="R975" s="3" t="n">
        <v>17.5</v>
      </c>
      <c r="S975" s="3" t="n">
        <v>13.44</v>
      </c>
      <c r="T975" s="3" t="n">
        <v>-2.74</v>
      </c>
      <c r="U975" s="4" t="n">
        <v>-0.1566</v>
      </c>
      <c r="V975" s="3" t="n">
        <v>6.8</v>
      </c>
      <c r="W975" t="inlineStr">
        <is>
          <t>Credit Card</t>
        </is>
      </c>
      <c r="X975" t="inlineStr">
        <is>
          <t>Low</t>
        </is>
      </c>
      <c r="Y975" t="n">
        <v>2023</v>
      </c>
      <c r="Z975" t="n">
        <v>3</v>
      </c>
      <c r="AA975" t="inlineStr">
        <is>
          <t>Mar</t>
        </is>
      </c>
      <c r="AB975" t="inlineStr">
        <is>
          <t>Wednesday</t>
        </is>
      </c>
      <c r="AC975" t="n">
        <v>4</v>
      </c>
      <c r="AD975" t="inlineStr">
        <is>
          <t>Unprofitable</t>
        </is>
      </c>
      <c r="AE975" t="inlineStr">
        <is>
          <t>Low</t>
        </is>
      </c>
      <c r="AF975" t="inlineStr">
        <is>
          <t>Small</t>
        </is>
      </c>
    </row>
    <row r="976">
      <c r="A976" t="inlineStr">
        <is>
          <t>ORD-00975</t>
        </is>
      </c>
      <c r="B976" s="2" t="n">
        <v>45240</v>
      </c>
      <c r="C976" s="2" t="n">
        <v>45246</v>
      </c>
      <c r="D976" t="inlineStr">
        <is>
          <t>CUST-00975</t>
        </is>
      </c>
      <c r="E976" t="inlineStr">
        <is>
          <t>Customer 975</t>
        </is>
      </c>
      <c r="F976" t="inlineStr">
        <is>
          <t>Consumer</t>
        </is>
      </c>
      <c r="G976" t="inlineStr">
        <is>
          <t>P1009</t>
        </is>
      </c>
      <c r="H976" t="inlineStr">
        <is>
          <t>Harbor Rug</t>
        </is>
      </c>
      <c r="I976" t="inlineStr">
        <is>
          <t>Furniture</t>
        </is>
      </c>
      <c r="J976" t="inlineStr">
        <is>
          <t>Flooring</t>
        </is>
      </c>
      <c r="K976" t="inlineStr">
        <is>
          <t>Central</t>
        </is>
      </c>
      <c r="L976" t="inlineStr">
        <is>
          <t>Illinois</t>
        </is>
      </c>
      <c r="M976" t="inlineStr">
        <is>
          <t>St. Louis</t>
        </is>
      </c>
      <c r="N976" t="inlineStr">
        <is>
          <t>Noah Kim</t>
        </is>
      </c>
      <c r="O976" t="n">
        <v>3</v>
      </c>
      <c r="P976" s="3" t="n">
        <v>99.48999999999999</v>
      </c>
      <c r="Q976" s="4" t="n">
        <v>0.008999999999999999</v>
      </c>
      <c r="R976" s="3" t="n">
        <v>295.78</v>
      </c>
      <c r="S976" s="3" t="n">
        <v>149.28</v>
      </c>
      <c r="T976" s="3" t="n">
        <v>138.1</v>
      </c>
      <c r="U976" s="4" t="n">
        <v>0.4669</v>
      </c>
      <c r="V976" s="3" t="n">
        <v>8.4</v>
      </c>
      <c r="W976" t="inlineStr">
        <is>
          <t>Debit Card</t>
        </is>
      </c>
      <c r="X976" t="inlineStr">
        <is>
          <t>Low</t>
        </is>
      </c>
      <c r="Y976" t="n">
        <v>2023</v>
      </c>
      <c r="Z976" t="n">
        <v>11</v>
      </c>
      <c r="AA976" t="inlineStr">
        <is>
          <t>Nov</t>
        </is>
      </c>
      <c r="AB976" t="inlineStr">
        <is>
          <t>Friday</t>
        </is>
      </c>
      <c r="AC976" t="n">
        <v>6</v>
      </c>
      <c r="AD976" t="inlineStr">
        <is>
          <t>Profitable</t>
        </is>
      </c>
      <c r="AE976" t="inlineStr">
        <is>
          <t>Low</t>
        </is>
      </c>
      <c r="AF976" t="inlineStr">
        <is>
          <t>Small</t>
        </is>
      </c>
    </row>
    <row r="977">
      <c r="A977" t="inlineStr">
        <is>
          <t>ORD-00976</t>
        </is>
      </c>
      <c r="B977" s="2" t="n">
        <v>45200</v>
      </c>
      <c r="C977" s="2" t="n">
        <v>45203</v>
      </c>
      <c r="D977" t="inlineStr">
        <is>
          <t>CUST-00976</t>
        </is>
      </c>
      <c r="E977" t="inlineStr">
        <is>
          <t>Customer 976</t>
        </is>
      </c>
      <c r="F977" t="inlineStr">
        <is>
          <t>Consumer</t>
        </is>
      </c>
      <c r="G977" t="inlineStr">
        <is>
          <t>P1001</t>
        </is>
      </c>
      <c r="H977" t="inlineStr">
        <is>
          <t>Atlas Throw Pillow</t>
        </is>
      </c>
      <c r="I977" t="inlineStr">
        <is>
          <t>Home Decor</t>
        </is>
      </c>
      <c r="J977" t="inlineStr">
        <is>
          <t>Chairs</t>
        </is>
      </c>
      <c r="K977" t="inlineStr">
        <is>
          <t>South</t>
        </is>
      </c>
      <c r="L977" t="inlineStr">
        <is>
          <t>Georgia</t>
        </is>
      </c>
      <c r="M977" t="inlineStr">
        <is>
          <t>Dallas</t>
        </is>
      </c>
      <c r="N977" t="inlineStr">
        <is>
          <t>Ava Patel</t>
        </is>
      </c>
      <c r="O977" t="n">
        <v>4</v>
      </c>
      <c r="P977" s="3" t="n">
        <v>296.53</v>
      </c>
      <c r="Q977" s="4" t="n">
        <v>0.014</v>
      </c>
      <c r="R977" s="3" t="n">
        <v>1169.51</v>
      </c>
      <c r="S977" s="3" t="n">
        <v>685.11</v>
      </c>
      <c r="T977" s="3" t="n">
        <v>475.2</v>
      </c>
      <c r="U977" s="4" t="n">
        <v>0.4063</v>
      </c>
      <c r="V977" s="3" t="n">
        <v>9.199999999999999</v>
      </c>
      <c r="W977" t="inlineStr">
        <is>
          <t>Credit Card</t>
        </is>
      </c>
      <c r="X977" t="inlineStr">
        <is>
          <t>High</t>
        </is>
      </c>
      <c r="Y977" t="n">
        <v>2023</v>
      </c>
      <c r="Z977" t="n">
        <v>10</v>
      </c>
      <c r="AA977" t="inlineStr">
        <is>
          <t>Oct</t>
        </is>
      </c>
      <c r="AB977" t="inlineStr">
        <is>
          <t>Sunday</t>
        </is>
      </c>
      <c r="AC977" t="n">
        <v>3</v>
      </c>
      <c r="AD977" t="inlineStr">
        <is>
          <t>Profitable</t>
        </is>
      </c>
      <c r="AE977" t="inlineStr">
        <is>
          <t>Low</t>
        </is>
      </c>
      <c r="AF977" t="inlineStr">
        <is>
          <t>Medium</t>
        </is>
      </c>
    </row>
    <row r="978">
      <c r="A978" t="inlineStr">
        <is>
          <t>ORD-00977</t>
        </is>
      </c>
      <c r="B978" s="2" t="n">
        <v>45350</v>
      </c>
      <c r="C978" s="2" t="n">
        <v>45352</v>
      </c>
      <c r="D978" t="inlineStr">
        <is>
          <t>CUST-00977</t>
        </is>
      </c>
      <c r="E978" t="inlineStr">
        <is>
          <t>Customer 977</t>
        </is>
      </c>
      <c r="F978" t="inlineStr">
        <is>
          <t>Consumer</t>
        </is>
      </c>
      <c r="G978" t="inlineStr">
        <is>
          <t>P1012</t>
        </is>
      </c>
      <c r="H978" t="inlineStr">
        <is>
          <t>Harbor Rug</t>
        </is>
      </c>
      <c r="I978" t="inlineStr">
        <is>
          <t>Office Supplies</t>
        </is>
      </c>
      <c r="J978" t="inlineStr">
        <is>
          <t>Bags</t>
        </is>
      </c>
      <c r="K978" t="inlineStr">
        <is>
          <t>East</t>
        </is>
      </c>
      <c r="L978" t="inlineStr">
        <is>
          <t>Virginia</t>
        </is>
      </c>
      <c r="M978" t="inlineStr">
        <is>
          <t>Boston</t>
        </is>
      </c>
      <c r="N978" t="inlineStr">
        <is>
          <t>Sophia Singh</t>
        </is>
      </c>
      <c r="O978" t="n">
        <v>2</v>
      </c>
      <c r="P978" s="3" t="n">
        <v>135.3</v>
      </c>
      <c r="Q978" s="4" t="n">
        <v>0.033</v>
      </c>
      <c r="R978" s="3" t="n">
        <v>261.67</v>
      </c>
      <c r="S978" s="3" t="n">
        <v>132.96</v>
      </c>
      <c r="T978" s="3" t="n">
        <v>120.11</v>
      </c>
      <c r="U978" s="4" t="n">
        <v>0.459</v>
      </c>
      <c r="V978" s="3" t="n">
        <v>8.6</v>
      </c>
      <c r="W978" t="inlineStr">
        <is>
          <t>Credit Card</t>
        </is>
      </c>
      <c r="X978" t="inlineStr">
        <is>
          <t>High</t>
        </is>
      </c>
      <c r="Y978" t="n">
        <v>2024</v>
      </c>
      <c r="Z978" t="n">
        <v>2</v>
      </c>
      <c r="AA978" t="inlineStr">
        <is>
          <t>Feb</t>
        </is>
      </c>
      <c r="AB978" t="inlineStr">
        <is>
          <t>Wednesday</t>
        </is>
      </c>
      <c r="AC978" t="n">
        <v>2</v>
      </c>
      <c r="AD978" t="inlineStr">
        <is>
          <t>Profitable</t>
        </is>
      </c>
      <c r="AE978" t="inlineStr">
        <is>
          <t>Medium</t>
        </is>
      </c>
      <c r="AF978" t="inlineStr">
        <is>
          <t>Small</t>
        </is>
      </c>
    </row>
    <row r="979">
      <c r="A979" t="inlineStr">
        <is>
          <t>ORD-00978</t>
        </is>
      </c>
      <c r="B979" s="2" t="n">
        <v>45181</v>
      </c>
      <c r="C979" s="2" t="n">
        <v>45186</v>
      </c>
      <c r="D979" t="inlineStr">
        <is>
          <t>CUST-00978</t>
        </is>
      </c>
      <c r="E979" t="inlineStr">
        <is>
          <t>Customer 978</t>
        </is>
      </c>
      <c r="F979" t="inlineStr">
        <is>
          <t>Home Office</t>
        </is>
      </c>
      <c r="G979" t="inlineStr">
        <is>
          <t>P1005</t>
        </is>
      </c>
      <c r="H979" t="inlineStr">
        <is>
          <t>Echo Web Camera</t>
        </is>
      </c>
      <c r="I979" t="inlineStr">
        <is>
          <t>Outdoor</t>
        </is>
      </c>
      <c r="J979" t="inlineStr">
        <is>
          <t>Accessories</t>
        </is>
      </c>
      <c r="K979" t="inlineStr">
        <is>
          <t>South</t>
        </is>
      </c>
      <c r="L979" t="inlineStr">
        <is>
          <t>Florida</t>
        </is>
      </c>
      <c r="M979" t="inlineStr">
        <is>
          <t>Houston</t>
        </is>
      </c>
      <c r="N979" t="inlineStr">
        <is>
          <t>Liam Chen</t>
        </is>
      </c>
      <c r="O979" t="n">
        <v>4</v>
      </c>
      <c r="P979" s="3" t="n">
        <v>12.72</v>
      </c>
      <c r="Q979" s="4" t="n">
        <v>0.003</v>
      </c>
      <c r="R979" s="3" t="n">
        <v>50.73</v>
      </c>
      <c r="S979" s="3" t="n">
        <v>26.48</v>
      </c>
      <c r="T979" s="3" t="n">
        <v>15.05</v>
      </c>
      <c r="U979" s="4" t="n">
        <v>0.2967</v>
      </c>
      <c r="V979" s="3" t="n">
        <v>9.199999999999999</v>
      </c>
      <c r="W979" t="inlineStr">
        <is>
          <t>Bank Transfer</t>
        </is>
      </c>
      <c r="X979" t="inlineStr">
        <is>
          <t>Low</t>
        </is>
      </c>
      <c r="Y979" t="n">
        <v>2023</v>
      </c>
      <c r="Z979" t="n">
        <v>9</v>
      </c>
      <c r="AA979" t="inlineStr">
        <is>
          <t>Sep</t>
        </is>
      </c>
      <c r="AB979" t="inlineStr">
        <is>
          <t>Tuesday</t>
        </is>
      </c>
      <c r="AC979" t="n">
        <v>5</v>
      </c>
      <c r="AD979" t="inlineStr">
        <is>
          <t>Profitable</t>
        </is>
      </c>
      <c r="AE979" t="inlineStr">
        <is>
          <t>Low</t>
        </is>
      </c>
      <c r="AF979" t="inlineStr">
        <is>
          <t>Small</t>
        </is>
      </c>
    </row>
    <row r="980">
      <c r="A980" t="inlineStr">
        <is>
          <t>ORD-00979</t>
        </is>
      </c>
      <c r="B980" s="2" t="n">
        <v>45546</v>
      </c>
      <c r="C980" s="2" t="n">
        <v>45552</v>
      </c>
      <c r="D980" t="inlineStr">
        <is>
          <t>CUST-00979</t>
        </is>
      </c>
      <c r="E980" t="inlineStr">
        <is>
          <t>Customer 979</t>
        </is>
      </c>
      <c r="F980" t="inlineStr">
        <is>
          <t>Consumer</t>
        </is>
      </c>
      <c r="G980" t="inlineStr">
        <is>
          <t>P1001</t>
        </is>
      </c>
      <c r="H980" t="inlineStr">
        <is>
          <t>Summit Patio Set</t>
        </is>
      </c>
      <c r="I980" t="inlineStr">
        <is>
          <t>Technology</t>
        </is>
      </c>
      <c r="J980" t="inlineStr">
        <is>
          <t>Plants</t>
        </is>
      </c>
      <c r="K980" t="inlineStr">
        <is>
          <t>Central</t>
        </is>
      </c>
      <c r="L980" t="inlineStr">
        <is>
          <t>Minnesota</t>
        </is>
      </c>
      <c r="M980" t="inlineStr">
        <is>
          <t>Minneapolis</t>
        </is>
      </c>
      <c r="N980" t="inlineStr">
        <is>
          <t>Liam Chen</t>
        </is>
      </c>
      <c r="O980" t="n">
        <v>2</v>
      </c>
      <c r="P980" s="3" t="n">
        <v>283.53</v>
      </c>
      <c r="Q980" s="4" t="n">
        <v>0.018</v>
      </c>
      <c r="R980" s="3" t="n">
        <v>556.85</v>
      </c>
      <c r="S980" s="3" t="n">
        <v>332.87</v>
      </c>
      <c r="T980" s="3" t="n">
        <v>216.38</v>
      </c>
      <c r="U980" s="4" t="n">
        <v>0.3886</v>
      </c>
      <c r="V980" s="3" t="n">
        <v>7.6</v>
      </c>
      <c r="W980" t="inlineStr">
        <is>
          <t>Bank Transfer</t>
        </is>
      </c>
      <c r="X980" t="inlineStr">
        <is>
          <t>Medium</t>
        </is>
      </c>
      <c r="Y980" t="n">
        <v>2024</v>
      </c>
      <c r="Z980" t="n">
        <v>9</v>
      </c>
      <c r="AA980" t="inlineStr">
        <is>
          <t>Sep</t>
        </is>
      </c>
      <c r="AB980" t="inlineStr">
        <is>
          <t>Wednesday</t>
        </is>
      </c>
      <c r="AC980" t="n">
        <v>6</v>
      </c>
      <c r="AD980" t="inlineStr">
        <is>
          <t>Profitable</t>
        </is>
      </c>
      <c r="AE980" t="inlineStr">
        <is>
          <t>Low</t>
        </is>
      </c>
      <c r="AF980" t="inlineStr">
        <is>
          <t>Medium</t>
        </is>
      </c>
    </row>
    <row r="981">
      <c r="A981" t="inlineStr">
        <is>
          <t>ORD-00980</t>
        </is>
      </c>
      <c r="B981" s="2" t="n">
        <v>45643</v>
      </c>
      <c r="C981" s="2" t="n">
        <v>45649</v>
      </c>
      <c r="D981" t="inlineStr">
        <is>
          <t>CUST-00980</t>
        </is>
      </c>
      <c r="E981" t="inlineStr">
        <is>
          <t>Customer 980</t>
        </is>
      </c>
      <c r="F981" t="inlineStr">
        <is>
          <t>Home Office</t>
        </is>
      </c>
      <c r="G981" t="inlineStr">
        <is>
          <t>P1002</t>
        </is>
      </c>
      <c r="H981" t="inlineStr">
        <is>
          <t>Pulse Keyboard</t>
        </is>
      </c>
      <c r="I981" t="inlineStr">
        <is>
          <t>Home Decor</t>
        </is>
      </c>
      <c r="J981" t="inlineStr">
        <is>
          <t>Coolers</t>
        </is>
      </c>
      <c r="K981" t="inlineStr">
        <is>
          <t>East</t>
        </is>
      </c>
      <c r="L981" t="inlineStr">
        <is>
          <t>New York</t>
        </is>
      </c>
      <c r="M981" t="inlineStr">
        <is>
          <t>Philadelphia</t>
        </is>
      </c>
      <c r="N981" t="inlineStr">
        <is>
          <t>James Carter</t>
        </is>
      </c>
      <c r="O981" t="n">
        <v>1</v>
      </c>
      <c r="P981" s="3" t="n">
        <v>89.61</v>
      </c>
      <c r="Q981" s="4" t="n">
        <v>0.008999999999999999</v>
      </c>
      <c r="R981" s="3" t="n">
        <v>88.8</v>
      </c>
      <c r="S981" s="3" t="n">
        <v>44.85</v>
      </c>
      <c r="T981" s="3" t="n">
        <v>36.15</v>
      </c>
      <c r="U981" s="4" t="n">
        <v>0.4071</v>
      </c>
      <c r="V981" s="3" t="n">
        <v>7.8</v>
      </c>
      <c r="W981" t="inlineStr">
        <is>
          <t>Cash on Delivery</t>
        </is>
      </c>
      <c r="X981" t="inlineStr">
        <is>
          <t>Low</t>
        </is>
      </c>
      <c r="Y981" t="n">
        <v>2024</v>
      </c>
      <c r="Z981" t="n">
        <v>12</v>
      </c>
      <c r="AA981" t="inlineStr">
        <is>
          <t>Dec</t>
        </is>
      </c>
      <c r="AB981" t="inlineStr">
        <is>
          <t>Tuesday</t>
        </is>
      </c>
      <c r="AC981" t="n">
        <v>6</v>
      </c>
      <c r="AD981" t="inlineStr">
        <is>
          <t>Profitable</t>
        </is>
      </c>
      <c r="AE981" t="inlineStr">
        <is>
          <t>Low</t>
        </is>
      </c>
      <c r="AF981" t="inlineStr">
        <is>
          <t>Small</t>
        </is>
      </c>
    </row>
    <row r="982">
      <c r="A982" t="inlineStr">
        <is>
          <t>ORD-00981</t>
        </is>
      </c>
      <c r="B982" s="2" t="n">
        <v>45295</v>
      </c>
      <c r="C982" s="2" t="n">
        <v>45299</v>
      </c>
      <c r="D982" t="inlineStr">
        <is>
          <t>CUST-00981</t>
        </is>
      </c>
      <c r="E982" t="inlineStr">
        <is>
          <t>Customer 981</t>
        </is>
      </c>
      <c r="F982" t="inlineStr">
        <is>
          <t>Consumer</t>
        </is>
      </c>
      <c r="G982" t="inlineStr">
        <is>
          <t>P1014</t>
        </is>
      </c>
      <c r="H982" t="inlineStr">
        <is>
          <t>SmartInk Pen Set</t>
        </is>
      </c>
      <c r="I982" t="inlineStr">
        <is>
          <t>Furniture</t>
        </is>
      </c>
      <c r="J982" t="inlineStr">
        <is>
          <t>Peripherals</t>
        </is>
      </c>
      <c r="K982" t="inlineStr">
        <is>
          <t>East</t>
        </is>
      </c>
      <c r="L982" t="inlineStr">
        <is>
          <t>Virginia</t>
        </is>
      </c>
      <c r="M982" t="inlineStr">
        <is>
          <t>Boston</t>
        </is>
      </c>
      <c r="N982" t="inlineStr">
        <is>
          <t>Olivia Martin</t>
        </is>
      </c>
      <c r="O982" t="n">
        <v>3</v>
      </c>
      <c r="P982" s="3" t="n">
        <v>40.95</v>
      </c>
      <c r="Q982" s="4" t="n">
        <v>0.017</v>
      </c>
      <c r="R982" s="3" t="n">
        <v>120.76</v>
      </c>
      <c r="S982" s="3" t="n">
        <v>59.03</v>
      </c>
      <c r="T982" s="3" t="n">
        <v>52.33</v>
      </c>
      <c r="U982" s="4" t="n">
        <v>0.4333</v>
      </c>
      <c r="V982" s="3" t="n">
        <v>9.4</v>
      </c>
      <c r="W982" t="inlineStr">
        <is>
          <t>Cash on Delivery</t>
        </is>
      </c>
      <c r="X982" t="inlineStr">
        <is>
          <t>Low</t>
        </is>
      </c>
      <c r="Y982" t="n">
        <v>2024</v>
      </c>
      <c r="Z982" t="n">
        <v>1</v>
      </c>
      <c r="AA982" t="inlineStr">
        <is>
          <t>Jan</t>
        </is>
      </c>
      <c r="AB982" t="inlineStr">
        <is>
          <t>Thursday</t>
        </is>
      </c>
      <c r="AC982" t="n">
        <v>4</v>
      </c>
      <c r="AD982" t="inlineStr">
        <is>
          <t>Profitable</t>
        </is>
      </c>
      <c r="AE982" t="inlineStr">
        <is>
          <t>Low</t>
        </is>
      </c>
      <c r="AF982" t="inlineStr">
        <is>
          <t>Small</t>
        </is>
      </c>
    </row>
    <row r="983">
      <c r="A983" t="inlineStr">
        <is>
          <t>ORD-00982</t>
        </is>
      </c>
      <c r="B983" s="2" t="n">
        <v>45770</v>
      </c>
      <c r="C983" s="2" t="n">
        <v>45775</v>
      </c>
      <c r="D983" t="inlineStr">
        <is>
          <t>CUST-00982</t>
        </is>
      </c>
      <c r="E983" t="inlineStr">
        <is>
          <t>Customer 982</t>
        </is>
      </c>
      <c r="F983" t="inlineStr">
        <is>
          <t>Corporate</t>
        </is>
      </c>
      <c r="G983" t="inlineStr">
        <is>
          <t>P1002</t>
        </is>
      </c>
      <c r="H983" t="inlineStr">
        <is>
          <t>Harbor Rug</t>
        </is>
      </c>
      <c r="I983" t="inlineStr">
        <is>
          <t>Technology</t>
        </is>
      </c>
      <c r="J983" t="inlineStr">
        <is>
          <t>Plants</t>
        </is>
      </c>
      <c r="K983" t="inlineStr">
        <is>
          <t>South</t>
        </is>
      </c>
      <c r="L983" t="inlineStr">
        <is>
          <t>Texas</t>
        </is>
      </c>
      <c r="M983" t="inlineStr">
        <is>
          <t>Miami</t>
        </is>
      </c>
      <c r="N983" t="inlineStr">
        <is>
          <t>Sophia Singh</t>
        </is>
      </c>
      <c r="O983" t="n">
        <v>4</v>
      </c>
      <c r="P983" s="3" t="n">
        <v>76.01000000000001</v>
      </c>
      <c r="Q983" s="4" t="n">
        <v>0.065</v>
      </c>
      <c r="R983" s="3" t="n">
        <v>284.28</v>
      </c>
      <c r="S983" s="3" t="n">
        <v>131.58</v>
      </c>
      <c r="T983" s="3" t="n">
        <v>143.5</v>
      </c>
      <c r="U983" s="4" t="n">
        <v>0.5048</v>
      </c>
      <c r="V983" s="3" t="n">
        <v>9.199999999999999</v>
      </c>
      <c r="W983" t="inlineStr">
        <is>
          <t>Credit Card</t>
        </is>
      </c>
      <c r="X983" t="inlineStr">
        <is>
          <t>High</t>
        </is>
      </c>
      <c r="Y983" t="n">
        <v>2025</v>
      </c>
      <c r="Z983" t="n">
        <v>4</v>
      </c>
      <c r="AA983" t="inlineStr">
        <is>
          <t>Apr</t>
        </is>
      </c>
      <c r="AB983" t="inlineStr">
        <is>
          <t>Wednesday</t>
        </is>
      </c>
      <c r="AC983" t="n">
        <v>5</v>
      </c>
      <c r="AD983" t="inlineStr">
        <is>
          <t>Profitable</t>
        </is>
      </c>
      <c r="AE983" t="inlineStr">
        <is>
          <t>High</t>
        </is>
      </c>
      <c r="AF983" t="inlineStr">
        <is>
          <t>Small</t>
        </is>
      </c>
    </row>
    <row r="984">
      <c r="A984" t="inlineStr">
        <is>
          <t>ORD-00983</t>
        </is>
      </c>
      <c r="B984" s="2" t="n">
        <v>45267</v>
      </c>
      <c r="C984" s="2" t="n">
        <v>45274</v>
      </c>
      <c r="D984" t="inlineStr">
        <is>
          <t>CUST-00983</t>
        </is>
      </c>
      <c r="E984" t="inlineStr">
        <is>
          <t>Customer 983</t>
        </is>
      </c>
      <c r="F984" t="inlineStr">
        <is>
          <t>Consumer</t>
        </is>
      </c>
      <c r="G984" t="inlineStr">
        <is>
          <t>P1005</t>
        </is>
      </c>
      <c r="H984" t="inlineStr">
        <is>
          <t>Orbit Wireless Mouse</t>
        </is>
      </c>
      <c r="I984" t="inlineStr">
        <is>
          <t>Furniture</t>
        </is>
      </c>
      <c r="J984" t="inlineStr">
        <is>
          <t>Storage</t>
        </is>
      </c>
      <c r="K984" t="inlineStr">
        <is>
          <t>South</t>
        </is>
      </c>
      <c r="L984" t="inlineStr">
        <is>
          <t>Georgia</t>
        </is>
      </c>
      <c r="M984" t="inlineStr">
        <is>
          <t>Miami</t>
        </is>
      </c>
      <c r="N984" t="inlineStr">
        <is>
          <t>Noah Kim</t>
        </is>
      </c>
      <c r="O984" t="n">
        <v>2</v>
      </c>
      <c r="P984" s="3" t="n">
        <v>13.79</v>
      </c>
      <c r="Q984" s="4" t="n">
        <v>0.019</v>
      </c>
      <c r="R984" s="3" t="n">
        <v>27.06</v>
      </c>
      <c r="S984" s="3" t="n">
        <v>16.24</v>
      </c>
      <c r="T984" s="3" t="n">
        <v>3.22</v>
      </c>
      <c r="U984" s="4" t="n">
        <v>0.119</v>
      </c>
      <c r="V984" s="3" t="n">
        <v>7.6</v>
      </c>
      <c r="W984" t="inlineStr">
        <is>
          <t>Credit Card</t>
        </is>
      </c>
      <c r="X984" t="inlineStr">
        <is>
          <t>Medium</t>
        </is>
      </c>
      <c r="Y984" t="n">
        <v>2023</v>
      </c>
      <c r="Z984" t="n">
        <v>12</v>
      </c>
      <c r="AA984" t="inlineStr">
        <is>
          <t>Dec</t>
        </is>
      </c>
      <c r="AB984" t="inlineStr">
        <is>
          <t>Thursday</t>
        </is>
      </c>
      <c r="AC984" t="n">
        <v>7</v>
      </c>
      <c r="AD984" t="inlineStr">
        <is>
          <t>Profitable</t>
        </is>
      </c>
      <c r="AE984" t="inlineStr">
        <is>
          <t>Low</t>
        </is>
      </c>
      <c r="AF984" t="inlineStr">
        <is>
          <t>Small</t>
        </is>
      </c>
    </row>
    <row r="985">
      <c r="A985" t="inlineStr">
        <is>
          <t>ORD-00984</t>
        </is>
      </c>
      <c r="B985" s="2" t="n">
        <v>45272</v>
      </c>
      <c r="C985" s="2" t="n">
        <v>45278</v>
      </c>
      <c r="D985" t="inlineStr">
        <is>
          <t>CUST-00984</t>
        </is>
      </c>
      <c r="E985" t="inlineStr">
        <is>
          <t>Customer 984</t>
        </is>
      </c>
      <c r="F985" t="inlineStr">
        <is>
          <t>Consumer</t>
        </is>
      </c>
      <c r="G985" t="inlineStr">
        <is>
          <t>P1010</t>
        </is>
      </c>
      <c r="H985" t="inlineStr">
        <is>
          <t>Orbit Wireless Mouse</t>
        </is>
      </c>
      <c r="I985" t="inlineStr">
        <is>
          <t>Technology</t>
        </is>
      </c>
      <c r="J985" t="inlineStr">
        <is>
          <t>Paper</t>
        </is>
      </c>
      <c r="K985" t="inlineStr">
        <is>
          <t>Central</t>
        </is>
      </c>
      <c r="L985" t="inlineStr">
        <is>
          <t>Missouri</t>
        </is>
      </c>
      <c r="M985" t="inlineStr">
        <is>
          <t>Chicago</t>
        </is>
      </c>
      <c r="N985" t="inlineStr">
        <is>
          <t>Ethan Brooks</t>
        </is>
      </c>
      <c r="O985" t="n">
        <v>1</v>
      </c>
      <c r="P985" s="3" t="n">
        <v>59.37</v>
      </c>
      <c r="Q985" s="4" t="n">
        <v>0.059</v>
      </c>
      <c r="R985" s="3" t="n">
        <v>55.87</v>
      </c>
      <c r="S985" s="3" t="n">
        <v>29.82</v>
      </c>
      <c r="T985" s="3" t="n">
        <v>19.25</v>
      </c>
      <c r="U985" s="4" t="n">
        <v>0.3445</v>
      </c>
      <c r="V985" s="3" t="n">
        <v>6.8</v>
      </c>
      <c r="W985" t="inlineStr">
        <is>
          <t>PayPal</t>
        </is>
      </c>
      <c r="X985" t="inlineStr">
        <is>
          <t>Critical</t>
        </is>
      </c>
      <c r="Y985" t="n">
        <v>2023</v>
      </c>
      <c r="Z985" t="n">
        <v>12</v>
      </c>
      <c r="AA985" t="inlineStr">
        <is>
          <t>Dec</t>
        </is>
      </c>
      <c r="AB985" t="inlineStr">
        <is>
          <t>Tuesday</t>
        </is>
      </c>
      <c r="AC985" t="n">
        <v>6</v>
      </c>
      <c r="AD985" t="inlineStr">
        <is>
          <t>Profitable</t>
        </is>
      </c>
      <c r="AE985" t="inlineStr">
        <is>
          <t>High</t>
        </is>
      </c>
      <c r="AF985" t="inlineStr">
        <is>
          <t>Small</t>
        </is>
      </c>
    </row>
    <row r="986">
      <c r="A986" t="inlineStr">
        <is>
          <t>ORD-00985</t>
        </is>
      </c>
      <c r="B986" s="2" t="n">
        <v>45943</v>
      </c>
      <c r="C986" s="2" t="n">
        <v>45946</v>
      </c>
      <c r="D986" t="inlineStr">
        <is>
          <t>CUST-00985</t>
        </is>
      </c>
      <c r="E986" t="inlineStr">
        <is>
          <t>Customer 985</t>
        </is>
      </c>
      <c r="F986" t="inlineStr">
        <is>
          <t>Consumer</t>
        </is>
      </c>
      <c r="G986" t="inlineStr">
        <is>
          <t>P1020</t>
        </is>
      </c>
      <c r="H986" t="inlineStr">
        <is>
          <t>Harbor Rug</t>
        </is>
      </c>
      <c r="I986" t="inlineStr">
        <is>
          <t>Office Supplies</t>
        </is>
      </c>
      <c r="J986" t="inlineStr">
        <is>
          <t>Accessories</t>
        </is>
      </c>
      <c r="K986" t="inlineStr">
        <is>
          <t>South</t>
        </is>
      </c>
      <c r="L986" t="inlineStr">
        <is>
          <t>North Carolina</t>
        </is>
      </c>
      <c r="M986" t="inlineStr">
        <is>
          <t>Dallas</t>
        </is>
      </c>
      <c r="N986" t="inlineStr">
        <is>
          <t>Olivia Martin</t>
        </is>
      </c>
      <c r="O986" t="n">
        <v>3</v>
      </c>
      <c r="P986" s="3" t="n">
        <v>75.59999999999999</v>
      </c>
      <c r="Q986" s="4" t="n">
        <v>0.02</v>
      </c>
      <c r="R986" s="3" t="n">
        <v>222.26</v>
      </c>
      <c r="S986" s="3" t="n">
        <v>106.14</v>
      </c>
      <c r="T986" s="3" t="n">
        <v>107.72</v>
      </c>
      <c r="U986" s="4" t="n">
        <v>0.4847</v>
      </c>
      <c r="V986" s="3" t="n">
        <v>8.4</v>
      </c>
      <c r="W986" t="inlineStr">
        <is>
          <t>Bank Transfer</t>
        </is>
      </c>
      <c r="X986" t="inlineStr">
        <is>
          <t>Medium</t>
        </is>
      </c>
      <c r="Y986" t="n">
        <v>2025</v>
      </c>
      <c r="Z986" t="n">
        <v>10</v>
      </c>
      <c r="AA986" t="inlineStr">
        <is>
          <t>Oct</t>
        </is>
      </c>
      <c r="AB986" t="inlineStr">
        <is>
          <t>Monday</t>
        </is>
      </c>
      <c r="AC986" t="n">
        <v>3</v>
      </c>
      <c r="AD986" t="inlineStr">
        <is>
          <t>Profitable</t>
        </is>
      </c>
      <c r="AE986" t="inlineStr">
        <is>
          <t>Medium</t>
        </is>
      </c>
      <c r="AF986" t="inlineStr">
        <is>
          <t>Small</t>
        </is>
      </c>
    </row>
    <row r="987">
      <c r="A987" t="inlineStr">
        <is>
          <t>ORD-00986</t>
        </is>
      </c>
      <c r="B987" s="2" t="n">
        <v>45570</v>
      </c>
      <c r="C987" s="2" t="n">
        <v>45571</v>
      </c>
      <c r="D987" t="inlineStr">
        <is>
          <t>CUST-00986</t>
        </is>
      </c>
      <c r="E987" t="inlineStr">
        <is>
          <t>Customer 986</t>
        </is>
      </c>
      <c r="F987" t="inlineStr">
        <is>
          <t>Corporate</t>
        </is>
      </c>
      <c r="G987" t="inlineStr">
        <is>
          <t>P1006</t>
        </is>
      </c>
      <c r="H987" t="inlineStr">
        <is>
          <t>Northstar Lantern</t>
        </is>
      </c>
      <c r="I987" t="inlineStr">
        <is>
          <t>Home Decor</t>
        </is>
      </c>
      <c r="J987" t="inlineStr">
        <is>
          <t>Chairs</t>
        </is>
      </c>
      <c r="K987" t="inlineStr">
        <is>
          <t>Central</t>
        </is>
      </c>
      <c r="L987" t="inlineStr">
        <is>
          <t>Minnesota</t>
        </is>
      </c>
      <c r="M987" t="inlineStr">
        <is>
          <t>Kansas City</t>
        </is>
      </c>
      <c r="N987" t="inlineStr">
        <is>
          <t>Liam Chen</t>
        </is>
      </c>
      <c r="O987" t="n">
        <v>1</v>
      </c>
      <c r="P987" s="3" t="n">
        <v>19.13</v>
      </c>
      <c r="Q987" s="4" t="n">
        <v>0.03</v>
      </c>
      <c r="R987" s="3" t="n">
        <v>18.56</v>
      </c>
      <c r="S987" s="3" t="n">
        <v>12.74</v>
      </c>
      <c r="T987" s="3" t="n">
        <v>-0.98</v>
      </c>
      <c r="U987" s="4" t="n">
        <v>-0.0528</v>
      </c>
      <c r="V987" s="3" t="n">
        <v>6.8</v>
      </c>
      <c r="W987" t="inlineStr">
        <is>
          <t>Credit Card</t>
        </is>
      </c>
      <c r="X987" t="inlineStr">
        <is>
          <t>High</t>
        </is>
      </c>
      <c r="Y987" t="n">
        <v>2024</v>
      </c>
      <c r="Z987" t="n">
        <v>10</v>
      </c>
      <c r="AA987" t="inlineStr">
        <is>
          <t>Oct</t>
        </is>
      </c>
      <c r="AB987" t="inlineStr">
        <is>
          <t>Saturday</t>
        </is>
      </c>
      <c r="AC987" t="n">
        <v>1</v>
      </c>
      <c r="AD987" t="inlineStr">
        <is>
          <t>Unprofitable</t>
        </is>
      </c>
      <c r="AE987" t="inlineStr">
        <is>
          <t>Medium</t>
        </is>
      </c>
      <c r="AF987" t="inlineStr">
        <is>
          <t>Small</t>
        </is>
      </c>
    </row>
    <row r="988">
      <c r="A988" t="inlineStr">
        <is>
          <t>ORD-00987</t>
        </is>
      </c>
      <c r="B988" s="2" t="n">
        <v>45716</v>
      </c>
      <c r="C988" s="2" t="n">
        <v>45722</v>
      </c>
      <c r="D988" t="inlineStr">
        <is>
          <t>CUST-00987</t>
        </is>
      </c>
      <c r="E988" t="inlineStr">
        <is>
          <t>Customer 987</t>
        </is>
      </c>
      <c r="F988" t="inlineStr">
        <is>
          <t>Consumer</t>
        </is>
      </c>
      <c r="G988" t="inlineStr">
        <is>
          <t>P1005</t>
        </is>
      </c>
      <c r="H988" t="inlineStr">
        <is>
          <t>Summit Patio Set</t>
        </is>
      </c>
      <c r="I988" t="inlineStr">
        <is>
          <t>Outdoor</t>
        </is>
      </c>
      <c r="J988" t="inlineStr">
        <is>
          <t>Lighting</t>
        </is>
      </c>
      <c r="K988" t="inlineStr">
        <is>
          <t>West</t>
        </is>
      </c>
      <c r="L988" t="inlineStr">
        <is>
          <t>Oregon</t>
        </is>
      </c>
      <c r="M988" t="inlineStr">
        <is>
          <t>San Francisco</t>
        </is>
      </c>
      <c r="N988" t="inlineStr">
        <is>
          <t>Ethan Brooks</t>
        </is>
      </c>
      <c r="O988" t="n">
        <v>2</v>
      </c>
      <c r="P988" s="3" t="n">
        <v>13.07</v>
      </c>
      <c r="Q988" s="4" t="n">
        <v>0.019</v>
      </c>
      <c r="R988" s="3" t="n">
        <v>25.64</v>
      </c>
      <c r="S988" s="3" t="n">
        <v>16.22</v>
      </c>
      <c r="T988" s="3" t="n">
        <v>0.82</v>
      </c>
      <c r="U988" s="4" t="n">
        <v>0.032</v>
      </c>
      <c r="V988" s="3" t="n">
        <v>8.6</v>
      </c>
      <c r="W988" t="inlineStr">
        <is>
          <t>Debit Card</t>
        </is>
      </c>
      <c r="X988" t="inlineStr">
        <is>
          <t>High</t>
        </is>
      </c>
      <c r="Y988" t="n">
        <v>2025</v>
      </c>
      <c r="Z988" t="n">
        <v>2</v>
      </c>
      <c r="AA988" t="inlineStr">
        <is>
          <t>Feb</t>
        </is>
      </c>
      <c r="AB988" t="inlineStr">
        <is>
          <t>Friday</t>
        </is>
      </c>
      <c r="AC988" t="n">
        <v>6</v>
      </c>
      <c r="AD988" t="inlineStr">
        <is>
          <t>Profitable</t>
        </is>
      </c>
      <c r="AE988" t="inlineStr">
        <is>
          <t>Low</t>
        </is>
      </c>
      <c r="AF988" t="inlineStr">
        <is>
          <t>Small</t>
        </is>
      </c>
    </row>
    <row r="989">
      <c r="A989" t="inlineStr">
        <is>
          <t>ORD-00988</t>
        </is>
      </c>
      <c r="B989" s="2" t="n">
        <v>45479</v>
      </c>
      <c r="C989" s="2" t="n">
        <v>45483</v>
      </c>
      <c r="D989" t="inlineStr">
        <is>
          <t>CUST-00988</t>
        </is>
      </c>
      <c r="E989" t="inlineStr">
        <is>
          <t>Customer 988</t>
        </is>
      </c>
      <c r="F989" t="inlineStr">
        <is>
          <t>Corporate</t>
        </is>
      </c>
      <c r="G989" t="inlineStr">
        <is>
          <t>P1002</t>
        </is>
      </c>
      <c r="H989" t="inlineStr">
        <is>
          <t>Trail Tote</t>
        </is>
      </c>
      <c r="I989" t="inlineStr">
        <is>
          <t>Furniture</t>
        </is>
      </c>
      <c r="J989" t="inlineStr">
        <is>
          <t>Storage</t>
        </is>
      </c>
      <c r="K989" t="inlineStr">
        <is>
          <t>East</t>
        </is>
      </c>
      <c r="L989" t="inlineStr">
        <is>
          <t>Massachusetts</t>
        </is>
      </c>
      <c r="M989" t="inlineStr">
        <is>
          <t>Washington</t>
        </is>
      </c>
      <c r="N989" t="inlineStr">
        <is>
          <t>Ethan Brooks</t>
        </is>
      </c>
      <c r="O989" t="n">
        <v>4</v>
      </c>
      <c r="P989" s="3" t="n">
        <v>81.98</v>
      </c>
      <c r="Q989" s="4" t="n">
        <v>0.04</v>
      </c>
      <c r="R989" s="3" t="n">
        <v>314.8</v>
      </c>
      <c r="S989" s="3" t="n">
        <v>143.99</v>
      </c>
      <c r="T989" s="3" t="n">
        <v>160.61</v>
      </c>
      <c r="U989" s="4" t="n">
        <v>0.5102</v>
      </c>
      <c r="V989" s="3" t="n">
        <v>10.2</v>
      </c>
      <c r="W989" t="inlineStr">
        <is>
          <t>Cash on Delivery</t>
        </is>
      </c>
      <c r="X989" t="inlineStr">
        <is>
          <t>Medium</t>
        </is>
      </c>
      <c r="Y989" t="n">
        <v>2024</v>
      </c>
      <c r="Z989" t="n">
        <v>7</v>
      </c>
      <c r="AA989" t="inlineStr">
        <is>
          <t>Jul</t>
        </is>
      </c>
      <c r="AB989" t="inlineStr">
        <is>
          <t>Saturday</t>
        </is>
      </c>
      <c r="AC989" t="n">
        <v>4</v>
      </c>
      <c r="AD989" t="inlineStr">
        <is>
          <t>Profitable</t>
        </is>
      </c>
      <c r="AE989" t="inlineStr">
        <is>
          <t>Medium</t>
        </is>
      </c>
      <c r="AF989" t="inlineStr">
        <is>
          <t>Small</t>
        </is>
      </c>
    </row>
    <row r="990">
      <c r="A990" t="inlineStr">
        <is>
          <t>ORD-00989</t>
        </is>
      </c>
      <c r="B990" s="2" t="n">
        <v>45018</v>
      </c>
      <c r="C990" s="2" t="n">
        <v>45025</v>
      </c>
      <c r="D990" t="inlineStr">
        <is>
          <t>CUST-00989</t>
        </is>
      </c>
      <c r="E990" t="inlineStr">
        <is>
          <t>Customer 989</t>
        </is>
      </c>
      <c r="F990" t="inlineStr">
        <is>
          <t>Consumer</t>
        </is>
      </c>
      <c r="G990" t="inlineStr">
        <is>
          <t>P1009</t>
        </is>
      </c>
      <c r="H990" t="inlineStr">
        <is>
          <t>SmartInk Pen Set</t>
        </is>
      </c>
      <c r="I990" t="inlineStr">
        <is>
          <t>Office Supplies</t>
        </is>
      </c>
      <c r="J990" t="inlineStr">
        <is>
          <t>Paper</t>
        </is>
      </c>
      <c r="K990" t="inlineStr">
        <is>
          <t>Central</t>
        </is>
      </c>
      <c r="L990" t="inlineStr">
        <is>
          <t>Illinois</t>
        </is>
      </c>
      <c r="M990" t="inlineStr">
        <is>
          <t>Kansas City</t>
        </is>
      </c>
      <c r="N990" t="inlineStr">
        <is>
          <t>Olivia Martin</t>
        </is>
      </c>
      <c r="O990" t="n">
        <v>3</v>
      </c>
      <c r="P990" s="3" t="n">
        <v>88.93000000000001</v>
      </c>
      <c r="Q990" s="4" t="n">
        <v>0.025</v>
      </c>
      <c r="R990" s="3" t="n">
        <v>260.12</v>
      </c>
      <c r="S990" s="3" t="n">
        <v>129.73</v>
      </c>
      <c r="T990" s="3" t="n">
        <v>121.99</v>
      </c>
      <c r="U990" s="4" t="n">
        <v>0.469</v>
      </c>
      <c r="V990" s="3" t="n">
        <v>8.4</v>
      </c>
      <c r="W990" t="inlineStr">
        <is>
          <t>Credit Card</t>
        </is>
      </c>
      <c r="X990" t="inlineStr">
        <is>
          <t>Medium</t>
        </is>
      </c>
      <c r="Y990" t="n">
        <v>2023</v>
      </c>
      <c r="Z990" t="n">
        <v>4</v>
      </c>
      <c r="AA990" t="inlineStr">
        <is>
          <t>Apr</t>
        </is>
      </c>
      <c r="AB990" t="inlineStr">
        <is>
          <t>Sunday</t>
        </is>
      </c>
      <c r="AC990" t="n">
        <v>7</v>
      </c>
      <c r="AD990" t="inlineStr">
        <is>
          <t>Profitable</t>
        </is>
      </c>
      <c r="AE990" t="inlineStr">
        <is>
          <t>Medium</t>
        </is>
      </c>
      <c r="AF990" t="inlineStr">
        <is>
          <t>Small</t>
        </is>
      </c>
    </row>
    <row r="991">
      <c r="A991" t="inlineStr">
        <is>
          <t>ORD-00990</t>
        </is>
      </c>
      <c r="B991" s="2" t="n">
        <v>45737</v>
      </c>
      <c r="C991" s="2" t="n">
        <v>45740</v>
      </c>
      <c r="D991" t="inlineStr">
        <is>
          <t>CUST-00990</t>
        </is>
      </c>
      <c r="E991" t="inlineStr">
        <is>
          <t>Customer 990</t>
        </is>
      </c>
      <c r="F991" t="inlineStr">
        <is>
          <t>Home Office</t>
        </is>
      </c>
      <c r="G991" t="inlineStr">
        <is>
          <t>P1010</t>
        </is>
      </c>
      <c r="H991" t="inlineStr">
        <is>
          <t>Aero Standing Desk</t>
        </is>
      </c>
      <c r="I991" t="inlineStr">
        <is>
          <t>Furniture</t>
        </is>
      </c>
      <c r="J991" t="inlineStr">
        <is>
          <t>Coolers</t>
        </is>
      </c>
      <c r="K991" t="inlineStr">
        <is>
          <t>West</t>
        </is>
      </c>
      <c r="L991" t="inlineStr">
        <is>
          <t>Washington</t>
        </is>
      </c>
      <c r="M991" t="inlineStr">
        <is>
          <t>Los Angeles</t>
        </is>
      </c>
      <c r="N991" t="inlineStr">
        <is>
          <t>Liam Chen</t>
        </is>
      </c>
      <c r="O991" t="n">
        <v>5</v>
      </c>
      <c r="P991" s="3" t="n">
        <v>53.95</v>
      </c>
      <c r="Q991" s="4" t="n">
        <v>0.027</v>
      </c>
      <c r="R991" s="3" t="n">
        <v>262.47</v>
      </c>
      <c r="S991" s="3" t="n">
        <v>111.92</v>
      </c>
      <c r="T991" s="3" t="n">
        <v>139.55</v>
      </c>
      <c r="U991" s="4" t="n">
        <v>0.5317</v>
      </c>
      <c r="V991" s="3" t="n">
        <v>11</v>
      </c>
      <c r="W991" t="inlineStr">
        <is>
          <t>Debit Card</t>
        </is>
      </c>
      <c r="X991" t="inlineStr">
        <is>
          <t>Critical</t>
        </is>
      </c>
      <c r="Y991" t="n">
        <v>2025</v>
      </c>
      <c r="Z991" t="n">
        <v>3</v>
      </c>
      <c r="AA991" t="inlineStr">
        <is>
          <t>Mar</t>
        </is>
      </c>
      <c r="AB991" t="inlineStr">
        <is>
          <t>Friday</t>
        </is>
      </c>
      <c r="AC991" t="n">
        <v>3</v>
      </c>
      <c r="AD991" t="inlineStr">
        <is>
          <t>Profitable</t>
        </is>
      </c>
      <c r="AE991" t="inlineStr">
        <is>
          <t>Medium</t>
        </is>
      </c>
      <c r="AF991" t="inlineStr">
        <is>
          <t>Small</t>
        </is>
      </c>
    </row>
    <row r="992">
      <c r="A992" t="inlineStr">
        <is>
          <t>ORD-00991</t>
        </is>
      </c>
      <c r="B992" s="2" t="n">
        <v>45968</v>
      </c>
      <c r="C992" s="2" t="n">
        <v>45973</v>
      </c>
      <c r="D992" t="inlineStr">
        <is>
          <t>CUST-00991</t>
        </is>
      </c>
      <c r="E992" t="inlineStr">
        <is>
          <t>Customer 991</t>
        </is>
      </c>
      <c r="F992" t="inlineStr">
        <is>
          <t>Consumer</t>
        </is>
      </c>
      <c r="G992" t="inlineStr">
        <is>
          <t>P1008</t>
        </is>
      </c>
      <c r="H992" t="inlineStr">
        <is>
          <t>Summit Patio Set</t>
        </is>
      </c>
      <c r="I992" t="inlineStr">
        <is>
          <t>Outdoor</t>
        </is>
      </c>
      <c r="J992" t="inlineStr">
        <is>
          <t>Accessories</t>
        </is>
      </c>
      <c r="K992" t="inlineStr">
        <is>
          <t>East</t>
        </is>
      </c>
      <c r="L992" t="inlineStr">
        <is>
          <t>New Jersey</t>
        </is>
      </c>
      <c r="M992" t="inlineStr">
        <is>
          <t>Boston</t>
        </is>
      </c>
      <c r="N992" t="inlineStr">
        <is>
          <t>Noah Kim</t>
        </is>
      </c>
      <c r="O992" t="n">
        <v>2</v>
      </c>
      <c r="P992" s="3" t="n">
        <v>37.42</v>
      </c>
      <c r="Q992" s="4" t="n">
        <v>0.012</v>
      </c>
      <c r="R992" s="3" t="n">
        <v>73.94</v>
      </c>
      <c r="S992" s="3" t="n">
        <v>38.42</v>
      </c>
      <c r="T992" s="3" t="n">
        <v>26.92</v>
      </c>
      <c r="U992" s="4" t="n">
        <v>0.3641</v>
      </c>
      <c r="V992" s="3" t="n">
        <v>8.6</v>
      </c>
      <c r="W992" t="inlineStr">
        <is>
          <t>PayPal</t>
        </is>
      </c>
      <c r="X992" t="inlineStr">
        <is>
          <t>Low</t>
        </is>
      </c>
      <c r="Y992" t="n">
        <v>2025</v>
      </c>
      <c r="Z992" t="n">
        <v>11</v>
      </c>
      <c r="AA992" t="inlineStr">
        <is>
          <t>Nov</t>
        </is>
      </c>
      <c r="AB992" t="inlineStr">
        <is>
          <t>Friday</t>
        </is>
      </c>
      <c r="AC992" t="n">
        <v>5</v>
      </c>
      <c r="AD992" t="inlineStr">
        <is>
          <t>Profitable</t>
        </is>
      </c>
      <c r="AE992" t="inlineStr">
        <is>
          <t>Low</t>
        </is>
      </c>
      <c r="AF992" t="inlineStr">
        <is>
          <t>Small</t>
        </is>
      </c>
    </row>
    <row r="993">
      <c r="A993" t="inlineStr">
        <is>
          <t>ORD-00992</t>
        </is>
      </c>
      <c r="B993" s="2" t="n">
        <v>45730</v>
      </c>
      <c r="C993" s="2" t="n">
        <v>45736</v>
      </c>
      <c r="D993" t="inlineStr">
        <is>
          <t>CUST-00992</t>
        </is>
      </c>
      <c r="E993" t="inlineStr">
        <is>
          <t>Customer 992</t>
        </is>
      </c>
      <c r="F993" t="inlineStr">
        <is>
          <t>Corporate</t>
        </is>
      </c>
      <c r="G993" t="inlineStr">
        <is>
          <t>P1006</t>
        </is>
      </c>
      <c r="H993" t="inlineStr">
        <is>
          <t>Aero Standing Desk</t>
        </is>
      </c>
      <c r="I993" t="inlineStr">
        <is>
          <t>Outdoor</t>
        </is>
      </c>
      <c r="J993" t="inlineStr">
        <is>
          <t>Chairs</t>
        </is>
      </c>
      <c r="K993" t="inlineStr">
        <is>
          <t>East</t>
        </is>
      </c>
      <c r="L993" t="inlineStr">
        <is>
          <t>New Jersey</t>
        </is>
      </c>
      <c r="M993" t="inlineStr">
        <is>
          <t>New York</t>
        </is>
      </c>
      <c r="N993" t="inlineStr">
        <is>
          <t>Olivia Martin</t>
        </is>
      </c>
      <c r="O993" t="n">
        <v>2</v>
      </c>
      <c r="P993" s="3" t="n">
        <v>17.59</v>
      </c>
      <c r="Q993" s="4" t="n">
        <v>0.031</v>
      </c>
      <c r="R993" s="3" t="n">
        <v>34.09</v>
      </c>
      <c r="S993" s="3" t="n">
        <v>18.31</v>
      </c>
      <c r="T993" s="3" t="n">
        <v>7.18</v>
      </c>
      <c r="U993" s="4" t="n">
        <v>0.2106</v>
      </c>
      <c r="V993" s="3" t="n">
        <v>8.6</v>
      </c>
      <c r="W993" t="inlineStr">
        <is>
          <t>Debit Card</t>
        </is>
      </c>
      <c r="X993" t="inlineStr">
        <is>
          <t>Medium</t>
        </is>
      </c>
      <c r="Y993" t="n">
        <v>2025</v>
      </c>
      <c r="Z993" t="n">
        <v>3</v>
      </c>
      <c r="AA993" t="inlineStr">
        <is>
          <t>Mar</t>
        </is>
      </c>
      <c r="AB993" t="inlineStr">
        <is>
          <t>Friday</t>
        </is>
      </c>
      <c r="AC993" t="n">
        <v>6</v>
      </c>
      <c r="AD993" t="inlineStr">
        <is>
          <t>Profitable</t>
        </is>
      </c>
      <c r="AE993" t="inlineStr">
        <is>
          <t>Medium</t>
        </is>
      </c>
      <c r="AF993" t="inlineStr">
        <is>
          <t>Small</t>
        </is>
      </c>
    </row>
    <row r="994">
      <c r="A994" t="inlineStr">
        <is>
          <t>ORD-00993</t>
        </is>
      </c>
      <c r="B994" s="2" t="n">
        <v>45132</v>
      </c>
      <c r="C994" s="2" t="n">
        <v>45135</v>
      </c>
      <c r="D994" t="inlineStr">
        <is>
          <t>CUST-00993</t>
        </is>
      </c>
      <c r="E994" t="inlineStr">
        <is>
          <t>Customer 993</t>
        </is>
      </c>
      <c r="F994" t="inlineStr">
        <is>
          <t>Consumer</t>
        </is>
      </c>
      <c r="G994" t="inlineStr">
        <is>
          <t>P1005</t>
        </is>
      </c>
      <c r="H994" t="inlineStr">
        <is>
          <t>Tide Cooler</t>
        </is>
      </c>
      <c r="I994" t="inlineStr">
        <is>
          <t>Office Supplies</t>
        </is>
      </c>
      <c r="J994" t="inlineStr">
        <is>
          <t>Lighting</t>
        </is>
      </c>
      <c r="K994" t="inlineStr">
        <is>
          <t>Central</t>
        </is>
      </c>
      <c r="L994" t="inlineStr">
        <is>
          <t>Kansas</t>
        </is>
      </c>
      <c r="M994" t="inlineStr">
        <is>
          <t>Minneapolis</t>
        </is>
      </c>
      <c r="N994" t="inlineStr">
        <is>
          <t>Sophia Singh</t>
        </is>
      </c>
      <c r="O994" t="n">
        <v>3</v>
      </c>
      <c r="P994" s="3" t="n">
        <v>12.58</v>
      </c>
      <c r="Q994" s="4" t="n">
        <v>0.002</v>
      </c>
      <c r="R994" s="3" t="n">
        <v>37.66</v>
      </c>
      <c r="S994" s="3" t="n">
        <v>20.76</v>
      </c>
      <c r="T994" s="3" t="n">
        <v>8.5</v>
      </c>
      <c r="U994" s="4" t="n">
        <v>0.2257</v>
      </c>
      <c r="V994" s="3" t="n">
        <v>8.4</v>
      </c>
      <c r="W994" t="inlineStr">
        <is>
          <t>Bank Transfer</t>
        </is>
      </c>
      <c r="X994" t="inlineStr">
        <is>
          <t>Low</t>
        </is>
      </c>
      <c r="Y994" t="n">
        <v>2023</v>
      </c>
      <c r="Z994" t="n">
        <v>7</v>
      </c>
      <c r="AA994" t="inlineStr">
        <is>
          <t>Jul</t>
        </is>
      </c>
      <c r="AB994" t="inlineStr">
        <is>
          <t>Tuesday</t>
        </is>
      </c>
      <c r="AC994" t="n">
        <v>3</v>
      </c>
      <c r="AD994" t="inlineStr">
        <is>
          <t>Profitable</t>
        </is>
      </c>
      <c r="AE994" t="inlineStr">
        <is>
          <t>Low</t>
        </is>
      </c>
      <c r="AF994" t="inlineStr">
        <is>
          <t>Small</t>
        </is>
      </c>
    </row>
    <row r="995">
      <c r="A995" t="inlineStr">
        <is>
          <t>ORD-00994</t>
        </is>
      </c>
      <c r="B995" s="2" t="n">
        <v>45648</v>
      </c>
      <c r="C995" s="2" t="n">
        <v>45651</v>
      </c>
      <c r="D995" t="inlineStr">
        <is>
          <t>CUST-00994</t>
        </is>
      </c>
      <c r="E995" t="inlineStr">
        <is>
          <t>Customer 994</t>
        </is>
      </c>
      <c r="F995" t="inlineStr">
        <is>
          <t>Corporate</t>
        </is>
      </c>
      <c r="G995" t="inlineStr">
        <is>
          <t>P1018</t>
        </is>
      </c>
      <c r="H995" t="inlineStr">
        <is>
          <t>Trail Tote</t>
        </is>
      </c>
      <c r="I995" t="inlineStr">
        <is>
          <t>Outdoor</t>
        </is>
      </c>
      <c r="J995" t="inlineStr">
        <is>
          <t>Decor</t>
        </is>
      </c>
      <c r="K995" t="inlineStr">
        <is>
          <t>Central</t>
        </is>
      </c>
      <c r="L995" t="inlineStr">
        <is>
          <t>Minnesota</t>
        </is>
      </c>
      <c r="M995" t="inlineStr">
        <is>
          <t>Chicago</t>
        </is>
      </c>
      <c r="N995" t="inlineStr">
        <is>
          <t>Ava Patel</t>
        </is>
      </c>
      <c r="O995" t="n">
        <v>6</v>
      </c>
      <c r="P995" s="3" t="n">
        <v>91.23999999999999</v>
      </c>
      <c r="Q995" s="4" t="n">
        <v>0.013</v>
      </c>
      <c r="R995" s="3" t="n">
        <v>540.3200000000001</v>
      </c>
      <c r="S995" s="3" t="n">
        <v>238.53</v>
      </c>
      <c r="T995" s="3" t="n">
        <v>290.99</v>
      </c>
      <c r="U995" s="4" t="n">
        <v>0.5386</v>
      </c>
      <c r="V995" s="3" t="n">
        <v>10.8</v>
      </c>
      <c r="W995" t="inlineStr">
        <is>
          <t>Credit Card</t>
        </is>
      </c>
      <c r="X995" t="inlineStr">
        <is>
          <t>Medium</t>
        </is>
      </c>
      <c r="Y995" t="n">
        <v>2024</v>
      </c>
      <c r="Z995" t="n">
        <v>12</v>
      </c>
      <c r="AA995" t="inlineStr">
        <is>
          <t>Dec</t>
        </is>
      </c>
      <c r="AB995" t="inlineStr">
        <is>
          <t>Sunday</t>
        </is>
      </c>
      <c r="AC995" t="n">
        <v>3</v>
      </c>
      <c r="AD995" t="inlineStr">
        <is>
          <t>Profitable</t>
        </is>
      </c>
      <c r="AE995" t="inlineStr">
        <is>
          <t>Low</t>
        </is>
      </c>
      <c r="AF995" t="inlineStr">
        <is>
          <t>Medium</t>
        </is>
      </c>
    </row>
    <row r="996">
      <c r="A996" t="inlineStr">
        <is>
          <t>ORD-00995</t>
        </is>
      </c>
      <c r="B996" s="2" t="n">
        <v>45379</v>
      </c>
      <c r="C996" s="2" t="n">
        <v>45386</v>
      </c>
      <c r="D996" t="inlineStr">
        <is>
          <t>CUST-00995</t>
        </is>
      </c>
      <c r="E996" t="inlineStr">
        <is>
          <t>Customer 995</t>
        </is>
      </c>
      <c r="F996" t="inlineStr">
        <is>
          <t>Consumer</t>
        </is>
      </c>
      <c r="G996" t="inlineStr">
        <is>
          <t>P1020</t>
        </is>
      </c>
      <c r="H996" t="inlineStr">
        <is>
          <t>CloudDrive File Box</t>
        </is>
      </c>
      <c r="I996" t="inlineStr">
        <is>
          <t>Technology</t>
        </is>
      </c>
      <c r="J996" t="inlineStr">
        <is>
          <t>Decor</t>
        </is>
      </c>
      <c r="K996" t="inlineStr">
        <is>
          <t>West</t>
        </is>
      </c>
      <c r="L996" t="inlineStr">
        <is>
          <t>California</t>
        </is>
      </c>
      <c r="M996" t="inlineStr">
        <is>
          <t>Los Angeles</t>
        </is>
      </c>
      <c r="N996" t="inlineStr">
        <is>
          <t>Sophia Singh</t>
        </is>
      </c>
      <c r="O996" t="n">
        <v>3</v>
      </c>
      <c r="P996" s="3" t="n">
        <v>79.33</v>
      </c>
      <c r="Q996" s="4" t="n">
        <v>0.042</v>
      </c>
      <c r="R996" s="3" t="n">
        <v>227.99</v>
      </c>
      <c r="S996" s="3" t="n">
        <v>113.22</v>
      </c>
      <c r="T996" s="3" t="n">
        <v>105.37</v>
      </c>
      <c r="U996" s="4" t="n">
        <v>0.4622</v>
      </c>
      <c r="V996" s="3" t="n">
        <v>9.4</v>
      </c>
      <c r="W996" t="inlineStr">
        <is>
          <t>Credit Card</t>
        </is>
      </c>
      <c r="X996" t="inlineStr">
        <is>
          <t>High</t>
        </is>
      </c>
      <c r="Y996" t="n">
        <v>2024</v>
      </c>
      <c r="Z996" t="n">
        <v>3</v>
      </c>
      <c r="AA996" t="inlineStr">
        <is>
          <t>Mar</t>
        </is>
      </c>
      <c r="AB996" t="inlineStr">
        <is>
          <t>Thursday</t>
        </is>
      </c>
      <c r="AC996" t="n">
        <v>7</v>
      </c>
      <c r="AD996" t="inlineStr">
        <is>
          <t>Profitable</t>
        </is>
      </c>
      <c r="AE996" t="inlineStr">
        <is>
          <t>Medium</t>
        </is>
      </c>
      <c r="AF996" t="inlineStr">
        <is>
          <t>Small</t>
        </is>
      </c>
    </row>
    <row r="997">
      <c r="A997" t="inlineStr">
        <is>
          <t>ORD-00996</t>
        </is>
      </c>
      <c r="B997" s="2" t="n">
        <v>45274</v>
      </c>
      <c r="C997" s="2" t="n">
        <v>45277</v>
      </c>
      <c r="D997" t="inlineStr">
        <is>
          <t>CUST-00996</t>
        </is>
      </c>
      <c r="E997" t="inlineStr">
        <is>
          <t>Customer 996</t>
        </is>
      </c>
      <c r="F997" t="inlineStr">
        <is>
          <t>Corporate</t>
        </is>
      </c>
      <c r="G997" t="inlineStr">
        <is>
          <t>P1018</t>
        </is>
      </c>
      <c r="H997" t="inlineStr">
        <is>
          <t>CloudDrive File Box</t>
        </is>
      </c>
      <c r="I997" t="inlineStr">
        <is>
          <t>Outdoor</t>
        </is>
      </c>
      <c r="J997" t="inlineStr">
        <is>
          <t>Desks</t>
        </is>
      </c>
      <c r="K997" t="inlineStr">
        <is>
          <t>Central</t>
        </is>
      </c>
      <c r="L997" t="inlineStr">
        <is>
          <t>Illinois</t>
        </is>
      </c>
      <c r="M997" t="inlineStr">
        <is>
          <t>Minneapolis</t>
        </is>
      </c>
      <c r="N997" t="inlineStr">
        <is>
          <t>Ava Patel</t>
        </is>
      </c>
      <c r="O997" t="n">
        <v>2</v>
      </c>
      <c r="P997" s="3" t="n">
        <v>98.94</v>
      </c>
      <c r="Q997" s="4" t="n">
        <v>0.057</v>
      </c>
      <c r="R997" s="3" t="n">
        <v>186.6</v>
      </c>
      <c r="S997" s="3" t="n">
        <v>86.91</v>
      </c>
      <c r="T997" s="3" t="n">
        <v>92.09</v>
      </c>
      <c r="U997" s="4" t="n">
        <v>0.4935</v>
      </c>
      <c r="V997" s="3" t="n">
        <v>7.6</v>
      </c>
      <c r="W997" t="inlineStr">
        <is>
          <t>Debit Card</t>
        </is>
      </c>
      <c r="X997" t="inlineStr">
        <is>
          <t>High</t>
        </is>
      </c>
      <c r="Y997" t="n">
        <v>2023</v>
      </c>
      <c r="Z997" t="n">
        <v>12</v>
      </c>
      <c r="AA997" t="inlineStr">
        <is>
          <t>Dec</t>
        </is>
      </c>
      <c r="AB997" t="inlineStr">
        <is>
          <t>Thursday</t>
        </is>
      </c>
      <c r="AC997" t="n">
        <v>3</v>
      </c>
      <c r="AD997" t="inlineStr">
        <is>
          <t>Profitable</t>
        </is>
      </c>
      <c r="AE997" t="inlineStr">
        <is>
          <t>High</t>
        </is>
      </c>
      <c r="AF997" t="inlineStr">
        <is>
          <t>Small</t>
        </is>
      </c>
    </row>
    <row r="998">
      <c r="A998" t="inlineStr">
        <is>
          <t>ORD-00997</t>
        </is>
      </c>
      <c r="B998" s="2" t="n">
        <v>46001</v>
      </c>
      <c r="C998" s="2" t="n">
        <v>46004</v>
      </c>
      <c r="D998" t="inlineStr">
        <is>
          <t>CUST-00997</t>
        </is>
      </c>
      <c r="E998" t="inlineStr">
        <is>
          <t>Customer 997</t>
        </is>
      </c>
      <c r="F998" t="inlineStr">
        <is>
          <t>Home Office</t>
        </is>
      </c>
      <c r="G998" t="inlineStr">
        <is>
          <t>P1002</t>
        </is>
      </c>
      <c r="H998" t="inlineStr">
        <is>
          <t>Atlas Throw Pillow</t>
        </is>
      </c>
      <c r="I998" t="inlineStr">
        <is>
          <t>Outdoor</t>
        </is>
      </c>
      <c r="J998" t="inlineStr">
        <is>
          <t>Writing</t>
        </is>
      </c>
      <c r="K998" t="inlineStr">
        <is>
          <t>West</t>
        </is>
      </c>
      <c r="L998" t="inlineStr">
        <is>
          <t>California</t>
        </is>
      </c>
      <c r="M998" t="inlineStr">
        <is>
          <t>Denver</t>
        </is>
      </c>
      <c r="N998" t="inlineStr">
        <is>
          <t>Ethan Brooks</t>
        </is>
      </c>
      <c r="O998" t="n">
        <v>5</v>
      </c>
      <c r="P998" s="3" t="n">
        <v>93.05</v>
      </c>
      <c r="Q998" s="4" t="n">
        <v>0.033</v>
      </c>
      <c r="R998" s="3" t="n">
        <v>449.9</v>
      </c>
      <c r="S998" s="3" t="n">
        <v>208.61</v>
      </c>
      <c r="T998" s="3" t="n">
        <v>230.29</v>
      </c>
      <c r="U998" s="4" t="n">
        <v>0.5119</v>
      </c>
      <c r="V998" s="3" t="n">
        <v>11</v>
      </c>
      <c r="W998" t="inlineStr">
        <is>
          <t>Cash on Delivery</t>
        </is>
      </c>
      <c r="X998" t="inlineStr">
        <is>
          <t>High</t>
        </is>
      </c>
      <c r="Y998" t="n">
        <v>2025</v>
      </c>
      <c r="Z998" t="n">
        <v>12</v>
      </c>
      <c r="AA998" t="inlineStr">
        <is>
          <t>Dec</t>
        </is>
      </c>
      <c r="AB998" t="inlineStr">
        <is>
          <t>Wednesday</t>
        </is>
      </c>
      <c r="AC998" t="n">
        <v>3</v>
      </c>
      <c r="AD998" t="inlineStr">
        <is>
          <t>Profitable</t>
        </is>
      </c>
      <c r="AE998" t="inlineStr">
        <is>
          <t>Medium</t>
        </is>
      </c>
      <c r="AF998" t="inlineStr">
        <is>
          <t>Small</t>
        </is>
      </c>
    </row>
    <row r="999">
      <c r="A999" t="inlineStr">
        <is>
          <t>ORD-00998</t>
        </is>
      </c>
      <c r="B999" s="2" t="n">
        <v>45142</v>
      </c>
      <c r="C999" s="2" t="n">
        <v>45149</v>
      </c>
      <c r="D999" t="inlineStr">
        <is>
          <t>CUST-00998</t>
        </is>
      </c>
      <c r="E999" t="inlineStr">
        <is>
          <t>Customer 998</t>
        </is>
      </c>
      <c r="F999" t="inlineStr">
        <is>
          <t>Consumer</t>
        </is>
      </c>
      <c r="G999" t="inlineStr">
        <is>
          <t>P1012</t>
        </is>
      </c>
      <c r="H999" t="inlineStr">
        <is>
          <t>Halo Planter</t>
        </is>
      </c>
      <c r="I999" t="inlineStr">
        <is>
          <t>Furniture</t>
        </is>
      </c>
      <c r="J999" t="inlineStr">
        <is>
          <t>Bags</t>
        </is>
      </c>
      <c r="K999" t="inlineStr">
        <is>
          <t>North</t>
        </is>
      </c>
      <c r="L999" t="inlineStr">
        <is>
          <t>Quebec</t>
        </is>
      </c>
      <c r="M999" t="inlineStr">
        <is>
          <t>Montreal</t>
        </is>
      </c>
      <c r="N999" t="inlineStr">
        <is>
          <t>Ethan Brooks</t>
        </is>
      </c>
      <c r="O999" t="n">
        <v>3</v>
      </c>
      <c r="P999" s="3" t="n">
        <v>138.83</v>
      </c>
      <c r="Q999" s="4" t="n">
        <v>0.006</v>
      </c>
      <c r="R999" s="3" t="n">
        <v>413.99</v>
      </c>
      <c r="S999" s="3" t="n">
        <v>212.38</v>
      </c>
      <c r="T999" s="3" t="n">
        <v>193.21</v>
      </c>
      <c r="U999" s="4" t="n">
        <v>0.4667</v>
      </c>
      <c r="V999" s="3" t="n">
        <v>8.4</v>
      </c>
      <c r="W999" t="inlineStr">
        <is>
          <t>Credit Card</t>
        </is>
      </c>
      <c r="X999" t="inlineStr">
        <is>
          <t>Low</t>
        </is>
      </c>
      <c r="Y999" t="n">
        <v>2023</v>
      </c>
      <c r="Z999" t="n">
        <v>8</v>
      </c>
      <c r="AA999" t="inlineStr">
        <is>
          <t>Aug</t>
        </is>
      </c>
      <c r="AB999" t="inlineStr">
        <is>
          <t>Friday</t>
        </is>
      </c>
      <c r="AC999" t="n">
        <v>7</v>
      </c>
      <c r="AD999" t="inlineStr">
        <is>
          <t>Profitable</t>
        </is>
      </c>
      <c r="AE999" t="inlineStr">
        <is>
          <t>Low</t>
        </is>
      </c>
      <c r="AF999" t="inlineStr">
        <is>
          <t>Small</t>
        </is>
      </c>
    </row>
    <row r="1000">
      <c r="A1000" t="inlineStr">
        <is>
          <t>ORD-00999</t>
        </is>
      </c>
      <c r="B1000" s="2" t="n">
        <v>45719</v>
      </c>
      <c r="C1000" s="2" t="n">
        <v>45726</v>
      </c>
      <c r="D1000" t="inlineStr">
        <is>
          <t>CUST-00999</t>
        </is>
      </c>
      <c r="E1000" t="inlineStr">
        <is>
          <t>Customer 999</t>
        </is>
      </c>
      <c r="F1000" t="inlineStr">
        <is>
          <t>Consumer</t>
        </is>
      </c>
      <c r="G1000" t="inlineStr">
        <is>
          <t>P1008</t>
        </is>
      </c>
      <c r="H1000" t="inlineStr">
        <is>
          <t>Tide Cooler</t>
        </is>
      </c>
      <c r="I1000" t="inlineStr">
        <is>
          <t>Home Decor</t>
        </is>
      </c>
      <c r="J1000" t="inlineStr">
        <is>
          <t>Peripherals</t>
        </is>
      </c>
      <c r="K1000" t="inlineStr">
        <is>
          <t>North</t>
        </is>
      </c>
      <c r="L1000" t="inlineStr">
        <is>
          <t>British Columbia</t>
        </is>
      </c>
      <c r="M1000" t="inlineStr">
        <is>
          <t>Toronto</t>
        </is>
      </c>
      <c r="N1000" t="inlineStr">
        <is>
          <t>Sophia Singh</t>
        </is>
      </c>
      <c r="O1000" t="n">
        <v>2</v>
      </c>
      <c r="P1000" s="3" t="n">
        <v>35.28</v>
      </c>
      <c r="Q1000" s="4" t="n">
        <v>0.016</v>
      </c>
      <c r="R1000" s="3" t="n">
        <v>69.43000000000001</v>
      </c>
      <c r="S1000" s="3" t="n">
        <v>34.84</v>
      </c>
      <c r="T1000" s="3" t="n">
        <v>26.99</v>
      </c>
      <c r="U1000" s="4" t="n">
        <v>0.3887</v>
      </c>
      <c r="V1000" s="3" t="n">
        <v>7.6</v>
      </c>
      <c r="W1000" t="inlineStr">
        <is>
          <t>Cash on Delivery</t>
        </is>
      </c>
      <c r="X1000" t="inlineStr">
        <is>
          <t>Low</t>
        </is>
      </c>
      <c r="Y1000" t="n">
        <v>2025</v>
      </c>
      <c r="Z1000" t="n">
        <v>3</v>
      </c>
      <c r="AA1000" t="inlineStr">
        <is>
          <t>Mar</t>
        </is>
      </c>
      <c r="AB1000" t="inlineStr">
        <is>
          <t>Monday</t>
        </is>
      </c>
      <c r="AC1000" t="n">
        <v>7</v>
      </c>
      <c r="AD1000" t="inlineStr">
        <is>
          <t>Profitable</t>
        </is>
      </c>
      <c r="AE1000" t="inlineStr">
        <is>
          <t>Low</t>
        </is>
      </c>
      <c r="AF1000" t="inlineStr">
        <is>
          <t>Small</t>
        </is>
      </c>
    </row>
    <row r="1001">
      <c r="A1001" t="inlineStr">
        <is>
          <t>ORD-01000</t>
        </is>
      </c>
      <c r="B1001" s="2" t="n">
        <v>45437</v>
      </c>
      <c r="C1001" s="2" t="n">
        <v>45444</v>
      </c>
      <c r="D1001" t="inlineStr">
        <is>
          <t>CUST-01000</t>
        </is>
      </c>
      <c r="E1001" t="inlineStr">
        <is>
          <t>Customer 1000</t>
        </is>
      </c>
      <c r="F1001" t="inlineStr">
        <is>
          <t>Corporate</t>
        </is>
      </c>
      <c r="G1001" t="inlineStr">
        <is>
          <t>P1004</t>
        </is>
      </c>
      <c r="H1001" t="inlineStr">
        <is>
          <t>Northstar Lantern</t>
        </is>
      </c>
      <c r="I1001" t="inlineStr">
        <is>
          <t>Office Supplies</t>
        </is>
      </c>
      <c r="J1001" t="inlineStr">
        <is>
          <t>Lighting</t>
        </is>
      </c>
      <c r="K1001" t="inlineStr">
        <is>
          <t>Central</t>
        </is>
      </c>
      <c r="L1001" t="inlineStr">
        <is>
          <t>Minnesota</t>
        </is>
      </c>
      <c r="M1001" t="inlineStr">
        <is>
          <t>Kansas City</t>
        </is>
      </c>
      <c r="N1001" t="inlineStr">
        <is>
          <t>Olivia Martin</t>
        </is>
      </c>
      <c r="O1001" t="n">
        <v>5</v>
      </c>
      <c r="P1001" s="3" t="n">
        <v>583.25</v>
      </c>
      <c r="Q1001" s="4" t="n">
        <v>0.021</v>
      </c>
      <c r="R1001" s="3" t="n">
        <v>2855.01</v>
      </c>
      <c r="S1001" s="3" t="n">
        <v>1808.02</v>
      </c>
      <c r="T1001" s="3" t="n">
        <v>1036.99</v>
      </c>
      <c r="U1001" s="4" t="n">
        <v>0.3632</v>
      </c>
      <c r="V1001" s="3" t="n">
        <v>10</v>
      </c>
      <c r="W1001" t="inlineStr">
        <is>
          <t>Bank Transfer</t>
        </is>
      </c>
      <c r="X1001" t="inlineStr">
        <is>
          <t>High</t>
        </is>
      </c>
      <c r="Y1001" t="n">
        <v>2024</v>
      </c>
      <c r="Z1001" t="n">
        <v>5</v>
      </c>
      <c r="AA1001" t="inlineStr">
        <is>
          <t>May</t>
        </is>
      </c>
      <c r="AB1001" t="inlineStr">
        <is>
          <t>Saturday</t>
        </is>
      </c>
      <c r="AC1001" t="n">
        <v>7</v>
      </c>
      <c r="AD1001" t="inlineStr">
        <is>
          <t>Profitable</t>
        </is>
      </c>
      <c r="AE1001" t="inlineStr">
        <is>
          <t>Medium</t>
        </is>
      </c>
      <c r="AF1001" t="inlineStr">
        <is>
          <t>Large</t>
        </is>
      </c>
    </row>
    <row r="1002">
      <c r="A1002" t="inlineStr">
        <is>
          <t>ORD-01001</t>
        </is>
      </c>
      <c r="B1002" s="2" t="n">
        <v>45100</v>
      </c>
      <c r="C1002" s="2" t="n">
        <v>45103</v>
      </c>
      <c r="D1002" t="inlineStr">
        <is>
          <t>CUST-01001</t>
        </is>
      </c>
      <c r="E1002" t="inlineStr">
        <is>
          <t>Customer 1001</t>
        </is>
      </c>
      <c r="F1002" t="inlineStr">
        <is>
          <t>Corporate</t>
        </is>
      </c>
      <c r="G1002" t="inlineStr">
        <is>
          <t>P1020</t>
        </is>
      </c>
      <c r="H1002" t="inlineStr">
        <is>
          <t>ProClip Binder</t>
        </is>
      </c>
      <c r="I1002" t="inlineStr">
        <is>
          <t>Outdoor</t>
        </is>
      </c>
      <c r="J1002" t="inlineStr">
        <is>
          <t>Coolers</t>
        </is>
      </c>
      <c r="K1002" t="inlineStr">
        <is>
          <t>West</t>
        </is>
      </c>
      <c r="L1002" t="inlineStr">
        <is>
          <t>Washington</t>
        </is>
      </c>
      <c r="M1002" t="inlineStr">
        <is>
          <t>San Francisco</t>
        </is>
      </c>
      <c r="N1002" t="inlineStr">
        <is>
          <t>Liam Chen</t>
        </is>
      </c>
      <c r="O1002" t="n">
        <v>2</v>
      </c>
      <c r="P1002" s="3" t="n">
        <v>75.31</v>
      </c>
      <c r="Q1002" s="4" t="n">
        <v>0.028</v>
      </c>
      <c r="R1002" s="3" t="n">
        <v>146.4</v>
      </c>
      <c r="S1002" s="3" t="n">
        <v>71.56</v>
      </c>
      <c r="T1002" s="3" t="n">
        <v>66.23999999999999</v>
      </c>
      <c r="U1002" s="4" t="n">
        <v>0.4525</v>
      </c>
      <c r="V1002" s="3" t="n">
        <v>8.6</v>
      </c>
      <c r="W1002" t="inlineStr">
        <is>
          <t>Bank Transfer</t>
        </is>
      </c>
      <c r="X1002" t="inlineStr">
        <is>
          <t>Low</t>
        </is>
      </c>
      <c r="Y1002" t="n">
        <v>2023</v>
      </c>
      <c r="Z1002" t="n">
        <v>6</v>
      </c>
      <c r="AA1002" t="inlineStr">
        <is>
          <t>Jun</t>
        </is>
      </c>
      <c r="AB1002" t="inlineStr">
        <is>
          <t>Friday</t>
        </is>
      </c>
      <c r="AC1002" t="n">
        <v>3</v>
      </c>
      <c r="AD1002" t="inlineStr">
        <is>
          <t>Profitable</t>
        </is>
      </c>
      <c r="AE1002" t="inlineStr">
        <is>
          <t>Medium</t>
        </is>
      </c>
      <c r="AF1002" t="inlineStr">
        <is>
          <t>Small</t>
        </is>
      </c>
    </row>
    <row r="1003">
      <c r="A1003" t="inlineStr">
        <is>
          <t>ORD-01002</t>
        </is>
      </c>
      <c r="B1003" s="2" t="n">
        <v>45439</v>
      </c>
      <c r="C1003" s="2" t="n">
        <v>45442</v>
      </c>
      <c r="D1003" t="inlineStr">
        <is>
          <t>CUST-01002</t>
        </is>
      </c>
      <c r="E1003" t="inlineStr">
        <is>
          <t>Customer 1002</t>
        </is>
      </c>
      <c r="F1003" t="inlineStr">
        <is>
          <t>Consumer</t>
        </is>
      </c>
      <c r="G1003" t="inlineStr">
        <is>
          <t>P1004</t>
        </is>
      </c>
      <c r="H1003" t="inlineStr">
        <is>
          <t>Nova Laptop Stand</t>
        </is>
      </c>
      <c r="I1003" t="inlineStr">
        <is>
          <t>Outdoor</t>
        </is>
      </c>
      <c r="J1003" t="inlineStr">
        <is>
          <t>Peripherals</t>
        </is>
      </c>
      <c r="K1003" t="inlineStr">
        <is>
          <t>West</t>
        </is>
      </c>
      <c r="L1003" t="inlineStr">
        <is>
          <t>Oregon</t>
        </is>
      </c>
      <c r="M1003" t="inlineStr">
        <is>
          <t>Los Angeles</t>
        </is>
      </c>
      <c r="N1003" t="inlineStr">
        <is>
          <t>Ethan Brooks</t>
        </is>
      </c>
      <c r="O1003" t="n">
        <v>4</v>
      </c>
      <c r="P1003" s="3" t="n">
        <v>646.74</v>
      </c>
      <c r="Q1003" s="4" t="n">
        <v>0.01</v>
      </c>
      <c r="R1003" s="3" t="n">
        <v>2561.09</v>
      </c>
      <c r="S1003" s="3" t="n">
        <v>1621.29</v>
      </c>
      <c r="T1003" s="3" t="n">
        <v>929.6</v>
      </c>
      <c r="U1003" s="4" t="n">
        <v>0.363</v>
      </c>
      <c r="V1003" s="3" t="n">
        <v>10.2</v>
      </c>
      <c r="W1003" t="inlineStr">
        <is>
          <t>Debit Card</t>
        </is>
      </c>
      <c r="X1003" t="inlineStr">
        <is>
          <t>Medium</t>
        </is>
      </c>
      <c r="Y1003" t="n">
        <v>2024</v>
      </c>
      <c r="Z1003" t="n">
        <v>5</v>
      </c>
      <c r="AA1003" t="inlineStr">
        <is>
          <t>May</t>
        </is>
      </c>
      <c r="AB1003" t="inlineStr">
        <is>
          <t>Monday</t>
        </is>
      </c>
      <c r="AC1003" t="n">
        <v>3</v>
      </c>
      <c r="AD1003" t="inlineStr">
        <is>
          <t>Profitable</t>
        </is>
      </c>
      <c r="AE1003" t="inlineStr">
        <is>
          <t>Low</t>
        </is>
      </c>
      <c r="AF1003" t="inlineStr">
        <is>
          <t>Large</t>
        </is>
      </c>
    </row>
    <row r="1004">
      <c r="A1004" t="inlineStr">
        <is>
          <t>ORD-01003</t>
        </is>
      </c>
      <c r="B1004" s="2" t="n">
        <v>45791</v>
      </c>
      <c r="C1004" s="2" t="n">
        <v>45793</v>
      </c>
      <c r="D1004" t="inlineStr">
        <is>
          <t>CUST-01003</t>
        </is>
      </c>
      <c r="E1004" t="inlineStr">
        <is>
          <t>Customer 1003</t>
        </is>
      </c>
      <c r="F1004" t="inlineStr">
        <is>
          <t>Consumer</t>
        </is>
      </c>
      <c r="G1004" t="inlineStr">
        <is>
          <t>P1009</t>
        </is>
      </c>
      <c r="H1004" t="inlineStr">
        <is>
          <t>Atlas Throw Pillow</t>
        </is>
      </c>
      <c r="I1004" t="inlineStr">
        <is>
          <t>Outdoor</t>
        </is>
      </c>
      <c r="J1004" t="inlineStr">
        <is>
          <t>Chairs</t>
        </is>
      </c>
      <c r="K1004" t="inlineStr">
        <is>
          <t>South</t>
        </is>
      </c>
      <c r="L1004" t="inlineStr">
        <is>
          <t>Florida</t>
        </is>
      </c>
      <c r="M1004" t="inlineStr">
        <is>
          <t>Dallas</t>
        </is>
      </c>
      <c r="N1004" t="inlineStr">
        <is>
          <t>Mia Rodriguez</t>
        </is>
      </c>
      <c r="O1004" t="n">
        <v>3</v>
      </c>
      <c r="P1004" s="3" t="n">
        <v>87.41</v>
      </c>
      <c r="Q1004" s="4" t="n">
        <v>0.029</v>
      </c>
      <c r="R1004" s="3" t="n">
        <v>254.63</v>
      </c>
      <c r="S1004" s="3" t="n">
        <v>127.14</v>
      </c>
      <c r="T1004" s="3" t="n">
        <v>119.09</v>
      </c>
      <c r="U1004" s="4" t="n">
        <v>0.4677</v>
      </c>
      <c r="V1004" s="3" t="n">
        <v>8.4</v>
      </c>
      <c r="W1004" t="inlineStr">
        <is>
          <t>Credit Card</t>
        </is>
      </c>
      <c r="X1004" t="inlineStr">
        <is>
          <t>Medium</t>
        </is>
      </c>
      <c r="Y1004" t="n">
        <v>2025</v>
      </c>
      <c r="Z1004" t="n">
        <v>5</v>
      </c>
      <c r="AA1004" t="inlineStr">
        <is>
          <t>May</t>
        </is>
      </c>
      <c r="AB1004" t="inlineStr">
        <is>
          <t>Wednesday</t>
        </is>
      </c>
      <c r="AC1004" t="n">
        <v>2</v>
      </c>
      <c r="AD1004" t="inlineStr">
        <is>
          <t>Profitable</t>
        </is>
      </c>
      <c r="AE1004" t="inlineStr">
        <is>
          <t>Medium</t>
        </is>
      </c>
      <c r="AF1004" t="inlineStr">
        <is>
          <t>Small</t>
        </is>
      </c>
    </row>
    <row r="1005">
      <c r="A1005" t="inlineStr">
        <is>
          <t>ORD-01004</t>
        </is>
      </c>
      <c r="B1005" s="2" t="n">
        <v>45997</v>
      </c>
      <c r="C1005" s="2" t="n">
        <v>46002</v>
      </c>
      <c r="D1005" t="inlineStr">
        <is>
          <t>CUST-01004</t>
        </is>
      </c>
      <c r="E1005" t="inlineStr">
        <is>
          <t>Customer 1004</t>
        </is>
      </c>
      <c r="F1005" t="inlineStr">
        <is>
          <t>Consumer</t>
        </is>
      </c>
      <c r="G1005" t="inlineStr">
        <is>
          <t>P1009</t>
        </is>
      </c>
      <c r="H1005" t="inlineStr">
        <is>
          <t>Nova Laptop Stand</t>
        </is>
      </c>
      <c r="I1005" t="inlineStr">
        <is>
          <t>Technology</t>
        </is>
      </c>
      <c r="J1005" t="inlineStr">
        <is>
          <t>Decor</t>
        </is>
      </c>
      <c r="K1005" t="inlineStr">
        <is>
          <t>West</t>
        </is>
      </c>
      <c r="L1005" t="inlineStr">
        <is>
          <t>Colorado</t>
        </is>
      </c>
      <c r="M1005" t="inlineStr">
        <is>
          <t>San Francisco</t>
        </is>
      </c>
      <c r="N1005" t="inlineStr">
        <is>
          <t>Mia Rodriguez</t>
        </is>
      </c>
      <c r="O1005" t="n">
        <v>3</v>
      </c>
      <c r="P1005" s="3" t="n">
        <v>96.81</v>
      </c>
      <c r="Q1005" s="4" t="n">
        <v>0.042</v>
      </c>
      <c r="R1005" s="3" t="n">
        <v>278.23</v>
      </c>
      <c r="S1005" s="3" t="n">
        <v>142.73</v>
      </c>
      <c r="T1005" s="3" t="n">
        <v>126.1</v>
      </c>
      <c r="U1005" s="4" t="n">
        <v>0.4532</v>
      </c>
      <c r="V1005" s="3" t="n">
        <v>9.4</v>
      </c>
      <c r="W1005" t="inlineStr">
        <is>
          <t>PayPal</t>
        </is>
      </c>
      <c r="X1005" t="inlineStr">
        <is>
          <t>High</t>
        </is>
      </c>
      <c r="Y1005" t="n">
        <v>2025</v>
      </c>
      <c r="Z1005" t="n">
        <v>12</v>
      </c>
      <c r="AA1005" t="inlineStr">
        <is>
          <t>Dec</t>
        </is>
      </c>
      <c r="AB1005" t="inlineStr">
        <is>
          <t>Saturday</t>
        </is>
      </c>
      <c r="AC1005" t="n">
        <v>5</v>
      </c>
      <c r="AD1005" t="inlineStr">
        <is>
          <t>Profitable</t>
        </is>
      </c>
      <c r="AE1005" t="inlineStr">
        <is>
          <t>Medium</t>
        </is>
      </c>
      <c r="AF1005" t="inlineStr">
        <is>
          <t>Small</t>
        </is>
      </c>
    </row>
    <row r="1006">
      <c r="A1006" t="inlineStr">
        <is>
          <t>ORD-01005</t>
        </is>
      </c>
      <c r="B1006" s="2" t="n">
        <v>45739</v>
      </c>
      <c r="C1006" s="2" t="n">
        <v>45740</v>
      </c>
      <c r="D1006" t="inlineStr">
        <is>
          <t>CUST-01005</t>
        </is>
      </c>
      <c r="E1006" t="inlineStr">
        <is>
          <t>Customer 1005</t>
        </is>
      </c>
      <c r="F1006" t="inlineStr">
        <is>
          <t>Consumer</t>
        </is>
      </c>
      <c r="G1006" t="inlineStr">
        <is>
          <t>P1012</t>
        </is>
      </c>
      <c r="H1006" t="inlineStr">
        <is>
          <t>Trail Tote</t>
        </is>
      </c>
      <c r="I1006" t="inlineStr">
        <is>
          <t>Furniture</t>
        </is>
      </c>
      <c r="J1006" t="inlineStr">
        <is>
          <t>Peripherals</t>
        </is>
      </c>
      <c r="K1006" t="inlineStr">
        <is>
          <t>Central</t>
        </is>
      </c>
      <c r="L1006" t="inlineStr">
        <is>
          <t>Kansas</t>
        </is>
      </c>
      <c r="M1006" t="inlineStr">
        <is>
          <t>St. Louis</t>
        </is>
      </c>
      <c r="N1006" t="inlineStr">
        <is>
          <t>Noah Kim</t>
        </is>
      </c>
      <c r="O1006" t="n">
        <v>2</v>
      </c>
      <c r="P1006" s="3" t="n">
        <v>124.53</v>
      </c>
      <c r="Q1006" s="4" t="n">
        <v>0.043</v>
      </c>
      <c r="R1006" s="3" t="n">
        <v>238.35</v>
      </c>
      <c r="S1006" s="3" t="n">
        <v>124.19</v>
      </c>
      <c r="T1006" s="3" t="n">
        <v>106.56</v>
      </c>
      <c r="U1006" s="4" t="n">
        <v>0.4471</v>
      </c>
      <c r="V1006" s="3" t="n">
        <v>7.6</v>
      </c>
      <c r="W1006" t="inlineStr">
        <is>
          <t>Credit Card</t>
        </is>
      </c>
      <c r="X1006" t="inlineStr">
        <is>
          <t>High</t>
        </is>
      </c>
      <c r="Y1006" t="n">
        <v>2025</v>
      </c>
      <c r="Z1006" t="n">
        <v>3</v>
      </c>
      <c r="AA1006" t="inlineStr">
        <is>
          <t>Mar</t>
        </is>
      </c>
      <c r="AB1006" t="inlineStr">
        <is>
          <t>Sunday</t>
        </is>
      </c>
      <c r="AC1006" t="n">
        <v>1</v>
      </c>
      <c r="AD1006" t="inlineStr">
        <is>
          <t>Profitable</t>
        </is>
      </c>
      <c r="AE1006" t="inlineStr">
        <is>
          <t>Medium</t>
        </is>
      </c>
      <c r="AF1006" t="inlineStr">
        <is>
          <t>Small</t>
        </is>
      </c>
    </row>
    <row r="1007">
      <c r="A1007" t="inlineStr">
        <is>
          <t>ORD-01006</t>
        </is>
      </c>
      <c r="B1007" s="2" t="n">
        <v>45945</v>
      </c>
      <c r="C1007" s="2" t="n">
        <v>45950</v>
      </c>
      <c r="D1007" t="inlineStr">
        <is>
          <t>CUST-01006</t>
        </is>
      </c>
      <c r="E1007" t="inlineStr">
        <is>
          <t>Customer 1006</t>
        </is>
      </c>
      <c r="F1007" t="inlineStr">
        <is>
          <t>Consumer</t>
        </is>
      </c>
      <c r="G1007" t="inlineStr">
        <is>
          <t>P1014</t>
        </is>
      </c>
      <c r="H1007" t="inlineStr">
        <is>
          <t>Summit Patio Set</t>
        </is>
      </c>
      <c r="I1007" t="inlineStr">
        <is>
          <t>Office Supplies</t>
        </is>
      </c>
      <c r="J1007" t="inlineStr">
        <is>
          <t>Coolers</t>
        </is>
      </c>
      <c r="K1007" t="inlineStr">
        <is>
          <t>North</t>
        </is>
      </c>
      <c r="L1007" t="inlineStr">
        <is>
          <t>British Columbia</t>
        </is>
      </c>
      <c r="M1007" t="inlineStr">
        <is>
          <t>Montreal</t>
        </is>
      </c>
      <c r="N1007" t="inlineStr">
        <is>
          <t>Olivia Martin</t>
        </is>
      </c>
      <c r="O1007" t="n">
        <v>1</v>
      </c>
      <c r="P1007" s="3" t="n">
        <v>45.13</v>
      </c>
      <c r="Q1007" s="4" t="n">
        <v>0.015</v>
      </c>
      <c r="R1007" s="3" t="n">
        <v>44.45</v>
      </c>
      <c r="S1007" s="3" t="n">
        <v>23.07</v>
      </c>
      <c r="T1007" s="3" t="n">
        <v>14.58</v>
      </c>
      <c r="U1007" s="4" t="n">
        <v>0.328</v>
      </c>
      <c r="V1007" s="3" t="n">
        <v>6.8</v>
      </c>
      <c r="W1007" t="inlineStr">
        <is>
          <t>Debit Card</t>
        </is>
      </c>
      <c r="X1007" t="inlineStr">
        <is>
          <t>Medium</t>
        </is>
      </c>
      <c r="Y1007" t="n">
        <v>2025</v>
      </c>
      <c r="Z1007" t="n">
        <v>10</v>
      </c>
      <c r="AA1007" t="inlineStr">
        <is>
          <t>Oct</t>
        </is>
      </c>
      <c r="AB1007" t="inlineStr">
        <is>
          <t>Wednesday</t>
        </is>
      </c>
      <c r="AC1007" t="n">
        <v>5</v>
      </c>
      <c r="AD1007" t="inlineStr">
        <is>
          <t>Profitable</t>
        </is>
      </c>
      <c r="AE1007" t="inlineStr">
        <is>
          <t>Low</t>
        </is>
      </c>
      <c r="AF1007" t="inlineStr">
        <is>
          <t>Small</t>
        </is>
      </c>
    </row>
    <row r="1008">
      <c r="A1008" t="inlineStr">
        <is>
          <t>ORD-01007</t>
        </is>
      </c>
      <c r="B1008" s="2" t="n">
        <v>45665</v>
      </c>
      <c r="C1008" s="2" t="n">
        <v>45669</v>
      </c>
      <c r="D1008" t="inlineStr">
        <is>
          <t>CUST-01007</t>
        </is>
      </c>
      <c r="E1008" t="inlineStr">
        <is>
          <t>Customer 1007</t>
        </is>
      </c>
      <c r="F1008" t="inlineStr">
        <is>
          <t>Home Office</t>
        </is>
      </c>
      <c r="G1008" t="inlineStr">
        <is>
          <t>P1003</t>
        </is>
      </c>
      <c r="H1008" t="inlineStr">
        <is>
          <t>Aero Standing Desk</t>
        </is>
      </c>
      <c r="I1008" t="inlineStr">
        <is>
          <t>Outdoor</t>
        </is>
      </c>
      <c r="J1008" t="inlineStr">
        <is>
          <t>Writing</t>
        </is>
      </c>
      <c r="K1008" t="inlineStr">
        <is>
          <t>North</t>
        </is>
      </c>
      <c r="L1008" t="inlineStr">
        <is>
          <t>British Columbia</t>
        </is>
      </c>
      <c r="M1008" t="inlineStr">
        <is>
          <t>Calgary</t>
        </is>
      </c>
      <c r="N1008" t="inlineStr">
        <is>
          <t>Sophia Singh</t>
        </is>
      </c>
      <c r="O1008" t="n">
        <v>2</v>
      </c>
      <c r="P1008" s="3" t="n">
        <v>147.46</v>
      </c>
      <c r="Q1008" s="4" t="n">
        <v>0.023</v>
      </c>
      <c r="R1008" s="3" t="n">
        <v>288.14</v>
      </c>
      <c r="S1008" s="3" t="n">
        <v>157.3</v>
      </c>
      <c r="T1008" s="3" t="n">
        <v>123.24</v>
      </c>
      <c r="U1008" s="4" t="n">
        <v>0.4277</v>
      </c>
      <c r="V1008" s="3" t="n">
        <v>7.6</v>
      </c>
      <c r="W1008" t="inlineStr">
        <is>
          <t>Bank Transfer</t>
        </is>
      </c>
      <c r="X1008" t="inlineStr">
        <is>
          <t>Medium</t>
        </is>
      </c>
      <c r="Y1008" t="n">
        <v>2025</v>
      </c>
      <c r="Z1008" t="n">
        <v>1</v>
      </c>
      <c r="AA1008" t="inlineStr">
        <is>
          <t>Jan</t>
        </is>
      </c>
      <c r="AB1008" t="inlineStr">
        <is>
          <t>Wednesday</t>
        </is>
      </c>
      <c r="AC1008" t="n">
        <v>4</v>
      </c>
      <c r="AD1008" t="inlineStr">
        <is>
          <t>Profitable</t>
        </is>
      </c>
      <c r="AE1008" t="inlineStr">
        <is>
          <t>Medium</t>
        </is>
      </c>
      <c r="AF1008" t="inlineStr">
        <is>
          <t>Small</t>
        </is>
      </c>
    </row>
    <row r="1009">
      <c r="A1009" t="inlineStr">
        <is>
          <t>ORD-01008</t>
        </is>
      </c>
      <c r="B1009" s="2" t="n">
        <v>45874</v>
      </c>
      <c r="C1009" s="2" t="n">
        <v>45878</v>
      </c>
      <c r="D1009" t="inlineStr">
        <is>
          <t>CUST-01008</t>
        </is>
      </c>
      <c r="E1009" t="inlineStr">
        <is>
          <t>Customer 1008</t>
        </is>
      </c>
      <c r="F1009" t="inlineStr">
        <is>
          <t>Consumer</t>
        </is>
      </c>
      <c r="G1009" t="inlineStr">
        <is>
          <t>P1006</t>
        </is>
      </c>
      <c r="H1009" t="inlineStr">
        <is>
          <t>Halo Planter</t>
        </is>
      </c>
      <c r="I1009" t="inlineStr">
        <is>
          <t>Home Decor</t>
        </is>
      </c>
      <c r="J1009" t="inlineStr">
        <is>
          <t>Lighting</t>
        </is>
      </c>
      <c r="K1009" t="inlineStr">
        <is>
          <t>West</t>
        </is>
      </c>
      <c r="L1009" t="inlineStr">
        <is>
          <t>Washington</t>
        </is>
      </c>
      <c r="M1009" t="inlineStr">
        <is>
          <t>Denver</t>
        </is>
      </c>
      <c r="N1009" t="inlineStr">
        <is>
          <t>Sophia Singh</t>
        </is>
      </c>
      <c r="O1009" t="n">
        <v>2</v>
      </c>
      <c r="P1009" s="3" t="n">
        <v>19.04</v>
      </c>
      <c r="Q1009" s="4" t="n">
        <v>0.055</v>
      </c>
      <c r="R1009" s="3" t="n">
        <v>35.99</v>
      </c>
      <c r="S1009" s="3" t="n">
        <v>21.37</v>
      </c>
      <c r="T1009" s="3" t="n">
        <v>6.02</v>
      </c>
      <c r="U1009" s="4" t="n">
        <v>0.1673</v>
      </c>
      <c r="V1009" s="3" t="n">
        <v>8.6</v>
      </c>
      <c r="W1009" t="inlineStr">
        <is>
          <t>Credit Card</t>
        </is>
      </c>
      <c r="X1009" t="inlineStr">
        <is>
          <t>High</t>
        </is>
      </c>
      <c r="Y1009" t="n">
        <v>2025</v>
      </c>
      <c r="Z1009" t="n">
        <v>8</v>
      </c>
      <c r="AA1009" t="inlineStr">
        <is>
          <t>Aug</t>
        </is>
      </c>
      <c r="AB1009" t="inlineStr">
        <is>
          <t>Tuesday</t>
        </is>
      </c>
      <c r="AC1009" t="n">
        <v>4</v>
      </c>
      <c r="AD1009" t="inlineStr">
        <is>
          <t>Profitable</t>
        </is>
      </c>
      <c r="AE1009" t="inlineStr">
        <is>
          <t>High</t>
        </is>
      </c>
      <c r="AF1009" t="inlineStr">
        <is>
          <t>Small</t>
        </is>
      </c>
    </row>
    <row r="1010">
      <c r="A1010" t="inlineStr">
        <is>
          <t>ORD-01009</t>
        </is>
      </c>
      <c r="B1010" s="2" t="n">
        <v>45263</v>
      </c>
      <c r="C1010" s="2" t="n">
        <v>45270</v>
      </c>
      <c r="D1010" t="inlineStr">
        <is>
          <t>CUST-01009</t>
        </is>
      </c>
      <c r="E1010" t="inlineStr">
        <is>
          <t>Customer 1009</t>
        </is>
      </c>
      <c r="F1010" t="inlineStr">
        <is>
          <t>Corporate</t>
        </is>
      </c>
      <c r="G1010" t="inlineStr">
        <is>
          <t>P1015</t>
        </is>
      </c>
      <c r="H1010" t="inlineStr">
        <is>
          <t>Pulse Keyboard</t>
        </is>
      </c>
      <c r="I1010" t="inlineStr">
        <is>
          <t>Office Supplies</t>
        </is>
      </c>
      <c r="J1010" t="inlineStr">
        <is>
          <t>Desks</t>
        </is>
      </c>
      <c r="K1010" t="inlineStr">
        <is>
          <t>West</t>
        </is>
      </c>
      <c r="L1010" t="inlineStr">
        <is>
          <t>Washington</t>
        </is>
      </c>
      <c r="M1010" t="inlineStr">
        <is>
          <t>Seattle</t>
        </is>
      </c>
      <c r="N1010" t="inlineStr">
        <is>
          <t>Olivia Martin</t>
        </is>
      </c>
      <c r="O1010" t="n">
        <v>2</v>
      </c>
      <c r="P1010" s="3" t="n">
        <v>75.33</v>
      </c>
      <c r="Q1010" s="4" t="n">
        <v>0.032</v>
      </c>
      <c r="R1010" s="3" t="n">
        <v>145.84</v>
      </c>
      <c r="S1010" s="3" t="n">
        <v>71.7</v>
      </c>
      <c r="T1010" s="3" t="n">
        <v>65.54000000000001</v>
      </c>
      <c r="U1010" s="4" t="n">
        <v>0.4494</v>
      </c>
      <c r="V1010" s="3" t="n">
        <v>8.6</v>
      </c>
      <c r="W1010" t="inlineStr">
        <is>
          <t>Bank Transfer</t>
        </is>
      </c>
      <c r="X1010" t="inlineStr">
        <is>
          <t>Medium</t>
        </is>
      </c>
      <c r="Y1010" t="n">
        <v>2023</v>
      </c>
      <c r="Z1010" t="n">
        <v>12</v>
      </c>
      <c r="AA1010" t="inlineStr">
        <is>
          <t>Dec</t>
        </is>
      </c>
      <c r="AB1010" t="inlineStr">
        <is>
          <t>Sunday</t>
        </is>
      </c>
      <c r="AC1010" t="n">
        <v>7</v>
      </c>
      <c r="AD1010" t="inlineStr">
        <is>
          <t>Profitable</t>
        </is>
      </c>
      <c r="AE1010" t="inlineStr">
        <is>
          <t>Medium</t>
        </is>
      </c>
      <c r="AF1010" t="inlineStr">
        <is>
          <t>Small</t>
        </is>
      </c>
    </row>
    <row r="1011">
      <c r="A1011" t="inlineStr">
        <is>
          <t>ORD-01010</t>
        </is>
      </c>
      <c r="B1011" s="2" t="n">
        <v>45415</v>
      </c>
      <c r="C1011" s="2" t="n">
        <v>45420</v>
      </c>
      <c r="D1011" t="inlineStr">
        <is>
          <t>CUST-01010</t>
        </is>
      </c>
      <c r="E1011" t="inlineStr">
        <is>
          <t>Customer 1010</t>
        </is>
      </c>
      <c r="F1011" t="inlineStr">
        <is>
          <t>Home Office</t>
        </is>
      </c>
      <c r="G1011" t="inlineStr">
        <is>
          <t>P1019</t>
        </is>
      </c>
      <c r="H1011" t="inlineStr">
        <is>
          <t>Cove Wall Clock</t>
        </is>
      </c>
      <c r="I1011" t="inlineStr">
        <is>
          <t>Technology</t>
        </is>
      </c>
      <c r="J1011" t="inlineStr">
        <is>
          <t>Decor</t>
        </is>
      </c>
      <c r="K1011" t="inlineStr">
        <is>
          <t>East</t>
        </is>
      </c>
      <c r="L1011" t="inlineStr">
        <is>
          <t>New Jersey</t>
        </is>
      </c>
      <c r="M1011" t="inlineStr">
        <is>
          <t>Washington</t>
        </is>
      </c>
      <c r="N1011" t="inlineStr">
        <is>
          <t>Noah Kim</t>
        </is>
      </c>
      <c r="O1011" t="n">
        <v>1</v>
      </c>
      <c r="P1011" s="3" t="n">
        <v>56.62</v>
      </c>
      <c r="Q1011" s="4" t="n">
        <v>0.014</v>
      </c>
      <c r="R1011" s="3" t="n">
        <v>55.83</v>
      </c>
      <c r="S1011" s="3" t="n">
        <v>29.76</v>
      </c>
      <c r="T1011" s="3" t="n">
        <v>18.27</v>
      </c>
      <c r="U1011" s="4" t="n">
        <v>0.3272</v>
      </c>
      <c r="V1011" s="3" t="n">
        <v>7.8</v>
      </c>
      <c r="W1011" t="inlineStr">
        <is>
          <t>PayPal</t>
        </is>
      </c>
      <c r="X1011" t="inlineStr">
        <is>
          <t>Medium</t>
        </is>
      </c>
      <c r="Y1011" t="n">
        <v>2024</v>
      </c>
      <c r="Z1011" t="n">
        <v>5</v>
      </c>
      <c r="AA1011" t="inlineStr">
        <is>
          <t>May</t>
        </is>
      </c>
      <c r="AB1011" t="inlineStr">
        <is>
          <t>Friday</t>
        </is>
      </c>
      <c r="AC1011" t="n">
        <v>5</v>
      </c>
      <c r="AD1011" t="inlineStr">
        <is>
          <t>Profitable</t>
        </is>
      </c>
      <c r="AE1011" t="inlineStr">
        <is>
          <t>Low</t>
        </is>
      </c>
      <c r="AF1011" t="inlineStr">
        <is>
          <t>Small</t>
        </is>
      </c>
    </row>
    <row r="1012">
      <c r="A1012" t="inlineStr">
        <is>
          <t>ORD-01011</t>
        </is>
      </c>
      <c r="B1012" s="2" t="n">
        <v>44998</v>
      </c>
      <c r="C1012" s="2" t="n">
        <v>45001</v>
      </c>
      <c r="D1012" t="inlineStr">
        <is>
          <t>CUST-01011</t>
        </is>
      </c>
      <c r="E1012" t="inlineStr">
        <is>
          <t>Customer 1011</t>
        </is>
      </c>
      <c r="F1012" t="inlineStr">
        <is>
          <t>Consumer</t>
        </is>
      </c>
      <c r="G1012" t="inlineStr">
        <is>
          <t>P1004</t>
        </is>
      </c>
      <c r="H1012" t="inlineStr">
        <is>
          <t>Summit Patio Set</t>
        </is>
      </c>
      <c r="I1012" t="inlineStr">
        <is>
          <t>Outdoor</t>
        </is>
      </c>
      <c r="J1012" t="inlineStr">
        <is>
          <t>Accessories</t>
        </is>
      </c>
      <c r="K1012" t="inlineStr">
        <is>
          <t>East</t>
        </is>
      </c>
      <c r="L1012" t="inlineStr">
        <is>
          <t>Virginia</t>
        </is>
      </c>
      <c r="M1012" t="inlineStr">
        <is>
          <t>Philadelphia</t>
        </is>
      </c>
      <c r="N1012" t="inlineStr">
        <is>
          <t>Noah Kim</t>
        </is>
      </c>
      <c r="O1012" t="n">
        <v>3</v>
      </c>
      <c r="P1012" s="3" t="n">
        <v>628.46</v>
      </c>
      <c r="Q1012" s="4" t="n">
        <v>0.013</v>
      </c>
      <c r="R1012" s="3" t="n">
        <v>1860.87</v>
      </c>
      <c r="S1012" s="3" t="n">
        <v>1181.84</v>
      </c>
      <c r="T1012" s="3" t="n">
        <v>669.63</v>
      </c>
      <c r="U1012" s="4" t="n">
        <v>0.3598</v>
      </c>
      <c r="V1012" s="3" t="n">
        <v>9.4</v>
      </c>
      <c r="W1012" t="inlineStr">
        <is>
          <t>Debit Card</t>
        </is>
      </c>
      <c r="X1012" t="inlineStr">
        <is>
          <t>High</t>
        </is>
      </c>
      <c r="Y1012" t="n">
        <v>2023</v>
      </c>
      <c r="Z1012" t="n">
        <v>3</v>
      </c>
      <c r="AA1012" t="inlineStr">
        <is>
          <t>Mar</t>
        </is>
      </c>
      <c r="AB1012" t="inlineStr">
        <is>
          <t>Monday</t>
        </is>
      </c>
      <c r="AC1012" t="n">
        <v>3</v>
      </c>
      <c r="AD1012" t="inlineStr">
        <is>
          <t>Profitable</t>
        </is>
      </c>
      <c r="AE1012" t="inlineStr">
        <is>
          <t>Low</t>
        </is>
      </c>
      <c r="AF1012" t="inlineStr">
        <is>
          <t>Large</t>
        </is>
      </c>
    </row>
    <row r="1013">
      <c r="A1013" t="inlineStr">
        <is>
          <t>ORD-01012</t>
        </is>
      </c>
      <c r="B1013" s="2" t="n">
        <v>45902</v>
      </c>
      <c r="C1013" s="2" t="n">
        <v>45904</v>
      </c>
      <c r="D1013" t="inlineStr">
        <is>
          <t>CUST-01012</t>
        </is>
      </c>
      <c r="E1013" t="inlineStr">
        <is>
          <t>Customer 1012</t>
        </is>
      </c>
      <c r="F1013" t="inlineStr">
        <is>
          <t>Corporate</t>
        </is>
      </c>
      <c r="G1013" t="inlineStr">
        <is>
          <t>P1001</t>
        </is>
      </c>
      <c r="H1013" t="inlineStr">
        <is>
          <t>Harbor Rug</t>
        </is>
      </c>
      <c r="I1013" t="inlineStr">
        <is>
          <t>Outdoor</t>
        </is>
      </c>
      <c r="J1013" t="inlineStr">
        <is>
          <t>Desks</t>
        </is>
      </c>
      <c r="K1013" t="inlineStr">
        <is>
          <t>East</t>
        </is>
      </c>
      <c r="L1013" t="inlineStr">
        <is>
          <t>New York</t>
        </is>
      </c>
      <c r="M1013" t="inlineStr">
        <is>
          <t>New York</t>
        </is>
      </c>
      <c r="N1013" t="inlineStr">
        <is>
          <t>Ava Patel</t>
        </is>
      </c>
      <c r="O1013" t="n">
        <v>3</v>
      </c>
      <c r="P1013" s="3" t="n">
        <v>292.4</v>
      </c>
      <c r="Q1013" s="4" t="n">
        <v>0.012</v>
      </c>
      <c r="R1013" s="3" t="n">
        <v>866.67</v>
      </c>
      <c r="S1013" s="3" t="n">
        <v>511.4</v>
      </c>
      <c r="T1013" s="3" t="n">
        <v>345.87</v>
      </c>
      <c r="U1013" s="4" t="n">
        <v>0.3991</v>
      </c>
      <c r="V1013" s="3" t="n">
        <v>9.4</v>
      </c>
      <c r="W1013" t="inlineStr">
        <is>
          <t>PayPal</t>
        </is>
      </c>
      <c r="X1013" t="inlineStr">
        <is>
          <t>Low</t>
        </is>
      </c>
      <c r="Y1013" t="n">
        <v>2025</v>
      </c>
      <c r="Z1013" t="n">
        <v>9</v>
      </c>
      <c r="AA1013" t="inlineStr">
        <is>
          <t>Sep</t>
        </is>
      </c>
      <c r="AB1013" t="inlineStr">
        <is>
          <t>Tuesday</t>
        </is>
      </c>
      <c r="AC1013" t="n">
        <v>2</v>
      </c>
      <c r="AD1013" t="inlineStr">
        <is>
          <t>Profitable</t>
        </is>
      </c>
      <c r="AE1013" t="inlineStr">
        <is>
          <t>Low</t>
        </is>
      </c>
      <c r="AF1013" t="inlineStr">
        <is>
          <t>Medium</t>
        </is>
      </c>
    </row>
    <row r="1014">
      <c r="A1014" t="inlineStr">
        <is>
          <t>ORD-01013</t>
        </is>
      </c>
      <c r="B1014" s="2" t="n">
        <v>45954</v>
      </c>
      <c r="C1014" s="2" t="n">
        <v>45955</v>
      </c>
      <c r="D1014" t="inlineStr">
        <is>
          <t>CUST-01013</t>
        </is>
      </c>
      <c r="E1014" t="inlineStr">
        <is>
          <t>Customer 1013</t>
        </is>
      </c>
      <c r="F1014" t="inlineStr">
        <is>
          <t>Home Office</t>
        </is>
      </c>
      <c r="G1014" t="inlineStr">
        <is>
          <t>P1009</t>
        </is>
      </c>
      <c r="H1014" t="inlineStr">
        <is>
          <t>Nova Laptop Stand</t>
        </is>
      </c>
      <c r="I1014" t="inlineStr">
        <is>
          <t>Outdoor</t>
        </is>
      </c>
      <c r="J1014" t="inlineStr">
        <is>
          <t>Binders</t>
        </is>
      </c>
      <c r="K1014" t="inlineStr">
        <is>
          <t>West</t>
        </is>
      </c>
      <c r="L1014" t="inlineStr">
        <is>
          <t>Oregon</t>
        </is>
      </c>
      <c r="M1014" t="inlineStr">
        <is>
          <t>Seattle</t>
        </is>
      </c>
      <c r="N1014" t="inlineStr">
        <is>
          <t>Ava Patel</t>
        </is>
      </c>
      <c r="O1014" t="n">
        <v>1</v>
      </c>
      <c r="P1014" s="3" t="n">
        <v>102.02</v>
      </c>
      <c r="Q1014" s="4" t="n">
        <v>0.013</v>
      </c>
      <c r="R1014" s="3" t="n">
        <v>100.69</v>
      </c>
      <c r="S1014" s="3" t="n">
        <v>58.83</v>
      </c>
      <c r="T1014" s="3" t="n">
        <v>34.06</v>
      </c>
      <c r="U1014" s="4" t="n">
        <v>0.3383</v>
      </c>
      <c r="V1014" s="3" t="n">
        <v>7.8</v>
      </c>
      <c r="W1014" t="inlineStr">
        <is>
          <t>PayPal</t>
        </is>
      </c>
      <c r="X1014" t="inlineStr">
        <is>
          <t>Low</t>
        </is>
      </c>
      <c r="Y1014" t="n">
        <v>2025</v>
      </c>
      <c r="Z1014" t="n">
        <v>10</v>
      </c>
      <c r="AA1014" t="inlineStr">
        <is>
          <t>Oct</t>
        </is>
      </c>
      <c r="AB1014" t="inlineStr">
        <is>
          <t>Friday</t>
        </is>
      </c>
      <c r="AC1014" t="n">
        <v>1</v>
      </c>
      <c r="AD1014" t="inlineStr">
        <is>
          <t>Profitable</t>
        </is>
      </c>
      <c r="AE1014" t="inlineStr">
        <is>
          <t>Low</t>
        </is>
      </c>
      <c r="AF1014" t="inlineStr">
        <is>
          <t>Small</t>
        </is>
      </c>
    </row>
    <row r="1015">
      <c r="A1015" t="inlineStr">
        <is>
          <t>ORD-01014</t>
        </is>
      </c>
      <c r="B1015" s="2" t="n">
        <v>45200</v>
      </c>
      <c r="C1015" s="2" t="n">
        <v>45206</v>
      </c>
      <c r="D1015" t="inlineStr">
        <is>
          <t>CUST-01014</t>
        </is>
      </c>
      <c r="E1015" t="inlineStr">
        <is>
          <t>Customer 1014</t>
        </is>
      </c>
      <c r="F1015" t="inlineStr">
        <is>
          <t>Consumer</t>
        </is>
      </c>
      <c r="G1015" t="inlineStr">
        <is>
          <t>P1016</t>
        </is>
      </c>
      <c r="H1015" t="inlineStr">
        <is>
          <t>Atlas Throw Pillow</t>
        </is>
      </c>
      <c r="I1015" t="inlineStr">
        <is>
          <t>Home Decor</t>
        </is>
      </c>
      <c r="J1015" t="inlineStr">
        <is>
          <t>Lighting</t>
        </is>
      </c>
      <c r="K1015" t="inlineStr">
        <is>
          <t>West</t>
        </is>
      </c>
      <c r="L1015" t="inlineStr">
        <is>
          <t>Washington</t>
        </is>
      </c>
      <c r="M1015" t="inlineStr">
        <is>
          <t>Denver</t>
        </is>
      </c>
      <c r="N1015" t="inlineStr">
        <is>
          <t>Mia Rodriguez</t>
        </is>
      </c>
      <c r="O1015" t="n">
        <v>3</v>
      </c>
      <c r="P1015" s="3" t="n">
        <v>42.04</v>
      </c>
      <c r="Q1015" s="4" t="n">
        <v>0.026</v>
      </c>
      <c r="R1015" s="3" t="n">
        <v>122.84</v>
      </c>
      <c r="S1015" s="3" t="n">
        <v>55.88</v>
      </c>
      <c r="T1015" s="3" t="n">
        <v>57.56</v>
      </c>
      <c r="U1015" s="4" t="n">
        <v>0.4686</v>
      </c>
      <c r="V1015" s="3" t="n">
        <v>9.4</v>
      </c>
      <c r="W1015" t="inlineStr">
        <is>
          <t>PayPal</t>
        </is>
      </c>
      <c r="X1015" t="inlineStr">
        <is>
          <t>Medium</t>
        </is>
      </c>
      <c r="Y1015" t="n">
        <v>2023</v>
      </c>
      <c r="Z1015" t="n">
        <v>10</v>
      </c>
      <c r="AA1015" t="inlineStr">
        <is>
          <t>Oct</t>
        </is>
      </c>
      <c r="AB1015" t="inlineStr">
        <is>
          <t>Sunday</t>
        </is>
      </c>
      <c r="AC1015" t="n">
        <v>6</v>
      </c>
      <c r="AD1015" t="inlineStr">
        <is>
          <t>Profitable</t>
        </is>
      </c>
      <c r="AE1015" t="inlineStr">
        <is>
          <t>Medium</t>
        </is>
      </c>
      <c r="AF1015" t="inlineStr">
        <is>
          <t>Small</t>
        </is>
      </c>
    </row>
    <row r="1016">
      <c r="A1016" t="inlineStr">
        <is>
          <t>ORD-01015</t>
        </is>
      </c>
      <c r="B1016" s="2" t="n">
        <v>45789</v>
      </c>
      <c r="C1016" s="2" t="n">
        <v>45795</v>
      </c>
      <c r="D1016" t="inlineStr">
        <is>
          <t>CUST-01015</t>
        </is>
      </c>
      <c r="E1016" t="inlineStr">
        <is>
          <t>Customer 1015</t>
        </is>
      </c>
      <c r="F1016" t="inlineStr">
        <is>
          <t>Consumer</t>
        </is>
      </c>
      <c r="G1016" t="inlineStr">
        <is>
          <t>P1009</t>
        </is>
      </c>
      <c r="H1016" t="inlineStr">
        <is>
          <t>CloudDrive File Box</t>
        </is>
      </c>
      <c r="I1016" t="inlineStr">
        <is>
          <t>Office Supplies</t>
        </is>
      </c>
      <c r="J1016" t="inlineStr">
        <is>
          <t>Chairs</t>
        </is>
      </c>
      <c r="K1016" t="inlineStr">
        <is>
          <t>East</t>
        </is>
      </c>
      <c r="L1016" t="inlineStr">
        <is>
          <t>Virginia</t>
        </is>
      </c>
      <c r="M1016" t="inlineStr">
        <is>
          <t>New York</t>
        </is>
      </c>
      <c r="N1016" t="inlineStr">
        <is>
          <t>Liam Chen</t>
        </is>
      </c>
      <c r="O1016" t="n">
        <v>1</v>
      </c>
      <c r="P1016" s="3" t="n">
        <v>89.73999999999999</v>
      </c>
      <c r="Q1016" s="4" t="n">
        <v>0.006</v>
      </c>
      <c r="R1016" s="3" t="n">
        <v>89.2</v>
      </c>
      <c r="S1016" s="3" t="n">
        <v>49.63</v>
      </c>
      <c r="T1016" s="3" t="n">
        <v>31.77</v>
      </c>
      <c r="U1016" s="4" t="n">
        <v>0.3562</v>
      </c>
      <c r="V1016" s="3" t="n">
        <v>7.8</v>
      </c>
      <c r="W1016" t="inlineStr">
        <is>
          <t>Bank Transfer</t>
        </is>
      </c>
      <c r="X1016" t="inlineStr">
        <is>
          <t>Low</t>
        </is>
      </c>
      <c r="Y1016" t="n">
        <v>2025</v>
      </c>
      <c r="Z1016" t="n">
        <v>5</v>
      </c>
      <c r="AA1016" t="inlineStr">
        <is>
          <t>May</t>
        </is>
      </c>
      <c r="AB1016" t="inlineStr">
        <is>
          <t>Monday</t>
        </is>
      </c>
      <c r="AC1016" t="n">
        <v>6</v>
      </c>
      <c r="AD1016" t="inlineStr">
        <is>
          <t>Profitable</t>
        </is>
      </c>
      <c r="AE1016" t="inlineStr">
        <is>
          <t>Low</t>
        </is>
      </c>
      <c r="AF1016" t="inlineStr">
        <is>
          <t>Small</t>
        </is>
      </c>
    </row>
    <row r="1017">
      <c r="A1017" t="inlineStr">
        <is>
          <t>ORD-01016</t>
        </is>
      </c>
      <c r="B1017" s="2" t="n">
        <v>45755</v>
      </c>
      <c r="C1017" s="2" t="n">
        <v>45758</v>
      </c>
      <c r="D1017" t="inlineStr">
        <is>
          <t>CUST-01016</t>
        </is>
      </c>
      <c r="E1017" t="inlineStr">
        <is>
          <t>Customer 1016</t>
        </is>
      </c>
      <c r="F1017" t="inlineStr">
        <is>
          <t>Home Office</t>
        </is>
      </c>
      <c r="G1017" t="inlineStr">
        <is>
          <t>P1012</t>
        </is>
      </c>
      <c r="H1017" t="inlineStr">
        <is>
          <t>Cove Wall Clock</t>
        </is>
      </c>
      <c r="I1017" t="inlineStr">
        <is>
          <t>Home Decor</t>
        </is>
      </c>
      <c r="J1017" t="inlineStr">
        <is>
          <t>Furniture</t>
        </is>
      </c>
      <c r="K1017" t="inlineStr">
        <is>
          <t>Central</t>
        </is>
      </c>
      <c r="L1017" t="inlineStr">
        <is>
          <t>Kansas</t>
        </is>
      </c>
      <c r="M1017" t="inlineStr">
        <is>
          <t>Minneapolis</t>
        </is>
      </c>
      <c r="N1017" t="inlineStr">
        <is>
          <t>James Carter</t>
        </is>
      </c>
      <c r="O1017" t="n">
        <v>5</v>
      </c>
      <c r="P1017" s="3" t="n">
        <v>126.17</v>
      </c>
      <c r="Q1017" s="4" t="n">
        <v>0.017</v>
      </c>
      <c r="R1017" s="3" t="n">
        <v>620.13</v>
      </c>
      <c r="S1017" s="3" t="n">
        <v>312.95</v>
      </c>
      <c r="T1017" s="3" t="n">
        <v>297.18</v>
      </c>
      <c r="U1017" s="4" t="n">
        <v>0.4792</v>
      </c>
      <c r="V1017" s="3" t="n">
        <v>10</v>
      </c>
      <c r="W1017" t="inlineStr">
        <is>
          <t>Debit Card</t>
        </is>
      </c>
      <c r="X1017" t="inlineStr">
        <is>
          <t>Low</t>
        </is>
      </c>
      <c r="Y1017" t="n">
        <v>2025</v>
      </c>
      <c r="Z1017" t="n">
        <v>4</v>
      </c>
      <c r="AA1017" t="inlineStr">
        <is>
          <t>Apr</t>
        </is>
      </c>
      <c r="AB1017" t="inlineStr">
        <is>
          <t>Tuesday</t>
        </is>
      </c>
      <c r="AC1017" t="n">
        <v>3</v>
      </c>
      <c r="AD1017" t="inlineStr">
        <is>
          <t>Profitable</t>
        </is>
      </c>
      <c r="AE1017" t="inlineStr">
        <is>
          <t>Low</t>
        </is>
      </c>
      <c r="AF1017" t="inlineStr">
        <is>
          <t>Medium</t>
        </is>
      </c>
    </row>
    <row r="1018">
      <c r="A1018" t="inlineStr">
        <is>
          <t>ORD-01017</t>
        </is>
      </c>
      <c r="B1018" s="2" t="n">
        <v>45279</v>
      </c>
      <c r="C1018" s="2" t="n">
        <v>45284</v>
      </c>
      <c r="D1018" t="inlineStr">
        <is>
          <t>CUST-01017</t>
        </is>
      </c>
      <c r="E1018" t="inlineStr">
        <is>
          <t>Customer 1017</t>
        </is>
      </c>
      <c r="F1018" t="inlineStr">
        <is>
          <t>Home Office</t>
        </is>
      </c>
      <c r="G1018" t="inlineStr">
        <is>
          <t>P1014</t>
        </is>
      </c>
      <c r="H1018" t="inlineStr">
        <is>
          <t>Halo Planter</t>
        </is>
      </c>
      <c r="I1018" t="inlineStr">
        <is>
          <t>Office Supplies</t>
        </is>
      </c>
      <c r="J1018" t="inlineStr">
        <is>
          <t>Desks</t>
        </is>
      </c>
      <c r="K1018" t="inlineStr">
        <is>
          <t>South</t>
        </is>
      </c>
      <c r="L1018" t="inlineStr">
        <is>
          <t>Texas</t>
        </is>
      </c>
      <c r="M1018" t="inlineStr">
        <is>
          <t>Atlanta</t>
        </is>
      </c>
      <c r="N1018" t="inlineStr">
        <is>
          <t>Sophia Singh</t>
        </is>
      </c>
      <c r="O1018" t="n">
        <v>2</v>
      </c>
      <c r="P1018" s="3" t="n">
        <v>42.63</v>
      </c>
      <c r="Q1018" s="4" t="n">
        <v>0.008</v>
      </c>
      <c r="R1018" s="3" t="n">
        <v>84.58</v>
      </c>
      <c r="S1018" s="3" t="n">
        <v>38.9</v>
      </c>
      <c r="T1018" s="3" t="n">
        <v>38.08</v>
      </c>
      <c r="U1018" s="4" t="n">
        <v>0.4502</v>
      </c>
      <c r="V1018" s="3" t="n">
        <v>7.6</v>
      </c>
      <c r="W1018" t="inlineStr">
        <is>
          <t>Bank Transfer</t>
        </is>
      </c>
      <c r="X1018" t="inlineStr">
        <is>
          <t>Low</t>
        </is>
      </c>
      <c r="Y1018" t="n">
        <v>2023</v>
      </c>
      <c r="Z1018" t="n">
        <v>12</v>
      </c>
      <c r="AA1018" t="inlineStr">
        <is>
          <t>Dec</t>
        </is>
      </c>
      <c r="AB1018" t="inlineStr">
        <is>
          <t>Tuesday</t>
        </is>
      </c>
      <c r="AC1018" t="n">
        <v>5</v>
      </c>
      <c r="AD1018" t="inlineStr">
        <is>
          <t>Profitable</t>
        </is>
      </c>
      <c r="AE1018" t="inlineStr">
        <is>
          <t>Low</t>
        </is>
      </c>
      <c r="AF1018" t="inlineStr">
        <is>
          <t>Small</t>
        </is>
      </c>
    </row>
    <row r="1019">
      <c r="A1019" t="inlineStr">
        <is>
          <t>ORD-01018</t>
        </is>
      </c>
      <c r="B1019" s="2" t="n">
        <v>45635</v>
      </c>
      <c r="C1019" s="2" t="n">
        <v>45641</v>
      </c>
      <c r="D1019" t="inlineStr">
        <is>
          <t>CUST-01018</t>
        </is>
      </c>
      <c r="E1019" t="inlineStr">
        <is>
          <t>Customer 1018</t>
        </is>
      </c>
      <c r="F1019" t="inlineStr">
        <is>
          <t>Consumer</t>
        </is>
      </c>
      <c r="G1019" t="inlineStr">
        <is>
          <t>P1015</t>
        </is>
      </c>
      <c r="H1019" t="inlineStr">
        <is>
          <t>SmartInk Pen Set</t>
        </is>
      </c>
      <c r="I1019" t="inlineStr">
        <is>
          <t>Home Decor</t>
        </is>
      </c>
      <c r="J1019" t="inlineStr">
        <is>
          <t>Paper</t>
        </is>
      </c>
      <c r="K1019" t="inlineStr">
        <is>
          <t>South</t>
        </is>
      </c>
      <c r="L1019" t="inlineStr">
        <is>
          <t>Florida</t>
        </is>
      </c>
      <c r="M1019" t="inlineStr">
        <is>
          <t>Houston</t>
        </is>
      </c>
      <c r="N1019" t="inlineStr">
        <is>
          <t>Olivia Martin</t>
        </is>
      </c>
      <c r="O1019" t="n">
        <v>4</v>
      </c>
      <c r="P1019" s="3" t="n">
        <v>72</v>
      </c>
      <c r="Q1019" s="4" t="n">
        <v>0.026</v>
      </c>
      <c r="R1019" s="3" t="n">
        <v>280.51</v>
      </c>
      <c r="S1019" s="3" t="n">
        <v>128.32</v>
      </c>
      <c r="T1019" s="3" t="n">
        <v>142.99</v>
      </c>
      <c r="U1019" s="4" t="n">
        <v>0.5098</v>
      </c>
      <c r="V1019" s="3" t="n">
        <v>9.199999999999999</v>
      </c>
      <c r="W1019" t="inlineStr">
        <is>
          <t>Credit Card</t>
        </is>
      </c>
      <c r="X1019" t="inlineStr">
        <is>
          <t>High</t>
        </is>
      </c>
      <c r="Y1019" t="n">
        <v>2024</v>
      </c>
      <c r="Z1019" t="n">
        <v>12</v>
      </c>
      <c r="AA1019" t="inlineStr">
        <is>
          <t>Dec</t>
        </is>
      </c>
      <c r="AB1019" t="inlineStr">
        <is>
          <t>Monday</t>
        </is>
      </c>
      <c r="AC1019" t="n">
        <v>6</v>
      </c>
      <c r="AD1019" t="inlineStr">
        <is>
          <t>Profitable</t>
        </is>
      </c>
      <c r="AE1019" t="inlineStr">
        <is>
          <t>Medium</t>
        </is>
      </c>
      <c r="AF1019" t="inlineStr">
        <is>
          <t>Small</t>
        </is>
      </c>
    </row>
    <row r="1020">
      <c r="A1020" t="inlineStr">
        <is>
          <t>ORD-01019</t>
        </is>
      </c>
      <c r="B1020" s="2" t="n">
        <v>45866</v>
      </c>
      <c r="C1020" s="2" t="n">
        <v>45871</v>
      </c>
      <c r="D1020" t="inlineStr">
        <is>
          <t>CUST-01019</t>
        </is>
      </c>
      <c r="E1020" t="inlineStr">
        <is>
          <t>Customer 1019</t>
        </is>
      </c>
      <c r="F1020" t="inlineStr">
        <is>
          <t>Consumer</t>
        </is>
      </c>
      <c r="G1020" t="inlineStr">
        <is>
          <t>P1016</t>
        </is>
      </c>
      <c r="H1020" t="inlineStr">
        <is>
          <t>Pulse Keyboard</t>
        </is>
      </c>
      <c r="I1020" t="inlineStr">
        <is>
          <t>Home Decor</t>
        </is>
      </c>
      <c r="J1020" t="inlineStr">
        <is>
          <t>Coolers</t>
        </is>
      </c>
      <c r="K1020" t="inlineStr">
        <is>
          <t>South</t>
        </is>
      </c>
      <c r="L1020" t="inlineStr">
        <is>
          <t>Georgia</t>
        </is>
      </c>
      <c r="M1020" t="inlineStr">
        <is>
          <t>Miami</t>
        </is>
      </c>
      <c r="N1020" t="inlineStr">
        <is>
          <t>Mia Rodriguez</t>
        </is>
      </c>
      <c r="O1020" t="n">
        <v>2</v>
      </c>
      <c r="P1020" s="3" t="n">
        <v>37.71</v>
      </c>
      <c r="Q1020" s="4" t="n">
        <v>0.022</v>
      </c>
      <c r="R1020" s="3" t="n">
        <v>73.76000000000001</v>
      </c>
      <c r="S1020" s="3" t="n">
        <v>31.93</v>
      </c>
      <c r="T1020" s="3" t="n">
        <v>34.23</v>
      </c>
      <c r="U1020" s="4" t="n">
        <v>0.4641</v>
      </c>
      <c r="V1020" s="3" t="n">
        <v>7.6</v>
      </c>
      <c r="W1020" t="inlineStr">
        <is>
          <t>Bank Transfer</t>
        </is>
      </c>
      <c r="X1020" t="inlineStr">
        <is>
          <t>Critical</t>
        </is>
      </c>
      <c r="Y1020" t="n">
        <v>2025</v>
      </c>
      <c r="Z1020" t="n">
        <v>7</v>
      </c>
      <c r="AA1020" t="inlineStr">
        <is>
          <t>Jul</t>
        </is>
      </c>
      <c r="AB1020" t="inlineStr">
        <is>
          <t>Monday</t>
        </is>
      </c>
      <c r="AC1020" t="n">
        <v>5</v>
      </c>
      <c r="AD1020" t="inlineStr">
        <is>
          <t>Profitable</t>
        </is>
      </c>
      <c r="AE1020" t="inlineStr">
        <is>
          <t>Medium</t>
        </is>
      </c>
      <c r="AF1020" t="inlineStr">
        <is>
          <t>Small</t>
        </is>
      </c>
    </row>
    <row r="1021">
      <c r="A1021" t="inlineStr">
        <is>
          <t>ORD-01020</t>
        </is>
      </c>
      <c r="B1021" s="2" t="n">
        <v>45244</v>
      </c>
      <c r="C1021" s="2" t="n">
        <v>45246</v>
      </c>
      <c r="D1021" t="inlineStr">
        <is>
          <t>CUST-01020</t>
        </is>
      </c>
      <c r="E1021" t="inlineStr">
        <is>
          <t>Customer 1020</t>
        </is>
      </c>
      <c r="F1021" t="inlineStr">
        <is>
          <t>Consumer</t>
        </is>
      </c>
      <c r="G1021" t="inlineStr">
        <is>
          <t>P1008</t>
        </is>
      </c>
      <c r="H1021" t="inlineStr">
        <is>
          <t>Nimbus Monitor Arm</t>
        </is>
      </c>
      <c r="I1021" t="inlineStr">
        <is>
          <t>Home Decor</t>
        </is>
      </c>
      <c r="J1021" t="inlineStr">
        <is>
          <t>Flooring</t>
        </is>
      </c>
      <c r="K1021" t="inlineStr">
        <is>
          <t>West</t>
        </is>
      </c>
      <c r="L1021" t="inlineStr">
        <is>
          <t>Washington</t>
        </is>
      </c>
      <c r="M1021" t="inlineStr">
        <is>
          <t>Los Angeles</t>
        </is>
      </c>
      <c r="N1021" t="inlineStr">
        <is>
          <t>Mia Rodriguez</t>
        </is>
      </c>
      <c r="O1021" t="n">
        <v>3</v>
      </c>
      <c r="P1021" s="3" t="n">
        <v>40.38</v>
      </c>
      <c r="Q1021" s="4" t="n">
        <v>0.061</v>
      </c>
      <c r="R1021" s="3" t="n">
        <v>113.75</v>
      </c>
      <c r="S1021" s="3" t="n">
        <v>51.89</v>
      </c>
      <c r="T1021" s="3" t="n">
        <v>52.46</v>
      </c>
      <c r="U1021" s="4" t="n">
        <v>0.4612</v>
      </c>
      <c r="V1021" s="3" t="n">
        <v>9.4</v>
      </c>
      <c r="W1021" t="inlineStr">
        <is>
          <t>Debit Card</t>
        </is>
      </c>
      <c r="X1021" t="inlineStr">
        <is>
          <t>Critical</t>
        </is>
      </c>
      <c r="Y1021" t="n">
        <v>2023</v>
      </c>
      <c r="Z1021" t="n">
        <v>11</v>
      </c>
      <c r="AA1021" t="inlineStr">
        <is>
          <t>Nov</t>
        </is>
      </c>
      <c r="AB1021" t="inlineStr">
        <is>
          <t>Tuesday</t>
        </is>
      </c>
      <c r="AC1021" t="n">
        <v>2</v>
      </c>
      <c r="AD1021" t="inlineStr">
        <is>
          <t>Profitable</t>
        </is>
      </c>
      <c r="AE1021" t="inlineStr">
        <is>
          <t>High</t>
        </is>
      </c>
      <c r="AF1021" t="inlineStr">
        <is>
          <t>Small</t>
        </is>
      </c>
    </row>
    <row r="1022">
      <c r="A1022" t="inlineStr">
        <is>
          <t>ORD-01021</t>
        </is>
      </c>
      <c r="B1022" s="2" t="n">
        <v>45866</v>
      </c>
      <c r="C1022" s="2" t="n">
        <v>45868</v>
      </c>
      <c r="D1022" t="inlineStr">
        <is>
          <t>CUST-01021</t>
        </is>
      </c>
      <c r="E1022" t="inlineStr">
        <is>
          <t>Customer 1021</t>
        </is>
      </c>
      <c r="F1022" t="inlineStr">
        <is>
          <t>Consumer</t>
        </is>
      </c>
      <c r="G1022" t="inlineStr">
        <is>
          <t>P1010</t>
        </is>
      </c>
      <c r="H1022" t="inlineStr">
        <is>
          <t>SmartInk Pen Set</t>
        </is>
      </c>
      <c r="I1022" t="inlineStr">
        <is>
          <t>Home Decor</t>
        </is>
      </c>
      <c r="J1022" t="inlineStr">
        <is>
          <t>Bags</t>
        </is>
      </c>
      <c r="K1022" t="inlineStr">
        <is>
          <t>North</t>
        </is>
      </c>
      <c r="L1022" t="inlineStr">
        <is>
          <t>Ontario</t>
        </is>
      </c>
      <c r="M1022" t="inlineStr">
        <is>
          <t>Vancouver</t>
        </is>
      </c>
      <c r="N1022" t="inlineStr">
        <is>
          <t>James Carter</t>
        </is>
      </c>
      <c r="O1022" t="n">
        <v>5</v>
      </c>
      <c r="P1022" s="3" t="n">
        <v>54.8</v>
      </c>
      <c r="Q1022" s="4" t="n">
        <v>0.022</v>
      </c>
      <c r="R1022" s="3" t="n">
        <v>267.97</v>
      </c>
      <c r="S1022" s="3" t="n">
        <v>117.32</v>
      </c>
      <c r="T1022" s="3" t="n">
        <v>140.65</v>
      </c>
      <c r="U1022" s="4" t="n">
        <v>0.5249</v>
      </c>
      <c r="V1022" s="3" t="n">
        <v>10</v>
      </c>
      <c r="W1022" t="inlineStr">
        <is>
          <t>PayPal</t>
        </is>
      </c>
      <c r="X1022" t="inlineStr">
        <is>
          <t>Critical</t>
        </is>
      </c>
      <c r="Y1022" t="n">
        <v>2025</v>
      </c>
      <c r="Z1022" t="n">
        <v>7</v>
      </c>
      <c r="AA1022" t="inlineStr">
        <is>
          <t>Jul</t>
        </is>
      </c>
      <c r="AB1022" t="inlineStr">
        <is>
          <t>Monday</t>
        </is>
      </c>
      <c r="AC1022" t="n">
        <v>2</v>
      </c>
      <c r="AD1022" t="inlineStr">
        <is>
          <t>Profitable</t>
        </is>
      </c>
      <c r="AE1022" t="inlineStr">
        <is>
          <t>Medium</t>
        </is>
      </c>
      <c r="AF1022" t="inlineStr">
        <is>
          <t>Small</t>
        </is>
      </c>
    </row>
    <row r="1023">
      <c r="A1023" t="inlineStr">
        <is>
          <t>ORD-01022</t>
        </is>
      </c>
      <c r="B1023" s="2" t="n">
        <v>45104</v>
      </c>
      <c r="C1023" s="2" t="n">
        <v>45111</v>
      </c>
      <c r="D1023" t="inlineStr">
        <is>
          <t>CUST-01022</t>
        </is>
      </c>
      <c r="E1023" t="inlineStr">
        <is>
          <t>Customer 1022</t>
        </is>
      </c>
      <c r="F1023" t="inlineStr">
        <is>
          <t>Consumer</t>
        </is>
      </c>
      <c r="G1023" t="inlineStr">
        <is>
          <t>P1014</t>
        </is>
      </c>
      <c r="H1023" t="inlineStr">
        <is>
          <t>FlexNote Notebook</t>
        </is>
      </c>
      <c r="I1023" t="inlineStr">
        <is>
          <t>Outdoor</t>
        </is>
      </c>
      <c r="J1023" t="inlineStr">
        <is>
          <t>Peripherals</t>
        </is>
      </c>
      <c r="K1023" t="inlineStr">
        <is>
          <t>East</t>
        </is>
      </c>
      <c r="L1023" t="inlineStr">
        <is>
          <t>Virginia</t>
        </is>
      </c>
      <c r="M1023" t="inlineStr">
        <is>
          <t>Philadelphia</t>
        </is>
      </c>
      <c r="N1023" t="inlineStr">
        <is>
          <t>Liam Chen</t>
        </is>
      </c>
      <c r="O1023" t="n">
        <v>4</v>
      </c>
      <c r="P1023" s="3" t="n">
        <v>44.77</v>
      </c>
      <c r="Q1023" s="4" t="n">
        <v>0.04</v>
      </c>
      <c r="R1023" s="3" t="n">
        <v>171.92</v>
      </c>
      <c r="S1023" s="3" t="n">
        <v>73.34999999999999</v>
      </c>
      <c r="T1023" s="3" t="n">
        <v>88.37</v>
      </c>
      <c r="U1023" s="4" t="n">
        <v>0.514</v>
      </c>
      <c r="V1023" s="3" t="n">
        <v>10.2</v>
      </c>
      <c r="W1023" t="inlineStr">
        <is>
          <t>Credit Card</t>
        </is>
      </c>
      <c r="X1023" t="inlineStr">
        <is>
          <t>High</t>
        </is>
      </c>
      <c r="Y1023" t="n">
        <v>2023</v>
      </c>
      <c r="Z1023" t="n">
        <v>6</v>
      </c>
      <c r="AA1023" t="inlineStr">
        <is>
          <t>Jun</t>
        </is>
      </c>
      <c r="AB1023" t="inlineStr">
        <is>
          <t>Tuesday</t>
        </is>
      </c>
      <c r="AC1023" t="n">
        <v>7</v>
      </c>
      <c r="AD1023" t="inlineStr">
        <is>
          <t>Profitable</t>
        </is>
      </c>
      <c r="AE1023" t="inlineStr">
        <is>
          <t>Medium</t>
        </is>
      </c>
      <c r="AF1023" t="inlineStr">
        <is>
          <t>Small</t>
        </is>
      </c>
    </row>
    <row r="1024">
      <c r="A1024" t="inlineStr">
        <is>
          <t>ORD-01023</t>
        </is>
      </c>
      <c r="B1024" s="2" t="n">
        <v>45734</v>
      </c>
      <c r="C1024" s="2" t="n">
        <v>45739</v>
      </c>
      <c r="D1024" t="inlineStr">
        <is>
          <t>CUST-01023</t>
        </is>
      </c>
      <c r="E1024" t="inlineStr">
        <is>
          <t>Customer 1023</t>
        </is>
      </c>
      <c r="F1024" t="inlineStr">
        <is>
          <t>Corporate</t>
        </is>
      </c>
      <c r="G1024" t="inlineStr">
        <is>
          <t>P1017</t>
        </is>
      </c>
      <c r="H1024" t="inlineStr">
        <is>
          <t>Nova Laptop Stand</t>
        </is>
      </c>
      <c r="I1024" t="inlineStr">
        <is>
          <t>Office Supplies</t>
        </is>
      </c>
      <c r="J1024" t="inlineStr">
        <is>
          <t>Bags</t>
        </is>
      </c>
      <c r="K1024" t="inlineStr">
        <is>
          <t>South</t>
        </is>
      </c>
      <c r="L1024" t="inlineStr">
        <is>
          <t>Texas</t>
        </is>
      </c>
      <c r="M1024" t="inlineStr">
        <is>
          <t>Atlanta</t>
        </is>
      </c>
      <c r="N1024" t="inlineStr">
        <is>
          <t>Mia Rodriguez</t>
        </is>
      </c>
      <c r="O1024" t="n">
        <v>4</v>
      </c>
      <c r="P1024" s="3" t="n">
        <v>543.86</v>
      </c>
      <c r="Q1024" s="4" t="n">
        <v>0.08299999999999999</v>
      </c>
      <c r="R1024" s="3" t="n">
        <v>1994.88</v>
      </c>
      <c r="S1024" s="3" t="n">
        <v>1321.79</v>
      </c>
      <c r="T1024" s="3" t="n">
        <v>663.89</v>
      </c>
      <c r="U1024" s="4" t="n">
        <v>0.3328</v>
      </c>
      <c r="V1024" s="3" t="n">
        <v>9.199999999999999</v>
      </c>
      <c r="W1024" t="inlineStr">
        <is>
          <t>Debit Card</t>
        </is>
      </c>
      <c r="X1024" t="inlineStr">
        <is>
          <t>Critical</t>
        </is>
      </c>
      <c r="Y1024" t="n">
        <v>2025</v>
      </c>
      <c r="Z1024" t="n">
        <v>3</v>
      </c>
      <c r="AA1024" t="inlineStr">
        <is>
          <t>Mar</t>
        </is>
      </c>
      <c r="AB1024" t="inlineStr">
        <is>
          <t>Tuesday</t>
        </is>
      </c>
      <c r="AC1024" t="n">
        <v>5</v>
      </c>
      <c r="AD1024" t="inlineStr">
        <is>
          <t>Profitable</t>
        </is>
      </c>
      <c r="AE1024" t="inlineStr">
        <is>
          <t>High</t>
        </is>
      </c>
      <c r="AF1024" t="inlineStr">
        <is>
          <t>Large</t>
        </is>
      </c>
    </row>
    <row r="1025">
      <c r="A1025" t="inlineStr">
        <is>
          <t>ORD-01024</t>
        </is>
      </c>
      <c r="B1025" s="2" t="n">
        <v>45818</v>
      </c>
      <c r="C1025" s="2" t="n">
        <v>45825</v>
      </c>
      <c r="D1025" t="inlineStr">
        <is>
          <t>CUST-01024</t>
        </is>
      </c>
      <c r="E1025" t="inlineStr">
        <is>
          <t>Customer 1024</t>
        </is>
      </c>
      <c r="F1025" t="inlineStr">
        <is>
          <t>Home Office</t>
        </is>
      </c>
      <c r="G1025" t="inlineStr">
        <is>
          <t>P1003</t>
        </is>
      </c>
      <c r="H1025" t="inlineStr">
        <is>
          <t>Trail Tote</t>
        </is>
      </c>
      <c r="I1025" t="inlineStr">
        <is>
          <t>Technology</t>
        </is>
      </c>
      <c r="J1025" t="inlineStr">
        <is>
          <t>Chairs</t>
        </is>
      </c>
      <c r="K1025" t="inlineStr">
        <is>
          <t>West</t>
        </is>
      </c>
      <c r="L1025" t="inlineStr">
        <is>
          <t>Washington</t>
        </is>
      </c>
      <c r="M1025" t="inlineStr">
        <is>
          <t>Denver</t>
        </is>
      </c>
      <c r="N1025" t="inlineStr">
        <is>
          <t>Mia Rodriguez</t>
        </is>
      </c>
      <c r="O1025" t="n">
        <v>4</v>
      </c>
      <c r="P1025" s="3" t="n">
        <v>159.74</v>
      </c>
      <c r="Q1025" s="4" t="n">
        <v>0.01</v>
      </c>
      <c r="R1025" s="3" t="n">
        <v>632.5700000000001</v>
      </c>
      <c r="S1025" s="3" t="n">
        <v>330.01</v>
      </c>
      <c r="T1025" s="3" t="n">
        <v>292.36</v>
      </c>
      <c r="U1025" s="4" t="n">
        <v>0.4622</v>
      </c>
      <c r="V1025" s="3" t="n">
        <v>10.2</v>
      </c>
      <c r="W1025" t="inlineStr">
        <is>
          <t>Cash on Delivery</t>
        </is>
      </c>
      <c r="X1025" t="inlineStr">
        <is>
          <t>Low</t>
        </is>
      </c>
      <c r="Y1025" t="n">
        <v>2025</v>
      </c>
      <c r="Z1025" t="n">
        <v>6</v>
      </c>
      <c r="AA1025" t="inlineStr">
        <is>
          <t>Jun</t>
        </is>
      </c>
      <c r="AB1025" t="inlineStr">
        <is>
          <t>Tuesday</t>
        </is>
      </c>
      <c r="AC1025" t="n">
        <v>7</v>
      </c>
      <c r="AD1025" t="inlineStr">
        <is>
          <t>Profitable</t>
        </is>
      </c>
      <c r="AE1025" t="inlineStr">
        <is>
          <t>Low</t>
        </is>
      </c>
      <c r="AF1025" t="inlineStr">
        <is>
          <t>Medium</t>
        </is>
      </c>
    </row>
    <row r="1026">
      <c r="A1026" t="inlineStr">
        <is>
          <t>ORD-01025</t>
        </is>
      </c>
      <c r="B1026" s="2" t="n">
        <v>45878</v>
      </c>
      <c r="C1026" s="2" t="n">
        <v>45881</v>
      </c>
      <c r="D1026" t="inlineStr">
        <is>
          <t>CUST-01025</t>
        </is>
      </c>
      <c r="E1026" t="inlineStr">
        <is>
          <t>Customer 1025</t>
        </is>
      </c>
      <c r="F1026" t="inlineStr">
        <is>
          <t>Consumer</t>
        </is>
      </c>
      <c r="G1026" t="inlineStr">
        <is>
          <t>P1004</t>
        </is>
      </c>
      <c r="H1026" t="inlineStr">
        <is>
          <t>Northstar Lantern</t>
        </is>
      </c>
      <c r="I1026" t="inlineStr">
        <is>
          <t>Home Decor</t>
        </is>
      </c>
      <c r="J1026" t="inlineStr">
        <is>
          <t>Video</t>
        </is>
      </c>
      <c r="K1026" t="inlineStr">
        <is>
          <t>North</t>
        </is>
      </c>
      <c r="L1026" t="inlineStr">
        <is>
          <t>Ontario</t>
        </is>
      </c>
      <c r="M1026" t="inlineStr">
        <is>
          <t>Montreal</t>
        </is>
      </c>
      <c r="N1026" t="inlineStr">
        <is>
          <t>Liam Chen</t>
        </is>
      </c>
      <c r="O1026" t="n">
        <v>4</v>
      </c>
      <c r="P1026" s="3" t="n">
        <v>650.78</v>
      </c>
      <c r="Q1026" s="4" t="n">
        <v>0.036</v>
      </c>
      <c r="R1026" s="3" t="n">
        <v>2509.41</v>
      </c>
      <c r="S1026" s="3" t="n">
        <v>1588.12</v>
      </c>
      <c r="T1026" s="3" t="n">
        <v>912.09</v>
      </c>
      <c r="U1026" s="4" t="n">
        <v>0.3635</v>
      </c>
      <c r="V1026" s="3" t="n">
        <v>9.199999999999999</v>
      </c>
      <c r="W1026" t="inlineStr">
        <is>
          <t>PayPal</t>
        </is>
      </c>
      <c r="X1026" t="inlineStr">
        <is>
          <t>High</t>
        </is>
      </c>
      <c r="Y1026" t="n">
        <v>2025</v>
      </c>
      <c r="Z1026" t="n">
        <v>8</v>
      </c>
      <c r="AA1026" t="inlineStr">
        <is>
          <t>Aug</t>
        </is>
      </c>
      <c r="AB1026" t="inlineStr">
        <is>
          <t>Saturday</t>
        </is>
      </c>
      <c r="AC1026" t="n">
        <v>3</v>
      </c>
      <c r="AD1026" t="inlineStr">
        <is>
          <t>Profitable</t>
        </is>
      </c>
      <c r="AE1026" t="inlineStr">
        <is>
          <t>Medium</t>
        </is>
      </c>
      <c r="AF1026" t="inlineStr">
        <is>
          <t>Large</t>
        </is>
      </c>
    </row>
    <row r="1027">
      <c r="A1027" t="inlineStr">
        <is>
          <t>ORD-01026</t>
        </is>
      </c>
      <c r="B1027" s="2" t="n">
        <v>45297</v>
      </c>
      <c r="C1027" s="2" t="n">
        <v>45304</v>
      </c>
      <c r="D1027" t="inlineStr">
        <is>
          <t>CUST-01026</t>
        </is>
      </c>
      <c r="E1027" t="inlineStr">
        <is>
          <t>Customer 1026</t>
        </is>
      </c>
      <c r="F1027" t="inlineStr">
        <is>
          <t>Home Office</t>
        </is>
      </c>
      <c r="G1027" t="inlineStr">
        <is>
          <t>P1016</t>
        </is>
      </c>
      <c r="H1027" t="inlineStr">
        <is>
          <t>Harbor Rug</t>
        </is>
      </c>
      <c r="I1027" t="inlineStr">
        <is>
          <t>Furniture</t>
        </is>
      </c>
      <c r="J1027" t="inlineStr">
        <is>
          <t>Flooring</t>
        </is>
      </c>
      <c r="K1027" t="inlineStr">
        <is>
          <t>North</t>
        </is>
      </c>
      <c r="L1027" t="inlineStr">
        <is>
          <t>Ontario</t>
        </is>
      </c>
      <c r="M1027" t="inlineStr">
        <is>
          <t>Montreal</t>
        </is>
      </c>
      <c r="N1027" t="inlineStr">
        <is>
          <t>Mia Rodriguez</t>
        </is>
      </c>
      <c r="O1027" t="n">
        <v>4</v>
      </c>
      <c r="P1027" s="3" t="n">
        <v>37.43</v>
      </c>
      <c r="Q1027" s="4" t="n">
        <v>0.043</v>
      </c>
      <c r="R1027" s="3" t="n">
        <v>143.28</v>
      </c>
      <c r="S1027" s="3" t="n">
        <v>57.69</v>
      </c>
      <c r="T1027" s="3" t="n">
        <v>76.39</v>
      </c>
      <c r="U1027" s="4" t="n">
        <v>0.5332</v>
      </c>
      <c r="V1027" s="3" t="n">
        <v>9.199999999999999</v>
      </c>
      <c r="W1027" t="inlineStr">
        <is>
          <t>Debit Card</t>
        </is>
      </c>
      <c r="X1027" t="inlineStr">
        <is>
          <t>High</t>
        </is>
      </c>
      <c r="Y1027" t="n">
        <v>2024</v>
      </c>
      <c r="Z1027" t="n">
        <v>1</v>
      </c>
      <c r="AA1027" t="inlineStr">
        <is>
          <t>Jan</t>
        </is>
      </c>
      <c r="AB1027" t="inlineStr">
        <is>
          <t>Saturday</t>
        </is>
      </c>
      <c r="AC1027" t="n">
        <v>7</v>
      </c>
      <c r="AD1027" t="inlineStr">
        <is>
          <t>Profitable</t>
        </is>
      </c>
      <c r="AE1027" t="inlineStr">
        <is>
          <t>Medium</t>
        </is>
      </c>
      <c r="AF1027" t="inlineStr">
        <is>
          <t>Small</t>
        </is>
      </c>
    </row>
    <row r="1028">
      <c r="A1028" t="inlineStr">
        <is>
          <t>ORD-01027</t>
        </is>
      </c>
      <c r="B1028" s="2" t="n">
        <v>45839</v>
      </c>
      <c r="C1028" s="2" t="n">
        <v>45842</v>
      </c>
      <c r="D1028" t="inlineStr">
        <is>
          <t>CUST-01027</t>
        </is>
      </c>
      <c r="E1028" t="inlineStr">
        <is>
          <t>Customer 1027</t>
        </is>
      </c>
      <c r="F1028" t="inlineStr">
        <is>
          <t>Consumer</t>
        </is>
      </c>
      <c r="G1028" t="inlineStr">
        <is>
          <t>P1014</t>
        </is>
      </c>
      <c r="H1028" t="inlineStr">
        <is>
          <t>Northstar Lantern</t>
        </is>
      </c>
      <c r="I1028" t="inlineStr">
        <is>
          <t>Office Supplies</t>
        </is>
      </c>
      <c r="J1028" t="inlineStr">
        <is>
          <t>Desks</t>
        </is>
      </c>
      <c r="K1028" t="inlineStr">
        <is>
          <t>West</t>
        </is>
      </c>
      <c r="L1028" t="inlineStr">
        <is>
          <t>Colorado</t>
        </is>
      </c>
      <c r="M1028" t="inlineStr">
        <is>
          <t>San Francisco</t>
        </is>
      </c>
      <c r="N1028" t="inlineStr">
        <is>
          <t>Sophia Singh</t>
        </is>
      </c>
      <c r="O1028" t="n">
        <v>4</v>
      </c>
      <c r="P1028" s="3" t="n">
        <v>45.04</v>
      </c>
      <c r="Q1028" s="4" t="n">
        <v>0.054</v>
      </c>
      <c r="R1028" s="3" t="n">
        <v>170.43</v>
      </c>
      <c r="S1028" s="3" t="n">
        <v>76.29000000000001</v>
      </c>
      <c r="T1028" s="3" t="n">
        <v>83.94</v>
      </c>
      <c r="U1028" s="4" t="n">
        <v>0.4925</v>
      </c>
      <c r="V1028" s="3" t="n">
        <v>10.2</v>
      </c>
      <c r="W1028" t="inlineStr">
        <is>
          <t>Credit Card</t>
        </is>
      </c>
      <c r="X1028" t="inlineStr">
        <is>
          <t>Critical</t>
        </is>
      </c>
      <c r="Y1028" t="n">
        <v>2025</v>
      </c>
      <c r="Z1028" t="n">
        <v>7</v>
      </c>
      <c r="AA1028" t="inlineStr">
        <is>
          <t>Jul</t>
        </is>
      </c>
      <c r="AB1028" t="inlineStr">
        <is>
          <t>Tuesday</t>
        </is>
      </c>
      <c r="AC1028" t="n">
        <v>3</v>
      </c>
      <c r="AD1028" t="inlineStr">
        <is>
          <t>Profitable</t>
        </is>
      </c>
      <c r="AE1028" t="inlineStr">
        <is>
          <t>High</t>
        </is>
      </c>
      <c r="AF1028" t="inlineStr">
        <is>
          <t>Small</t>
        </is>
      </c>
    </row>
    <row r="1029">
      <c r="A1029" t="inlineStr">
        <is>
          <t>ORD-01028</t>
        </is>
      </c>
      <c r="B1029" s="2" t="n">
        <v>45966</v>
      </c>
      <c r="C1029" s="2" t="n">
        <v>45969</v>
      </c>
      <c r="D1029" t="inlineStr">
        <is>
          <t>CUST-01028</t>
        </is>
      </c>
      <c r="E1029" t="inlineStr">
        <is>
          <t>Customer 1028</t>
        </is>
      </c>
      <c r="F1029" t="inlineStr">
        <is>
          <t>Consumer</t>
        </is>
      </c>
      <c r="G1029" t="inlineStr">
        <is>
          <t>P1014</t>
        </is>
      </c>
      <c r="H1029" t="inlineStr">
        <is>
          <t>Atlas Throw Pillow</t>
        </is>
      </c>
      <c r="I1029" t="inlineStr">
        <is>
          <t>Furniture</t>
        </is>
      </c>
      <c r="J1029" t="inlineStr">
        <is>
          <t>Video</t>
        </is>
      </c>
      <c r="K1029" t="inlineStr">
        <is>
          <t>North</t>
        </is>
      </c>
      <c r="L1029" t="inlineStr">
        <is>
          <t>British Columbia</t>
        </is>
      </c>
      <c r="M1029" t="inlineStr">
        <is>
          <t>Vancouver</t>
        </is>
      </c>
      <c r="N1029" t="inlineStr">
        <is>
          <t>Noah Kim</t>
        </is>
      </c>
      <c r="O1029" t="n">
        <v>2</v>
      </c>
      <c r="P1029" s="3" t="n">
        <v>43.68</v>
      </c>
      <c r="Q1029" s="4" t="n">
        <v>0.021</v>
      </c>
      <c r="R1029" s="3" t="n">
        <v>85.53</v>
      </c>
      <c r="S1029" s="3" t="n">
        <v>43.55</v>
      </c>
      <c r="T1029" s="3" t="n">
        <v>34.38</v>
      </c>
      <c r="U1029" s="4" t="n">
        <v>0.402</v>
      </c>
      <c r="V1029" s="3" t="n">
        <v>7.6</v>
      </c>
      <c r="W1029" t="inlineStr">
        <is>
          <t>Debit Card</t>
        </is>
      </c>
      <c r="X1029" t="inlineStr">
        <is>
          <t>Medium</t>
        </is>
      </c>
      <c r="Y1029" t="n">
        <v>2025</v>
      </c>
      <c r="Z1029" t="n">
        <v>11</v>
      </c>
      <c r="AA1029" t="inlineStr">
        <is>
          <t>Nov</t>
        </is>
      </c>
      <c r="AB1029" t="inlineStr">
        <is>
          <t>Wednesday</t>
        </is>
      </c>
      <c r="AC1029" t="n">
        <v>3</v>
      </c>
      <c r="AD1029" t="inlineStr">
        <is>
          <t>Profitable</t>
        </is>
      </c>
      <c r="AE1029" t="inlineStr">
        <is>
          <t>Medium</t>
        </is>
      </c>
      <c r="AF1029" t="inlineStr">
        <is>
          <t>Small</t>
        </is>
      </c>
    </row>
    <row r="1030">
      <c r="A1030" t="inlineStr">
        <is>
          <t>ORD-01029</t>
        </is>
      </c>
      <c r="B1030" s="2" t="n">
        <v>45545</v>
      </c>
      <c r="C1030" s="2" t="n">
        <v>45551</v>
      </c>
      <c r="D1030" t="inlineStr">
        <is>
          <t>CUST-01029</t>
        </is>
      </c>
      <c r="E1030" t="inlineStr">
        <is>
          <t>Customer 1029</t>
        </is>
      </c>
      <c r="F1030" t="inlineStr">
        <is>
          <t>Corporate</t>
        </is>
      </c>
      <c r="G1030" t="inlineStr">
        <is>
          <t>P1016</t>
        </is>
      </c>
      <c r="H1030" t="inlineStr">
        <is>
          <t>Lumen Desk Lamp</t>
        </is>
      </c>
      <c r="I1030" t="inlineStr">
        <is>
          <t>Furniture</t>
        </is>
      </c>
      <c r="J1030" t="inlineStr">
        <is>
          <t>Binders</t>
        </is>
      </c>
      <c r="K1030" t="inlineStr">
        <is>
          <t>South</t>
        </is>
      </c>
      <c r="L1030" t="inlineStr">
        <is>
          <t>Texas</t>
        </is>
      </c>
      <c r="M1030" t="inlineStr">
        <is>
          <t>Houston</t>
        </is>
      </c>
      <c r="N1030" t="inlineStr">
        <is>
          <t>Liam Chen</t>
        </is>
      </c>
      <c r="O1030" t="n">
        <v>3</v>
      </c>
      <c r="P1030" s="3" t="n">
        <v>38.06</v>
      </c>
      <c r="Q1030" s="4" t="n">
        <v>0.03</v>
      </c>
      <c r="R1030" s="3" t="n">
        <v>110.75</v>
      </c>
      <c r="S1030" s="3" t="n">
        <v>46.99</v>
      </c>
      <c r="T1030" s="3" t="n">
        <v>55.36</v>
      </c>
      <c r="U1030" s="4" t="n">
        <v>0.4999</v>
      </c>
      <c r="V1030" s="3" t="n">
        <v>8.4</v>
      </c>
      <c r="W1030" t="inlineStr">
        <is>
          <t>Bank Transfer</t>
        </is>
      </c>
      <c r="X1030" t="inlineStr">
        <is>
          <t>Medium</t>
        </is>
      </c>
      <c r="Y1030" t="n">
        <v>2024</v>
      </c>
      <c r="Z1030" t="n">
        <v>9</v>
      </c>
      <c r="AA1030" t="inlineStr">
        <is>
          <t>Sep</t>
        </is>
      </c>
      <c r="AB1030" t="inlineStr">
        <is>
          <t>Tuesday</t>
        </is>
      </c>
      <c r="AC1030" t="n">
        <v>6</v>
      </c>
      <c r="AD1030" t="inlineStr">
        <is>
          <t>Profitable</t>
        </is>
      </c>
      <c r="AE1030" t="inlineStr">
        <is>
          <t>Medium</t>
        </is>
      </c>
      <c r="AF1030" t="inlineStr">
        <is>
          <t>Small</t>
        </is>
      </c>
    </row>
    <row r="1031">
      <c r="A1031" t="inlineStr">
        <is>
          <t>ORD-01030</t>
        </is>
      </c>
      <c r="B1031" s="2" t="n">
        <v>45925</v>
      </c>
      <c r="C1031" s="2" t="n">
        <v>45926</v>
      </c>
      <c r="D1031" t="inlineStr">
        <is>
          <t>CUST-01030</t>
        </is>
      </c>
      <c r="E1031" t="inlineStr">
        <is>
          <t>Customer 1030</t>
        </is>
      </c>
      <c r="F1031" t="inlineStr">
        <is>
          <t>Consumer</t>
        </is>
      </c>
      <c r="G1031" t="inlineStr">
        <is>
          <t>P1008</t>
        </is>
      </c>
      <c r="H1031" t="inlineStr">
        <is>
          <t>ErgoMesh Chair</t>
        </is>
      </c>
      <c r="I1031" t="inlineStr">
        <is>
          <t>Home Decor</t>
        </is>
      </c>
      <c r="J1031" t="inlineStr">
        <is>
          <t>Flooring</t>
        </is>
      </c>
      <c r="K1031" t="inlineStr">
        <is>
          <t>Central</t>
        </is>
      </c>
      <c r="L1031" t="inlineStr">
        <is>
          <t>Minnesota</t>
        </is>
      </c>
      <c r="M1031" t="inlineStr">
        <is>
          <t>Chicago</t>
        </is>
      </c>
      <c r="N1031" t="inlineStr">
        <is>
          <t>Ethan Brooks</t>
        </is>
      </c>
      <c r="O1031" t="n">
        <v>3</v>
      </c>
      <c r="P1031" s="3" t="n">
        <v>35.74</v>
      </c>
      <c r="Q1031" s="4" t="n">
        <v>0.017</v>
      </c>
      <c r="R1031" s="3" t="n">
        <v>105.4</v>
      </c>
      <c r="S1031" s="3" t="n">
        <v>50.15</v>
      </c>
      <c r="T1031" s="3" t="n">
        <v>46.85</v>
      </c>
      <c r="U1031" s="4" t="n">
        <v>0.4445</v>
      </c>
      <c r="V1031" s="3" t="n">
        <v>8.4</v>
      </c>
      <c r="W1031" t="inlineStr">
        <is>
          <t>Credit Card</t>
        </is>
      </c>
      <c r="X1031" t="inlineStr">
        <is>
          <t>Medium</t>
        </is>
      </c>
      <c r="Y1031" t="n">
        <v>2025</v>
      </c>
      <c r="Z1031" t="n">
        <v>9</v>
      </c>
      <c r="AA1031" t="inlineStr">
        <is>
          <t>Sep</t>
        </is>
      </c>
      <c r="AB1031" t="inlineStr">
        <is>
          <t>Thursday</t>
        </is>
      </c>
      <c r="AC1031" t="n">
        <v>1</v>
      </c>
      <c r="AD1031" t="inlineStr">
        <is>
          <t>Profitable</t>
        </is>
      </c>
      <c r="AE1031" t="inlineStr">
        <is>
          <t>Low</t>
        </is>
      </c>
      <c r="AF1031" t="inlineStr">
        <is>
          <t>Small</t>
        </is>
      </c>
    </row>
    <row r="1032">
      <c r="A1032" t="inlineStr">
        <is>
          <t>ORD-01031</t>
        </is>
      </c>
      <c r="B1032" s="2" t="n">
        <v>45273</v>
      </c>
      <c r="C1032" s="2" t="n">
        <v>45274</v>
      </c>
      <c r="D1032" t="inlineStr">
        <is>
          <t>CUST-01031</t>
        </is>
      </c>
      <c r="E1032" t="inlineStr">
        <is>
          <t>Customer 1031</t>
        </is>
      </c>
      <c r="F1032" t="inlineStr">
        <is>
          <t>Consumer</t>
        </is>
      </c>
      <c r="G1032" t="inlineStr">
        <is>
          <t>P1018</t>
        </is>
      </c>
      <c r="H1032" t="inlineStr">
        <is>
          <t>Nimbus Monitor Arm</t>
        </is>
      </c>
      <c r="I1032" t="inlineStr">
        <is>
          <t>Outdoor</t>
        </is>
      </c>
      <c r="J1032" t="inlineStr">
        <is>
          <t>Decor</t>
        </is>
      </c>
      <c r="K1032" t="inlineStr">
        <is>
          <t>West</t>
        </is>
      </c>
      <c r="L1032" t="inlineStr">
        <is>
          <t>California</t>
        </is>
      </c>
      <c r="M1032" t="inlineStr">
        <is>
          <t>Denver</t>
        </is>
      </c>
      <c r="N1032" t="inlineStr">
        <is>
          <t>James Carter</t>
        </is>
      </c>
      <c r="O1032" t="n">
        <v>2</v>
      </c>
      <c r="P1032" s="3" t="n">
        <v>100.88</v>
      </c>
      <c r="Q1032" s="4" t="n">
        <v>0.006</v>
      </c>
      <c r="R1032" s="3" t="n">
        <v>200.55</v>
      </c>
      <c r="S1032" s="3" t="n">
        <v>93.84999999999999</v>
      </c>
      <c r="T1032" s="3" t="n">
        <v>98.09999999999999</v>
      </c>
      <c r="U1032" s="4" t="n">
        <v>0.4892</v>
      </c>
      <c r="V1032" s="3" t="n">
        <v>8.6</v>
      </c>
      <c r="W1032" t="inlineStr">
        <is>
          <t>PayPal</t>
        </is>
      </c>
      <c r="X1032" t="inlineStr">
        <is>
          <t>Medium</t>
        </is>
      </c>
      <c r="Y1032" t="n">
        <v>2023</v>
      </c>
      <c r="Z1032" t="n">
        <v>12</v>
      </c>
      <c r="AA1032" t="inlineStr">
        <is>
          <t>Dec</t>
        </is>
      </c>
      <c r="AB1032" t="inlineStr">
        <is>
          <t>Wednesday</t>
        </is>
      </c>
      <c r="AC1032" t="n">
        <v>1</v>
      </c>
      <c r="AD1032" t="inlineStr">
        <is>
          <t>Profitable</t>
        </is>
      </c>
      <c r="AE1032" t="inlineStr">
        <is>
          <t>Low</t>
        </is>
      </c>
      <c r="AF1032" t="inlineStr">
        <is>
          <t>Small</t>
        </is>
      </c>
    </row>
    <row r="1033">
      <c r="A1033" t="inlineStr">
        <is>
          <t>ORD-01032</t>
        </is>
      </c>
      <c r="B1033" s="2" t="n">
        <v>45313</v>
      </c>
      <c r="C1033" s="2" t="n">
        <v>45316</v>
      </c>
      <c r="D1033" t="inlineStr">
        <is>
          <t>CUST-01032</t>
        </is>
      </c>
      <c r="E1033" t="inlineStr">
        <is>
          <t>Customer 1032</t>
        </is>
      </c>
      <c r="F1033" t="inlineStr">
        <is>
          <t>Home Office</t>
        </is>
      </c>
      <c r="G1033" t="inlineStr">
        <is>
          <t>P1007</t>
        </is>
      </c>
      <c r="H1033" t="inlineStr">
        <is>
          <t>Echo Web Camera</t>
        </is>
      </c>
      <c r="I1033" t="inlineStr">
        <is>
          <t>Office Supplies</t>
        </is>
      </c>
      <c r="J1033" t="inlineStr">
        <is>
          <t>Video</t>
        </is>
      </c>
      <c r="K1033" t="inlineStr">
        <is>
          <t>East</t>
        </is>
      </c>
      <c r="L1033" t="inlineStr">
        <is>
          <t>New Jersey</t>
        </is>
      </c>
      <c r="M1033" t="inlineStr">
        <is>
          <t>New York</t>
        </is>
      </c>
      <c r="N1033" t="inlineStr">
        <is>
          <t>Olivia Martin</t>
        </is>
      </c>
      <c r="O1033" t="n">
        <v>3</v>
      </c>
      <c r="P1033" s="3" t="n">
        <v>23.27</v>
      </c>
      <c r="Q1033" s="4" t="n">
        <v>0.012</v>
      </c>
      <c r="R1033" s="3" t="n">
        <v>68.97</v>
      </c>
      <c r="S1033" s="3" t="n">
        <v>29.65</v>
      </c>
      <c r="T1033" s="3" t="n">
        <v>29.92</v>
      </c>
      <c r="U1033" s="4" t="n">
        <v>0.4338</v>
      </c>
      <c r="V1033" s="3" t="n">
        <v>9.4</v>
      </c>
      <c r="W1033" t="inlineStr">
        <is>
          <t>PayPal</t>
        </is>
      </c>
      <c r="X1033" t="inlineStr">
        <is>
          <t>Medium</t>
        </is>
      </c>
      <c r="Y1033" t="n">
        <v>2024</v>
      </c>
      <c r="Z1033" t="n">
        <v>1</v>
      </c>
      <c r="AA1033" t="inlineStr">
        <is>
          <t>Jan</t>
        </is>
      </c>
      <c r="AB1033" t="inlineStr">
        <is>
          <t>Monday</t>
        </is>
      </c>
      <c r="AC1033" t="n">
        <v>3</v>
      </c>
      <c r="AD1033" t="inlineStr">
        <is>
          <t>Profitable</t>
        </is>
      </c>
      <c r="AE1033" t="inlineStr">
        <is>
          <t>Low</t>
        </is>
      </c>
      <c r="AF1033" t="inlineStr">
        <is>
          <t>Small</t>
        </is>
      </c>
    </row>
    <row r="1034">
      <c r="A1034" t="inlineStr">
        <is>
          <t>ORD-01033</t>
        </is>
      </c>
      <c r="B1034" s="2" t="n">
        <v>45161</v>
      </c>
      <c r="C1034" s="2" t="n">
        <v>45166</v>
      </c>
      <c r="D1034" t="inlineStr">
        <is>
          <t>CUST-01033</t>
        </is>
      </c>
      <c r="E1034" t="inlineStr">
        <is>
          <t>Customer 1033</t>
        </is>
      </c>
      <c r="F1034" t="inlineStr">
        <is>
          <t>Consumer</t>
        </is>
      </c>
      <c r="G1034" t="inlineStr">
        <is>
          <t>P1003</t>
        </is>
      </c>
      <c r="H1034" t="inlineStr">
        <is>
          <t>ProClip Binder</t>
        </is>
      </c>
      <c r="I1034" t="inlineStr">
        <is>
          <t>Furniture</t>
        </is>
      </c>
      <c r="J1034" t="inlineStr">
        <is>
          <t>Bags</t>
        </is>
      </c>
      <c r="K1034" t="inlineStr">
        <is>
          <t>Central</t>
        </is>
      </c>
      <c r="L1034" t="inlineStr">
        <is>
          <t>Minnesota</t>
        </is>
      </c>
      <c r="M1034" t="inlineStr">
        <is>
          <t>St. Louis</t>
        </is>
      </c>
      <c r="N1034" t="inlineStr">
        <is>
          <t>Noah Kim</t>
        </is>
      </c>
      <c r="O1034" t="n">
        <v>1</v>
      </c>
      <c r="P1034" s="3" t="n">
        <v>152.83</v>
      </c>
      <c r="Q1034" s="4" t="n">
        <v>0.053</v>
      </c>
      <c r="R1034" s="3" t="n">
        <v>144.73</v>
      </c>
      <c r="S1034" s="3" t="n">
        <v>85.53</v>
      </c>
      <c r="T1034" s="3" t="n">
        <v>52.4</v>
      </c>
      <c r="U1034" s="4" t="n">
        <v>0.3621</v>
      </c>
      <c r="V1034" s="3" t="n">
        <v>6.8</v>
      </c>
      <c r="W1034" t="inlineStr">
        <is>
          <t>Debit Card</t>
        </is>
      </c>
      <c r="X1034" t="inlineStr">
        <is>
          <t>High</t>
        </is>
      </c>
      <c r="Y1034" t="n">
        <v>2023</v>
      </c>
      <c r="Z1034" t="n">
        <v>8</v>
      </c>
      <c r="AA1034" t="inlineStr">
        <is>
          <t>Aug</t>
        </is>
      </c>
      <c r="AB1034" t="inlineStr">
        <is>
          <t>Wednesday</t>
        </is>
      </c>
      <c r="AC1034" t="n">
        <v>5</v>
      </c>
      <c r="AD1034" t="inlineStr">
        <is>
          <t>Profitable</t>
        </is>
      </c>
      <c r="AE1034" t="inlineStr">
        <is>
          <t>High</t>
        </is>
      </c>
      <c r="AF1034" t="inlineStr">
        <is>
          <t>Small</t>
        </is>
      </c>
    </row>
    <row r="1035">
      <c r="A1035" t="inlineStr">
        <is>
          <t>ORD-01034</t>
        </is>
      </c>
      <c r="B1035" s="2" t="n">
        <v>45234</v>
      </c>
      <c r="C1035" s="2" t="n">
        <v>45236</v>
      </c>
      <c r="D1035" t="inlineStr">
        <is>
          <t>CUST-01034</t>
        </is>
      </c>
      <c r="E1035" t="inlineStr">
        <is>
          <t>Customer 1034</t>
        </is>
      </c>
      <c r="F1035" t="inlineStr">
        <is>
          <t>Corporate</t>
        </is>
      </c>
      <c r="G1035" t="inlineStr">
        <is>
          <t>P1006</t>
        </is>
      </c>
      <c r="H1035" t="inlineStr">
        <is>
          <t>Lumen Desk Lamp</t>
        </is>
      </c>
      <c r="I1035" t="inlineStr">
        <is>
          <t>Technology</t>
        </is>
      </c>
      <c r="J1035" t="inlineStr">
        <is>
          <t>Lighting</t>
        </is>
      </c>
      <c r="K1035" t="inlineStr">
        <is>
          <t>West</t>
        </is>
      </c>
      <c r="L1035" t="inlineStr">
        <is>
          <t>Oregon</t>
        </is>
      </c>
      <c r="M1035" t="inlineStr">
        <is>
          <t>Denver</t>
        </is>
      </c>
      <c r="N1035" t="inlineStr">
        <is>
          <t>Sophia Singh</t>
        </is>
      </c>
      <c r="O1035" t="n">
        <v>3</v>
      </c>
      <c r="P1035" s="3" t="n">
        <v>21.25</v>
      </c>
      <c r="Q1035" s="4" t="n">
        <v>0.044</v>
      </c>
      <c r="R1035" s="3" t="n">
        <v>60.95</v>
      </c>
      <c r="S1035" s="3" t="n">
        <v>23.58</v>
      </c>
      <c r="T1035" s="3" t="n">
        <v>27.97</v>
      </c>
      <c r="U1035" s="4" t="n">
        <v>0.4589</v>
      </c>
      <c r="V1035" s="3" t="n">
        <v>9.4</v>
      </c>
      <c r="W1035" t="inlineStr">
        <is>
          <t>Credit Card</t>
        </is>
      </c>
      <c r="X1035" t="inlineStr">
        <is>
          <t>High</t>
        </is>
      </c>
      <c r="Y1035" t="n">
        <v>2023</v>
      </c>
      <c r="Z1035" t="n">
        <v>11</v>
      </c>
      <c r="AA1035" t="inlineStr">
        <is>
          <t>Nov</t>
        </is>
      </c>
      <c r="AB1035" t="inlineStr">
        <is>
          <t>Saturday</t>
        </is>
      </c>
      <c r="AC1035" t="n">
        <v>2</v>
      </c>
      <c r="AD1035" t="inlineStr">
        <is>
          <t>Profitable</t>
        </is>
      </c>
      <c r="AE1035" t="inlineStr">
        <is>
          <t>Medium</t>
        </is>
      </c>
      <c r="AF1035" t="inlineStr">
        <is>
          <t>Small</t>
        </is>
      </c>
    </row>
    <row r="1036">
      <c r="A1036" t="inlineStr">
        <is>
          <t>ORD-01035</t>
        </is>
      </c>
      <c r="B1036" s="2" t="n">
        <v>45139</v>
      </c>
      <c r="C1036" s="2" t="n">
        <v>45146</v>
      </c>
      <c r="D1036" t="inlineStr">
        <is>
          <t>CUST-01035</t>
        </is>
      </c>
      <c r="E1036" t="inlineStr">
        <is>
          <t>Customer 1035</t>
        </is>
      </c>
      <c r="F1036" t="inlineStr">
        <is>
          <t>Consumer</t>
        </is>
      </c>
      <c r="G1036" t="inlineStr">
        <is>
          <t>P1020</t>
        </is>
      </c>
      <c r="H1036" t="inlineStr">
        <is>
          <t>Atlas Throw Pillow</t>
        </is>
      </c>
      <c r="I1036" t="inlineStr">
        <is>
          <t>Furniture</t>
        </is>
      </c>
      <c r="J1036" t="inlineStr">
        <is>
          <t>Video</t>
        </is>
      </c>
      <c r="K1036" t="inlineStr">
        <is>
          <t>North</t>
        </is>
      </c>
      <c r="L1036" t="inlineStr">
        <is>
          <t>Ontario</t>
        </is>
      </c>
      <c r="M1036" t="inlineStr">
        <is>
          <t>Vancouver</t>
        </is>
      </c>
      <c r="N1036" t="inlineStr">
        <is>
          <t>Ethan Brooks</t>
        </is>
      </c>
      <c r="O1036" t="n">
        <v>1</v>
      </c>
      <c r="P1036" s="3" t="n">
        <v>77.5</v>
      </c>
      <c r="Q1036" s="4" t="n">
        <v>0.022</v>
      </c>
      <c r="R1036" s="3" t="n">
        <v>75.8</v>
      </c>
      <c r="S1036" s="3" t="n">
        <v>38.87</v>
      </c>
      <c r="T1036" s="3" t="n">
        <v>30.13</v>
      </c>
      <c r="U1036" s="4" t="n">
        <v>0.3975</v>
      </c>
      <c r="V1036" s="3" t="n">
        <v>6.8</v>
      </c>
      <c r="W1036" t="inlineStr">
        <is>
          <t>Credit Card</t>
        </is>
      </c>
      <c r="X1036" t="inlineStr">
        <is>
          <t>Medium</t>
        </is>
      </c>
      <c r="Y1036" t="n">
        <v>2023</v>
      </c>
      <c r="Z1036" t="n">
        <v>8</v>
      </c>
      <c r="AA1036" t="inlineStr">
        <is>
          <t>Aug</t>
        </is>
      </c>
      <c r="AB1036" t="inlineStr">
        <is>
          <t>Tuesday</t>
        </is>
      </c>
      <c r="AC1036" t="n">
        <v>7</v>
      </c>
      <c r="AD1036" t="inlineStr">
        <is>
          <t>Profitable</t>
        </is>
      </c>
      <c r="AE1036" t="inlineStr">
        <is>
          <t>Medium</t>
        </is>
      </c>
      <c r="AF1036" t="inlineStr">
        <is>
          <t>Small</t>
        </is>
      </c>
    </row>
    <row r="1037">
      <c r="A1037" t="inlineStr">
        <is>
          <t>ORD-01036</t>
        </is>
      </c>
      <c r="B1037" s="2" t="n">
        <v>45798</v>
      </c>
      <c r="C1037" s="2" t="n">
        <v>45802</v>
      </c>
      <c r="D1037" t="inlineStr">
        <is>
          <t>CUST-01036</t>
        </is>
      </c>
      <c r="E1037" t="inlineStr">
        <is>
          <t>Customer 1036</t>
        </is>
      </c>
      <c r="F1037" t="inlineStr">
        <is>
          <t>Consumer</t>
        </is>
      </c>
      <c r="G1037" t="inlineStr">
        <is>
          <t>P1016</t>
        </is>
      </c>
      <c r="H1037" t="inlineStr">
        <is>
          <t>FlexNote Notebook</t>
        </is>
      </c>
      <c r="I1037" t="inlineStr">
        <is>
          <t>Outdoor</t>
        </is>
      </c>
      <c r="J1037" t="inlineStr">
        <is>
          <t>Binders</t>
        </is>
      </c>
      <c r="K1037" t="inlineStr">
        <is>
          <t>West</t>
        </is>
      </c>
      <c r="L1037" t="inlineStr">
        <is>
          <t>Colorado</t>
        </is>
      </c>
      <c r="M1037" t="inlineStr">
        <is>
          <t>Los Angeles</t>
        </is>
      </c>
      <c r="N1037" t="inlineStr">
        <is>
          <t>Mia Rodriguez</t>
        </is>
      </c>
      <c r="O1037" t="n">
        <v>3</v>
      </c>
      <c r="P1037" s="3" t="n">
        <v>38.19</v>
      </c>
      <c r="Q1037" s="4" t="n">
        <v>0.02</v>
      </c>
      <c r="R1037" s="3" t="n">
        <v>112.28</v>
      </c>
      <c r="S1037" s="3" t="n">
        <v>49.58</v>
      </c>
      <c r="T1037" s="3" t="n">
        <v>53.3</v>
      </c>
      <c r="U1037" s="4" t="n">
        <v>0.4747</v>
      </c>
      <c r="V1037" s="3" t="n">
        <v>9.4</v>
      </c>
      <c r="W1037" t="inlineStr">
        <is>
          <t>Credit Card</t>
        </is>
      </c>
      <c r="X1037" t="inlineStr">
        <is>
          <t>Medium</t>
        </is>
      </c>
      <c r="Y1037" t="n">
        <v>2025</v>
      </c>
      <c r="Z1037" t="n">
        <v>5</v>
      </c>
      <c r="AA1037" t="inlineStr">
        <is>
          <t>May</t>
        </is>
      </c>
      <c r="AB1037" t="inlineStr">
        <is>
          <t>Wednesday</t>
        </is>
      </c>
      <c r="AC1037" t="n">
        <v>4</v>
      </c>
      <c r="AD1037" t="inlineStr">
        <is>
          <t>Profitable</t>
        </is>
      </c>
      <c r="AE1037" t="inlineStr">
        <is>
          <t>Medium</t>
        </is>
      </c>
      <c r="AF1037" t="inlineStr">
        <is>
          <t>Small</t>
        </is>
      </c>
    </row>
    <row r="1038">
      <c r="A1038" t="inlineStr">
        <is>
          <t>ORD-01037</t>
        </is>
      </c>
      <c r="B1038" s="2" t="n">
        <v>45353</v>
      </c>
      <c r="C1038" s="2" t="n">
        <v>45355</v>
      </c>
      <c r="D1038" t="inlineStr">
        <is>
          <t>CUST-01037</t>
        </is>
      </c>
      <c r="E1038" t="inlineStr">
        <is>
          <t>Customer 1037</t>
        </is>
      </c>
      <c r="F1038" t="inlineStr">
        <is>
          <t>Corporate</t>
        </is>
      </c>
      <c r="G1038" t="inlineStr">
        <is>
          <t>P1004</t>
        </is>
      </c>
      <c r="H1038" t="inlineStr">
        <is>
          <t>Echo Web Camera</t>
        </is>
      </c>
      <c r="I1038" t="inlineStr">
        <is>
          <t>Home Decor</t>
        </is>
      </c>
      <c r="J1038" t="inlineStr">
        <is>
          <t>Desks</t>
        </is>
      </c>
      <c r="K1038" t="inlineStr">
        <is>
          <t>East</t>
        </is>
      </c>
      <c r="L1038" t="inlineStr">
        <is>
          <t>Massachusetts</t>
        </is>
      </c>
      <c r="M1038" t="inlineStr">
        <is>
          <t>Boston</t>
        </is>
      </c>
      <c r="N1038" t="inlineStr">
        <is>
          <t>Mia Rodriguez</t>
        </is>
      </c>
      <c r="O1038" t="n">
        <v>3</v>
      </c>
      <c r="P1038" s="3" t="n">
        <v>596.9</v>
      </c>
      <c r="Q1038" s="4" t="n">
        <v>0.033</v>
      </c>
      <c r="R1038" s="3" t="n">
        <v>1731.61</v>
      </c>
      <c r="S1038" s="3" t="n">
        <v>1101.16</v>
      </c>
      <c r="T1038" s="3" t="n">
        <v>621.05</v>
      </c>
      <c r="U1038" s="4" t="n">
        <v>0.3587</v>
      </c>
      <c r="V1038" s="3" t="n">
        <v>9.4</v>
      </c>
      <c r="W1038" t="inlineStr">
        <is>
          <t>Credit Card</t>
        </is>
      </c>
      <c r="X1038" t="inlineStr">
        <is>
          <t>High</t>
        </is>
      </c>
      <c r="Y1038" t="n">
        <v>2024</v>
      </c>
      <c r="Z1038" t="n">
        <v>3</v>
      </c>
      <c r="AA1038" t="inlineStr">
        <is>
          <t>Mar</t>
        </is>
      </c>
      <c r="AB1038" t="inlineStr">
        <is>
          <t>Saturday</t>
        </is>
      </c>
      <c r="AC1038" t="n">
        <v>2</v>
      </c>
      <c r="AD1038" t="inlineStr">
        <is>
          <t>Profitable</t>
        </is>
      </c>
      <c r="AE1038" t="inlineStr">
        <is>
          <t>Medium</t>
        </is>
      </c>
      <c r="AF1038" t="inlineStr">
        <is>
          <t>Large</t>
        </is>
      </c>
    </row>
    <row r="1039">
      <c r="A1039" t="inlineStr">
        <is>
          <t>ORD-01038</t>
        </is>
      </c>
      <c r="B1039" s="2" t="n">
        <v>46015</v>
      </c>
      <c r="C1039" s="2" t="n">
        <v>46017</v>
      </c>
      <c r="D1039" t="inlineStr">
        <is>
          <t>CUST-01038</t>
        </is>
      </c>
      <c r="E1039" t="inlineStr">
        <is>
          <t>Customer 1038</t>
        </is>
      </c>
      <c r="F1039" t="inlineStr">
        <is>
          <t>Home Office</t>
        </is>
      </c>
      <c r="G1039" t="inlineStr">
        <is>
          <t>P1019</t>
        </is>
      </c>
      <c r="H1039" t="inlineStr">
        <is>
          <t>Aero Standing Desk</t>
        </is>
      </c>
      <c r="I1039" t="inlineStr">
        <is>
          <t>Office Supplies</t>
        </is>
      </c>
      <c r="J1039" t="inlineStr">
        <is>
          <t>Chairs</t>
        </is>
      </c>
      <c r="K1039" t="inlineStr">
        <is>
          <t>South</t>
        </is>
      </c>
      <c r="L1039" t="inlineStr">
        <is>
          <t>Florida</t>
        </is>
      </c>
      <c r="M1039" t="inlineStr">
        <is>
          <t>Miami</t>
        </is>
      </c>
      <c r="N1039" t="inlineStr">
        <is>
          <t>James Carter</t>
        </is>
      </c>
      <c r="O1039" t="n">
        <v>1</v>
      </c>
      <c r="P1039" s="3" t="n">
        <v>57.53</v>
      </c>
      <c r="Q1039" s="4" t="n">
        <v>0.021</v>
      </c>
      <c r="R1039" s="3" t="n">
        <v>56.32</v>
      </c>
      <c r="S1039" s="3" t="n">
        <v>32.49</v>
      </c>
      <c r="T1039" s="3" t="n">
        <v>17.03</v>
      </c>
      <c r="U1039" s="4" t="n">
        <v>0.3024</v>
      </c>
      <c r="V1039" s="3" t="n">
        <v>6.8</v>
      </c>
      <c r="W1039" t="inlineStr">
        <is>
          <t>Credit Card</t>
        </is>
      </c>
      <c r="X1039" t="inlineStr">
        <is>
          <t>Critical</t>
        </is>
      </c>
      <c r="Y1039" t="n">
        <v>2025</v>
      </c>
      <c r="Z1039" t="n">
        <v>12</v>
      </c>
      <c r="AA1039" t="inlineStr">
        <is>
          <t>Dec</t>
        </is>
      </c>
      <c r="AB1039" t="inlineStr">
        <is>
          <t>Wednesday</t>
        </is>
      </c>
      <c r="AC1039" t="n">
        <v>2</v>
      </c>
      <c r="AD1039" t="inlineStr">
        <is>
          <t>Profitable</t>
        </is>
      </c>
      <c r="AE1039" t="inlineStr">
        <is>
          <t>Medium</t>
        </is>
      </c>
      <c r="AF1039" t="inlineStr">
        <is>
          <t>Small</t>
        </is>
      </c>
    </row>
    <row r="1040">
      <c r="A1040" t="inlineStr">
        <is>
          <t>ORD-01039</t>
        </is>
      </c>
      <c r="B1040" s="2" t="n">
        <v>45111</v>
      </c>
      <c r="C1040" s="2" t="n">
        <v>45115</v>
      </c>
      <c r="D1040" t="inlineStr">
        <is>
          <t>CUST-01039</t>
        </is>
      </c>
      <c r="E1040" t="inlineStr">
        <is>
          <t>Customer 1039</t>
        </is>
      </c>
      <c r="F1040" t="inlineStr">
        <is>
          <t>Consumer</t>
        </is>
      </c>
      <c r="G1040" t="inlineStr">
        <is>
          <t>P1002</t>
        </is>
      </c>
      <c r="H1040" t="inlineStr">
        <is>
          <t>Cove Wall Clock</t>
        </is>
      </c>
      <c r="I1040" t="inlineStr">
        <is>
          <t>Office Supplies</t>
        </is>
      </c>
      <c r="J1040" t="inlineStr">
        <is>
          <t>Storage</t>
        </is>
      </c>
      <c r="K1040" t="inlineStr">
        <is>
          <t>West</t>
        </is>
      </c>
      <c r="L1040" t="inlineStr">
        <is>
          <t>California</t>
        </is>
      </c>
      <c r="M1040" t="inlineStr">
        <is>
          <t>Seattle</t>
        </is>
      </c>
      <c r="N1040" t="inlineStr">
        <is>
          <t>Ethan Brooks</t>
        </is>
      </c>
      <c r="O1040" t="n">
        <v>3</v>
      </c>
      <c r="P1040" s="3" t="n">
        <v>87.45</v>
      </c>
      <c r="Q1040" s="4" t="n">
        <v>0.014</v>
      </c>
      <c r="R1040" s="3" t="n">
        <v>258.68</v>
      </c>
      <c r="S1040" s="3" t="n">
        <v>122.89</v>
      </c>
      <c r="T1040" s="3" t="n">
        <v>126.39</v>
      </c>
      <c r="U1040" s="4" t="n">
        <v>0.4886</v>
      </c>
      <c r="V1040" s="3" t="n">
        <v>9.4</v>
      </c>
      <c r="W1040" t="inlineStr">
        <is>
          <t>Bank Transfer</t>
        </is>
      </c>
      <c r="X1040" t="inlineStr">
        <is>
          <t>Low</t>
        </is>
      </c>
      <c r="Y1040" t="n">
        <v>2023</v>
      </c>
      <c r="Z1040" t="n">
        <v>7</v>
      </c>
      <c r="AA1040" t="inlineStr">
        <is>
          <t>Jul</t>
        </is>
      </c>
      <c r="AB1040" t="inlineStr">
        <is>
          <t>Tuesday</t>
        </is>
      </c>
      <c r="AC1040" t="n">
        <v>4</v>
      </c>
      <c r="AD1040" t="inlineStr">
        <is>
          <t>Profitable</t>
        </is>
      </c>
      <c r="AE1040" t="inlineStr">
        <is>
          <t>Low</t>
        </is>
      </c>
      <c r="AF1040" t="inlineStr">
        <is>
          <t>Small</t>
        </is>
      </c>
    </row>
    <row r="1041">
      <c r="A1041" t="inlineStr">
        <is>
          <t>ORD-01040</t>
        </is>
      </c>
      <c r="B1041" s="2" t="n">
        <v>45613</v>
      </c>
      <c r="C1041" s="2" t="n">
        <v>45616</v>
      </c>
      <c r="D1041" t="inlineStr">
        <is>
          <t>CUST-01040</t>
        </is>
      </c>
      <c r="E1041" t="inlineStr">
        <is>
          <t>Customer 1040</t>
        </is>
      </c>
      <c r="F1041" t="inlineStr">
        <is>
          <t>Corporate</t>
        </is>
      </c>
      <c r="G1041" t="inlineStr">
        <is>
          <t>P1004</t>
        </is>
      </c>
      <c r="H1041" t="inlineStr">
        <is>
          <t>Summit Patio Set</t>
        </is>
      </c>
      <c r="I1041" t="inlineStr">
        <is>
          <t>Technology</t>
        </is>
      </c>
      <c r="J1041" t="inlineStr">
        <is>
          <t>Storage</t>
        </is>
      </c>
      <c r="K1041" t="inlineStr">
        <is>
          <t>North</t>
        </is>
      </c>
      <c r="L1041" t="inlineStr">
        <is>
          <t>British Columbia</t>
        </is>
      </c>
      <c r="M1041" t="inlineStr">
        <is>
          <t>Vancouver</t>
        </is>
      </c>
      <c r="N1041" t="inlineStr">
        <is>
          <t>James Carter</t>
        </is>
      </c>
      <c r="O1041" t="n">
        <v>3</v>
      </c>
      <c r="P1041" s="3" t="n">
        <v>663.04</v>
      </c>
      <c r="Q1041" s="4" t="n">
        <v>0.024</v>
      </c>
      <c r="R1041" s="3" t="n">
        <v>1941.38</v>
      </c>
      <c r="S1041" s="3" t="n">
        <v>1234.33</v>
      </c>
      <c r="T1041" s="3" t="n">
        <v>698.65</v>
      </c>
      <c r="U1041" s="4" t="n">
        <v>0.3599</v>
      </c>
      <c r="V1041" s="3" t="n">
        <v>8.4</v>
      </c>
      <c r="W1041" t="inlineStr">
        <is>
          <t>Credit Card</t>
        </is>
      </c>
      <c r="X1041" t="inlineStr">
        <is>
          <t>Medium</t>
        </is>
      </c>
      <c r="Y1041" t="n">
        <v>2024</v>
      </c>
      <c r="Z1041" t="n">
        <v>11</v>
      </c>
      <c r="AA1041" t="inlineStr">
        <is>
          <t>Nov</t>
        </is>
      </c>
      <c r="AB1041" t="inlineStr">
        <is>
          <t>Sunday</t>
        </is>
      </c>
      <c r="AC1041" t="n">
        <v>3</v>
      </c>
      <c r="AD1041" t="inlineStr">
        <is>
          <t>Profitable</t>
        </is>
      </c>
      <c r="AE1041" t="inlineStr">
        <is>
          <t>Medium</t>
        </is>
      </c>
      <c r="AF1041" t="inlineStr">
        <is>
          <t>Large</t>
        </is>
      </c>
    </row>
    <row r="1042">
      <c r="A1042" t="inlineStr">
        <is>
          <t>ORD-01041</t>
        </is>
      </c>
      <c r="B1042" s="2" t="n">
        <v>45514</v>
      </c>
      <c r="C1042" s="2" t="n">
        <v>45516</v>
      </c>
      <c r="D1042" t="inlineStr">
        <is>
          <t>CUST-01041</t>
        </is>
      </c>
      <c r="E1042" t="inlineStr">
        <is>
          <t>Customer 1041</t>
        </is>
      </c>
      <c r="F1042" t="inlineStr">
        <is>
          <t>Home Office</t>
        </is>
      </c>
      <c r="G1042" t="inlineStr">
        <is>
          <t>P1002</t>
        </is>
      </c>
      <c r="H1042" t="inlineStr">
        <is>
          <t>Echo Web Camera</t>
        </is>
      </c>
      <c r="I1042" t="inlineStr">
        <is>
          <t>Furniture</t>
        </is>
      </c>
      <c r="J1042" t="inlineStr">
        <is>
          <t>Video</t>
        </is>
      </c>
      <c r="K1042" t="inlineStr">
        <is>
          <t>West</t>
        </is>
      </c>
      <c r="L1042" t="inlineStr">
        <is>
          <t>California</t>
        </is>
      </c>
      <c r="M1042" t="inlineStr">
        <is>
          <t>San Francisco</t>
        </is>
      </c>
      <c r="N1042" t="inlineStr">
        <is>
          <t>Ethan Brooks</t>
        </is>
      </c>
      <c r="O1042" t="n">
        <v>3</v>
      </c>
      <c r="P1042" s="3" t="n">
        <v>82.37</v>
      </c>
      <c r="Q1042" s="4" t="n">
        <v>0.039</v>
      </c>
      <c r="R1042" s="3" t="n">
        <v>237.47</v>
      </c>
      <c r="S1042" s="3" t="n">
        <v>110.46</v>
      </c>
      <c r="T1042" s="3" t="n">
        <v>117.61</v>
      </c>
      <c r="U1042" s="4" t="n">
        <v>0.4953</v>
      </c>
      <c r="V1042" s="3" t="n">
        <v>9.4</v>
      </c>
      <c r="W1042" t="inlineStr">
        <is>
          <t>Bank Transfer</t>
        </is>
      </c>
      <c r="X1042" t="inlineStr">
        <is>
          <t>High</t>
        </is>
      </c>
      <c r="Y1042" t="n">
        <v>2024</v>
      </c>
      <c r="Z1042" t="n">
        <v>8</v>
      </c>
      <c r="AA1042" t="inlineStr">
        <is>
          <t>Aug</t>
        </is>
      </c>
      <c r="AB1042" t="inlineStr">
        <is>
          <t>Saturday</t>
        </is>
      </c>
      <c r="AC1042" t="n">
        <v>2</v>
      </c>
      <c r="AD1042" t="inlineStr">
        <is>
          <t>Profitable</t>
        </is>
      </c>
      <c r="AE1042" t="inlineStr">
        <is>
          <t>Medium</t>
        </is>
      </c>
      <c r="AF1042" t="inlineStr">
        <is>
          <t>Small</t>
        </is>
      </c>
    </row>
    <row r="1043">
      <c r="A1043" t="inlineStr">
        <is>
          <t>ORD-01042</t>
        </is>
      </c>
      <c r="B1043" s="2" t="n">
        <v>45923</v>
      </c>
      <c r="C1043" s="2" t="n">
        <v>45927</v>
      </c>
      <c r="D1043" t="inlineStr">
        <is>
          <t>CUST-01042</t>
        </is>
      </c>
      <c r="E1043" t="inlineStr">
        <is>
          <t>Customer 1042</t>
        </is>
      </c>
      <c r="F1043" t="inlineStr">
        <is>
          <t>Corporate</t>
        </is>
      </c>
      <c r="G1043" t="inlineStr">
        <is>
          <t>P1007</t>
        </is>
      </c>
      <c r="H1043" t="inlineStr">
        <is>
          <t>Harbor Rug</t>
        </is>
      </c>
      <c r="I1043" t="inlineStr">
        <is>
          <t>Furniture</t>
        </is>
      </c>
      <c r="J1043" t="inlineStr">
        <is>
          <t>Desks</t>
        </is>
      </c>
      <c r="K1043" t="inlineStr">
        <is>
          <t>West</t>
        </is>
      </c>
      <c r="L1043" t="inlineStr">
        <is>
          <t>Washington</t>
        </is>
      </c>
      <c r="M1043" t="inlineStr">
        <is>
          <t>San Francisco</t>
        </is>
      </c>
      <c r="N1043" t="inlineStr">
        <is>
          <t>James Carter</t>
        </is>
      </c>
      <c r="O1043" t="n">
        <v>3</v>
      </c>
      <c r="P1043" s="3" t="n">
        <v>24.66</v>
      </c>
      <c r="Q1043" s="4" t="n">
        <v>0.049</v>
      </c>
      <c r="R1043" s="3" t="n">
        <v>70.34999999999999</v>
      </c>
      <c r="S1043" s="3" t="n">
        <v>33.19</v>
      </c>
      <c r="T1043" s="3" t="n">
        <v>27.76</v>
      </c>
      <c r="U1043" s="4" t="n">
        <v>0.3946</v>
      </c>
      <c r="V1043" s="3" t="n">
        <v>9.4</v>
      </c>
      <c r="W1043" t="inlineStr">
        <is>
          <t>Debit Card</t>
        </is>
      </c>
      <c r="X1043" t="inlineStr">
        <is>
          <t>Critical</t>
        </is>
      </c>
      <c r="Y1043" t="n">
        <v>2025</v>
      </c>
      <c r="Z1043" t="n">
        <v>9</v>
      </c>
      <c r="AA1043" t="inlineStr">
        <is>
          <t>Sep</t>
        </is>
      </c>
      <c r="AB1043" t="inlineStr">
        <is>
          <t>Tuesday</t>
        </is>
      </c>
      <c r="AC1043" t="n">
        <v>4</v>
      </c>
      <c r="AD1043" t="inlineStr">
        <is>
          <t>Profitable</t>
        </is>
      </c>
      <c r="AE1043" t="inlineStr">
        <is>
          <t>Medium</t>
        </is>
      </c>
      <c r="AF1043" t="inlineStr">
        <is>
          <t>Small</t>
        </is>
      </c>
    </row>
    <row r="1044">
      <c r="A1044" t="inlineStr">
        <is>
          <t>ORD-01043</t>
        </is>
      </c>
      <c r="B1044" s="2" t="n">
        <v>45608</v>
      </c>
      <c r="C1044" s="2" t="n">
        <v>45615</v>
      </c>
      <c r="D1044" t="inlineStr">
        <is>
          <t>CUST-01043</t>
        </is>
      </c>
      <c r="E1044" t="inlineStr">
        <is>
          <t>Customer 1043</t>
        </is>
      </c>
      <c r="F1044" t="inlineStr">
        <is>
          <t>Consumer</t>
        </is>
      </c>
      <c r="G1044" t="inlineStr">
        <is>
          <t>P1015</t>
        </is>
      </c>
      <c r="H1044" t="inlineStr">
        <is>
          <t>Summit Patio Set</t>
        </is>
      </c>
      <c r="I1044" t="inlineStr">
        <is>
          <t>Furniture</t>
        </is>
      </c>
      <c r="J1044" t="inlineStr">
        <is>
          <t>Textiles</t>
        </is>
      </c>
      <c r="K1044" t="inlineStr">
        <is>
          <t>South</t>
        </is>
      </c>
      <c r="L1044" t="inlineStr">
        <is>
          <t>Florida</t>
        </is>
      </c>
      <c r="M1044" t="inlineStr">
        <is>
          <t>Miami</t>
        </is>
      </c>
      <c r="N1044" t="inlineStr">
        <is>
          <t>Mia Rodriguez</t>
        </is>
      </c>
      <c r="O1044" t="n">
        <v>2</v>
      </c>
      <c r="P1044" s="3" t="n">
        <v>68.02</v>
      </c>
      <c r="Q1044" s="4" t="n">
        <v>0.007</v>
      </c>
      <c r="R1044" s="3" t="n">
        <v>135.09</v>
      </c>
      <c r="S1044" s="3" t="n">
        <v>64.16</v>
      </c>
      <c r="T1044" s="3" t="n">
        <v>63.33</v>
      </c>
      <c r="U1044" s="4" t="n">
        <v>0.4688</v>
      </c>
      <c r="V1044" s="3" t="n">
        <v>7.6</v>
      </c>
      <c r="W1044" t="inlineStr">
        <is>
          <t>Debit Card</t>
        </is>
      </c>
      <c r="X1044" t="inlineStr">
        <is>
          <t>Medium</t>
        </is>
      </c>
      <c r="Y1044" t="n">
        <v>2024</v>
      </c>
      <c r="Z1044" t="n">
        <v>11</v>
      </c>
      <c r="AA1044" t="inlineStr">
        <is>
          <t>Nov</t>
        </is>
      </c>
      <c r="AB1044" t="inlineStr">
        <is>
          <t>Tuesday</t>
        </is>
      </c>
      <c r="AC1044" t="n">
        <v>7</v>
      </c>
      <c r="AD1044" t="inlineStr">
        <is>
          <t>Profitable</t>
        </is>
      </c>
      <c r="AE1044" t="inlineStr">
        <is>
          <t>Low</t>
        </is>
      </c>
      <c r="AF1044" t="inlineStr">
        <is>
          <t>Small</t>
        </is>
      </c>
    </row>
    <row r="1045">
      <c r="A1045" t="inlineStr">
        <is>
          <t>ORD-01044</t>
        </is>
      </c>
      <c r="B1045" s="2" t="n">
        <v>45562</v>
      </c>
      <c r="C1045" s="2" t="n">
        <v>45568</v>
      </c>
      <c r="D1045" t="inlineStr">
        <is>
          <t>CUST-01044</t>
        </is>
      </c>
      <c r="E1045" t="inlineStr">
        <is>
          <t>Customer 1044</t>
        </is>
      </c>
      <c r="F1045" t="inlineStr">
        <is>
          <t>Corporate</t>
        </is>
      </c>
      <c r="G1045" t="inlineStr">
        <is>
          <t>P1017</t>
        </is>
      </c>
      <c r="H1045" t="inlineStr">
        <is>
          <t>Trail Tote</t>
        </is>
      </c>
      <c r="I1045" t="inlineStr">
        <is>
          <t>Outdoor</t>
        </is>
      </c>
      <c r="J1045" t="inlineStr">
        <is>
          <t>Decor</t>
        </is>
      </c>
      <c r="K1045" t="inlineStr">
        <is>
          <t>Central</t>
        </is>
      </c>
      <c r="L1045" t="inlineStr">
        <is>
          <t>Illinois</t>
        </is>
      </c>
      <c r="M1045" t="inlineStr">
        <is>
          <t>Chicago</t>
        </is>
      </c>
      <c r="N1045" t="inlineStr">
        <is>
          <t>Noah Kim</t>
        </is>
      </c>
      <c r="O1045" t="n">
        <v>1</v>
      </c>
      <c r="P1045" s="3" t="n">
        <v>526.92</v>
      </c>
      <c r="Q1045" s="4" t="n">
        <v>0.033</v>
      </c>
      <c r="R1045" s="3" t="n">
        <v>509.53</v>
      </c>
      <c r="S1045" s="3" t="n">
        <v>347.54</v>
      </c>
      <c r="T1045" s="3" t="n">
        <v>155.19</v>
      </c>
      <c r="U1045" s="4" t="n">
        <v>0.3046</v>
      </c>
      <c r="V1045" s="3" t="n">
        <v>6.8</v>
      </c>
      <c r="W1045" t="inlineStr">
        <is>
          <t>Credit Card</t>
        </is>
      </c>
      <c r="X1045" t="inlineStr">
        <is>
          <t>High</t>
        </is>
      </c>
      <c r="Y1045" t="n">
        <v>2024</v>
      </c>
      <c r="Z1045" t="n">
        <v>9</v>
      </c>
      <c r="AA1045" t="inlineStr">
        <is>
          <t>Sep</t>
        </is>
      </c>
      <c r="AB1045" t="inlineStr">
        <is>
          <t>Friday</t>
        </is>
      </c>
      <c r="AC1045" t="n">
        <v>6</v>
      </c>
      <c r="AD1045" t="inlineStr">
        <is>
          <t>Profitable</t>
        </is>
      </c>
      <c r="AE1045" t="inlineStr">
        <is>
          <t>Medium</t>
        </is>
      </c>
      <c r="AF1045" t="inlineStr">
        <is>
          <t>Medium</t>
        </is>
      </c>
    </row>
    <row r="1046">
      <c r="A1046" t="inlineStr">
        <is>
          <t>ORD-01045</t>
        </is>
      </c>
      <c r="B1046" s="2" t="n">
        <v>45810</v>
      </c>
      <c r="C1046" s="2" t="n">
        <v>45815</v>
      </c>
      <c r="D1046" t="inlineStr">
        <is>
          <t>CUST-01045</t>
        </is>
      </c>
      <c r="E1046" t="inlineStr">
        <is>
          <t>Customer 1045</t>
        </is>
      </c>
      <c r="F1046" t="inlineStr">
        <is>
          <t>Corporate</t>
        </is>
      </c>
      <c r="G1046" t="inlineStr">
        <is>
          <t>P1014</t>
        </is>
      </c>
      <c r="H1046" t="inlineStr">
        <is>
          <t>Halo Planter</t>
        </is>
      </c>
      <c r="I1046" t="inlineStr">
        <is>
          <t>Technology</t>
        </is>
      </c>
      <c r="J1046" t="inlineStr">
        <is>
          <t>Decor</t>
        </is>
      </c>
      <c r="K1046" t="inlineStr">
        <is>
          <t>North</t>
        </is>
      </c>
      <c r="L1046" t="inlineStr">
        <is>
          <t>Ontario</t>
        </is>
      </c>
      <c r="M1046" t="inlineStr">
        <is>
          <t>Montreal</t>
        </is>
      </c>
      <c r="N1046" t="inlineStr">
        <is>
          <t>Ethan Brooks</t>
        </is>
      </c>
      <c r="O1046" t="n">
        <v>5</v>
      </c>
      <c r="P1046" s="3" t="n">
        <v>42.94</v>
      </c>
      <c r="Q1046" s="4" t="n">
        <v>0.066</v>
      </c>
      <c r="R1046" s="3" t="n">
        <v>200.53</v>
      </c>
      <c r="S1046" s="3" t="n">
        <v>89.06</v>
      </c>
      <c r="T1046" s="3" t="n">
        <v>101.47</v>
      </c>
      <c r="U1046" s="4" t="n">
        <v>0.506</v>
      </c>
      <c r="V1046" s="3" t="n">
        <v>10</v>
      </c>
      <c r="W1046" t="inlineStr">
        <is>
          <t>Credit Card</t>
        </is>
      </c>
      <c r="X1046" t="inlineStr">
        <is>
          <t>Critical</t>
        </is>
      </c>
      <c r="Y1046" t="n">
        <v>2025</v>
      </c>
      <c r="Z1046" t="n">
        <v>6</v>
      </c>
      <c r="AA1046" t="inlineStr">
        <is>
          <t>Jun</t>
        </is>
      </c>
      <c r="AB1046" t="inlineStr">
        <is>
          <t>Monday</t>
        </is>
      </c>
      <c r="AC1046" t="n">
        <v>5</v>
      </c>
      <c r="AD1046" t="inlineStr">
        <is>
          <t>Profitable</t>
        </is>
      </c>
      <c r="AE1046" t="inlineStr">
        <is>
          <t>High</t>
        </is>
      </c>
      <c r="AF1046" t="inlineStr">
        <is>
          <t>Small</t>
        </is>
      </c>
    </row>
    <row r="1047">
      <c r="A1047" t="inlineStr">
        <is>
          <t>ORD-01046</t>
        </is>
      </c>
      <c r="B1047" s="2" t="n">
        <v>45476</v>
      </c>
      <c r="C1047" s="2" t="n">
        <v>45481</v>
      </c>
      <c r="D1047" t="inlineStr">
        <is>
          <t>CUST-01046</t>
        </is>
      </c>
      <c r="E1047" t="inlineStr">
        <is>
          <t>Customer 1046</t>
        </is>
      </c>
      <c r="F1047" t="inlineStr">
        <is>
          <t>Corporate</t>
        </is>
      </c>
      <c r="G1047" t="inlineStr">
        <is>
          <t>P1011</t>
        </is>
      </c>
      <c r="H1047" t="inlineStr">
        <is>
          <t>Nova Laptop Stand</t>
        </is>
      </c>
      <c r="I1047" t="inlineStr">
        <is>
          <t>Furniture</t>
        </is>
      </c>
      <c r="J1047" t="inlineStr">
        <is>
          <t>Lighting</t>
        </is>
      </c>
      <c r="K1047" t="inlineStr">
        <is>
          <t>East</t>
        </is>
      </c>
      <c r="L1047" t="inlineStr">
        <is>
          <t>New Jersey</t>
        </is>
      </c>
      <c r="M1047" t="inlineStr">
        <is>
          <t>New York</t>
        </is>
      </c>
      <c r="N1047" t="inlineStr">
        <is>
          <t>Ava Patel</t>
        </is>
      </c>
      <c r="O1047" t="n">
        <v>3</v>
      </c>
      <c r="P1047" s="3" t="n">
        <v>88.36</v>
      </c>
      <c r="Q1047" s="4" t="n">
        <v>0.016</v>
      </c>
      <c r="R1047" s="3" t="n">
        <v>260.84</v>
      </c>
      <c r="S1047" s="3" t="n">
        <v>131.53</v>
      </c>
      <c r="T1047" s="3" t="n">
        <v>119.91</v>
      </c>
      <c r="U1047" s="4" t="n">
        <v>0.4597</v>
      </c>
      <c r="V1047" s="3" t="n">
        <v>9.4</v>
      </c>
      <c r="W1047" t="inlineStr">
        <is>
          <t>Bank Transfer</t>
        </is>
      </c>
      <c r="X1047" t="inlineStr">
        <is>
          <t>Medium</t>
        </is>
      </c>
      <c r="Y1047" t="n">
        <v>2024</v>
      </c>
      <c r="Z1047" t="n">
        <v>7</v>
      </c>
      <c r="AA1047" t="inlineStr">
        <is>
          <t>Jul</t>
        </is>
      </c>
      <c r="AB1047" t="inlineStr">
        <is>
          <t>Wednesday</t>
        </is>
      </c>
      <c r="AC1047" t="n">
        <v>5</v>
      </c>
      <c r="AD1047" t="inlineStr">
        <is>
          <t>Profitable</t>
        </is>
      </c>
      <c r="AE1047" t="inlineStr">
        <is>
          <t>Low</t>
        </is>
      </c>
      <c r="AF1047" t="inlineStr">
        <is>
          <t>Small</t>
        </is>
      </c>
    </row>
    <row r="1048">
      <c r="A1048" t="inlineStr">
        <is>
          <t>ORD-01047</t>
        </is>
      </c>
      <c r="B1048" s="2" t="n">
        <v>45244</v>
      </c>
      <c r="C1048" s="2" t="n">
        <v>45249</v>
      </c>
      <c r="D1048" t="inlineStr">
        <is>
          <t>CUST-01047</t>
        </is>
      </c>
      <c r="E1048" t="inlineStr">
        <is>
          <t>Customer 1047</t>
        </is>
      </c>
      <c r="F1048" t="inlineStr">
        <is>
          <t>Consumer</t>
        </is>
      </c>
      <c r="G1048" t="inlineStr">
        <is>
          <t>P1017</t>
        </is>
      </c>
      <c r="H1048" t="inlineStr">
        <is>
          <t>Orbit Wireless Mouse</t>
        </is>
      </c>
      <c r="I1048" t="inlineStr">
        <is>
          <t>Technology</t>
        </is>
      </c>
      <c r="J1048" t="inlineStr">
        <is>
          <t>Furniture</t>
        </is>
      </c>
      <c r="K1048" t="inlineStr">
        <is>
          <t>West</t>
        </is>
      </c>
      <c r="L1048" t="inlineStr">
        <is>
          <t>Oregon</t>
        </is>
      </c>
      <c r="M1048" t="inlineStr">
        <is>
          <t>San Francisco</t>
        </is>
      </c>
      <c r="N1048" t="inlineStr">
        <is>
          <t>Noah Kim</t>
        </is>
      </c>
      <c r="O1048" t="n">
        <v>3</v>
      </c>
      <c r="P1048" s="3" t="n">
        <v>610.0599999999999</v>
      </c>
      <c r="Q1048" s="4" t="n">
        <v>0.025</v>
      </c>
      <c r="R1048" s="3" t="n">
        <v>1784.43</v>
      </c>
      <c r="S1048" s="3" t="n">
        <v>1188.25</v>
      </c>
      <c r="T1048" s="3" t="n">
        <v>586.78</v>
      </c>
      <c r="U1048" s="4" t="n">
        <v>0.3288</v>
      </c>
      <c r="V1048" s="3" t="n">
        <v>9.4</v>
      </c>
      <c r="W1048" t="inlineStr">
        <is>
          <t>PayPal</t>
        </is>
      </c>
      <c r="X1048" t="inlineStr">
        <is>
          <t>High</t>
        </is>
      </c>
      <c r="Y1048" t="n">
        <v>2023</v>
      </c>
      <c r="Z1048" t="n">
        <v>11</v>
      </c>
      <c r="AA1048" t="inlineStr">
        <is>
          <t>Nov</t>
        </is>
      </c>
      <c r="AB1048" t="inlineStr">
        <is>
          <t>Tuesday</t>
        </is>
      </c>
      <c r="AC1048" t="n">
        <v>5</v>
      </c>
      <c r="AD1048" t="inlineStr">
        <is>
          <t>Profitable</t>
        </is>
      </c>
      <c r="AE1048" t="inlineStr">
        <is>
          <t>Medium</t>
        </is>
      </c>
      <c r="AF1048" t="inlineStr">
        <is>
          <t>Large</t>
        </is>
      </c>
    </row>
    <row r="1049">
      <c r="A1049" t="inlineStr">
        <is>
          <t>ORD-01048</t>
        </is>
      </c>
      <c r="B1049" s="2" t="n">
        <v>45102</v>
      </c>
      <c r="C1049" s="2" t="n">
        <v>45105</v>
      </c>
      <c r="D1049" t="inlineStr">
        <is>
          <t>CUST-01048</t>
        </is>
      </c>
      <c r="E1049" t="inlineStr">
        <is>
          <t>Customer 1048</t>
        </is>
      </c>
      <c r="F1049" t="inlineStr">
        <is>
          <t>Consumer</t>
        </is>
      </c>
      <c r="G1049" t="inlineStr">
        <is>
          <t>P1005</t>
        </is>
      </c>
      <c r="H1049" t="inlineStr">
        <is>
          <t>ProClip Binder</t>
        </is>
      </c>
      <c r="I1049" t="inlineStr">
        <is>
          <t>Outdoor</t>
        </is>
      </c>
      <c r="J1049" t="inlineStr">
        <is>
          <t>Storage</t>
        </is>
      </c>
      <c r="K1049" t="inlineStr">
        <is>
          <t>South</t>
        </is>
      </c>
      <c r="L1049" t="inlineStr">
        <is>
          <t>North Carolina</t>
        </is>
      </c>
      <c r="M1049" t="inlineStr">
        <is>
          <t>Atlanta</t>
        </is>
      </c>
      <c r="N1049" t="inlineStr">
        <is>
          <t>Ava Patel</t>
        </is>
      </c>
      <c r="O1049" t="n">
        <v>1</v>
      </c>
      <c r="P1049" s="3" t="n">
        <v>12.89</v>
      </c>
      <c r="Q1049" s="4" t="n">
        <v>0.027</v>
      </c>
      <c r="R1049" s="3" t="n">
        <v>12.54</v>
      </c>
      <c r="S1049" s="3" t="n">
        <v>9.699999999999999</v>
      </c>
      <c r="T1049" s="3" t="n">
        <v>-3.96</v>
      </c>
      <c r="U1049" s="4" t="n">
        <v>-0.3158</v>
      </c>
      <c r="V1049" s="3" t="n">
        <v>6.8</v>
      </c>
      <c r="W1049" t="inlineStr">
        <is>
          <t>Credit Card</t>
        </is>
      </c>
      <c r="X1049" t="inlineStr">
        <is>
          <t>Medium</t>
        </is>
      </c>
      <c r="Y1049" t="n">
        <v>2023</v>
      </c>
      <c r="Z1049" t="n">
        <v>6</v>
      </c>
      <c r="AA1049" t="inlineStr">
        <is>
          <t>Jun</t>
        </is>
      </c>
      <c r="AB1049" t="inlineStr">
        <is>
          <t>Sunday</t>
        </is>
      </c>
      <c r="AC1049" t="n">
        <v>3</v>
      </c>
      <c r="AD1049" t="inlineStr">
        <is>
          <t>Unprofitable</t>
        </is>
      </c>
      <c r="AE1049" t="inlineStr">
        <is>
          <t>Medium</t>
        </is>
      </c>
      <c r="AF1049" t="inlineStr">
        <is>
          <t>Small</t>
        </is>
      </c>
    </row>
    <row r="1050">
      <c r="A1050" t="inlineStr">
        <is>
          <t>ORD-01049</t>
        </is>
      </c>
      <c r="B1050" s="2" t="n">
        <v>45823</v>
      </c>
      <c r="C1050" s="2" t="n">
        <v>45825</v>
      </c>
      <c r="D1050" t="inlineStr">
        <is>
          <t>CUST-01049</t>
        </is>
      </c>
      <c r="E1050" t="inlineStr">
        <is>
          <t>Customer 1049</t>
        </is>
      </c>
      <c r="F1050" t="inlineStr">
        <is>
          <t>Corporate</t>
        </is>
      </c>
      <c r="G1050" t="inlineStr">
        <is>
          <t>P1014</t>
        </is>
      </c>
      <c r="H1050" t="inlineStr">
        <is>
          <t>Summit Patio Set</t>
        </is>
      </c>
      <c r="I1050" t="inlineStr">
        <is>
          <t>Technology</t>
        </is>
      </c>
      <c r="J1050" t="inlineStr">
        <is>
          <t>Writing</t>
        </is>
      </c>
      <c r="K1050" t="inlineStr">
        <is>
          <t>East</t>
        </is>
      </c>
      <c r="L1050" t="inlineStr">
        <is>
          <t>Massachusetts</t>
        </is>
      </c>
      <c r="M1050" t="inlineStr">
        <is>
          <t>Boston</t>
        </is>
      </c>
      <c r="N1050" t="inlineStr">
        <is>
          <t>Olivia Martin</t>
        </is>
      </c>
      <c r="O1050" t="n">
        <v>3</v>
      </c>
      <c r="P1050" s="3" t="n">
        <v>45.19</v>
      </c>
      <c r="Q1050" s="4" t="n">
        <v>0.051</v>
      </c>
      <c r="R1050" s="3" t="n">
        <v>128.66</v>
      </c>
      <c r="S1050" s="3" t="n">
        <v>54.72</v>
      </c>
      <c r="T1050" s="3" t="n">
        <v>64.54000000000001</v>
      </c>
      <c r="U1050" s="4" t="n">
        <v>0.5016</v>
      </c>
      <c r="V1050" s="3" t="n">
        <v>9.4</v>
      </c>
      <c r="W1050" t="inlineStr">
        <is>
          <t>PayPal</t>
        </is>
      </c>
      <c r="X1050" t="inlineStr">
        <is>
          <t>High</t>
        </is>
      </c>
      <c r="Y1050" t="n">
        <v>2025</v>
      </c>
      <c r="Z1050" t="n">
        <v>6</v>
      </c>
      <c r="AA1050" t="inlineStr">
        <is>
          <t>Jun</t>
        </is>
      </c>
      <c r="AB1050" t="inlineStr">
        <is>
          <t>Sunday</t>
        </is>
      </c>
      <c r="AC1050" t="n">
        <v>2</v>
      </c>
      <c r="AD1050" t="inlineStr">
        <is>
          <t>Profitable</t>
        </is>
      </c>
      <c r="AE1050" t="inlineStr">
        <is>
          <t>High</t>
        </is>
      </c>
      <c r="AF1050" t="inlineStr">
        <is>
          <t>Small</t>
        </is>
      </c>
    </row>
    <row r="1051">
      <c r="A1051" t="inlineStr">
        <is>
          <t>ORD-01050</t>
        </is>
      </c>
      <c r="B1051" s="2" t="n">
        <v>44970</v>
      </c>
      <c r="C1051" s="2" t="n">
        <v>44972</v>
      </c>
      <c r="D1051" t="inlineStr">
        <is>
          <t>CUST-01050</t>
        </is>
      </c>
      <c r="E1051" t="inlineStr">
        <is>
          <t>Customer 1050</t>
        </is>
      </c>
      <c r="F1051" t="inlineStr">
        <is>
          <t>Consumer</t>
        </is>
      </c>
      <c r="G1051" t="inlineStr">
        <is>
          <t>P1017</t>
        </is>
      </c>
      <c r="H1051" t="inlineStr">
        <is>
          <t>Echo Web Camera</t>
        </is>
      </c>
      <c r="I1051" t="inlineStr">
        <is>
          <t>Office Supplies</t>
        </is>
      </c>
      <c r="J1051" t="inlineStr">
        <is>
          <t>Flooring</t>
        </is>
      </c>
      <c r="K1051" t="inlineStr">
        <is>
          <t>West</t>
        </is>
      </c>
      <c r="L1051" t="inlineStr">
        <is>
          <t>Colorado</t>
        </is>
      </c>
      <c r="M1051" t="inlineStr">
        <is>
          <t>San Francisco</t>
        </is>
      </c>
      <c r="N1051" t="inlineStr">
        <is>
          <t>Noah Kim</t>
        </is>
      </c>
      <c r="O1051" t="n">
        <v>6</v>
      </c>
      <c r="P1051" s="3" t="n">
        <v>601.0599999999999</v>
      </c>
      <c r="Q1051" s="4" t="n">
        <v>0.039</v>
      </c>
      <c r="R1051" s="3" t="n">
        <v>3465.71</v>
      </c>
      <c r="S1051" s="3" t="n">
        <v>2295.6</v>
      </c>
      <c r="T1051" s="3" t="n">
        <v>1158.31</v>
      </c>
      <c r="U1051" s="4" t="n">
        <v>0.3342</v>
      </c>
      <c r="V1051" s="3" t="n">
        <v>11.8</v>
      </c>
      <c r="W1051" t="inlineStr">
        <is>
          <t>Credit Card</t>
        </is>
      </c>
      <c r="X1051" t="inlineStr">
        <is>
          <t>Critical</t>
        </is>
      </c>
      <c r="Y1051" t="n">
        <v>2023</v>
      </c>
      <c r="Z1051" t="n">
        <v>2</v>
      </c>
      <c r="AA1051" t="inlineStr">
        <is>
          <t>Feb</t>
        </is>
      </c>
      <c r="AB1051" t="inlineStr">
        <is>
          <t>Monday</t>
        </is>
      </c>
      <c r="AC1051" t="n">
        <v>2</v>
      </c>
      <c r="AD1051" t="inlineStr">
        <is>
          <t>Profitable</t>
        </is>
      </c>
      <c r="AE1051" t="inlineStr">
        <is>
          <t>Medium</t>
        </is>
      </c>
      <c r="AF1051" t="inlineStr">
        <is>
          <t>Large</t>
        </is>
      </c>
    </row>
    <row r="1052">
      <c r="A1052" t="inlineStr">
        <is>
          <t>ORD-01051</t>
        </is>
      </c>
      <c r="B1052" s="2" t="n">
        <v>46000</v>
      </c>
      <c r="C1052" s="2" t="n">
        <v>46001</v>
      </c>
      <c r="D1052" t="inlineStr">
        <is>
          <t>CUST-01051</t>
        </is>
      </c>
      <c r="E1052" t="inlineStr">
        <is>
          <t>Customer 1051</t>
        </is>
      </c>
      <c r="F1052" t="inlineStr">
        <is>
          <t>Corporate</t>
        </is>
      </c>
      <c r="G1052" t="inlineStr">
        <is>
          <t>P1020</t>
        </is>
      </c>
      <c r="H1052" t="inlineStr">
        <is>
          <t>Nova Laptop Stand</t>
        </is>
      </c>
      <c r="I1052" t="inlineStr">
        <is>
          <t>Furniture</t>
        </is>
      </c>
      <c r="J1052" t="inlineStr">
        <is>
          <t>Peripherals</t>
        </is>
      </c>
      <c r="K1052" t="inlineStr">
        <is>
          <t>Central</t>
        </is>
      </c>
      <c r="L1052" t="inlineStr">
        <is>
          <t>Kansas</t>
        </is>
      </c>
      <c r="M1052" t="inlineStr">
        <is>
          <t>St. Louis</t>
        </is>
      </c>
      <c r="N1052" t="inlineStr">
        <is>
          <t>Sophia Singh</t>
        </is>
      </c>
      <c r="O1052" t="n">
        <v>2</v>
      </c>
      <c r="P1052" s="3" t="n">
        <v>80.91</v>
      </c>
      <c r="Q1052" s="4" t="n">
        <v>0.046</v>
      </c>
      <c r="R1052" s="3" t="n">
        <v>154.38</v>
      </c>
      <c r="S1052" s="3" t="n">
        <v>77.06999999999999</v>
      </c>
      <c r="T1052" s="3" t="n">
        <v>69.70999999999999</v>
      </c>
      <c r="U1052" s="4" t="n">
        <v>0.4515</v>
      </c>
      <c r="V1052" s="3" t="n">
        <v>7.6</v>
      </c>
      <c r="W1052" t="inlineStr">
        <is>
          <t>Bank Transfer</t>
        </is>
      </c>
      <c r="X1052" t="inlineStr">
        <is>
          <t>High</t>
        </is>
      </c>
      <c r="Y1052" t="n">
        <v>2025</v>
      </c>
      <c r="Z1052" t="n">
        <v>12</v>
      </c>
      <c r="AA1052" t="inlineStr">
        <is>
          <t>Dec</t>
        </is>
      </c>
      <c r="AB1052" t="inlineStr">
        <is>
          <t>Tuesday</t>
        </is>
      </c>
      <c r="AC1052" t="n">
        <v>1</v>
      </c>
      <c r="AD1052" t="inlineStr">
        <is>
          <t>Profitable</t>
        </is>
      </c>
      <c r="AE1052" t="inlineStr">
        <is>
          <t>Medium</t>
        </is>
      </c>
      <c r="AF1052" t="inlineStr">
        <is>
          <t>Small</t>
        </is>
      </c>
    </row>
    <row r="1053">
      <c r="A1053" t="inlineStr">
        <is>
          <t>ORD-01052</t>
        </is>
      </c>
      <c r="B1053" s="2" t="n">
        <v>45324</v>
      </c>
      <c r="C1053" s="2" t="n">
        <v>45329</v>
      </c>
      <c r="D1053" t="inlineStr">
        <is>
          <t>CUST-01052</t>
        </is>
      </c>
      <c r="E1053" t="inlineStr">
        <is>
          <t>Customer 1052</t>
        </is>
      </c>
      <c r="F1053" t="inlineStr">
        <is>
          <t>Home Office</t>
        </is>
      </c>
      <c r="G1053" t="inlineStr">
        <is>
          <t>P1002</t>
        </is>
      </c>
      <c r="H1053" t="inlineStr">
        <is>
          <t>Lumen Desk Lamp</t>
        </is>
      </c>
      <c r="I1053" t="inlineStr">
        <is>
          <t>Home Decor</t>
        </is>
      </c>
      <c r="J1053" t="inlineStr">
        <is>
          <t>Lighting</t>
        </is>
      </c>
      <c r="K1053" t="inlineStr">
        <is>
          <t>East</t>
        </is>
      </c>
      <c r="L1053" t="inlineStr">
        <is>
          <t>Virginia</t>
        </is>
      </c>
      <c r="M1053" t="inlineStr">
        <is>
          <t>New York</t>
        </is>
      </c>
      <c r="N1053" t="inlineStr">
        <is>
          <t>Noah Kim</t>
        </is>
      </c>
      <c r="O1053" t="n">
        <v>2</v>
      </c>
      <c r="P1053" s="3" t="n">
        <v>81.73999999999999</v>
      </c>
      <c r="Q1053" s="4" t="n">
        <v>0.011</v>
      </c>
      <c r="R1053" s="3" t="n">
        <v>161.68</v>
      </c>
      <c r="S1053" s="3" t="n">
        <v>83.08</v>
      </c>
      <c r="T1053" s="3" t="n">
        <v>70</v>
      </c>
      <c r="U1053" s="4" t="n">
        <v>0.433</v>
      </c>
      <c r="V1053" s="3" t="n">
        <v>8.6</v>
      </c>
      <c r="W1053" t="inlineStr">
        <is>
          <t>Cash on Delivery</t>
        </is>
      </c>
      <c r="X1053" t="inlineStr">
        <is>
          <t>Medium</t>
        </is>
      </c>
      <c r="Y1053" t="n">
        <v>2024</v>
      </c>
      <c r="Z1053" t="n">
        <v>2</v>
      </c>
      <c r="AA1053" t="inlineStr">
        <is>
          <t>Feb</t>
        </is>
      </c>
      <c r="AB1053" t="inlineStr">
        <is>
          <t>Friday</t>
        </is>
      </c>
      <c r="AC1053" t="n">
        <v>5</v>
      </c>
      <c r="AD1053" t="inlineStr">
        <is>
          <t>Profitable</t>
        </is>
      </c>
      <c r="AE1053" t="inlineStr">
        <is>
          <t>Low</t>
        </is>
      </c>
      <c r="AF1053" t="inlineStr">
        <is>
          <t>Small</t>
        </is>
      </c>
    </row>
    <row r="1054">
      <c r="A1054" t="inlineStr">
        <is>
          <t>ORD-01053</t>
        </is>
      </c>
      <c r="B1054" s="2" t="n">
        <v>45919</v>
      </c>
      <c r="C1054" s="2" t="n">
        <v>45922</v>
      </c>
      <c r="D1054" t="inlineStr">
        <is>
          <t>CUST-01053</t>
        </is>
      </c>
      <c r="E1054" t="inlineStr">
        <is>
          <t>Customer 1053</t>
        </is>
      </c>
      <c r="F1054" t="inlineStr">
        <is>
          <t>Home Office</t>
        </is>
      </c>
      <c r="G1054" t="inlineStr">
        <is>
          <t>P1007</t>
        </is>
      </c>
      <c r="H1054" t="inlineStr">
        <is>
          <t>Atlas Throw Pillow</t>
        </is>
      </c>
      <c r="I1054" t="inlineStr">
        <is>
          <t>Technology</t>
        </is>
      </c>
      <c r="J1054" t="inlineStr">
        <is>
          <t>Lighting</t>
        </is>
      </c>
      <c r="K1054" t="inlineStr">
        <is>
          <t>West</t>
        </is>
      </c>
      <c r="L1054" t="inlineStr">
        <is>
          <t>Washington</t>
        </is>
      </c>
      <c r="M1054" t="inlineStr">
        <is>
          <t>Seattle</t>
        </is>
      </c>
      <c r="N1054" t="inlineStr">
        <is>
          <t>Noah Kim</t>
        </is>
      </c>
      <c r="O1054" t="n">
        <v>2</v>
      </c>
      <c r="P1054" s="3" t="n">
        <v>24.61</v>
      </c>
      <c r="Q1054" s="4" t="n">
        <v>0.006</v>
      </c>
      <c r="R1054" s="3" t="n">
        <v>48.92</v>
      </c>
      <c r="S1054" s="3" t="n">
        <v>20.13</v>
      </c>
      <c r="T1054" s="3" t="n">
        <v>20.19</v>
      </c>
      <c r="U1054" s="4" t="n">
        <v>0.4127</v>
      </c>
      <c r="V1054" s="3" t="n">
        <v>8.6</v>
      </c>
      <c r="W1054" t="inlineStr">
        <is>
          <t>Bank Transfer</t>
        </is>
      </c>
      <c r="X1054" t="inlineStr">
        <is>
          <t>Low</t>
        </is>
      </c>
      <c r="Y1054" t="n">
        <v>2025</v>
      </c>
      <c r="Z1054" t="n">
        <v>9</v>
      </c>
      <c r="AA1054" t="inlineStr">
        <is>
          <t>Sep</t>
        </is>
      </c>
      <c r="AB1054" t="inlineStr">
        <is>
          <t>Friday</t>
        </is>
      </c>
      <c r="AC1054" t="n">
        <v>3</v>
      </c>
      <c r="AD1054" t="inlineStr">
        <is>
          <t>Profitable</t>
        </is>
      </c>
      <c r="AE1054" t="inlineStr">
        <is>
          <t>Low</t>
        </is>
      </c>
      <c r="AF1054" t="inlineStr">
        <is>
          <t>Small</t>
        </is>
      </c>
    </row>
    <row r="1055">
      <c r="A1055" t="inlineStr">
        <is>
          <t>ORD-01054</t>
        </is>
      </c>
      <c r="B1055" s="2" t="n">
        <v>45824</v>
      </c>
      <c r="C1055" s="2" t="n">
        <v>45828</v>
      </c>
      <c r="D1055" t="inlineStr">
        <is>
          <t>CUST-01054</t>
        </is>
      </c>
      <c r="E1055" t="inlineStr">
        <is>
          <t>Customer 1054</t>
        </is>
      </c>
      <c r="F1055" t="inlineStr">
        <is>
          <t>Consumer</t>
        </is>
      </c>
      <c r="G1055" t="inlineStr">
        <is>
          <t>P1004</t>
        </is>
      </c>
      <c r="H1055" t="inlineStr">
        <is>
          <t>Atlas Throw Pillow</t>
        </is>
      </c>
      <c r="I1055" t="inlineStr">
        <is>
          <t>Office Supplies</t>
        </is>
      </c>
      <c r="J1055" t="inlineStr">
        <is>
          <t>Peripherals</t>
        </is>
      </c>
      <c r="K1055" t="inlineStr">
        <is>
          <t>West</t>
        </is>
      </c>
      <c r="L1055" t="inlineStr">
        <is>
          <t>Oregon</t>
        </is>
      </c>
      <c r="M1055" t="inlineStr">
        <is>
          <t>Seattle</t>
        </is>
      </c>
      <c r="N1055" t="inlineStr">
        <is>
          <t>Olivia Martin</t>
        </is>
      </c>
      <c r="O1055" t="n">
        <v>4</v>
      </c>
      <c r="P1055" s="3" t="n">
        <v>669.47</v>
      </c>
      <c r="Q1055" s="4" t="n">
        <v>0.016</v>
      </c>
      <c r="R1055" s="3" t="n">
        <v>2635.03</v>
      </c>
      <c r="S1055" s="3" t="n">
        <v>1666.78</v>
      </c>
      <c r="T1055" s="3" t="n">
        <v>958.05</v>
      </c>
      <c r="U1055" s="4" t="n">
        <v>0.3636</v>
      </c>
      <c r="V1055" s="3" t="n">
        <v>10.2</v>
      </c>
      <c r="W1055" t="inlineStr">
        <is>
          <t>Bank Transfer</t>
        </is>
      </c>
      <c r="X1055" t="inlineStr">
        <is>
          <t>Medium</t>
        </is>
      </c>
      <c r="Y1055" t="n">
        <v>2025</v>
      </c>
      <c r="Z1055" t="n">
        <v>6</v>
      </c>
      <c r="AA1055" t="inlineStr">
        <is>
          <t>Jun</t>
        </is>
      </c>
      <c r="AB1055" t="inlineStr">
        <is>
          <t>Monday</t>
        </is>
      </c>
      <c r="AC1055" t="n">
        <v>4</v>
      </c>
      <c r="AD1055" t="inlineStr">
        <is>
          <t>Profitable</t>
        </is>
      </c>
      <c r="AE1055" t="inlineStr">
        <is>
          <t>Low</t>
        </is>
      </c>
      <c r="AF1055" t="inlineStr">
        <is>
          <t>Large</t>
        </is>
      </c>
    </row>
    <row r="1056">
      <c r="A1056" t="inlineStr">
        <is>
          <t>ORD-01055</t>
        </is>
      </c>
      <c r="B1056" s="2" t="n">
        <v>45819</v>
      </c>
      <c r="C1056" s="2" t="n">
        <v>45822</v>
      </c>
      <c r="D1056" t="inlineStr">
        <is>
          <t>CUST-01055</t>
        </is>
      </c>
      <c r="E1056" t="inlineStr">
        <is>
          <t>Customer 1055</t>
        </is>
      </c>
      <c r="F1056" t="inlineStr">
        <is>
          <t>Consumer</t>
        </is>
      </c>
      <c r="G1056" t="inlineStr">
        <is>
          <t>P1008</t>
        </is>
      </c>
      <c r="H1056" t="inlineStr">
        <is>
          <t>ErgoMesh Chair</t>
        </is>
      </c>
      <c r="I1056" t="inlineStr">
        <is>
          <t>Home Decor</t>
        </is>
      </c>
      <c r="J1056" t="inlineStr">
        <is>
          <t>Peripherals</t>
        </is>
      </c>
      <c r="K1056" t="inlineStr">
        <is>
          <t>Central</t>
        </is>
      </c>
      <c r="L1056" t="inlineStr">
        <is>
          <t>Kansas</t>
        </is>
      </c>
      <c r="M1056" t="inlineStr">
        <is>
          <t>Minneapolis</t>
        </is>
      </c>
      <c r="N1056" t="inlineStr">
        <is>
          <t>Liam Chen</t>
        </is>
      </c>
      <c r="O1056" t="n">
        <v>3</v>
      </c>
      <c r="P1056" s="3" t="n">
        <v>35.07</v>
      </c>
      <c r="Q1056" s="4" t="n">
        <v>0.024</v>
      </c>
      <c r="R1056" s="3" t="n">
        <v>102.68</v>
      </c>
      <c r="S1056" s="3" t="n">
        <v>46.9</v>
      </c>
      <c r="T1056" s="3" t="n">
        <v>47.38</v>
      </c>
      <c r="U1056" s="4" t="n">
        <v>0.4614</v>
      </c>
      <c r="V1056" s="3" t="n">
        <v>8.4</v>
      </c>
      <c r="W1056" t="inlineStr">
        <is>
          <t>PayPal</t>
        </is>
      </c>
      <c r="X1056" t="inlineStr">
        <is>
          <t>High</t>
        </is>
      </c>
      <c r="Y1056" t="n">
        <v>2025</v>
      </c>
      <c r="Z1056" t="n">
        <v>6</v>
      </c>
      <c r="AA1056" t="inlineStr">
        <is>
          <t>Jun</t>
        </is>
      </c>
      <c r="AB1056" t="inlineStr">
        <is>
          <t>Wednesday</t>
        </is>
      </c>
      <c r="AC1056" t="n">
        <v>3</v>
      </c>
      <c r="AD1056" t="inlineStr">
        <is>
          <t>Profitable</t>
        </is>
      </c>
      <c r="AE1056" t="inlineStr">
        <is>
          <t>Medium</t>
        </is>
      </c>
      <c r="AF1056" t="inlineStr">
        <is>
          <t>Small</t>
        </is>
      </c>
    </row>
    <row r="1057">
      <c r="A1057" t="inlineStr">
        <is>
          <t>ORD-01056</t>
        </is>
      </c>
      <c r="B1057" s="2" t="n">
        <v>45547</v>
      </c>
      <c r="C1057" s="2" t="n">
        <v>45549</v>
      </c>
      <c r="D1057" t="inlineStr">
        <is>
          <t>CUST-01056</t>
        </is>
      </c>
      <c r="E1057" t="inlineStr">
        <is>
          <t>Customer 1056</t>
        </is>
      </c>
      <c r="F1057" t="inlineStr">
        <is>
          <t>Corporate</t>
        </is>
      </c>
      <c r="G1057" t="inlineStr">
        <is>
          <t>P1001</t>
        </is>
      </c>
      <c r="H1057" t="inlineStr">
        <is>
          <t>Pulse Keyboard</t>
        </is>
      </c>
      <c r="I1057" t="inlineStr">
        <is>
          <t>Furniture</t>
        </is>
      </c>
      <c r="J1057" t="inlineStr">
        <is>
          <t>Textiles</t>
        </is>
      </c>
      <c r="K1057" t="inlineStr">
        <is>
          <t>West</t>
        </is>
      </c>
      <c r="L1057" t="inlineStr">
        <is>
          <t>Washington</t>
        </is>
      </c>
      <c r="M1057" t="inlineStr">
        <is>
          <t>Denver</t>
        </is>
      </c>
      <c r="N1057" t="inlineStr">
        <is>
          <t>Ethan Brooks</t>
        </is>
      </c>
      <c r="O1057" t="n">
        <v>4</v>
      </c>
      <c r="P1057" s="3" t="n">
        <v>306.84</v>
      </c>
      <c r="Q1057" s="4" t="n">
        <v>0.054</v>
      </c>
      <c r="R1057" s="3" t="n">
        <v>1161.08</v>
      </c>
      <c r="S1057" s="3" t="n">
        <v>680.48</v>
      </c>
      <c r="T1057" s="3" t="n">
        <v>470.4</v>
      </c>
      <c r="U1057" s="4" t="n">
        <v>0.4051</v>
      </c>
      <c r="V1057" s="3" t="n">
        <v>10.2</v>
      </c>
      <c r="W1057" t="inlineStr">
        <is>
          <t>Credit Card</t>
        </is>
      </c>
      <c r="X1057" t="inlineStr">
        <is>
          <t>Critical</t>
        </is>
      </c>
      <c r="Y1057" t="n">
        <v>2024</v>
      </c>
      <c r="Z1057" t="n">
        <v>9</v>
      </c>
      <c r="AA1057" t="inlineStr">
        <is>
          <t>Sep</t>
        </is>
      </c>
      <c r="AB1057" t="inlineStr">
        <is>
          <t>Thursday</t>
        </is>
      </c>
      <c r="AC1057" t="n">
        <v>2</v>
      </c>
      <c r="AD1057" t="inlineStr">
        <is>
          <t>Profitable</t>
        </is>
      </c>
      <c r="AE1057" t="inlineStr">
        <is>
          <t>High</t>
        </is>
      </c>
      <c r="AF1057" t="inlineStr">
        <is>
          <t>Medium</t>
        </is>
      </c>
    </row>
    <row r="1058">
      <c r="A1058" t="inlineStr">
        <is>
          <t>ORD-01057</t>
        </is>
      </c>
      <c r="B1058" s="2" t="n">
        <v>45713</v>
      </c>
      <c r="C1058" s="2" t="n">
        <v>45720</v>
      </c>
      <c r="D1058" t="inlineStr">
        <is>
          <t>CUST-01057</t>
        </is>
      </c>
      <c r="E1058" t="inlineStr">
        <is>
          <t>Customer 1057</t>
        </is>
      </c>
      <c r="F1058" t="inlineStr">
        <is>
          <t>Corporate</t>
        </is>
      </c>
      <c r="G1058" t="inlineStr">
        <is>
          <t>P1010</t>
        </is>
      </c>
      <c r="H1058" t="inlineStr">
        <is>
          <t>Nimbus Monitor Arm</t>
        </is>
      </c>
      <c r="I1058" t="inlineStr">
        <is>
          <t>Furniture</t>
        </is>
      </c>
      <c r="J1058" t="inlineStr">
        <is>
          <t>Storage</t>
        </is>
      </c>
      <c r="K1058" t="inlineStr">
        <is>
          <t>East</t>
        </is>
      </c>
      <c r="L1058" t="inlineStr">
        <is>
          <t>Virginia</t>
        </is>
      </c>
      <c r="M1058" t="inlineStr">
        <is>
          <t>Washington</t>
        </is>
      </c>
      <c r="N1058" t="inlineStr">
        <is>
          <t>James Carter</t>
        </is>
      </c>
      <c r="O1058" t="n">
        <v>4</v>
      </c>
      <c r="P1058" s="3" t="n">
        <v>55.9</v>
      </c>
      <c r="Q1058" s="4" t="n">
        <v>0.04500000000000001</v>
      </c>
      <c r="R1058" s="3" t="n">
        <v>213.54</v>
      </c>
      <c r="S1058" s="3" t="n">
        <v>91.89</v>
      </c>
      <c r="T1058" s="3" t="n">
        <v>111.45</v>
      </c>
      <c r="U1058" s="4" t="n">
        <v>0.5219</v>
      </c>
      <c r="V1058" s="3" t="n">
        <v>10.2</v>
      </c>
      <c r="W1058" t="inlineStr">
        <is>
          <t>Bank Transfer</t>
        </is>
      </c>
      <c r="X1058" t="inlineStr">
        <is>
          <t>High</t>
        </is>
      </c>
      <c r="Y1058" t="n">
        <v>2025</v>
      </c>
      <c r="Z1058" t="n">
        <v>2</v>
      </c>
      <c r="AA1058" t="inlineStr">
        <is>
          <t>Feb</t>
        </is>
      </c>
      <c r="AB1058" t="inlineStr">
        <is>
          <t>Tuesday</t>
        </is>
      </c>
      <c r="AC1058" t="n">
        <v>7</v>
      </c>
      <c r="AD1058" t="inlineStr">
        <is>
          <t>Profitable</t>
        </is>
      </c>
      <c r="AE1058" t="inlineStr">
        <is>
          <t>Medium</t>
        </is>
      </c>
      <c r="AF1058" t="inlineStr">
        <is>
          <t>Small</t>
        </is>
      </c>
    </row>
    <row r="1059">
      <c r="A1059" t="inlineStr">
        <is>
          <t>ORD-01058</t>
        </is>
      </c>
      <c r="B1059" s="2" t="n">
        <v>45505</v>
      </c>
      <c r="C1059" s="2" t="n">
        <v>45512</v>
      </c>
      <c r="D1059" t="inlineStr">
        <is>
          <t>CUST-01058</t>
        </is>
      </c>
      <c r="E1059" t="inlineStr">
        <is>
          <t>Customer 1058</t>
        </is>
      </c>
      <c r="F1059" t="inlineStr">
        <is>
          <t>Home Office</t>
        </is>
      </c>
      <c r="G1059" t="inlineStr">
        <is>
          <t>P1001</t>
        </is>
      </c>
      <c r="H1059" t="inlineStr">
        <is>
          <t>Lumen Desk Lamp</t>
        </is>
      </c>
      <c r="I1059" t="inlineStr">
        <is>
          <t>Furniture</t>
        </is>
      </c>
      <c r="J1059" t="inlineStr">
        <is>
          <t>Lighting</t>
        </is>
      </c>
      <c r="K1059" t="inlineStr">
        <is>
          <t>East</t>
        </is>
      </c>
      <c r="L1059" t="inlineStr">
        <is>
          <t>Massachusetts</t>
        </is>
      </c>
      <c r="M1059" t="inlineStr">
        <is>
          <t>Washington</t>
        </is>
      </c>
      <c r="N1059" t="inlineStr">
        <is>
          <t>Mia Rodriguez</t>
        </is>
      </c>
      <c r="O1059" t="n">
        <v>4</v>
      </c>
      <c r="P1059" s="3" t="n">
        <v>299.25</v>
      </c>
      <c r="Q1059" s="4" t="n">
        <v>0.017</v>
      </c>
      <c r="R1059" s="3" t="n">
        <v>1176.65</v>
      </c>
      <c r="S1059" s="3" t="n">
        <v>686.5</v>
      </c>
      <c r="T1059" s="3" t="n">
        <v>479.95</v>
      </c>
      <c r="U1059" s="4" t="n">
        <v>0.4079</v>
      </c>
      <c r="V1059" s="3" t="n">
        <v>10.2</v>
      </c>
      <c r="W1059" t="inlineStr">
        <is>
          <t>Debit Card</t>
        </is>
      </c>
      <c r="X1059" t="inlineStr">
        <is>
          <t>High</t>
        </is>
      </c>
      <c r="Y1059" t="n">
        <v>2024</v>
      </c>
      <c r="Z1059" t="n">
        <v>8</v>
      </c>
      <c r="AA1059" t="inlineStr">
        <is>
          <t>Aug</t>
        </is>
      </c>
      <c r="AB1059" t="inlineStr">
        <is>
          <t>Thursday</t>
        </is>
      </c>
      <c r="AC1059" t="n">
        <v>7</v>
      </c>
      <c r="AD1059" t="inlineStr">
        <is>
          <t>Profitable</t>
        </is>
      </c>
      <c r="AE1059" t="inlineStr">
        <is>
          <t>Low</t>
        </is>
      </c>
      <c r="AF1059" t="inlineStr">
        <is>
          <t>Medium</t>
        </is>
      </c>
    </row>
    <row r="1060">
      <c r="A1060" t="inlineStr">
        <is>
          <t>ORD-01059</t>
        </is>
      </c>
      <c r="B1060" s="2" t="n">
        <v>45567</v>
      </c>
      <c r="C1060" s="2" t="n">
        <v>45574</v>
      </c>
      <c r="D1060" t="inlineStr">
        <is>
          <t>CUST-01059</t>
        </is>
      </c>
      <c r="E1060" t="inlineStr">
        <is>
          <t>Customer 1059</t>
        </is>
      </c>
      <c r="F1060" t="inlineStr">
        <is>
          <t>Corporate</t>
        </is>
      </c>
      <c r="G1060" t="inlineStr">
        <is>
          <t>P1001</t>
        </is>
      </c>
      <c r="H1060" t="inlineStr">
        <is>
          <t>Cove Wall Clock</t>
        </is>
      </c>
      <c r="I1060" t="inlineStr">
        <is>
          <t>Technology</t>
        </is>
      </c>
      <c r="J1060" t="inlineStr">
        <is>
          <t>Decor</t>
        </is>
      </c>
      <c r="K1060" t="inlineStr">
        <is>
          <t>North</t>
        </is>
      </c>
      <c r="L1060" t="inlineStr">
        <is>
          <t>Alberta</t>
        </is>
      </c>
      <c r="M1060" t="inlineStr">
        <is>
          <t>Vancouver</t>
        </is>
      </c>
      <c r="N1060" t="inlineStr">
        <is>
          <t>James Carter</t>
        </is>
      </c>
      <c r="O1060" t="n">
        <v>2</v>
      </c>
      <c r="P1060" s="3" t="n">
        <v>329.36</v>
      </c>
      <c r="Q1060" s="4" t="n">
        <v>0.026</v>
      </c>
      <c r="R1060" s="3" t="n">
        <v>641.59</v>
      </c>
      <c r="S1060" s="3" t="n">
        <v>377.85</v>
      </c>
      <c r="T1060" s="3" t="n">
        <v>256.14</v>
      </c>
      <c r="U1060" s="4" t="n">
        <v>0.3992</v>
      </c>
      <c r="V1060" s="3" t="n">
        <v>7.6</v>
      </c>
      <c r="W1060" t="inlineStr">
        <is>
          <t>Bank Transfer</t>
        </is>
      </c>
      <c r="X1060" t="inlineStr">
        <is>
          <t>Low</t>
        </is>
      </c>
      <c r="Y1060" t="n">
        <v>2024</v>
      </c>
      <c r="Z1060" t="n">
        <v>10</v>
      </c>
      <c r="AA1060" t="inlineStr">
        <is>
          <t>Oct</t>
        </is>
      </c>
      <c r="AB1060" t="inlineStr">
        <is>
          <t>Wednesday</t>
        </is>
      </c>
      <c r="AC1060" t="n">
        <v>7</v>
      </c>
      <c r="AD1060" t="inlineStr">
        <is>
          <t>Profitable</t>
        </is>
      </c>
      <c r="AE1060" t="inlineStr">
        <is>
          <t>Medium</t>
        </is>
      </c>
      <c r="AF1060" t="inlineStr">
        <is>
          <t>Medium</t>
        </is>
      </c>
    </row>
    <row r="1061">
      <c r="A1061" t="inlineStr">
        <is>
          <t>ORD-01060</t>
        </is>
      </c>
      <c r="B1061" s="2" t="n">
        <v>45612</v>
      </c>
      <c r="C1061" s="2" t="n">
        <v>45617</v>
      </c>
      <c r="D1061" t="inlineStr">
        <is>
          <t>CUST-01060</t>
        </is>
      </c>
      <c r="E1061" t="inlineStr">
        <is>
          <t>Customer 1060</t>
        </is>
      </c>
      <c r="F1061" t="inlineStr">
        <is>
          <t>Consumer</t>
        </is>
      </c>
      <c r="G1061" t="inlineStr">
        <is>
          <t>P1004</t>
        </is>
      </c>
      <c r="H1061" t="inlineStr">
        <is>
          <t>ErgoMesh Chair</t>
        </is>
      </c>
      <c r="I1061" t="inlineStr">
        <is>
          <t>Technology</t>
        </is>
      </c>
      <c r="J1061" t="inlineStr">
        <is>
          <t>Furniture</t>
        </is>
      </c>
      <c r="K1061" t="inlineStr">
        <is>
          <t>West</t>
        </is>
      </c>
      <c r="L1061" t="inlineStr">
        <is>
          <t>Colorado</t>
        </is>
      </c>
      <c r="M1061" t="inlineStr">
        <is>
          <t>Seattle</t>
        </is>
      </c>
      <c r="N1061" t="inlineStr">
        <is>
          <t>Mia Rodriguez</t>
        </is>
      </c>
      <c r="O1061" t="n">
        <v>1</v>
      </c>
      <c r="P1061" s="3" t="n">
        <v>706.25</v>
      </c>
      <c r="Q1061" s="4" t="n">
        <v>0.019</v>
      </c>
      <c r="R1061" s="3" t="n">
        <v>692.83</v>
      </c>
      <c r="S1061" s="3" t="n">
        <v>444.65</v>
      </c>
      <c r="T1061" s="3" t="n">
        <v>240.38</v>
      </c>
      <c r="U1061" s="4" t="n">
        <v>0.347</v>
      </c>
      <c r="V1061" s="3" t="n">
        <v>7.8</v>
      </c>
      <c r="W1061" t="inlineStr">
        <is>
          <t>PayPal</t>
        </is>
      </c>
      <c r="X1061" t="inlineStr">
        <is>
          <t>High</t>
        </is>
      </c>
      <c r="Y1061" t="n">
        <v>2024</v>
      </c>
      <c r="Z1061" t="n">
        <v>11</v>
      </c>
      <c r="AA1061" t="inlineStr">
        <is>
          <t>Nov</t>
        </is>
      </c>
      <c r="AB1061" t="inlineStr">
        <is>
          <t>Saturday</t>
        </is>
      </c>
      <c r="AC1061" t="n">
        <v>5</v>
      </c>
      <c r="AD1061" t="inlineStr">
        <is>
          <t>Profitable</t>
        </is>
      </c>
      <c r="AE1061" t="inlineStr">
        <is>
          <t>Low</t>
        </is>
      </c>
      <c r="AF1061" t="inlineStr">
        <is>
          <t>Medium</t>
        </is>
      </c>
    </row>
    <row r="1062">
      <c r="A1062" t="inlineStr">
        <is>
          <t>ORD-01061</t>
        </is>
      </c>
      <c r="B1062" s="2" t="n">
        <v>45743</v>
      </c>
      <c r="C1062" s="2" t="n">
        <v>45744</v>
      </c>
      <c r="D1062" t="inlineStr">
        <is>
          <t>CUST-01061</t>
        </is>
      </c>
      <c r="E1062" t="inlineStr">
        <is>
          <t>Customer 1061</t>
        </is>
      </c>
      <c r="F1062" t="inlineStr">
        <is>
          <t>Corporate</t>
        </is>
      </c>
      <c r="G1062" t="inlineStr">
        <is>
          <t>P1017</t>
        </is>
      </c>
      <c r="H1062" t="inlineStr">
        <is>
          <t>ProClip Binder</t>
        </is>
      </c>
      <c r="I1062" t="inlineStr">
        <is>
          <t>Outdoor</t>
        </is>
      </c>
      <c r="J1062" t="inlineStr">
        <is>
          <t>Furniture</t>
        </is>
      </c>
      <c r="K1062" t="inlineStr">
        <is>
          <t>East</t>
        </is>
      </c>
      <c r="L1062" t="inlineStr">
        <is>
          <t>Massachusetts</t>
        </is>
      </c>
      <c r="M1062" t="inlineStr">
        <is>
          <t>New York</t>
        </is>
      </c>
      <c r="N1062" t="inlineStr">
        <is>
          <t>Ethan Brooks</t>
        </is>
      </c>
      <c r="O1062" t="n">
        <v>1</v>
      </c>
      <c r="P1062" s="3" t="n">
        <v>561.83</v>
      </c>
      <c r="Q1062" s="4" t="n">
        <v>0.062</v>
      </c>
      <c r="R1062" s="3" t="n">
        <v>527</v>
      </c>
      <c r="S1062" s="3" t="n">
        <v>356.83</v>
      </c>
      <c r="T1062" s="3" t="n">
        <v>162.37</v>
      </c>
      <c r="U1062" s="4" t="n">
        <v>0.3081</v>
      </c>
      <c r="V1062" s="3" t="n">
        <v>7.8</v>
      </c>
      <c r="W1062" t="inlineStr">
        <is>
          <t>Credit Card</t>
        </is>
      </c>
      <c r="X1062" t="inlineStr">
        <is>
          <t>High</t>
        </is>
      </c>
      <c r="Y1062" t="n">
        <v>2025</v>
      </c>
      <c r="Z1062" t="n">
        <v>3</v>
      </c>
      <c r="AA1062" t="inlineStr">
        <is>
          <t>Mar</t>
        </is>
      </c>
      <c r="AB1062" t="inlineStr">
        <is>
          <t>Thursday</t>
        </is>
      </c>
      <c r="AC1062" t="n">
        <v>1</v>
      </c>
      <c r="AD1062" t="inlineStr">
        <is>
          <t>Profitable</t>
        </is>
      </c>
      <c r="AE1062" t="inlineStr">
        <is>
          <t>High</t>
        </is>
      </c>
      <c r="AF1062" t="inlineStr">
        <is>
          <t>Medium</t>
        </is>
      </c>
    </row>
    <row r="1063">
      <c r="A1063" t="inlineStr">
        <is>
          <t>ORD-01062</t>
        </is>
      </c>
      <c r="B1063" s="2" t="n">
        <v>45993</v>
      </c>
      <c r="C1063" s="2" t="n">
        <v>45999</v>
      </c>
      <c r="D1063" t="inlineStr">
        <is>
          <t>CUST-01062</t>
        </is>
      </c>
      <c r="E1063" t="inlineStr">
        <is>
          <t>Customer 1062</t>
        </is>
      </c>
      <c r="F1063" t="inlineStr">
        <is>
          <t>Corporate</t>
        </is>
      </c>
      <c r="G1063" t="inlineStr">
        <is>
          <t>P1005</t>
        </is>
      </c>
      <c r="H1063" t="inlineStr">
        <is>
          <t>SmartInk Pen Set</t>
        </is>
      </c>
      <c r="I1063" t="inlineStr">
        <is>
          <t>Technology</t>
        </is>
      </c>
      <c r="J1063" t="inlineStr">
        <is>
          <t>Peripherals</t>
        </is>
      </c>
      <c r="K1063" t="inlineStr">
        <is>
          <t>East</t>
        </is>
      </c>
      <c r="L1063" t="inlineStr">
        <is>
          <t>New York</t>
        </is>
      </c>
      <c r="M1063" t="inlineStr">
        <is>
          <t>Boston</t>
        </is>
      </c>
      <c r="N1063" t="inlineStr">
        <is>
          <t>Mia Rodriguez</t>
        </is>
      </c>
      <c r="O1063" t="n">
        <v>3</v>
      </c>
      <c r="P1063" s="3" t="n">
        <v>13.1</v>
      </c>
      <c r="Q1063" s="4" t="n">
        <v>0.013</v>
      </c>
      <c r="R1063" s="3" t="n">
        <v>38.79</v>
      </c>
      <c r="S1063" s="3" t="n">
        <v>24.46</v>
      </c>
      <c r="T1063" s="3" t="n">
        <v>4.93</v>
      </c>
      <c r="U1063" s="4" t="n">
        <v>0.1271</v>
      </c>
      <c r="V1063" s="3" t="n">
        <v>9.4</v>
      </c>
      <c r="W1063" t="inlineStr">
        <is>
          <t>Credit Card</t>
        </is>
      </c>
      <c r="X1063" t="inlineStr">
        <is>
          <t>Medium</t>
        </is>
      </c>
      <c r="Y1063" t="n">
        <v>2025</v>
      </c>
      <c r="Z1063" t="n">
        <v>12</v>
      </c>
      <c r="AA1063" t="inlineStr">
        <is>
          <t>Dec</t>
        </is>
      </c>
      <c r="AB1063" t="inlineStr">
        <is>
          <t>Tuesday</t>
        </is>
      </c>
      <c r="AC1063" t="n">
        <v>6</v>
      </c>
      <c r="AD1063" t="inlineStr">
        <is>
          <t>Profitable</t>
        </is>
      </c>
      <c r="AE1063" t="inlineStr">
        <is>
          <t>Low</t>
        </is>
      </c>
      <c r="AF1063" t="inlineStr">
        <is>
          <t>Small</t>
        </is>
      </c>
    </row>
    <row r="1064">
      <c r="A1064" t="inlineStr">
        <is>
          <t>ORD-01063</t>
        </is>
      </c>
      <c r="B1064" s="2" t="n">
        <v>45926</v>
      </c>
      <c r="C1064" s="2" t="n">
        <v>45929</v>
      </c>
      <c r="D1064" t="inlineStr">
        <is>
          <t>CUST-01063</t>
        </is>
      </c>
      <c r="E1064" t="inlineStr">
        <is>
          <t>Customer 1063</t>
        </is>
      </c>
      <c r="F1064" t="inlineStr">
        <is>
          <t>Corporate</t>
        </is>
      </c>
      <c r="G1064" t="inlineStr">
        <is>
          <t>P1014</t>
        </is>
      </c>
      <c r="H1064" t="inlineStr">
        <is>
          <t>Lumen Desk Lamp</t>
        </is>
      </c>
      <c r="I1064" t="inlineStr">
        <is>
          <t>Office Supplies</t>
        </is>
      </c>
      <c r="J1064" t="inlineStr">
        <is>
          <t>Chairs</t>
        </is>
      </c>
      <c r="K1064" t="inlineStr">
        <is>
          <t>East</t>
        </is>
      </c>
      <c r="L1064" t="inlineStr">
        <is>
          <t>Virginia</t>
        </is>
      </c>
      <c r="M1064" t="inlineStr">
        <is>
          <t>Boston</t>
        </is>
      </c>
      <c r="N1064" t="inlineStr">
        <is>
          <t>James Carter</t>
        </is>
      </c>
      <c r="O1064" t="n">
        <v>4</v>
      </c>
      <c r="P1064" s="3" t="n">
        <v>42.77</v>
      </c>
      <c r="Q1064" s="4" t="n">
        <v>0.051</v>
      </c>
      <c r="R1064" s="3" t="n">
        <v>162.35</v>
      </c>
      <c r="S1064" s="3" t="n">
        <v>70.06999999999999</v>
      </c>
      <c r="T1064" s="3" t="n">
        <v>82.08</v>
      </c>
      <c r="U1064" s="4" t="n">
        <v>0.5056</v>
      </c>
      <c r="V1064" s="3" t="n">
        <v>10.2</v>
      </c>
      <c r="W1064" t="inlineStr">
        <is>
          <t>PayPal</t>
        </is>
      </c>
      <c r="X1064" t="inlineStr">
        <is>
          <t>Critical</t>
        </is>
      </c>
      <c r="Y1064" t="n">
        <v>2025</v>
      </c>
      <c r="Z1064" t="n">
        <v>9</v>
      </c>
      <c r="AA1064" t="inlineStr">
        <is>
          <t>Sep</t>
        </is>
      </c>
      <c r="AB1064" t="inlineStr">
        <is>
          <t>Friday</t>
        </is>
      </c>
      <c r="AC1064" t="n">
        <v>3</v>
      </c>
      <c r="AD1064" t="inlineStr">
        <is>
          <t>Profitable</t>
        </is>
      </c>
      <c r="AE1064" t="inlineStr">
        <is>
          <t>High</t>
        </is>
      </c>
      <c r="AF1064" t="inlineStr">
        <is>
          <t>Small</t>
        </is>
      </c>
    </row>
    <row r="1065">
      <c r="A1065" t="inlineStr">
        <is>
          <t>ORD-01064</t>
        </is>
      </c>
      <c r="B1065" s="2" t="n">
        <v>45615</v>
      </c>
      <c r="C1065" s="2" t="n">
        <v>45616</v>
      </c>
      <c r="D1065" t="inlineStr">
        <is>
          <t>CUST-01064</t>
        </is>
      </c>
      <c r="E1065" t="inlineStr">
        <is>
          <t>Customer 1064</t>
        </is>
      </c>
      <c r="F1065" t="inlineStr">
        <is>
          <t>Corporate</t>
        </is>
      </c>
      <c r="G1065" t="inlineStr">
        <is>
          <t>P1006</t>
        </is>
      </c>
      <c r="H1065" t="inlineStr">
        <is>
          <t>Lumen Desk Lamp</t>
        </is>
      </c>
      <c r="I1065" t="inlineStr">
        <is>
          <t>Office Supplies</t>
        </is>
      </c>
      <c r="J1065" t="inlineStr">
        <is>
          <t>Lighting</t>
        </is>
      </c>
      <c r="K1065" t="inlineStr">
        <is>
          <t>East</t>
        </is>
      </c>
      <c r="L1065" t="inlineStr">
        <is>
          <t>Massachusetts</t>
        </is>
      </c>
      <c r="M1065" t="inlineStr">
        <is>
          <t>New York</t>
        </is>
      </c>
      <c r="N1065" t="inlineStr">
        <is>
          <t>Ava Patel</t>
        </is>
      </c>
      <c r="O1065" t="n">
        <v>4</v>
      </c>
      <c r="P1065" s="3" t="n">
        <v>19.62</v>
      </c>
      <c r="Q1065" s="4" t="n">
        <v>0.025</v>
      </c>
      <c r="R1065" s="3" t="n">
        <v>76.52</v>
      </c>
      <c r="S1065" s="3" t="n">
        <v>30.42</v>
      </c>
      <c r="T1065" s="3" t="n">
        <v>35.9</v>
      </c>
      <c r="U1065" s="4" t="n">
        <v>0.4692</v>
      </c>
      <c r="V1065" s="3" t="n">
        <v>10.2</v>
      </c>
      <c r="W1065" t="inlineStr">
        <is>
          <t>PayPal</t>
        </is>
      </c>
      <c r="X1065" t="inlineStr">
        <is>
          <t>Low</t>
        </is>
      </c>
      <c r="Y1065" t="n">
        <v>2024</v>
      </c>
      <c r="Z1065" t="n">
        <v>11</v>
      </c>
      <c r="AA1065" t="inlineStr">
        <is>
          <t>Nov</t>
        </is>
      </c>
      <c r="AB1065" t="inlineStr">
        <is>
          <t>Tuesday</t>
        </is>
      </c>
      <c r="AC1065" t="n">
        <v>1</v>
      </c>
      <c r="AD1065" t="inlineStr">
        <is>
          <t>Profitable</t>
        </is>
      </c>
      <c r="AE1065" t="inlineStr">
        <is>
          <t>Medium</t>
        </is>
      </c>
      <c r="AF1065" t="inlineStr">
        <is>
          <t>Small</t>
        </is>
      </c>
    </row>
    <row r="1066">
      <c r="A1066" t="inlineStr">
        <is>
          <t>ORD-01065</t>
        </is>
      </c>
      <c r="B1066" s="2" t="n">
        <v>45483</v>
      </c>
      <c r="C1066" s="2" t="n">
        <v>45490</v>
      </c>
      <c r="D1066" t="inlineStr">
        <is>
          <t>CUST-01065</t>
        </is>
      </c>
      <c r="E1066" t="inlineStr">
        <is>
          <t>Customer 1065</t>
        </is>
      </c>
      <c r="F1066" t="inlineStr">
        <is>
          <t>Consumer</t>
        </is>
      </c>
      <c r="G1066" t="inlineStr">
        <is>
          <t>P1007</t>
        </is>
      </c>
      <c r="H1066" t="inlineStr">
        <is>
          <t>Halo Planter</t>
        </is>
      </c>
      <c r="I1066" t="inlineStr">
        <is>
          <t>Furniture</t>
        </is>
      </c>
      <c r="J1066" t="inlineStr">
        <is>
          <t>Chairs</t>
        </is>
      </c>
      <c r="K1066" t="inlineStr">
        <is>
          <t>Central</t>
        </is>
      </c>
      <c r="L1066" t="inlineStr">
        <is>
          <t>Illinois</t>
        </is>
      </c>
      <c r="M1066" t="inlineStr">
        <is>
          <t>Kansas City</t>
        </is>
      </c>
      <c r="N1066" t="inlineStr">
        <is>
          <t>Sophia Singh</t>
        </is>
      </c>
      <c r="O1066" t="n">
        <v>2</v>
      </c>
      <c r="P1066" s="3" t="n">
        <v>23.93</v>
      </c>
      <c r="Q1066" s="4" t="n">
        <v>0.003</v>
      </c>
      <c r="R1066" s="3" t="n">
        <v>47.72</v>
      </c>
      <c r="S1066" s="3" t="n">
        <v>21.91</v>
      </c>
      <c r="T1066" s="3" t="n">
        <v>18.21</v>
      </c>
      <c r="U1066" s="4" t="n">
        <v>0.3816</v>
      </c>
      <c r="V1066" s="3" t="n">
        <v>7.6</v>
      </c>
      <c r="W1066" t="inlineStr">
        <is>
          <t>Bank Transfer</t>
        </is>
      </c>
      <c r="X1066" t="inlineStr">
        <is>
          <t>Medium</t>
        </is>
      </c>
      <c r="Y1066" t="n">
        <v>2024</v>
      </c>
      <c r="Z1066" t="n">
        <v>7</v>
      </c>
      <c r="AA1066" t="inlineStr">
        <is>
          <t>Jul</t>
        </is>
      </c>
      <c r="AB1066" t="inlineStr">
        <is>
          <t>Wednesday</t>
        </is>
      </c>
      <c r="AC1066" t="n">
        <v>7</v>
      </c>
      <c r="AD1066" t="inlineStr">
        <is>
          <t>Profitable</t>
        </is>
      </c>
      <c r="AE1066" t="inlineStr">
        <is>
          <t>Low</t>
        </is>
      </c>
      <c r="AF1066" t="inlineStr">
        <is>
          <t>Small</t>
        </is>
      </c>
    </row>
    <row r="1067">
      <c r="A1067" t="inlineStr">
        <is>
          <t>ORD-01066</t>
        </is>
      </c>
      <c r="B1067" s="2" t="n">
        <v>45888</v>
      </c>
      <c r="C1067" s="2" t="n">
        <v>45890</v>
      </c>
      <c r="D1067" t="inlineStr">
        <is>
          <t>CUST-01066</t>
        </is>
      </c>
      <c r="E1067" t="inlineStr">
        <is>
          <t>Customer 1066</t>
        </is>
      </c>
      <c r="F1067" t="inlineStr">
        <is>
          <t>Consumer</t>
        </is>
      </c>
      <c r="G1067" t="inlineStr">
        <is>
          <t>P1008</t>
        </is>
      </c>
      <c r="H1067" t="inlineStr">
        <is>
          <t>FlexNote Notebook</t>
        </is>
      </c>
      <c r="I1067" t="inlineStr">
        <is>
          <t>Furniture</t>
        </is>
      </c>
      <c r="J1067" t="inlineStr">
        <is>
          <t>Desks</t>
        </is>
      </c>
      <c r="K1067" t="inlineStr">
        <is>
          <t>South</t>
        </is>
      </c>
      <c r="L1067" t="inlineStr">
        <is>
          <t>Florida</t>
        </is>
      </c>
      <c r="M1067" t="inlineStr">
        <is>
          <t>Houston</t>
        </is>
      </c>
      <c r="N1067" t="inlineStr">
        <is>
          <t>James Carter</t>
        </is>
      </c>
      <c r="O1067" t="n">
        <v>2</v>
      </c>
      <c r="P1067" s="3" t="n">
        <v>35.21</v>
      </c>
      <c r="Q1067" s="4" t="n">
        <v>0.003</v>
      </c>
      <c r="R1067" s="3" t="n">
        <v>70.20999999999999</v>
      </c>
      <c r="S1067" s="3" t="n">
        <v>37.93</v>
      </c>
      <c r="T1067" s="3" t="n">
        <v>24.68</v>
      </c>
      <c r="U1067" s="4" t="n">
        <v>0.3515</v>
      </c>
      <c r="V1067" s="3" t="n">
        <v>7.6</v>
      </c>
      <c r="W1067" t="inlineStr">
        <is>
          <t>Credit Card</t>
        </is>
      </c>
      <c r="X1067" t="inlineStr">
        <is>
          <t>Medium</t>
        </is>
      </c>
      <c r="Y1067" t="n">
        <v>2025</v>
      </c>
      <c r="Z1067" t="n">
        <v>8</v>
      </c>
      <c r="AA1067" t="inlineStr">
        <is>
          <t>Aug</t>
        </is>
      </c>
      <c r="AB1067" t="inlineStr">
        <is>
          <t>Tuesday</t>
        </is>
      </c>
      <c r="AC1067" t="n">
        <v>2</v>
      </c>
      <c r="AD1067" t="inlineStr">
        <is>
          <t>Profitable</t>
        </is>
      </c>
      <c r="AE1067" t="inlineStr">
        <is>
          <t>Low</t>
        </is>
      </c>
      <c r="AF1067" t="inlineStr">
        <is>
          <t>Small</t>
        </is>
      </c>
    </row>
    <row r="1068">
      <c r="A1068" t="inlineStr">
        <is>
          <t>ORD-01067</t>
        </is>
      </c>
      <c r="B1068" s="2" t="n">
        <v>45270</v>
      </c>
      <c r="C1068" s="2" t="n">
        <v>45274</v>
      </c>
      <c r="D1068" t="inlineStr">
        <is>
          <t>CUST-01067</t>
        </is>
      </c>
      <c r="E1068" t="inlineStr">
        <is>
          <t>Customer 1067</t>
        </is>
      </c>
      <c r="F1068" t="inlineStr">
        <is>
          <t>Consumer</t>
        </is>
      </c>
      <c r="G1068" t="inlineStr">
        <is>
          <t>P1018</t>
        </is>
      </c>
      <c r="H1068" t="inlineStr">
        <is>
          <t>Harbor Rug</t>
        </is>
      </c>
      <c r="I1068" t="inlineStr">
        <is>
          <t>Outdoor</t>
        </is>
      </c>
      <c r="J1068" t="inlineStr">
        <is>
          <t>Writing</t>
        </is>
      </c>
      <c r="K1068" t="inlineStr">
        <is>
          <t>Central</t>
        </is>
      </c>
      <c r="L1068" t="inlineStr">
        <is>
          <t>Minnesota</t>
        </is>
      </c>
      <c r="M1068" t="inlineStr">
        <is>
          <t>St. Louis</t>
        </is>
      </c>
      <c r="N1068" t="inlineStr">
        <is>
          <t>Ava Patel</t>
        </is>
      </c>
      <c r="O1068" t="n">
        <v>5</v>
      </c>
      <c r="P1068" s="3" t="n">
        <v>95.59999999999999</v>
      </c>
      <c r="Q1068" s="4" t="n">
        <v>0.054</v>
      </c>
      <c r="R1068" s="3" t="n">
        <v>452.19</v>
      </c>
      <c r="S1068" s="3" t="n">
        <v>202.47</v>
      </c>
      <c r="T1068" s="3" t="n">
        <v>239.72</v>
      </c>
      <c r="U1068" s="4" t="n">
        <v>0.5301</v>
      </c>
      <c r="V1068" s="3" t="n">
        <v>10</v>
      </c>
      <c r="W1068" t="inlineStr">
        <is>
          <t>Bank Transfer</t>
        </is>
      </c>
      <c r="X1068" t="inlineStr">
        <is>
          <t>Critical</t>
        </is>
      </c>
      <c r="Y1068" t="n">
        <v>2023</v>
      </c>
      <c r="Z1068" t="n">
        <v>12</v>
      </c>
      <c r="AA1068" t="inlineStr">
        <is>
          <t>Dec</t>
        </is>
      </c>
      <c r="AB1068" t="inlineStr">
        <is>
          <t>Sunday</t>
        </is>
      </c>
      <c r="AC1068" t="n">
        <v>4</v>
      </c>
      <c r="AD1068" t="inlineStr">
        <is>
          <t>Profitable</t>
        </is>
      </c>
      <c r="AE1068" t="inlineStr">
        <is>
          <t>High</t>
        </is>
      </c>
      <c r="AF1068" t="inlineStr">
        <is>
          <t>Small</t>
        </is>
      </c>
    </row>
    <row r="1069">
      <c r="A1069" t="inlineStr">
        <is>
          <t>ORD-01068</t>
        </is>
      </c>
      <c r="B1069" s="2" t="n">
        <v>45276</v>
      </c>
      <c r="C1069" s="2" t="n">
        <v>45279</v>
      </c>
      <c r="D1069" t="inlineStr">
        <is>
          <t>CUST-01068</t>
        </is>
      </c>
      <c r="E1069" t="inlineStr">
        <is>
          <t>Customer 1068</t>
        </is>
      </c>
      <c r="F1069" t="inlineStr">
        <is>
          <t>Consumer</t>
        </is>
      </c>
      <c r="G1069" t="inlineStr">
        <is>
          <t>P1004</t>
        </is>
      </c>
      <c r="H1069" t="inlineStr">
        <is>
          <t>Northstar Lantern</t>
        </is>
      </c>
      <c r="I1069" t="inlineStr">
        <is>
          <t>Furniture</t>
        </is>
      </c>
      <c r="J1069" t="inlineStr">
        <is>
          <t>Bags</t>
        </is>
      </c>
      <c r="K1069" t="inlineStr">
        <is>
          <t>East</t>
        </is>
      </c>
      <c r="L1069" t="inlineStr">
        <is>
          <t>New Jersey</t>
        </is>
      </c>
      <c r="M1069" t="inlineStr">
        <is>
          <t>Washington</t>
        </is>
      </c>
      <c r="N1069" t="inlineStr">
        <is>
          <t>James Carter</t>
        </is>
      </c>
      <c r="O1069" t="n">
        <v>3</v>
      </c>
      <c r="P1069" s="3" t="n">
        <v>670.04</v>
      </c>
      <c r="Q1069" s="4" t="n">
        <v>0.015</v>
      </c>
      <c r="R1069" s="3" t="n">
        <v>1979.97</v>
      </c>
      <c r="S1069" s="3" t="n">
        <v>1256.06</v>
      </c>
      <c r="T1069" s="3" t="n">
        <v>714.51</v>
      </c>
      <c r="U1069" s="4" t="n">
        <v>0.3609</v>
      </c>
      <c r="V1069" s="3" t="n">
        <v>9.4</v>
      </c>
      <c r="W1069" t="inlineStr">
        <is>
          <t>Debit Card</t>
        </is>
      </c>
      <c r="X1069" t="inlineStr">
        <is>
          <t>High</t>
        </is>
      </c>
      <c r="Y1069" t="n">
        <v>2023</v>
      </c>
      <c r="Z1069" t="n">
        <v>12</v>
      </c>
      <c r="AA1069" t="inlineStr">
        <is>
          <t>Dec</t>
        </is>
      </c>
      <c r="AB1069" t="inlineStr">
        <is>
          <t>Saturday</t>
        </is>
      </c>
      <c r="AC1069" t="n">
        <v>3</v>
      </c>
      <c r="AD1069" t="inlineStr">
        <is>
          <t>Profitable</t>
        </is>
      </c>
      <c r="AE1069" t="inlineStr">
        <is>
          <t>Low</t>
        </is>
      </c>
      <c r="AF1069" t="inlineStr">
        <is>
          <t>Large</t>
        </is>
      </c>
    </row>
    <row r="1070">
      <c r="A1070" t="inlineStr">
        <is>
          <t>ORD-01069</t>
        </is>
      </c>
      <c r="B1070" s="2" t="n">
        <v>45486</v>
      </c>
      <c r="C1070" s="2" t="n">
        <v>45492</v>
      </c>
      <c r="D1070" t="inlineStr">
        <is>
          <t>CUST-01069</t>
        </is>
      </c>
      <c r="E1070" t="inlineStr">
        <is>
          <t>Customer 1069</t>
        </is>
      </c>
      <c r="F1070" t="inlineStr">
        <is>
          <t>Consumer</t>
        </is>
      </c>
      <c r="G1070" t="inlineStr">
        <is>
          <t>P1003</t>
        </is>
      </c>
      <c r="H1070" t="inlineStr">
        <is>
          <t>Northstar Lantern</t>
        </is>
      </c>
      <c r="I1070" t="inlineStr">
        <is>
          <t>Office Supplies</t>
        </is>
      </c>
      <c r="J1070" t="inlineStr">
        <is>
          <t>Chairs</t>
        </is>
      </c>
      <c r="K1070" t="inlineStr">
        <is>
          <t>West</t>
        </is>
      </c>
      <c r="L1070" t="inlineStr">
        <is>
          <t>Oregon</t>
        </is>
      </c>
      <c r="M1070" t="inlineStr">
        <is>
          <t>Los Angeles</t>
        </is>
      </c>
      <c r="N1070" t="inlineStr">
        <is>
          <t>James Carter</t>
        </is>
      </c>
      <c r="O1070" t="n">
        <v>4</v>
      </c>
      <c r="P1070" s="3" t="n">
        <v>155.51</v>
      </c>
      <c r="Q1070" s="4" t="n">
        <v>0.018</v>
      </c>
      <c r="R1070" s="3" t="n">
        <v>610.84</v>
      </c>
      <c r="S1070" s="3" t="n">
        <v>320.26</v>
      </c>
      <c r="T1070" s="3" t="n">
        <v>280.38</v>
      </c>
      <c r="U1070" s="4" t="n">
        <v>0.459</v>
      </c>
      <c r="V1070" s="3" t="n">
        <v>10.2</v>
      </c>
      <c r="W1070" t="inlineStr">
        <is>
          <t>Debit Card</t>
        </is>
      </c>
      <c r="X1070" t="inlineStr">
        <is>
          <t>Medium</t>
        </is>
      </c>
      <c r="Y1070" t="n">
        <v>2024</v>
      </c>
      <c r="Z1070" t="n">
        <v>7</v>
      </c>
      <c r="AA1070" t="inlineStr">
        <is>
          <t>Jul</t>
        </is>
      </c>
      <c r="AB1070" t="inlineStr">
        <is>
          <t>Saturday</t>
        </is>
      </c>
      <c r="AC1070" t="n">
        <v>6</v>
      </c>
      <c r="AD1070" t="inlineStr">
        <is>
          <t>Profitable</t>
        </is>
      </c>
      <c r="AE1070" t="inlineStr">
        <is>
          <t>Low</t>
        </is>
      </c>
      <c r="AF1070" t="inlineStr">
        <is>
          <t>Medium</t>
        </is>
      </c>
    </row>
    <row r="1071">
      <c r="A1071" t="inlineStr">
        <is>
          <t>ORD-01070</t>
        </is>
      </c>
      <c r="B1071" s="2" t="n">
        <v>45062</v>
      </c>
      <c r="C1071" s="2" t="n">
        <v>45064</v>
      </c>
      <c r="D1071" t="inlineStr">
        <is>
          <t>CUST-01070</t>
        </is>
      </c>
      <c r="E1071" t="inlineStr">
        <is>
          <t>Customer 1070</t>
        </is>
      </c>
      <c r="F1071" t="inlineStr">
        <is>
          <t>Home Office</t>
        </is>
      </c>
      <c r="G1071" t="inlineStr">
        <is>
          <t>P1004</t>
        </is>
      </c>
      <c r="H1071" t="inlineStr">
        <is>
          <t>Halo Planter</t>
        </is>
      </c>
      <c r="I1071" t="inlineStr">
        <is>
          <t>Furniture</t>
        </is>
      </c>
      <c r="J1071" t="inlineStr">
        <is>
          <t>Peripherals</t>
        </is>
      </c>
      <c r="K1071" t="inlineStr">
        <is>
          <t>West</t>
        </is>
      </c>
      <c r="L1071" t="inlineStr">
        <is>
          <t>California</t>
        </is>
      </c>
      <c r="M1071" t="inlineStr">
        <is>
          <t>Denver</t>
        </is>
      </c>
      <c r="N1071" t="inlineStr">
        <is>
          <t>Liam Chen</t>
        </is>
      </c>
      <c r="O1071" t="n">
        <v>1</v>
      </c>
      <c r="P1071" s="3" t="n">
        <v>616.27</v>
      </c>
      <c r="Q1071" s="4" t="n">
        <v>0.037</v>
      </c>
      <c r="R1071" s="3" t="n">
        <v>593.47</v>
      </c>
      <c r="S1071" s="3" t="n">
        <v>378.08</v>
      </c>
      <c r="T1071" s="3" t="n">
        <v>207.59</v>
      </c>
      <c r="U1071" s="4" t="n">
        <v>0.3498</v>
      </c>
      <c r="V1071" s="3" t="n">
        <v>7.8</v>
      </c>
      <c r="W1071" t="inlineStr">
        <is>
          <t>Debit Card</t>
        </is>
      </c>
      <c r="X1071" t="inlineStr">
        <is>
          <t>Critical</t>
        </is>
      </c>
      <c r="Y1071" t="n">
        <v>2023</v>
      </c>
      <c r="Z1071" t="n">
        <v>5</v>
      </c>
      <c r="AA1071" t="inlineStr">
        <is>
          <t>May</t>
        </is>
      </c>
      <c r="AB1071" t="inlineStr">
        <is>
          <t>Tuesday</t>
        </is>
      </c>
      <c r="AC1071" t="n">
        <v>2</v>
      </c>
      <c r="AD1071" t="inlineStr">
        <is>
          <t>Profitable</t>
        </is>
      </c>
      <c r="AE1071" t="inlineStr">
        <is>
          <t>Medium</t>
        </is>
      </c>
      <c r="AF1071" t="inlineStr">
        <is>
          <t>Medium</t>
        </is>
      </c>
    </row>
    <row r="1072">
      <c r="A1072" t="inlineStr">
        <is>
          <t>ORD-01071</t>
        </is>
      </c>
      <c r="B1072" s="2" t="n">
        <v>45095</v>
      </c>
      <c r="C1072" s="2" t="n">
        <v>45100</v>
      </c>
      <c r="D1072" t="inlineStr">
        <is>
          <t>CUST-01071</t>
        </is>
      </c>
      <c r="E1072" t="inlineStr">
        <is>
          <t>Customer 1071</t>
        </is>
      </c>
      <c r="F1072" t="inlineStr">
        <is>
          <t>Consumer</t>
        </is>
      </c>
      <c r="G1072" t="inlineStr">
        <is>
          <t>P1016</t>
        </is>
      </c>
      <c r="H1072" t="inlineStr">
        <is>
          <t>ErgoMesh Chair</t>
        </is>
      </c>
      <c r="I1072" t="inlineStr">
        <is>
          <t>Home Decor</t>
        </is>
      </c>
      <c r="J1072" t="inlineStr">
        <is>
          <t>Flooring</t>
        </is>
      </c>
      <c r="K1072" t="inlineStr">
        <is>
          <t>West</t>
        </is>
      </c>
      <c r="L1072" t="inlineStr">
        <is>
          <t>Colorado</t>
        </is>
      </c>
      <c r="M1072" t="inlineStr">
        <is>
          <t>San Francisco</t>
        </is>
      </c>
      <c r="N1072" t="inlineStr">
        <is>
          <t>Liam Chen</t>
        </is>
      </c>
      <c r="O1072" t="n">
        <v>3</v>
      </c>
      <c r="P1072" s="3" t="n">
        <v>40.21</v>
      </c>
      <c r="Q1072" s="4" t="n">
        <v>0.017</v>
      </c>
      <c r="R1072" s="3" t="n">
        <v>118.58</v>
      </c>
      <c r="S1072" s="3" t="n">
        <v>54.23</v>
      </c>
      <c r="T1072" s="3" t="n">
        <v>54.95</v>
      </c>
      <c r="U1072" s="4" t="n">
        <v>0.4634</v>
      </c>
      <c r="V1072" s="3" t="n">
        <v>9.4</v>
      </c>
      <c r="W1072" t="inlineStr">
        <is>
          <t>Debit Card</t>
        </is>
      </c>
      <c r="X1072" t="inlineStr">
        <is>
          <t>Low</t>
        </is>
      </c>
      <c r="Y1072" t="n">
        <v>2023</v>
      </c>
      <c r="Z1072" t="n">
        <v>6</v>
      </c>
      <c r="AA1072" t="inlineStr">
        <is>
          <t>Jun</t>
        </is>
      </c>
      <c r="AB1072" t="inlineStr">
        <is>
          <t>Sunday</t>
        </is>
      </c>
      <c r="AC1072" t="n">
        <v>5</v>
      </c>
      <c r="AD1072" t="inlineStr">
        <is>
          <t>Profitable</t>
        </is>
      </c>
      <c r="AE1072" t="inlineStr">
        <is>
          <t>Low</t>
        </is>
      </c>
      <c r="AF1072" t="inlineStr">
        <is>
          <t>Small</t>
        </is>
      </c>
    </row>
    <row r="1073">
      <c r="A1073" t="inlineStr">
        <is>
          <t>ORD-01072</t>
        </is>
      </c>
      <c r="B1073" s="2" t="n">
        <v>45101</v>
      </c>
      <c r="C1073" s="2" t="n">
        <v>45104</v>
      </c>
      <c r="D1073" t="inlineStr">
        <is>
          <t>CUST-01072</t>
        </is>
      </c>
      <c r="E1073" t="inlineStr">
        <is>
          <t>Customer 1072</t>
        </is>
      </c>
      <c r="F1073" t="inlineStr">
        <is>
          <t>Home Office</t>
        </is>
      </c>
      <c r="G1073" t="inlineStr">
        <is>
          <t>P1013</t>
        </is>
      </c>
      <c r="H1073" t="inlineStr">
        <is>
          <t>Nimbus Monitor Arm</t>
        </is>
      </c>
      <c r="I1073" t="inlineStr">
        <is>
          <t>Technology</t>
        </is>
      </c>
      <c r="J1073" t="inlineStr">
        <is>
          <t>Accessories</t>
        </is>
      </c>
      <c r="K1073" t="inlineStr">
        <is>
          <t>East</t>
        </is>
      </c>
      <c r="L1073" t="inlineStr">
        <is>
          <t>New Jersey</t>
        </is>
      </c>
      <c r="M1073" t="inlineStr">
        <is>
          <t>Boston</t>
        </is>
      </c>
      <c r="N1073" t="inlineStr">
        <is>
          <t>Ethan Brooks</t>
        </is>
      </c>
      <c r="O1073" t="n">
        <v>1</v>
      </c>
      <c r="P1073" s="3" t="n">
        <v>176.77</v>
      </c>
      <c r="Q1073" s="4" t="n">
        <v>0.029</v>
      </c>
      <c r="R1073" s="3" t="n">
        <v>171.64</v>
      </c>
      <c r="S1073" s="3" t="n">
        <v>104.28</v>
      </c>
      <c r="T1073" s="3" t="n">
        <v>59.56</v>
      </c>
      <c r="U1073" s="4" t="n">
        <v>0.347</v>
      </c>
      <c r="V1073" s="3" t="n">
        <v>7.8</v>
      </c>
      <c r="W1073" t="inlineStr">
        <is>
          <t>Credit Card</t>
        </is>
      </c>
      <c r="X1073" t="inlineStr">
        <is>
          <t>Medium</t>
        </is>
      </c>
      <c r="Y1073" t="n">
        <v>2023</v>
      </c>
      <c r="Z1073" t="n">
        <v>6</v>
      </c>
      <c r="AA1073" t="inlineStr">
        <is>
          <t>Jun</t>
        </is>
      </c>
      <c r="AB1073" t="inlineStr">
        <is>
          <t>Saturday</t>
        </is>
      </c>
      <c r="AC1073" t="n">
        <v>3</v>
      </c>
      <c r="AD1073" t="inlineStr">
        <is>
          <t>Profitable</t>
        </is>
      </c>
      <c r="AE1073" t="inlineStr">
        <is>
          <t>Medium</t>
        </is>
      </c>
      <c r="AF1073" t="inlineStr">
        <is>
          <t>Small</t>
        </is>
      </c>
    </row>
    <row r="1074">
      <c r="A1074" t="inlineStr">
        <is>
          <t>ORD-01073</t>
        </is>
      </c>
      <c r="B1074" s="2" t="n">
        <v>45054</v>
      </c>
      <c r="C1074" s="2" t="n">
        <v>45055</v>
      </c>
      <c r="D1074" t="inlineStr">
        <is>
          <t>CUST-01073</t>
        </is>
      </c>
      <c r="E1074" t="inlineStr">
        <is>
          <t>Customer 1073</t>
        </is>
      </c>
      <c r="F1074" t="inlineStr">
        <is>
          <t>Consumer</t>
        </is>
      </c>
      <c r="G1074" t="inlineStr">
        <is>
          <t>P1011</t>
        </is>
      </c>
      <c r="H1074" t="inlineStr">
        <is>
          <t>Tide Cooler</t>
        </is>
      </c>
      <c r="I1074" t="inlineStr">
        <is>
          <t>Technology</t>
        </is>
      </c>
      <c r="J1074" t="inlineStr">
        <is>
          <t>Storage</t>
        </is>
      </c>
      <c r="K1074" t="inlineStr">
        <is>
          <t>South</t>
        </is>
      </c>
      <c r="L1074" t="inlineStr">
        <is>
          <t>Georgia</t>
        </is>
      </c>
      <c r="M1074" t="inlineStr">
        <is>
          <t>Atlanta</t>
        </is>
      </c>
      <c r="N1074" t="inlineStr">
        <is>
          <t>James Carter</t>
        </is>
      </c>
      <c r="O1074" t="n">
        <v>3</v>
      </c>
      <c r="P1074" s="3" t="n">
        <v>88.78</v>
      </c>
      <c r="Q1074" s="4" t="n">
        <v>0.016</v>
      </c>
      <c r="R1074" s="3" t="n">
        <v>262.08</v>
      </c>
      <c r="S1074" s="3" t="n">
        <v>125.77</v>
      </c>
      <c r="T1074" s="3" t="n">
        <v>127.91</v>
      </c>
      <c r="U1074" s="4" t="n">
        <v>0.4881</v>
      </c>
      <c r="V1074" s="3" t="n">
        <v>8.4</v>
      </c>
      <c r="W1074" t="inlineStr">
        <is>
          <t>Credit Card</t>
        </is>
      </c>
      <c r="X1074" t="inlineStr">
        <is>
          <t>Medium</t>
        </is>
      </c>
      <c r="Y1074" t="n">
        <v>2023</v>
      </c>
      <c r="Z1074" t="n">
        <v>5</v>
      </c>
      <c r="AA1074" t="inlineStr">
        <is>
          <t>May</t>
        </is>
      </c>
      <c r="AB1074" t="inlineStr">
        <is>
          <t>Monday</t>
        </is>
      </c>
      <c r="AC1074" t="n">
        <v>1</v>
      </c>
      <c r="AD1074" t="inlineStr">
        <is>
          <t>Profitable</t>
        </is>
      </c>
      <c r="AE1074" t="inlineStr">
        <is>
          <t>Low</t>
        </is>
      </c>
      <c r="AF1074" t="inlineStr">
        <is>
          <t>Small</t>
        </is>
      </c>
    </row>
    <row r="1075">
      <c r="A1075" t="inlineStr">
        <is>
          <t>ORD-01074</t>
        </is>
      </c>
      <c r="B1075" s="2" t="n">
        <v>45070</v>
      </c>
      <c r="C1075" s="2" t="n">
        <v>45077</v>
      </c>
      <c r="D1075" t="inlineStr">
        <is>
          <t>CUST-01074</t>
        </is>
      </c>
      <c r="E1075" t="inlineStr">
        <is>
          <t>Customer 1074</t>
        </is>
      </c>
      <c r="F1075" t="inlineStr">
        <is>
          <t>Consumer</t>
        </is>
      </c>
      <c r="G1075" t="inlineStr">
        <is>
          <t>P1011</t>
        </is>
      </c>
      <c r="H1075" t="inlineStr">
        <is>
          <t>Summit Patio Set</t>
        </is>
      </c>
      <c r="I1075" t="inlineStr">
        <is>
          <t>Outdoor</t>
        </is>
      </c>
      <c r="J1075" t="inlineStr">
        <is>
          <t>Video</t>
        </is>
      </c>
      <c r="K1075" t="inlineStr">
        <is>
          <t>West</t>
        </is>
      </c>
      <c r="L1075" t="inlineStr">
        <is>
          <t>Colorado</t>
        </is>
      </c>
      <c r="M1075" t="inlineStr">
        <is>
          <t>Denver</t>
        </is>
      </c>
      <c r="N1075" t="inlineStr">
        <is>
          <t>Olivia Martin</t>
        </is>
      </c>
      <c r="O1075" t="n">
        <v>3</v>
      </c>
      <c r="P1075" s="3" t="n">
        <v>89.83</v>
      </c>
      <c r="Q1075" s="4" t="n">
        <v>0.012</v>
      </c>
      <c r="R1075" s="3" t="n">
        <v>266.26</v>
      </c>
      <c r="S1075" s="3" t="n">
        <v>127.27</v>
      </c>
      <c r="T1075" s="3" t="n">
        <v>129.59</v>
      </c>
      <c r="U1075" s="4" t="n">
        <v>0.4867</v>
      </c>
      <c r="V1075" s="3" t="n">
        <v>9.4</v>
      </c>
      <c r="W1075" t="inlineStr">
        <is>
          <t>Credit Card</t>
        </is>
      </c>
      <c r="X1075" t="inlineStr">
        <is>
          <t>Low</t>
        </is>
      </c>
      <c r="Y1075" t="n">
        <v>2023</v>
      </c>
      <c r="Z1075" t="n">
        <v>5</v>
      </c>
      <c r="AA1075" t="inlineStr">
        <is>
          <t>May</t>
        </is>
      </c>
      <c r="AB1075" t="inlineStr">
        <is>
          <t>Wednesday</t>
        </is>
      </c>
      <c r="AC1075" t="n">
        <v>7</v>
      </c>
      <c r="AD1075" t="inlineStr">
        <is>
          <t>Profitable</t>
        </is>
      </c>
      <c r="AE1075" t="inlineStr">
        <is>
          <t>Low</t>
        </is>
      </c>
      <c r="AF1075" t="inlineStr">
        <is>
          <t>Small</t>
        </is>
      </c>
    </row>
    <row r="1076">
      <c r="A1076" t="inlineStr">
        <is>
          <t>ORD-01075</t>
        </is>
      </c>
      <c r="B1076" s="2" t="n">
        <v>45979</v>
      </c>
      <c r="C1076" s="2" t="n">
        <v>45982</v>
      </c>
      <c r="D1076" t="inlineStr">
        <is>
          <t>CUST-01075</t>
        </is>
      </c>
      <c r="E1076" t="inlineStr">
        <is>
          <t>Customer 1075</t>
        </is>
      </c>
      <c r="F1076" t="inlineStr">
        <is>
          <t>Consumer</t>
        </is>
      </c>
      <c r="G1076" t="inlineStr">
        <is>
          <t>P1005</t>
        </is>
      </c>
      <c r="H1076" t="inlineStr">
        <is>
          <t>CloudDrive File Box</t>
        </is>
      </c>
      <c r="I1076" t="inlineStr">
        <is>
          <t>Home Decor</t>
        </is>
      </c>
      <c r="J1076" t="inlineStr">
        <is>
          <t>Lighting</t>
        </is>
      </c>
      <c r="K1076" t="inlineStr">
        <is>
          <t>East</t>
        </is>
      </c>
      <c r="L1076" t="inlineStr">
        <is>
          <t>Virginia</t>
        </is>
      </c>
      <c r="M1076" t="inlineStr">
        <is>
          <t>Philadelphia</t>
        </is>
      </c>
      <c r="N1076" t="inlineStr">
        <is>
          <t>Noah Kim</t>
        </is>
      </c>
      <c r="O1076" t="n">
        <v>3</v>
      </c>
      <c r="P1076" s="3" t="n">
        <v>13.81</v>
      </c>
      <c r="Q1076" s="4" t="n">
        <v>0.073</v>
      </c>
      <c r="R1076" s="3" t="n">
        <v>38.41</v>
      </c>
      <c r="S1076" s="3" t="n">
        <v>17.57</v>
      </c>
      <c r="T1076" s="3" t="n">
        <v>11.44</v>
      </c>
      <c r="U1076" s="4" t="n">
        <v>0.2978</v>
      </c>
      <c r="V1076" s="3" t="n">
        <v>9.4</v>
      </c>
      <c r="W1076" t="inlineStr">
        <is>
          <t>Bank Transfer</t>
        </is>
      </c>
      <c r="X1076" t="inlineStr">
        <is>
          <t>Critical</t>
        </is>
      </c>
      <c r="Y1076" t="n">
        <v>2025</v>
      </c>
      <c r="Z1076" t="n">
        <v>11</v>
      </c>
      <c r="AA1076" t="inlineStr">
        <is>
          <t>Nov</t>
        </is>
      </c>
      <c r="AB1076" t="inlineStr">
        <is>
          <t>Tuesday</t>
        </is>
      </c>
      <c r="AC1076" t="n">
        <v>3</v>
      </c>
      <c r="AD1076" t="inlineStr">
        <is>
          <t>Profitable</t>
        </is>
      </c>
      <c r="AE1076" t="inlineStr">
        <is>
          <t>High</t>
        </is>
      </c>
      <c r="AF1076" t="inlineStr">
        <is>
          <t>Small</t>
        </is>
      </c>
    </row>
    <row r="1077">
      <c r="A1077" t="inlineStr">
        <is>
          <t>ORD-01076</t>
        </is>
      </c>
      <c r="B1077" s="2" t="n">
        <v>45335</v>
      </c>
      <c r="C1077" s="2" t="n">
        <v>45337</v>
      </c>
      <c r="D1077" t="inlineStr">
        <is>
          <t>CUST-01076</t>
        </is>
      </c>
      <c r="E1077" t="inlineStr">
        <is>
          <t>Customer 1076</t>
        </is>
      </c>
      <c r="F1077" t="inlineStr">
        <is>
          <t>Consumer</t>
        </is>
      </c>
      <c r="G1077" t="inlineStr">
        <is>
          <t>P1020</t>
        </is>
      </c>
      <c r="H1077" t="inlineStr">
        <is>
          <t>Pulse Keyboard</t>
        </is>
      </c>
      <c r="I1077" t="inlineStr">
        <is>
          <t>Furniture</t>
        </is>
      </c>
      <c r="J1077" t="inlineStr">
        <is>
          <t>Chairs</t>
        </is>
      </c>
      <c r="K1077" t="inlineStr">
        <is>
          <t>South</t>
        </is>
      </c>
      <c r="L1077" t="inlineStr">
        <is>
          <t>Georgia</t>
        </is>
      </c>
      <c r="M1077" t="inlineStr">
        <is>
          <t>Atlanta</t>
        </is>
      </c>
      <c r="N1077" t="inlineStr">
        <is>
          <t>Liam Chen</t>
        </is>
      </c>
      <c r="O1077" t="n">
        <v>5</v>
      </c>
      <c r="P1077" s="3" t="n">
        <v>71.47</v>
      </c>
      <c r="Q1077" s="4" t="n">
        <v>0.029</v>
      </c>
      <c r="R1077" s="3" t="n">
        <v>346.99</v>
      </c>
      <c r="S1077" s="3" t="n">
        <v>166.77</v>
      </c>
      <c r="T1077" s="3" t="n">
        <v>170.22</v>
      </c>
      <c r="U1077" s="4" t="n">
        <v>0.4906</v>
      </c>
      <c r="V1077" s="3" t="n">
        <v>10</v>
      </c>
      <c r="W1077" t="inlineStr">
        <is>
          <t>PayPal</t>
        </is>
      </c>
      <c r="X1077" t="inlineStr">
        <is>
          <t>Medium</t>
        </is>
      </c>
      <c r="Y1077" t="n">
        <v>2024</v>
      </c>
      <c r="Z1077" t="n">
        <v>2</v>
      </c>
      <c r="AA1077" t="inlineStr">
        <is>
          <t>Feb</t>
        </is>
      </c>
      <c r="AB1077" t="inlineStr">
        <is>
          <t>Tuesday</t>
        </is>
      </c>
      <c r="AC1077" t="n">
        <v>2</v>
      </c>
      <c r="AD1077" t="inlineStr">
        <is>
          <t>Profitable</t>
        </is>
      </c>
      <c r="AE1077" t="inlineStr">
        <is>
          <t>Medium</t>
        </is>
      </c>
      <c r="AF1077" t="inlineStr">
        <is>
          <t>Small</t>
        </is>
      </c>
    </row>
    <row r="1078">
      <c r="A1078" t="inlineStr">
        <is>
          <t>ORD-01077</t>
        </is>
      </c>
      <c r="B1078" s="2" t="n">
        <v>45560</v>
      </c>
      <c r="C1078" s="2" t="n">
        <v>45562</v>
      </c>
      <c r="D1078" t="inlineStr">
        <is>
          <t>CUST-01077</t>
        </is>
      </c>
      <c r="E1078" t="inlineStr">
        <is>
          <t>Customer 1077</t>
        </is>
      </c>
      <c r="F1078" t="inlineStr">
        <is>
          <t>Home Office</t>
        </is>
      </c>
      <c r="G1078" t="inlineStr">
        <is>
          <t>P1001</t>
        </is>
      </c>
      <c r="H1078" t="inlineStr">
        <is>
          <t>Trail Tote</t>
        </is>
      </c>
      <c r="I1078" t="inlineStr">
        <is>
          <t>Outdoor</t>
        </is>
      </c>
      <c r="J1078" t="inlineStr">
        <is>
          <t>Bags</t>
        </is>
      </c>
      <c r="K1078" t="inlineStr">
        <is>
          <t>East</t>
        </is>
      </c>
      <c r="L1078" t="inlineStr">
        <is>
          <t>Massachusetts</t>
        </is>
      </c>
      <c r="M1078" t="inlineStr">
        <is>
          <t>New York</t>
        </is>
      </c>
      <c r="N1078" t="inlineStr">
        <is>
          <t>Liam Chen</t>
        </is>
      </c>
      <c r="O1078" t="n">
        <v>4</v>
      </c>
      <c r="P1078" s="3" t="n">
        <v>303.01</v>
      </c>
      <c r="Q1078" s="4" t="n">
        <v>0.018</v>
      </c>
      <c r="R1078" s="3" t="n">
        <v>1190.22</v>
      </c>
      <c r="S1078" s="3" t="n">
        <v>698.3</v>
      </c>
      <c r="T1078" s="3" t="n">
        <v>481.72</v>
      </c>
      <c r="U1078" s="4" t="n">
        <v>0.4047</v>
      </c>
      <c r="V1078" s="3" t="n">
        <v>10.2</v>
      </c>
      <c r="W1078" t="inlineStr">
        <is>
          <t>PayPal</t>
        </is>
      </c>
      <c r="X1078" t="inlineStr">
        <is>
          <t>Low</t>
        </is>
      </c>
      <c r="Y1078" t="n">
        <v>2024</v>
      </c>
      <c r="Z1078" t="n">
        <v>9</v>
      </c>
      <c r="AA1078" t="inlineStr">
        <is>
          <t>Sep</t>
        </is>
      </c>
      <c r="AB1078" t="inlineStr">
        <is>
          <t>Wednesday</t>
        </is>
      </c>
      <c r="AC1078" t="n">
        <v>2</v>
      </c>
      <c r="AD1078" t="inlineStr">
        <is>
          <t>Profitable</t>
        </is>
      </c>
      <c r="AE1078" t="inlineStr">
        <is>
          <t>Low</t>
        </is>
      </c>
      <c r="AF1078" t="inlineStr">
        <is>
          <t>Medium</t>
        </is>
      </c>
    </row>
    <row r="1079">
      <c r="A1079" t="inlineStr">
        <is>
          <t>ORD-01078</t>
        </is>
      </c>
      <c r="B1079" s="2" t="n">
        <v>45743</v>
      </c>
      <c r="C1079" s="2" t="n">
        <v>45750</v>
      </c>
      <c r="D1079" t="inlineStr">
        <is>
          <t>CUST-01078</t>
        </is>
      </c>
      <c r="E1079" t="inlineStr">
        <is>
          <t>Customer 1078</t>
        </is>
      </c>
      <c r="F1079" t="inlineStr">
        <is>
          <t>Consumer</t>
        </is>
      </c>
      <c r="G1079" t="inlineStr">
        <is>
          <t>P1014</t>
        </is>
      </c>
      <c r="H1079" t="inlineStr">
        <is>
          <t>CloudDrive File Box</t>
        </is>
      </c>
      <c r="I1079" t="inlineStr">
        <is>
          <t>Outdoor</t>
        </is>
      </c>
      <c r="J1079" t="inlineStr">
        <is>
          <t>Decor</t>
        </is>
      </c>
      <c r="K1079" t="inlineStr">
        <is>
          <t>Central</t>
        </is>
      </c>
      <c r="L1079" t="inlineStr">
        <is>
          <t>Missouri</t>
        </is>
      </c>
      <c r="M1079" t="inlineStr">
        <is>
          <t>St. Louis</t>
        </is>
      </c>
      <c r="N1079" t="inlineStr">
        <is>
          <t>Sophia Singh</t>
        </is>
      </c>
      <c r="O1079" t="n">
        <v>5</v>
      </c>
      <c r="P1079" s="3" t="n">
        <v>41.6</v>
      </c>
      <c r="Q1079" s="4" t="n">
        <v>0.013</v>
      </c>
      <c r="R1079" s="3" t="n">
        <v>205.3</v>
      </c>
      <c r="S1079" s="3" t="n">
        <v>88.88</v>
      </c>
      <c r="T1079" s="3" t="n">
        <v>106.42</v>
      </c>
      <c r="U1079" s="4" t="n">
        <v>0.5184</v>
      </c>
      <c r="V1079" s="3" t="n">
        <v>10</v>
      </c>
      <c r="W1079" t="inlineStr">
        <is>
          <t>Cash on Delivery</t>
        </is>
      </c>
      <c r="X1079" t="inlineStr">
        <is>
          <t>Medium</t>
        </is>
      </c>
      <c r="Y1079" t="n">
        <v>2025</v>
      </c>
      <c r="Z1079" t="n">
        <v>3</v>
      </c>
      <c r="AA1079" t="inlineStr">
        <is>
          <t>Mar</t>
        </is>
      </c>
      <c r="AB1079" t="inlineStr">
        <is>
          <t>Thursday</t>
        </is>
      </c>
      <c r="AC1079" t="n">
        <v>7</v>
      </c>
      <c r="AD1079" t="inlineStr">
        <is>
          <t>Profitable</t>
        </is>
      </c>
      <c r="AE1079" t="inlineStr">
        <is>
          <t>Low</t>
        </is>
      </c>
      <c r="AF1079" t="inlineStr">
        <is>
          <t>Small</t>
        </is>
      </c>
    </row>
    <row r="1080">
      <c r="A1080" t="inlineStr">
        <is>
          <t>ORD-01079</t>
        </is>
      </c>
      <c r="B1080" s="2" t="n">
        <v>45053</v>
      </c>
      <c r="C1080" s="2" t="n">
        <v>45054</v>
      </c>
      <c r="D1080" t="inlineStr">
        <is>
          <t>CUST-01079</t>
        </is>
      </c>
      <c r="E1080" t="inlineStr">
        <is>
          <t>Customer 1079</t>
        </is>
      </c>
      <c r="F1080" t="inlineStr">
        <is>
          <t>Consumer</t>
        </is>
      </c>
      <c r="G1080" t="inlineStr">
        <is>
          <t>P1020</t>
        </is>
      </c>
      <c r="H1080" t="inlineStr">
        <is>
          <t>ProClip Binder</t>
        </is>
      </c>
      <c r="I1080" t="inlineStr">
        <is>
          <t>Office Supplies</t>
        </is>
      </c>
      <c r="J1080" t="inlineStr">
        <is>
          <t>Plants</t>
        </is>
      </c>
      <c r="K1080" t="inlineStr">
        <is>
          <t>Central</t>
        </is>
      </c>
      <c r="L1080" t="inlineStr">
        <is>
          <t>Illinois</t>
        </is>
      </c>
      <c r="M1080" t="inlineStr">
        <is>
          <t>Chicago</t>
        </is>
      </c>
      <c r="N1080" t="inlineStr">
        <is>
          <t>Liam Chen</t>
        </is>
      </c>
      <c r="O1080" t="n">
        <v>1</v>
      </c>
      <c r="P1080" s="3" t="n">
        <v>72.72</v>
      </c>
      <c r="Q1080" s="4" t="n">
        <v>0.001</v>
      </c>
      <c r="R1080" s="3" t="n">
        <v>72.65000000000001</v>
      </c>
      <c r="S1080" s="3" t="n">
        <v>39.71</v>
      </c>
      <c r="T1080" s="3" t="n">
        <v>26.14</v>
      </c>
      <c r="U1080" s="4" t="n">
        <v>0.3598</v>
      </c>
      <c r="V1080" s="3" t="n">
        <v>6.8</v>
      </c>
      <c r="W1080" t="inlineStr">
        <is>
          <t>Debit Card</t>
        </is>
      </c>
      <c r="X1080" t="inlineStr">
        <is>
          <t>Medium</t>
        </is>
      </c>
      <c r="Y1080" t="n">
        <v>2023</v>
      </c>
      <c r="Z1080" t="n">
        <v>5</v>
      </c>
      <c r="AA1080" t="inlineStr">
        <is>
          <t>May</t>
        </is>
      </c>
      <c r="AB1080" t="inlineStr">
        <is>
          <t>Sunday</t>
        </is>
      </c>
      <c r="AC1080" t="n">
        <v>1</v>
      </c>
      <c r="AD1080" t="inlineStr">
        <is>
          <t>Profitable</t>
        </is>
      </c>
      <c r="AE1080" t="inlineStr">
        <is>
          <t>Low</t>
        </is>
      </c>
      <c r="AF1080" t="inlineStr">
        <is>
          <t>Small</t>
        </is>
      </c>
    </row>
    <row r="1081">
      <c r="A1081" t="inlineStr">
        <is>
          <t>ORD-01080</t>
        </is>
      </c>
      <c r="B1081" s="2" t="n">
        <v>45716</v>
      </c>
      <c r="C1081" s="2" t="n">
        <v>45722</v>
      </c>
      <c r="D1081" t="inlineStr">
        <is>
          <t>CUST-01080</t>
        </is>
      </c>
      <c r="E1081" t="inlineStr">
        <is>
          <t>Customer 1080</t>
        </is>
      </c>
      <c r="F1081" t="inlineStr">
        <is>
          <t>Home Office</t>
        </is>
      </c>
      <c r="G1081" t="inlineStr">
        <is>
          <t>P1019</t>
        </is>
      </c>
      <c r="H1081" t="inlineStr">
        <is>
          <t>ProClip Binder</t>
        </is>
      </c>
      <c r="I1081" t="inlineStr">
        <is>
          <t>Home Decor</t>
        </is>
      </c>
      <c r="J1081" t="inlineStr">
        <is>
          <t>Desks</t>
        </is>
      </c>
      <c r="K1081" t="inlineStr">
        <is>
          <t>West</t>
        </is>
      </c>
      <c r="L1081" t="inlineStr">
        <is>
          <t>California</t>
        </is>
      </c>
      <c r="M1081" t="inlineStr">
        <is>
          <t>Los Angeles</t>
        </is>
      </c>
      <c r="N1081" t="inlineStr">
        <is>
          <t>Olivia Martin</t>
        </is>
      </c>
      <c r="O1081" t="n">
        <v>3</v>
      </c>
      <c r="P1081" s="3" t="n">
        <v>56.51</v>
      </c>
      <c r="Q1081" s="4" t="n">
        <v>0.026</v>
      </c>
      <c r="R1081" s="3" t="n">
        <v>165.12</v>
      </c>
      <c r="S1081" s="3" t="n">
        <v>75.90000000000001</v>
      </c>
      <c r="T1081" s="3" t="n">
        <v>79.81999999999999</v>
      </c>
      <c r="U1081" s="4" t="n">
        <v>0.4834</v>
      </c>
      <c r="V1081" s="3" t="n">
        <v>9.4</v>
      </c>
      <c r="W1081" t="inlineStr">
        <is>
          <t>Bank Transfer</t>
        </is>
      </c>
      <c r="X1081" t="inlineStr">
        <is>
          <t>High</t>
        </is>
      </c>
      <c r="Y1081" t="n">
        <v>2025</v>
      </c>
      <c r="Z1081" t="n">
        <v>2</v>
      </c>
      <c r="AA1081" t="inlineStr">
        <is>
          <t>Feb</t>
        </is>
      </c>
      <c r="AB1081" t="inlineStr">
        <is>
          <t>Friday</t>
        </is>
      </c>
      <c r="AC1081" t="n">
        <v>6</v>
      </c>
      <c r="AD1081" t="inlineStr">
        <is>
          <t>Profitable</t>
        </is>
      </c>
      <c r="AE1081" t="inlineStr">
        <is>
          <t>Medium</t>
        </is>
      </c>
      <c r="AF1081" t="inlineStr">
        <is>
          <t>Small</t>
        </is>
      </c>
    </row>
    <row r="1082">
      <c r="A1082" t="inlineStr">
        <is>
          <t>ORD-01081</t>
        </is>
      </c>
      <c r="B1082" s="2" t="n">
        <v>45798</v>
      </c>
      <c r="C1082" s="2" t="n">
        <v>45800</v>
      </c>
      <c r="D1082" t="inlineStr">
        <is>
          <t>CUST-01081</t>
        </is>
      </c>
      <c r="E1082" t="inlineStr">
        <is>
          <t>Customer 1081</t>
        </is>
      </c>
      <c r="F1082" t="inlineStr">
        <is>
          <t>Consumer</t>
        </is>
      </c>
      <c r="G1082" t="inlineStr">
        <is>
          <t>P1005</t>
        </is>
      </c>
      <c r="H1082" t="inlineStr">
        <is>
          <t>ProClip Binder</t>
        </is>
      </c>
      <c r="I1082" t="inlineStr">
        <is>
          <t>Home Decor</t>
        </is>
      </c>
      <c r="J1082" t="inlineStr">
        <is>
          <t>Bags</t>
        </is>
      </c>
      <c r="K1082" t="inlineStr">
        <is>
          <t>North</t>
        </is>
      </c>
      <c r="L1082" t="inlineStr">
        <is>
          <t>British Columbia</t>
        </is>
      </c>
      <c r="M1082" t="inlineStr">
        <is>
          <t>Vancouver</t>
        </is>
      </c>
      <c r="N1082" t="inlineStr">
        <is>
          <t>Noah Kim</t>
        </is>
      </c>
      <c r="O1082" t="n">
        <v>3</v>
      </c>
      <c r="P1082" s="3" t="n">
        <v>12.43</v>
      </c>
      <c r="Q1082" s="4" t="n">
        <v>0.03</v>
      </c>
      <c r="R1082" s="3" t="n">
        <v>36.17</v>
      </c>
      <c r="S1082" s="3" t="n">
        <v>18.78</v>
      </c>
      <c r="T1082" s="3" t="n">
        <v>8.99</v>
      </c>
      <c r="U1082" s="4" t="n">
        <v>0.2485</v>
      </c>
      <c r="V1082" s="3" t="n">
        <v>8.4</v>
      </c>
      <c r="W1082" t="inlineStr">
        <is>
          <t>PayPal</t>
        </is>
      </c>
      <c r="X1082" t="inlineStr">
        <is>
          <t>Medium</t>
        </is>
      </c>
      <c r="Y1082" t="n">
        <v>2025</v>
      </c>
      <c r="Z1082" t="n">
        <v>5</v>
      </c>
      <c r="AA1082" t="inlineStr">
        <is>
          <t>May</t>
        </is>
      </c>
      <c r="AB1082" t="inlineStr">
        <is>
          <t>Wednesday</t>
        </is>
      </c>
      <c r="AC1082" t="n">
        <v>2</v>
      </c>
      <c r="AD1082" t="inlineStr">
        <is>
          <t>Profitable</t>
        </is>
      </c>
      <c r="AE1082" t="inlineStr">
        <is>
          <t>Medium</t>
        </is>
      </c>
      <c r="AF1082" t="inlineStr">
        <is>
          <t>Small</t>
        </is>
      </c>
    </row>
    <row r="1083">
      <c r="A1083" t="inlineStr">
        <is>
          <t>ORD-01082</t>
        </is>
      </c>
      <c r="B1083" s="2" t="n">
        <v>45222</v>
      </c>
      <c r="C1083" s="2" t="n">
        <v>45225</v>
      </c>
      <c r="D1083" t="inlineStr">
        <is>
          <t>CUST-01082</t>
        </is>
      </c>
      <c r="E1083" t="inlineStr">
        <is>
          <t>Customer 1082</t>
        </is>
      </c>
      <c r="F1083" t="inlineStr">
        <is>
          <t>Consumer</t>
        </is>
      </c>
      <c r="G1083" t="inlineStr">
        <is>
          <t>P1020</t>
        </is>
      </c>
      <c r="H1083" t="inlineStr">
        <is>
          <t>Lumen Desk Lamp</t>
        </is>
      </c>
      <c r="I1083" t="inlineStr">
        <is>
          <t>Home Decor</t>
        </is>
      </c>
      <c r="J1083" t="inlineStr">
        <is>
          <t>Writing</t>
        </is>
      </c>
      <c r="K1083" t="inlineStr">
        <is>
          <t>West</t>
        </is>
      </c>
      <c r="L1083" t="inlineStr">
        <is>
          <t>Oregon</t>
        </is>
      </c>
      <c r="M1083" t="inlineStr">
        <is>
          <t>Los Angeles</t>
        </is>
      </c>
      <c r="N1083" t="inlineStr">
        <is>
          <t>Mia Rodriguez</t>
        </is>
      </c>
      <c r="O1083" t="n">
        <v>1</v>
      </c>
      <c r="P1083" s="3" t="n">
        <v>80.34999999999999</v>
      </c>
      <c r="Q1083" s="4" t="n">
        <v>0.028</v>
      </c>
      <c r="R1083" s="3" t="n">
        <v>78.09999999999999</v>
      </c>
      <c r="S1083" s="3" t="n">
        <v>39.88</v>
      </c>
      <c r="T1083" s="3" t="n">
        <v>30.42</v>
      </c>
      <c r="U1083" s="4" t="n">
        <v>0.3895</v>
      </c>
      <c r="V1083" s="3" t="n">
        <v>7.8</v>
      </c>
      <c r="W1083" t="inlineStr">
        <is>
          <t>Cash on Delivery</t>
        </is>
      </c>
      <c r="X1083" t="inlineStr">
        <is>
          <t>Medium</t>
        </is>
      </c>
      <c r="Y1083" t="n">
        <v>2023</v>
      </c>
      <c r="Z1083" t="n">
        <v>10</v>
      </c>
      <c r="AA1083" t="inlineStr">
        <is>
          <t>Oct</t>
        </is>
      </c>
      <c r="AB1083" t="inlineStr">
        <is>
          <t>Monday</t>
        </is>
      </c>
      <c r="AC1083" t="n">
        <v>3</v>
      </c>
      <c r="AD1083" t="inlineStr">
        <is>
          <t>Profitable</t>
        </is>
      </c>
      <c r="AE1083" t="inlineStr">
        <is>
          <t>Medium</t>
        </is>
      </c>
      <c r="AF1083" t="inlineStr">
        <is>
          <t>Small</t>
        </is>
      </c>
    </row>
    <row r="1084">
      <c r="A1084" t="inlineStr">
        <is>
          <t>ORD-01083</t>
        </is>
      </c>
      <c r="B1084" s="2" t="n">
        <v>45650</v>
      </c>
      <c r="C1084" s="2" t="n">
        <v>45657</v>
      </c>
      <c r="D1084" t="inlineStr">
        <is>
          <t>CUST-01083</t>
        </is>
      </c>
      <c r="E1084" t="inlineStr">
        <is>
          <t>Customer 1083</t>
        </is>
      </c>
      <c r="F1084" t="inlineStr">
        <is>
          <t>Consumer</t>
        </is>
      </c>
      <c r="G1084" t="inlineStr">
        <is>
          <t>P1006</t>
        </is>
      </c>
      <c r="H1084" t="inlineStr">
        <is>
          <t>Orbit Wireless Mouse</t>
        </is>
      </c>
      <c r="I1084" t="inlineStr">
        <is>
          <t>Outdoor</t>
        </is>
      </c>
      <c r="J1084" t="inlineStr">
        <is>
          <t>Chairs</t>
        </is>
      </c>
      <c r="K1084" t="inlineStr">
        <is>
          <t>North</t>
        </is>
      </c>
      <c r="L1084" t="inlineStr">
        <is>
          <t>Ontario</t>
        </is>
      </c>
      <c r="M1084" t="inlineStr">
        <is>
          <t>Vancouver</t>
        </is>
      </c>
      <c r="N1084" t="inlineStr">
        <is>
          <t>James Carter</t>
        </is>
      </c>
      <c r="O1084" t="n">
        <v>4</v>
      </c>
      <c r="P1084" s="3" t="n">
        <v>19.85</v>
      </c>
      <c r="Q1084" s="4" t="n">
        <v>0.053</v>
      </c>
      <c r="R1084" s="3" t="n">
        <v>75.19</v>
      </c>
      <c r="S1084" s="3" t="n">
        <v>29.3</v>
      </c>
      <c r="T1084" s="3" t="n">
        <v>36.69</v>
      </c>
      <c r="U1084" s="4" t="n">
        <v>0.488</v>
      </c>
      <c r="V1084" s="3" t="n">
        <v>9.199999999999999</v>
      </c>
      <c r="W1084" t="inlineStr">
        <is>
          <t>PayPal</t>
        </is>
      </c>
      <c r="X1084" t="inlineStr">
        <is>
          <t>High</t>
        </is>
      </c>
      <c r="Y1084" t="n">
        <v>2024</v>
      </c>
      <c r="Z1084" t="n">
        <v>12</v>
      </c>
      <c r="AA1084" t="inlineStr">
        <is>
          <t>Dec</t>
        </is>
      </c>
      <c r="AB1084" t="inlineStr">
        <is>
          <t>Tuesday</t>
        </is>
      </c>
      <c r="AC1084" t="n">
        <v>7</v>
      </c>
      <c r="AD1084" t="inlineStr">
        <is>
          <t>Profitable</t>
        </is>
      </c>
      <c r="AE1084" t="inlineStr">
        <is>
          <t>High</t>
        </is>
      </c>
      <c r="AF1084" t="inlineStr">
        <is>
          <t>Small</t>
        </is>
      </c>
    </row>
    <row r="1085">
      <c r="A1085" t="inlineStr">
        <is>
          <t>ORD-01084</t>
        </is>
      </c>
      <c r="B1085" s="2" t="n">
        <v>45772</v>
      </c>
      <c r="C1085" s="2" t="n">
        <v>45778</v>
      </c>
      <c r="D1085" t="inlineStr">
        <is>
          <t>CUST-01084</t>
        </is>
      </c>
      <c r="E1085" t="inlineStr">
        <is>
          <t>Customer 1084</t>
        </is>
      </c>
      <c r="F1085" t="inlineStr">
        <is>
          <t>Consumer</t>
        </is>
      </c>
      <c r="G1085" t="inlineStr">
        <is>
          <t>P1019</t>
        </is>
      </c>
      <c r="H1085" t="inlineStr">
        <is>
          <t>Orbit Wireless Mouse</t>
        </is>
      </c>
      <c r="I1085" t="inlineStr">
        <is>
          <t>Home Decor</t>
        </is>
      </c>
      <c r="J1085" t="inlineStr">
        <is>
          <t>Paper</t>
        </is>
      </c>
      <c r="K1085" t="inlineStr">
        <is>
          <t>North</t>
        </is>
      </c>
      <c r="L1085" t="inlineStr">
        <is>
          <t>Ontario</t>
        </is>
      </c>
      <c r="M1085" t="inlineStr">
        <is>
          <t>Toronto</t>
        </is>
      </c>
      <c r="N1085" t="inlineStr">
        <is>
          <t>Ava Patel</t>
        </is>
      </c>
      <c r="O1085" t="n">
        <v>2</v>
      </c>
      <c r="P1085" s="3" t="n">
        <v>55.72</v>
      </c>
      <c r="Q1085" s="4" t="n">
        <v>0.001</v>
      </c>
      <c r="R1085" s="3" t="n">
        <v>111.33</v>
      </c>
      <c r="S1085" s="3" t="n">
        <v>56.04</v>
      </c>
      <c r="T1085" s="3" t="n">
        <v>47.69</v>
      </c>
      <c r="U1085" s="4" t="n">
        <v>0.4284</v>
      </c>
      <c r="V1085" s="3" t="n">
        <v>7.6</v>
      </c>
      <c r="W1085" t="inlineStr">
        <is>
          <t>Credit Card</t>
        </is>
      </c>
      <c r="X1085" t="inlineStr">
        <is>
          <t>Low</t>
        </is>
      </c>
      <c r="Y1085" t="n">
        <v>2025</v>
      </c>
      <c r="Z1085" t="n">
        <v>4</v>
      </c>
      <c r="AA1085" t="inlineStr">
        <is>
          <t>Apr</t>
        </is>
      </c>
      <c r="AB1085" t="inlineStr">
        <is>
          <t>Friday</t>
        </is>
      </c>
      <c r="AC1085" t="n">
        <v>6</v>
      </c>
      <c r="AD1085" t="inlineStr">
        <is>
          <t>Profitable</t>
        </is>
      </c>
      <c r="AE1085" t="inlineStr">
        <is>
          <t>Low</t>
        </is>
      </c>
      <c r="AF1085" t="inlineStr">
        <is>
          <t>Small</t>
        </is>
      </c>
    </row>
    <row r="1086">
      <c r="A1086" t="inlineStr">
        <is>
          <t>ORD-01085</t>
        </is>
      </c>
      <c r="B1086" s="2" t="n">
        <v>45856</v>
      </c>
      <c r="C1086" s="2" t="n">
        <v>45857</v>
      </c>
      <c r="D1086" t="inlineStr">
        <is>
          <t>CUST-01085</t>
        </is>
      </c>
      <c r="E1086" t="inlineStr">
        <is>
          <t>Customer 1085</t>
        </is>
      </c>
      <c r="F1086" t="inlineStr">
        <is>
          <t>Consumer</t>
        </is>
      </c>
      <c r="G1086" t="inlineStr">
        <is>
          <t>P1012</t>
        </is>
      </c>
      <c r="H1086" t="inlineStr">
        <is>
          <t>Nova Laptop Stand</t>
        </is>
      </c>
      <c r="I1086" t="inlineStr">
        <is>
          <t>Outdoor</t>
        </is>
      </c>
      <c r="J1086" t="inlineStr">
        <is>
          <t>Decor</t>
        </is>
      </c>
      <c r="K1086" t="inlineStr">
        <is>
          <t>Central</t>
        </is>
      </c>
      <c r="L1086" t="inlineStr">
        <is>
          <t>Missouri</t>
        </is>
      </c>
      <c r="M1086" t="inlineStr">
        <is>
          <t>Kansas City</t>
        </is>
      </c>
      <c r="N1086" t="inlineStr">
        <is>
          <t>Ava Patel</t>
        </is>
      </c>
      <c r="O1086" t="n">
        <v>4</v>
      </c>
      <c r="P1086" s="3" t="n">
        <v>134.99</v>
      </c>
      <c r="Q1086" s="4" t="n">
        <v>0.05</v>
      </c>
      <c r="R1086" s="3" t="n">
        <v>512.96</v>
      </c>
      <c r="S1086" s="3" t="n">
        <v>262.2</v>
      </c>
      <c r="T1086" s="3" t="n">
        <v>241.56</v>
      </c>
      <c r="U1086" s="4" t="n">
        <v>0.4709</v>
      </c>
      <c r="V1086" s="3" t="n">
        <v>9.199999999999999</v>
      </c>
      <c r="W1086" t="inlineStr">
        <is>
          <t>Bank Transfer</t>
        </is>
      </c>
      <c r="X1086" t="inlineStr">
        <is>
          <t>High</t>
        </is>
      </c>
      <c r="Y1086" t="n">
        <v>2025</v>
      </c>
      <c r="Z1086" t="n">
        <v>7</v>
      </c>
      <c r="AA1086" t="inlineStr">
        <is>
          <t>Jul</t>
        </is>
      </c>
      <c r="AB1086" t="inlineStr">
        <is>
          <t>Friday</t>
        </is>
      </c>
      <c r="AC1086" t="n">
        <v>1</v>
      </c>
      <c r="AD1086" t="inlineStr">
        <is>
          <t>Profitable</t>
        </is>
      </c>
      <c r="AE1086" t="inlineStr">
        <is>
          <t>High</t>
        </is>
      </c>
      <c r="AF1086" t="inlineStr">
        <is>
          <t>Medium</t>
        </is>
      </c>
    </row>
    <row r="1087">
      <c r="A1087" t="inlineStr">
        <is>
          <t>ORD-01086</t>
        </is>
      </c>
      <c r="B1087" s="2" t="n">
        <v>45479</v>
      </c>
      <c r="C1087" s="2" t="n">
        <v>45481</v>
      </c>
      <c r="D1087" t="inlineStr">
        <is>
          <t>CUST-01086</t>
        </is>
      </c>
      <c r="E1087" t="inlineStr">
        <is>
          <t>Customer 1086</t>
        </is>
      </c>
      <c r="F1087" t="inlineStr">
        <is>
          <t>Consumer</t>
        </is>
      </c>
      <c r="G1087" t="inlineStr">
        <is>
          <t>P1014</t>
        </is>
      </c>
      <c r="H1087" t="inlineStr">
        <is>
          <t>Nimbus Monitor Arm</t>
        </is>
      </c>
      <c r="I1087" t="inlineStr">
        <is>
          <t>Furniture</t>
        </is>
      </c>
      <c r="J1087" t="inlineStr">
        <is>
          <t>Binders</t>
        </is>
      </c>
      <c r="K1087" t="inlineStr">
        <is>
          <t>East</t>
        </is>
      </c>
      <c r="L1087" t="inlineStr">
        <is>
          <t>New York</t>
        </is>
      </c>
      <c r="M1087" t="inlineStr">
        <is>
          <t>Boston</t>
        </is>
      </c>
      <c r="N1087" t="inlineStr">
        <is>
          <t>Olivia Martin</t>
        </is>
      </c>
      <c r="O1087" t="n">
        <v>1</v>
      </c>
      <c r="P1087" s="3" t="n">
        <v>42.47</v>
      </c>
      <c r="Q1087" s="4" t="n">
        <v>0.023</v>
      </c>
      <c r="R1087" s="3" t="n">
        <v>41.49</v>
      </c>
      <c r="S1087" s="3" t="n">
        <v>20.67</v>
      </c>
      <c r="T1087" s="3" t="n">
        <v>13.02</v>
      </c>
      <c r="U1087" s="4" t="n">
        <v>0.3138</v>
      </c>
      <c r="V1087" s="3" t="n">
        <v>7.8</v>
      </c>
      <c r="W1087" t="inlineStr">
        <is>
          <t>Debit Card</t>
        </is>
      </c>
      <c r="X1087" t="inlineStr">
        <is>
          <t>Medium</t>
        </is>
      </c>
      <c r="Y1087" t="n">
        <v>2024</v>
      </c>
      <c r="Z1087" t="n">
        <v>7</v>
      </c>
      <c r="AA1087" t="inlineStr">
        <is>
          <t>Jul</t>
        </is>
      </c>
      <c r="AB1087" t="inlineStr">
        <is>
          <t>Saturday</t>
        </is>
      </c>
      <c r="AC1087" t="n">
        <v>2</v>
      </c>
      <c r="AD1087" t="inlineStr">
        <is>
          <t>Profitable</t>
        </is>
      </c>
      <c r="AE1087" t="inlineStr">
        <is>
          <t>Medium</t>
        </is>
      </c>
      <c r="AF1087" t="inlineStr">
        <is>
          <t>Small</t>
        </is>
      </c>
    </row>
    <row r="1088">
      <c r="A1088" t="inlineStr">
        <is>
          <t>ORD-01087</t>
        </is>
      </c>
      <c r="B1088" s="2" t="n">
        <v>45605</v>
      </c>
      <c r="C1088" s="2" t="n">
        <v>45612</v>
      </c>
      <c r="D1088" t="inlineStr">
        <is>
          <t>CUST-01087</t>
        </is>
      </c>
      <c r="E1088" t="inlineStr">
        <is>
          <t>Customer 1087</t>
        </is>
      </c>
      <c r="F1088" t="inlineStr">
        <is>
          <t>Home Office</t>
        </is>
      </c>
      <c r="G1088" t="inlineStr">
        <is>
          <t>P1017</t>
        </is>
      </c>
      <c r="H1088" t="inlineStr">
        <is>
          <t>Lumen Desk Lamp</t>
        </is>
      </c>
      <c r="I1088" t="inlineStr">
        <is>
          <t>Furniture</t>
        </is>
      </c>
      <c r="J1088" t="inlineStr">
        <is>
          <t>Writing</t>
        </is>
      </c>
      <c r="K1088" t="inlineStr">
        <is>
          <t>South</t>
        </is>
      </c>
      <c r="L1088" t="inlineStr">
        <is>
          <t>Georgia</t>
        </is>
      </c>
      <c r="M1088" t="inlineStr">
        <is>
          <t>Atlanta</t>
        </is>
      </c>
      <c r="N1088" t="inlineStr">
        <is>
          <t>Ava Patel</t>
        </is>
      </c>
      <c r="O1088" t="n">
        <v>3</v>
      </c>
      <c r="P1088" s="3" t="n">
        <v>572.63</v>
      </c>
      <c r="Q1088" s="4" t="n">
        <v>0.004</v>
      </c>
      <c r="R1088" s="3" t="n">
        <v>1711.02</v>
      </c>
      <c r="S1088" s="3" t="n">
        <v>1137.52</v>
      </c>
      <c r="T1088" s="3" t="n">
        <v>565.1</v>
      </c>
      <c r="U1088" s="4" t="n">
        <v>0.3303</v>
      </c>
      <c r="V1088" s="3" t="n">
        <v>8.4</v>
      </c>
      <c r="W1088" t="inlineStr">
        <is>
          <t>Credit Card</t>
        </is>
      </c>
      <c r="X1088" t="inlineStr">
        <is>
          <t>Medium</t>
        </is>
      </c>
      <c r="Y1088" t="n">
        <v>2024</v>
      </c>
      <c r="Z1088" t="n">
        <v>11</v>
      </c>
      <c r="AA1088" t="inlineStr">
        <is>
          <t>Nov</t>
        </is>
      </c>
      <c r="AB1088" t="inlineStr">
        <is>
          <t>Saturday</t>
        </is>
      </c>
      <c r="AC1088" t="n">
        <v>7</v>
      </c>
      <c r="AD1088" t="inlineStr">
        <is>
          <t>Profitable</t>
        </is>
      </c>
      <c r="AE1088" t="inlineStr">
        <is>
          <t>Low</t>
        </is>
      </c>
      <c r="AF1088" t="inlineStr">
        <is>
          <t>Large</t>
        </is>
      </c>
    </row>
    <row r="1089">
      <c r="A1089" t="inlineStr">
        <is>
          <t>ORD-01088</t>
        </is>
      </c>
      <c r="B1089" s="2" t="n">
        <v>45205</v>
      </c>
      <c r="C1089" s="2" t="n">
        <v>45207</v>
      </c>
      <c r="D1089" t="inlineStr">
        <is>
          <t>CUST-01088</t>
        </is>
      </c>
      <c r="E1089" t="inlineStr">
        <is>
          <t>Customer 1088</t>
        </is>
      </c>
      <c r="F1089" t="inlineStr">
        <is>
          <t>Home Office</t>
        </is>
      </c>
      <c r="G1089" t="inlineStr">
        <is>
          <t>P1007</t>
        </is>
      </c>
      <c r="H1089" t="inlineStr">
        <is>
          <t>Aero Standing Desk</t>
        </is>
      </c>
      <c r="I1089" t="inlineStr">
        <is>
          <t>Office Supplies</t>
        </is>
      </c>
      <c r="J1089" t="inlineStr">
        <is>
          <t>Video</t>
        </is>
      </c>
      <c r="K1089" t="inlineStr">
        <is>
          <t>Central</t>
        </is>
      </c>
      <c r="L1089" t="inlineStr">
        <is>
          <t>Minnesota</t>
        </is>
      </c>
      <c r="M1089" t="inlineStr">
        <is>
          <t>St. Louis</t>
        </is>
      </c>
      <c r="N1089" t="inlineStr">
        <is>
          <t>Noah Kim</t>
        </is>
      </c>
      <c r="O1089" t="n">
        <v>3</v>
      </c>
      <c r="P1089" s="3" t="n">
        <v>26.35</v>
      </c>
      <c r="Q1089" s="4" t="n">
        <v>0.024</v>
      </c>
      <c r="R1089" s="3" t="n">
        <v>77.15000000000001</v>
      </c>
      <c r="S1089" s="3" t="n">
        <v>29.77</v>
      </c>
      <c r="T1089" s="3" t="n">
        <v>38.98</v>
      </c>
      <c r="U1089" s="4" t="n">
        <v>0.5052</v>
      </c>
      <c r="V1089" s="3" t="n">
        <v>8.4</v>
      </c>
      <c r="W1089" t="inlineStr">
        <is>
          <t>Credit Card</t>
        </is>
      </c>
      <c r="X1089" t="inlineStr">
        <is>
          <t>Medium</t>
        </is>
      </c>
      <c r="Y1089" t="n">
        <v>2023</v>
      </c>
      <c r="Z1089" t="n">
        <v>10</v>
      </c>
      <c r="AA1089" t="inlineStr">
        <is>
          <t>Oct</t>
        </is>
      </c>
      <c r="AB1089" t="inlineStr">
        <is>
          <t>Friday</t>
        </is>
      </c>
      <c r="AC1089" t="n">
        <v>2</v>
      </c>
      <c r="AD1089" t="inlineStr">
        <is>
          <t>Profitable</t>
        </is>
      </c>
      <c r="AE1089" t="inlineStr">
        <is>
          <t>Medium</t>
        </is>
      </c>
      <c r="AF1089" t="inlineStr">
        <is>
          <t>Small</t>
        </is>
      </c>
    </row>
    <row r="1090">
      <c r="A1090" t="inlineStr">
        <is>
          <t>ORD-01089</t>
        </is>
      </c>
      <c r="B1090" s="2" t="n">
        <v>45856</v>
      </c>
      <c r="C1090" s="2" t="n">
        <v>45859</v>
      </c>
      <c r="D1090" t="inlineStr">
        <is>
          <t>CUST-01089</t>
        </is>
      </c>
      <c r="E1090" t="inlineStr">
        <is>
          <t>Customer 1089</t>
        </is>
      </c>
      <c r="F1090" t="inlineStr">
        <is>
          <t>Consumer</t>
        </is>
      </c>
      <c r="G1090" t="inlineStr">
        <is>
          <t>P1001</t>
        </is>
      </c>
      <c r="H1090" t="inlineStr">
        <is>
          <t>CloudDrive File Box</t>
        </is>
      </c>
      <c r="I1090" t="inlineStr">
        <is>
          <t>Outdoor</t>
        </is>
      </c>
      <c r="J1090" t="inlineStr">
        <is>
          <t>Writing</t>
        </is>
      </c>
      <c r="K1090" t="inlineStr">
        <is>
          <t>East</t>
        </is>
      </c>
      <c r="L1090" t="inlineStr">
        <is>
          <t>Massachusetts</t>
        </is>
      </c>
      <c r="M1090" t="inlineStr">
        <is>
          <t>New York</t>
        </is>
      </c>
      <c r="N1090" t="inlineStr">
        <is>
          <t>Sophia Singh</t>
        </is>
      </c>
      <c r="O1090" t="n">
        <v>3</v>
      </c>
      <c r="P1090" s="3" t="n">
        <v>311.06</v>
      </c>
      <c r="Q1090" s="4" t="n">
        <v>0.008</v>
      </c>
      <c r="R1090" s="3" t="n">
        <v>925.71</v>
      </c>
      <c r="S1090" s="3" t="n">
        <v>542.47</v>
      </c>
      <c r="T1090" s="3" t="n">
        <v>373.84</v>
      </c>
      <c r="U1090" s="4" t="n">
        <v>0.4038</v>
      </c>
      <c r="V1090" s="3" t="n">
        <v>9.4</v>
      </c>
      <c r="W1090" t="inlineStr">
        <is>
          <t>Bank Transfer</t>
        </is>
      </c>
      <c r="X1090" t="inlineStr">
        <is>
          <t>Medium</t>
        </is>
      </c>
      <c r="Y1090" t="n">
        <v>2025</v>
      </c>
      <c r="Z1090" t="n">
        <v>7</v>
      </c>
      <c r="AA1090" t="inlineStr">
        <is>
          <t>Jul</t>
        </is>
      </c>
      <c r="AB1090" t="inlineStr">
        <is>
          <t>Friday</t>
        </is>
      </c>
      <c r="AC1090" t="n">
        <v>3</v>
      </c>
      <c r="AD1090" t="inlineStr">
        <is>
          <t>Profitable</t>
        </is>
      </c>
      <c r="AE1090" t="inlineStr">
        <is>
          <t>Low</t>
        </is>
      </c>
      <c r="AF1090" t="inlineStr">
        <is>
          <t>Medium</t>
        </is>
      </c>
    </row>
    <row r="1091">
      <c r="A1091" t="inlineStr">
        <is>
          <t>ORD-01090</t>
        </is>
      </c>
      <c r="B1091" s="2" t="n">
        <v>45186</v>
      </c>
      <c r="C1091" s="2" t="n">
        <v>45188</v>
      </c>
      <c r="D1091" t="inlineStr">
        <is>
          <t>CUST-01090</t>
        </is>
      </c>
      <c r="E1091" t="inlineStr">
        <is>
          <t>Customer 1090</t>
        </is>
      </c>
      <c r="F1091" t="inlineStr">
        <is>
          <t>Consumer</t>
        </is>
      </c>
      <c r="G1091" t="inlineStr">
        <is>
          <t>P1017</t>
        </is>
      </c>
      <c r="H1091" t="inlineStr">
        <is>
          <t>Nova Laptop Stand</t>
        </is>
      </c>
      <c r="I1091" t="inlineStr">
        <is>
          <t>Office Supplies</t>
        </is>
      </c>
      <c r="J1091" t="inlineStr">
        <is>
          <t>Coolers</t>
        </is>
      </c>
      <c r="K1091" t="inlineStr">
        <is>
          <t>Central</t>
        </is>
      </c>
      <c r="L1091" t="inlineStr">
        <is>
          <t>Minnesota</t>
        </is>
      </c>
      <c r="M1091" t="inlineStr">
        <is>
          <t>St. Louis</t>
        </is>
      </c>
      <c r="N1091" t="inlineStr">
        <is>
          <t>James Carter</t>
        </is>
      </c>
      <c r="O1091" t="n">
        <v>2</v>
      </c>
      <c r="P1091" s="3" t="n">
        <v>532.61</v>
      </c>
      <c r="Q1091" s="4" t="n">
        <v>0.002</v>
      </c>
      <c r="R1091" s="3" t="n">
        <v>1063.09</v>
      </c>
      <c r="S1091" s="3" t="n">
        <v>708.1799999999999</v>
      </c>
      <c r="T1091" s="3" t="n">
        <v>347.31</v>
      </c>
      <c r="U1091" s="4" t="n">
        <v>0.3267</v>
      </c>
      <c r="V1091" s="3" t="n">
        <v>7.6</v>
      </c>
      <c r="W1091" t="inlineStr">
        <is>
          <t>Debit Card</t>
        </is>
      </c>
      <c r="X1091" t="inlineStr">
        <is>
          <t>Medium</t>
        </is>
      </c>
      <c r="Y1091" t="n">
        <v>2023</v>
      </c>
      <c r="Z1091" t="n">
        <v>9</v>
      </c>
      <c r="AA1091" t="inlineStr">
        <is>
          <t>Sep</t>
        </is>
      </c>
      <c r="AB1091" t="inlineStr">
        <is>
          <t>Sunday</t>
        </is>
      </c>
      <c r="AC1091" t="n">
        <v>2</v>
      </c>
      <c r="AD1091" t="inlineStr">
        <is>
          <t>Profitable</t>
        </is>
      </c>
      <c r="AE1091" t="inlineStr">
        <is>
          <t>Low</t>
        </is>
      </c>
      <c r="AF1091" t="inlineStr">
        <is>
          <t>Medium</t>
        </is>
      </c>
    </row>
    <row r="1092">
      <c r="A1092" t="inlineStr">
        <is>
          <t>ORD-01091</t>
        </is>
      </c>
      <c r="B1092" s="2" t="n">
        <v>45973</v>
      </c>
      <c r="C1092" s="2" t="n">
        <v>45980</v>
      </c>
      <c r="D1092" t="inlineStr">
        <is>
          <t>CUST-01091</t>
        </is>
      </c>
      <c r="E1092" t="inlineStr">
        <is>
          <t>Customer 1091</t>
        </is>
      </c>
      <c r="F1092" t="inlineStr">
        <is>
          <t>Consumer</t>
        </is>
      </c>
      <c r="G1092" t="inlineStr">
        <is>
          <t>P1006</t>
        </is>
      </c>
      <c r="H1092" t="inlineStr">
        <is>
          <t>Lumen Desk Lamp</t>
        </is>
      </c>
      <c r="I1092" t="inlineStr">
        <is>
          <t>Outdoor</t>
        </is>
      </c>
      <c r="J1092" t="inlineStr">
        <is>
          <t>Textiles</t>
        </is>
      </c>
      <c r="K1092" t="inlineStr">
        <is>
          <t>Central</t>
        </is>
      </c>
      <c r="L1092" t="inlineStr">
        <is>
          <t>Minnesota</t>
        </is>
      </c>
      <c r="M1092" t="inlineStr">
        <is>
          <t>St. Louis</t>
        </is>
      </c>
      <c r="N1092" t="inlineStr">
        <is>
          <t>Noah Kim</t>
        </is>
      </c>
      <c r="O1092" t="n">
        <v>3</v>
      </c>
      <c r="P1092" s="3" t="n">
        <v>19.61</v>
      </c>
      <c r="Q1092" s="4" t="n">
        <v>0.022</v>
      </c>
      <c r="R1092" s="3" t="n">
        <v>57.54</v>
      </c>
      <c r="S1092" s="3" t="n">
        <v>22.44</v>
      </c>
      <c r="T1092" s="3" t="n">
        <v>26.7</v>
      </c>
      <c r="U1092" s="4" t="n">
        <v>0.464</v>
      </c>
      <c r="V1092" s="3" t="n">
        <v>8.4</v>
      </c>
      <c r="W1092" t="inlineStr">
        <is>
          <t>Debit Card</t>
        </is>
      </c>
      <c r="X1092" t="inlineStr">
        <is>
          <t>Medium</t>
        </is>
      </c>
      <c r="Y1092" t="n">
        <v>2025</v>
      </c>
      <c r="Z1092" t="n">
        <v>11</v>
      </c>
      <c r="AA1092" t="inlineStr">
        <is>
          <t>Nov</t>
        </is>
      </c>
      <c r="AB1092" t="inlineStr">
        <is>
          <t>Wednesday</t>
        </is>
      </c>
      <c r="AC1092" t="n">
        <v>7</v>
      </c>
      <c r="AD1092" t="inlineStr">
        <is>
          <t>Profitable</t>
        </is>
      </c>
      <c r="AE1092" t="inlineStr">
        <is>
          <t>Medium</t>
        </is>
      </c>
      <c r="AF1092" t="inlineStr">
        <is>
          <t>Small</t>
        </is>
      </c>
    </row>
    <row r="1093">
      <c r="A1093" t="inlineStr">
        <is>
          <t>ORD-01092</t>
        </is>
      </c>
      <c r="B1093" s="2" t="n">
        <v>45294</v>
      </c>
      <c r="C1093" s="2" t="n">
        <v>45297</v>
      </c>
      <c r="D1093" t="inlineStr">
        <is>
          <t>CUST-01092</t>
        </is>
      </c>
      <c r="E1093" t="inlineStr">
        <is>
          <t>Customer 1092</t>
        </is>
      </c>
      <c r="F1093" t="inlineStr">
        <is>
          <t>Corporate</t>
        </is>
      </c>
      <c r="G1093" t="inlineStr">
        <is>
          <t>P1004</t>
        </is>
      </c>
      <c r="H1093" t="inlineStr">
        <is>
          <t>Atlas Throw Pillow</t>
        </is>
      </c>
      <c r="I1093" t="inlineStr">
        <is>
          <t>Home Decor</t>
        </is>
      </c>
      <c r="J1093" t="inlineStr">
        <is>
          <t>Accessories</t>
        </is>
      </c>
      <c r="K1093" t="inlineStr">
        <is>
          <t>North</t>
        </is>
      </c>
      <c r="L1093" t="inlineStr">
        <is>
          <t>Ontario</t>
        </is>
      </c>
      <c r="M1093" t="inlineStr">
        <is>
          <t>Montreal</t>
        </is>
      </c>
      <c r="N1093" t="inlineStr">
        <is>
          <t>Olivia Martin</t>
        </is>
      </c>
      <c r="O1093" t="n">
        <v>3</v>
      </c>
      <c r="P1093" s="3" t="n">
        <v>622.6</v>
      </c>
      <c r="Q1093" s="4" t="n">
        <v>0.017</v>
      </c>
      <c r="R1093" s="3" t="n">
        <v>1836.05</v>
      </c>
      <c r="S1093" s="3" t="n">
        <v>1166.44</v>
      </c>
      <c r="T1093" s="3" t="n">
        <v>661.21</v>
      </c>
      <c r="U1093" s="4" t="n">
        <v>0.3601</v>
      </c>
      <c r="V1093" s="3" t="n">
        <v>8.4</v>
      </c>
      <c r="W1093" t="inlineStr">
        <is>
          <t>Credit Card</t>
        </is>
      </c>
      <c r="X1093" t="inlineStr">
        <is>
          <t>Low</t>
        </is>
      </c>
      <c r="Y1093" t="n">
        <v>2024</v>
      </c>
      <c r="Z1093" t="n">
        <v>1</v>
      </c>
      <c r="AA1093" t="inlineStr">
        <is>
          <t>Jan</t>
        </is>
      </c>
      <c r="AB1093" t="inlineStr">
        <is>
          <t>Wednesday</t>
        </is>
      </c>
      <c r="AC1093" t="n">
        <v>3</v>
      </c>
      <c r="AD1093" t="inlineStr">
        <is>
          <t>Profitable</t>
        </is>
      </c>
      <c r="AE1093" t="inlineStr">
        <is>
          <t>Low</t>
        </is>
      </c>
      <c r="AF1093" t="inlineStr">
        <is>
          <t>Large</t>
        </is>
      </c>
    </row>
    <row r="1094">
      <c r="A1094" t="inlineStr">
        <is>
          <t>ORD-01093</t>
        </is>
      </c>
      <c r="B1094" s="2" t="n">
        <v>45470</v>
      </c>
      <c r="C1094" s="2" t="n">
        <v>45475</v>
      </c>
      <c r="D1094" t="inlineStr">
        <is>
          <t>CUST-01093</t>
        </is>
      </c>
      <c r="E1094" t="inlineStr">
        <is>
          <t>Customer 1093</t>
        </is>
      </c>
      <c r="F1094" t="inlineStr">
        <is>
          <t>Consumer</t>
        </is>
      </c>
      <c r="G1094" t="inlineStr">
        <is>
          <t>P1014</t>
        </is>
      </c>
      <c r="H1094" t="inlineStr">
        <is>
          <t>ProClip Binder</t>
        </is>
      </c>
      <c r="I1094" t="inlineStr">
        <is>
          <t>Home Decor</t>
        </is>
      </c>
      <c r="J1094" t="inlineStr">
        <is>
          <t>Writing</t>
        </is>
      </c>
      <c r="K1094" t="inlineStr">
        <is>
          <t>South</t>
        </is>
      </c>
      <c r="L1094" t="inlineStr">
        <is>
          <t>Texas</t>
        </is>
      </c>
      <c r="M1094" t="inlineStr">
        <is>
          <t>Miami</t>
        </is>
      </c>
      <c r="N1094" t="inlineStr">
        <is>
          <t>James Carter</t>
        </is>
      </c>
      <c r="O1094" t="n">
        <v>2</v>
      </c>
      <c r="P1094" s="3" t="n">
        <v>42.1</v>
      </c>
      <c r="Q1094" s="4" t="n">
        <v>0.012</v>
      </c>
      <c r="R1094" s="3" t="n">
        <v>83.19</v>
      </c>
      <c r="S1094" s="3" t="n">
        <v>42.33</v>
      </c>
      <c r="T1094" s="3" t="n">
        <v>33.26</v>
      </c>
      <c r="U1094" s="4" t="n">
        <v>0.3998</v>
      </c>
      <c r="V1094" s="3" t="n">
        <v>7.6</v>
      </c>
      <c r="W1094" t="inlineStr">
        <is>
          <t>Credit Card</t>
        </is>
      </c>
      <c r="X1094" t="inlineStr">
        <is>
          <t>Medium</t>
        </is>
      </c>
      <c r="Y1094" t="n">
        <v>2024</v>
      </c>
      <c r="Z1094" t="n">
        <v>6</v>
      </c>
      <c r="AA1094" t="inlineStr">
        <is>
          <t>Jun</t>
        </is>
      </c>
      <c r="AB1094" t="inlineStr">
        <is>
          <t>Thursday</t>
        </is>
      </c>
      <c r="AC1094" t="n">
        <v>5</v>
      </c>
      <c r="AD1094" t="inlineStr">
        <is>
          <t>Profitable</t>
        </is>
      </c>
      <c r="AE1094" t="inlineStr">
        <is>
          <t>Low</t>
        </is>
      </c>
      <c r="AF1094" t="inlineStr">
        <is>
          <t>Small</t>
        </is>
      </c>
    </row>
    <row r="1095">
      <c r="A1095" t="inlineStr">
        <is>
          <t>ORD-01094</t>
        </is>
      </c>
      <c r="B1095" s="2" t="n">
        <v>45631</v>
      </c>
      <c r="C1095" s="2" t="n">
        <v>45638</v>
      </c>
      <c r="D1095" t="inlineStr">
        <is>
          <t>CUST-01094</t>
        </is>
      </c>
      <c r="E1095" t="inlineStr">
        <is>
          <t>Customer 1094</t>
        </is>
      </c>
      <c r="F1095" t="inlineStr">
        <is>
          <t>Home Office</t>
        </is>
      </c>
      <c r="G1095" t="inlineStr">
        <is>
          <t>P1008</t>
        </is>
      </c>
      <c r="H1095" t="inlineStr">
        <is>
          <t>CloudDrive File Box</t>
        </is>
      </c>
      <c r="I1095" t="inlineStr">
        <is>
          <t>Home Decor</t>
        </is>
      </c>
      <c r="J1095" t="inlineStr">
        <is>
          <t>Decor</t>
        </is>
      </c>
      <c r="K1095" t="inlineStr">
        <is>
          <t>West</t>
        </is>
      </c>
      <c r="L1095" t="inlineStr">
        <is>
          <t>California</t>
        </is>
      </c>
      <c r="M1095" t="inlineStr">
        <is>
          <t>San Francisco</t>
        </is>
      </c>
      <c r="N1095" t="inlineStr">
        <is>
          <t>Ava Patel</t>
        </is>
      </c>
      <c r="O1095" t="n">
        <v>5</v>
      </c>
      <c r="P1095" s="3" t="n">
        <v>41.24</v>
      </c>
      <c r="Q1095" s="4" t="n">
        <v>0.042</v>
      </c>
      <c r="R1095" s="3" t="n">
        <v>197.54</v>
      </c>
      <c r="S1095" s="3" t="n">
        <v>82.62</v>
      </c>
      <c r="T1095" s="3" t="n">
        <v>103.92</v>
      </c>
      <c r="U1095" s="4" t="n">
        <v>0.5261</v>
      </c>
      <c r="V1095" s="3" t="n">
        <v>11</v>
      </c>
      <c r="W1095" t="inlineStr">
        <is>
          <t>Bank Transfer</t>
        </is>
      </c>
      <c r="X1095" t="inlineStr">
        <is>
          <t>High</t>
        </is>
      </c>
      <c r="Y1095" t="n">
        <v>2024</v>
      </c>
      <c r="Z1095" t="n">
        <v>12</v>
      </c>
      <c r="AA1095" t="inlineStr">
        <is>
          <t>Dec</t>
        </is>
      </c>
      <c r="AB1095" t="inlineStr">
        <is>
          <t>Thursday</t>
        </is>
      </c>
      <c r="AC1095" t="n">
        <v>7</v>
      </c>
      <c r="AD1095" t="inlineStr">
        <is>
          <t>Profitable</t>
        </is>
      </c>
      <c r="AE1095" t="inlineStr">
        <is>
          <t>Medium</t>
        </is>
      </c>
      <c r="AF1095" t="inlineStr">
        <is>
          <t>Small</t>
        </is>
      </c>
    </row>
    <row r="1096">
      <c r="A1096" t="inlineStr">
        <is>
          <t>ORD-01095</t>
        </is>
      </c>
      <c r="B1096" s="2" t="n">
        <v>45206</v>
      </c>
      <c r="C1096" s="2" t="n">
        <v>45212</v>
      </c>
      <c r="D1096" t="inlineStr">
        <is>
          <t>CUST-01095</t>
        </is>
      </c>
      <c r="E1096" t="inlineStr">
        <is>
          <t>Customer 1095</t>
        </is>
      </c>
      <c r="F1096" t="inlineStr">
        <is>
          <t>Corporate</t>
        </is>
      </c>
      <c r="G1096" t="inlineStr">
        <is>
          <t>P1018</t>
        </is>
      </c>
      <c r="H1096" t="inlineStr">
        <is>
          <t>Nimbus Monitor Arm</t>
        </is>
      </c>
      <c r="I1096" t="inlineStr">
        <is>
          <t>Furniture</t>
        </is>
      </c>
      <c r="J1096" t="inlineStr">
        <is>
          <t>Lighting</t>
        </is>
      </c>
      <c r="K1096" t="inlineStr">
        <is>
          <t>South</t>
        </is>
      </c>
      <c r="L1096" t="inlineStr">
        <is>
          <t>Georgia</t>
        </is>
      </c>
      <c r="M1096" t="inlineStr">
        <is>
          <t>Dallas</t>
        </is>
      </c>
      <c r="N1096" t="inlineStr">
        <is>
          <t>Olivia Martin</t>
        </is>
      </c>
      <c r="O1096" t="n">
        <v>5</v>
      </c>
      <c r="P1096" s="3" t="n">
        <v>92.08</v>
      </c>
      <c r="Q1096" s="4" t="n">
        <v>0.028</v>
      </c>
      <c r="R1096" s="3" t="n">
        <v>447.51</v>
      </c>
      <c r="S1096" s="3" t="n">
        <v>202.51</v>
      </c>
      <c r="T1096" s="3" t="n">
        <v>235</v>
      </c>
      <c r="U1096" s="4" t="n">
        <v>0.5251</v>
      </c>
      <c r="V1096" s="3" t="n">
        <v>10</v>
      </c>
      <c r="W1096" t="inlineStr">
        <is>
          <t>Debit Card</t>
        </is>
      </c>
      <c r="X1096" t="inlineStr">
        <is>
          <t>Medium</t>
        </is>
      </c>
      <c r="Y1096" t="n">
        <v>2023</v>
      </c>
      <c r="Z1096" t="n">
        <v>10</v>
      </c>
      <c r="AA1096" t="inlineStr">
        <is>
          <t>Oct</t>
        </is>
      </c>
      <c r="AB1096" t="inlineStr">
        <is>
          <t>Saturday</t>
        </is>
      </c>
      <c r="AC1096" t="n">
        <v>6</v>
      </c>
      <c r="AD1096" t="inlineStr">
        <is>
          <t>Profitable</t>
        </is>
      </c>
      <c r="AE1096" t="inlineStr">
        <is>
          <t>Medium</t>
        </is>
      </c>
      <c r="AF1096" t="inlineStr">
        <is>
          <t>Small</t>
        </is>
      </c>
    </row>
    <row r="1097">
      <c r="A1097" t="inlineStr">
        <is>
          <t>ORD-01096</t>
        </is>
      </c>
      <c r="B1097" s="2" t="n">
        <v>45148</v>
      </c>
      <c r="C1097" s="2" t="n">
        <v>45151</v>
      </c>
      <c r="D1097" t="inlineStr">
        <is>
          <t>CUST-01096</t>
        </is>
      </c>
      <c r="E1097" t="inlineStr">
        <is>
          <t>Customer 1096</t>
        </is>
      </c>
      <c r="F1097" t="inlineStr">
        <is>
          <t>Consumer</t>
        </is>
      </c>
      <c r="G1097" t="inlineStr">
        <is>
          <t>P1020</t>
        </is>
      </c>
      <c r="H1097" t="inlineStr">
        <is>
          <t>Pulse Keyboard</t>
        </is>
      </c>
      <c r="I1097" t="inlineStr">
        <is>
          <t>Outdoor</t>
        </is>
      </c>
      <c r="J1097" t="inlineStr">
        <is>
          <t>Flooring</t>
        </is>
      </c>
      <c r="K1097" t="inlineStr">
        <is>
          <t>Central</t>
        </is>
      </c>
      <c r="L1097" t="inlineStr">
        <is>
          <t>Illinois</t>
        </is>
      </c>
      <c r="M1097" t="inlineStr">
        <is>
          <t>Chicago</t>
        </is>
      </c>
      <c r="N1097" t="inlineStr">
        <is>
          <t>Noah Kim</t>
        </is>
      </c>
      <c r="O1097" t="n">
        <v>2</v>
      </c>
      <c r="P1097" s="3" t="n">
        <v>77.79000000000001</v>
      </c>
      <c r="Q1097" s="4" t="n">
        <v>0.013</v>
      </c>
      <c r="R1097" s="3" t="n">
        <v>153.56</v>
      </c>
      <c r="S1097" s="3" t="n">
        <v>73.27</v>
      </c>
      <c r="T1097" s="3" t="n">
        <v>72.69</v>
      </c>
      <c r="U1097" s="4" t="n">
        <v>0.4734</v>
      </c>
      <c r="V1097" s="3" t="n">
        <v>7.6</v>
      </c>
      <c r="W1097" t="inlineStr">
        <is>
          <t>Debit Card</t>
        </is>
      </c>
      <c r="X1097" t="inlineStr">
        <is>
          <t>Low</t>
        </is>
      </c>
      <c r="Y1097" t="n">
        <v>2023</v>
      </c>
      <c r="Z1097" t="n">
        <v>8</v>
      </c>
      <c r="AA1097" t="inlineStr">
        <is>
          <t>Aug</t>
        </is>
      </c>
      <c r="AB1097" t="inlineStr">
        <is>
          <t>Thursday</t>
        </is>
      </c>
      <c r="AC1097" t="n">
        <v>3</v>
      </c>
      <c r="AD1097" t="inlineStr">
        <is>
          <t>Profitable</t>
        </is>
      </c>
      <c r="AE1097" t="inlineStr">
        <is>
          <t>Low</t>
        </is>
      </c>
      <c r="AF1097" t="inlineStr">
        <is>
          <t>Small</t>
        </is>
      </c>
    </row>
    <row r="1098">
      <c r="A1098" t="inlineStr">
        <is>
          <t>ORD-01097</t>
        </is>
      </c>
      <c r="B1098" s="2" t="n">
        <v>45148</v>
      </c>
      <c r="C1098" s="2" t="n">
        <v>45152</v>
      </c>
      <c r="D1098" t="inlineStr">
        <is>
          <t>CUST-01097</t>
        </is>
      </c>
      <c r="E1098" t="inlineStr">
        <is>
          <t>Customer 1097</t>
        </is>
      </c>
      <c r="F1098" t="inlineStr">
        <is>
          <t>Corporate</t>
        </is>
      </c>
      <c r="G1098" t="inlineStr">
        <is>
          <t>P1013</t>
        </is>
      </c>
      <c r="H1098" t="inlineStr">
        <is>
          <t>Trail Tote</t>
        </is>
      </c>
      <c r="I1098" t="inlineStr">
        <is>
          <t>Home Decor</t>
        </is>
      </c>
      <c r="J1098" t="inlineStr">
        <is>
          <t>Writing</t>
        </is>
      </c>
      <c r="K1098" t="inlineStr">
        <is>
          <t>West</t>
        </is>
      </c>
      <c r="L1098" t="inlineStr">
        <is>
          <t>Oregon</t>
        </is>
      </c>
      <c r="M1098" t="inlineStr">
        <is>
          <t>Los Angeles</t>
        </is>
      </c>
      <c r="N1098" t="inlineStr">
        <is>
          <t>Noah Kim</t>
        </is>
      </c>
      <c r="O1098" t="n">
        <v>4</v>
      </c>
      <c r="P1098" s="3" t="n">
        <v>170.7</v>
      </c>
      <c r="Q1098" s="4" t="n">
        <v>0.08500000000000001</v>
      </c>
      <c r="R1098" s="3" t="n">
        <v>624.76</v>
      </c>
      <c r="S1098" s="3" t="n">
        <v>354.08</v>
      </c>
      <c r="T1098" s="3" t="n">
        <v>260.48</v>
      </c>
      <c r="U1098" s="4" t="n">
        <v>0.4169</v>
      </c>
      <c r="V1098" s="3" t="n">
        <v>10.2</v>
      </c>
      <c r="W1098" t="inlineStr">
        <is>
          <t>Credit Card</t>
        </is>
      </c>
      <c r="X1098" t="inlineStr">
        <is>
          <t>Critical</t>
        </is>
      </c>
      <c r="Y1098" t="n">
        <v>2023</v>
      </c>
      <c r="Z1098" t="n">
        <v>8</v>
      </c>
      <c r="AA1098" t="inlineStr">
        <is>
          <t>Aug</t>
        </is>
      </c>
      <c r="AB1098" t="inlineStr">
        <is>
          <t>Thursday</t>
        </is>
      </c>
      <c r="AC1098" t="n">
        <v>4</v>
      </c>
      <c r="AD1098" t="inlineStr">
        <is>
          <t>Profitable</t>
        </is>
      </c>
      <c r="AE1098" t="inlineStr">
        <is>
          <t>High</t>
        </is>
      </c>
      <c r="AF1098" t="inlineStr">
        <is>
          <t>Medium</t>
        </is>
      </c>
    </row>
    <row r="1099">
      <c r="A1099" t="inlineStr">
        <is>
          <t>ORD-01098</t>
        </is>
      </c>
      <c r="B1099" s="2" t="n">
        <v>45065</v>
      </c>
      <c r="C1099" s="2" t="n">
        <v>45067</v>
      </c>
      <c r="D1099" t="inlineStr">
        <is>
          <t>CUST-01098</t>
        </is>
      </c>
      <c r="E1099" t="inlineStr">
        <is>
          <t>Customer 1098</t>
        </is>
      </c>
      <c r="F1099" t="inlineStr">
        <is>
          <t>Consumer</t>
        </is>
      </c>
      <c r="G1099" t="inlineStr">
        <is>
          <t>P1008</t>
        </is>
      </c>
      <c r="H1099" t="inlineStr">
        <is>
          <t>FlexNote Notebook</t>
        </is>
      </c>
      <c r="I1099" t="inlineStr">
        <is>
          <t>Furniture</t>
        </is>
      </c>
      <c r="J1099" t="inlineStr">
        <is>
          <t>Lighting</t>
        </is>
      </c>
      <c r="K1099" t="inlineStr">
        <is>
          <t>West</t>
        </is>
      </c>
      <c r="L1099" t="inlineStr">
        <is>
          <t>Oregon</t>
        </is>
      </c>
      <c r="M1099" t="inlineStr">
        <is>
          <t>Denver</t>
        </is>
      </c>
      <c r="N1099" t="inlineStr">
        <is>
          <t>Noah Kim</t>
        </is>
      </c>
      <c r="O1099" t="n">
        <v>4</v>
      </c>
      <c r="P1099" s="3" t="n">
        <v>37.45</v>
      </c>
      <c r="Q1099" s="4" t="n">
        <v>0.028</v>
      </c>
      <c r="R1099" s="3" t="n">
        <v>145.61</v>
      </c>
      <c r="S1099" s="3" t="n">
        <v>61.87</v>
      </c>
      <c r="T1099" s="3" t="n">
        <v>73.54000000000001</v>
      </c>
      <c r="U1099" s="4" t="n">
        <v>0.505</v>
      </c>
      <c r="V1099" s="3" t="n">
        <v>10.2</v>
      </c>
      <c r="W1099" t="inlineStr">
        <is>
          <t>Credit Card</t>
        </is>
      </c>
      <c r="X1099" t="inlineStr">
        <is>
          <t>High</t>
        </is>
      </c>
      <c r="Y1099" t="n">
        <v>2023</v>
      </c>
      <c r="Z1099" t="n">
        <v>5</v>
      </c>
      <c r="AA1099" t="inlineStr">
        <is>
          <t>May</t>
        </is>
      </c>
      <c r="AB1099" t="inlineStr">
        <is>
          <t>Friday</t>
        </is>
      </c>
      <c r="AC1099" t="n">
        <v>2</v>
      </c>
      <c r="AD1099" t="inlineStr">
        <is>
          <t>Profitable</t>
        </is>
      </c>
      <c r="AE1099" t="inlineStr">
        <is>
          <t>Medium</t>
        </is>
      </c>
      <c r="AF1099" t="inlineStr">
        <is>
          <t>Small</t>
        </is>
      </c>
    </row>
    <row r="1100">
      <c r="A1100" t="inlineStr">
        <is>
          <t>ORD-01099</t>
        </is>
      </c>
      <c r="B1100" s="2" t="n">
        <v>45863</v>
      </c>
      <c r="C1100" s="2" t="n">
        <v>45868</v>
      </c>
      <c r="D1100" t="inlineStr">
        <is>
          <t>CUST-01099</t>
        </is>
      </c>
      <c r="E1100" t="inlineStr">
        <is>
          <t>Customer 1099</t>
        </is>
      </c>
      <c r="F1100" t="inlineStr">
        <is>
          <t>Consumer</t>
        </is>
      </c>
      <c r="G1100" t="inlineStr">
        <is>
          <t>P1016</t>
        </is>
      </c>
      <c r="H1100" t="inlineStr">
        <is>
          <t>Echo Web Camera</t>
        </is>
      </c>
      <c r="I1100" t="inlineStr">
        <is>
          <t>Home Decor</t>
        </is>
      </c>
      <c r="J1100" t="inlineStr">
        <is>
          <t>Lighting</t>
        </is>
      </c>
      <c r="K1100" t="inlineStr">
        <is>
          <t>East</t>
        </is>
      </c>
      <c r="L1100" t="inlineStr">
        <is>
          <t>New Jersey</t>
        </is>
      </c>
      <c r="M1100" t="inlineStr">
        <is>
          <t>New York</t>
        </is>
      </c>
      <c r="N1100" t="inlineStr">
        <is>
          <t>Mia Rodriguez</t>
        </is>
      </c>
      <c r="O1100" t="n">
        <v>4</v>
      </c>
      <c r="P1100" s="3" t="n">
        <v>39.06</v>
      </c>
      <c r="Q1100" s="4" t="n">
        <v>0.07199999999999999</v>
      </c>
      <c r="R1100" s="3" t="n">
        <v>144.99</v>
      </c>
      <c r="S1100" s="3" t="n">
        <v>56.9</v>
      </c>
      <c r="T1100" s="3" t="n">
        <v>77.89</v>
      </c>
      <c r="U1100" s="4" t="n">
        <v>0.5372</v>
      </c>
      <c r="V1100" s="3" t="n">
        <v>10.2</v>
      </c>
      <c r="W1100" t="inlineStr">
        <is>
          <t>Credit Card</t>
        </is>
      </c>
      <c r="X1100" t="inlineStr">
        <is>
          <t>Critical</t>
        </is>
      </c>
      <c r="Y1100" t="n">
        <v>2025</v>
      </c>
      <c r="Z1100" t="n">
        <v>7</v>
      </c>
      <c r="AA1100" t="inlineStr">
        <is>
          <t>Jul</t>
        </is>
      </c>
      <c r="AB1100" t="inlineStr">
        <is>
          <t>Friday</t>
        </is>
      </c>
      <c r="AC1100" t="n">
        <v>5</v>
      </c>
      <c r="AD1100" t="inlineStr">
        <is>
          <t>Profitable</t>
        </is>
      </c>
      <c r="AE1100" t="inlineStr">
        <is>
          <t>High</t>
        </is>
      </c>
      <c r="AF1100" t="inlineStr">
        <is>
          <t>Small</t>
        </is>
      </c>
    </row>
    <row r="1101">
      <c r="A1101" t="inlineStr">
        <is>
          <t>ORD-01100</t>
        </is>
      </c>
      <c r="B1101" s="2" t="n">
        <v>45561</v>
      </c>
      <c r="C1101" s="2" t="n">
        <v>45567</v>
      </c>
      <c r="D1101" t="inlineStr">
        <is>
          <t>CUST-01100</t>
        </is>
      </c>
      <c r="E1101" t="inlineStr">
        <is>
          <t>Customer 1100</t>
        </is>
      </c>
      <c r="F1101" t="inlineStr">
        <is>
          <t>Consumer</t>
        </is>
      </c>
      <c r="G1101" t="inlineStr">
        <is>
          <t>P1005</t>
        </is>
      </c>
      <c r="H1101" t="inlineStr">
        <is>
          <t>Pulse Keyboard</t>
        </is>
      </c>
      <c r="I1101" t="inlineStr">
        <is>
          <t>Furniture</t>
        </is>
      </c>
      <c r="J1101" t="inlineStr">
        <is>
          <t>Binders</t>
        </is>
      </c>
      <c r="K1101" t="inlineStr">
        <is>
          <t>West</t>
        </is>
      </c>
      <c r="L1101" t="inlineStr">
        <is>
          <t>Oregon</t>
        </is>
      </c>
      <c r="M1101" t="inlineStr">
        <is>
          <t>San Francisco</t>
        </is>
      </c>
      <c r="N1101" t="inlineStr">
        <is>
          <t>Noah Kim</t>
        </is>
      </c>
      <c r="O1101" t="n">
        <v>1</v>
      </c>
      <c r="P1101" s="3" t="n">
        <v>12.97</v>
      </c>
      <c r="Q1101" s="4" t="n">
        <v>0.016</v>
      </c>
      <c r="R1101" s="3" t="n">
        <v>12.76</v>
      </c>
      <c r="S1101" s="3" t="n">
        <v>8.75</v>
      </c>
      <c r="T1101" s="3" t="n">
        <v>-3.79</v>
      </c>
      <c r="U1101" s="4" t="n">
        <v>-0.297</v>
      </c>
      <c r="V1101" s="3" t="n">
        <v>7.8</v>
      </c>
      <c r="W1101" t="inlineStr">
        <is>
          <t>Credit Card</t>
        </is>
      </c>
      <c r="X1101" t="inlineStr">
        <is>
          <t>Medium</t>
        </is>
      </c>
      <c r="Y1101" t="n">
        <v>2024</v>
      </c>
      <c r="Z1101" t="n">
        <v>9</v>
      </c>
      <c r="AA1101" t="inlineStr">
        <is>
          <t>Sep</t>
        </is>
      </c>
      <c r="AB1101" t="inlineStr">
        <is>
          <t>Thursday</t>
        </is>
      </c>
      <c r="AC1101" t="n">
        <v>6</v>
      </c>
      <c r="AD1101" t="inlineStr">
        <is>
          <t>Unprofitable</t>
        </is>
      </c>
      <c r="AE1101" t="inlineStr">
        <is>
          <t>Low</t>
        </is>
      </c>
      <c r="AF1101" t="inlineStr">
        <is>
          <t>Small</t>
        </is>
      </c>
    </row>
    <row r="1102">
      <c r="A1102" t="inlineStr">
        <is>
          <t>ORD-01101</t>
        </is>
      </c>
      <c r="B1102" s="2" t="n">
        <v>45105</v>
      </c>
      <c r="C1102" s="2" t="n">
        <v>45106</v>
      </c>
      <c r="D1102" t="inlineStr">
        <is>
          <t>CUST-01101</t>
        </is>
      </c>
      <c r="E1102" t="inlineStr">
        <is>
          <t>Customer 1101</t>
        </is>
      </c>
      <c r="F1102" t="inlineStr">
        <is>
          <t>Consumer</t>
        </is>
      </c>
      <c r="G1102" t="inlineStr">
        <is>
          <t>P1003</t>
        </is>
      </c>
      <c r="H1102" t="inlineStr">
        <is>
          <t>FlexNote Notebook</t>
        </is>
      </c>
      <c r="I1102" t="inlineStr">
        <is>
          <t>Outdoor</t>
        </is>
      </c>
      <c r="J1102" t="inlineStr">
        <is>
          <t>Video</t>
        </is>
      </c>
      <c r="K1102" t="inlineStr">
        <is>
          <t>West</t>
        </is>
      </c>
      <c r="L1102" t="inlineStr">
        <is>
          <t>Oregon</t>
        </is>
      </c>
      <c r="M1102" t="inlineStr">
        <is>
          <t>San Francisco</t>
        </is>
      </c>
      <c r="N1102" t="inlineStr">
        <is>
          <t>Olivia Martin</t>
        </is>
      </c>
      <c r="O1102" t="n">
        <v>2</v>
      </c>
      <c r="P1102" s="3" t="n">
        <v>167.01</v>
      </c>
      <c r="Q1102" s="4" t="n">
        <v>0.023</v>
      </c>
      <c r="R1102" s="3" t="n">
        <v>326.34</v>
      </c>
      <c r="S1102" s="3" t="n">
        <v>171.42</v>
      </c>
      <c r="T1102" s="3" t="n">
        <v>146.32</v>
      </c>
      <c r="U1102" s="4" t="n">
        <v>0.4484</v>
      </c>
      <c r="V1102" s="3" t="n">
        <v>8.6</v>
      </c>
      <c r="W1102" t="inlineStr">
        <is>
          <t>Credit Card</t>
        </is>
      </c>
      <c r="X1102" t="inlineStr">
        <is>
          <t>Low</t>
        </is>
      </c>
      <c r="Y1102" t="n">
        <v>2023</v>
      </c>
      <c r="Z1102" t="n">
        <v>6</v>
      </c>
      <c r="AA1102" t="inlineStr">
        <is>
          <t>Jun</t>
        </is>
      </c>
      <c r="AB1102" t="inlineStr">
        <is>
          <t>Wednesday</t>
        </is>
      </c>
      <c r="AC1102" t="n">
        <v>1</v>
      </c>
      <c r="AD1102" t="inlineStr">
        <is>
          <t>Profitable</t>
        </is>
      </c>
      <c r="AE1102" t="inlineStr">
        <is>
          <t>Medium</t>
        </is>
      </c>
      <c r="AF1102" t="inlineStr">
        <is>
          <t>Small</t>
        </is>
      </c>
    </row>
    <row r="1103">
      <c r="A1103" t="inlineStr">
        <is>
          <t>ORD-01102</t>
        </is>
      </c>
      <c r="B1103" s="2" t="n">
        <v>45934</v>
      </c>
      <c r="C1103" s="2" t="n">
        <v>45938</v>
      </c>
      <c r="D1103" t="inlineStr">
        <is>
          <t>CUST-01102</t>
        </is>
      </c>
      <c r="E1103" t="inlineStr">
        <is>
          <t>Customer 1102</t>
        </is>
      </c>
      <c r="F1103" t="inlineStr">
        <is>
          <t>Corporate</t>
        </is>
      </c>
      <c r="G1103" t="inlineStr">
        <is>
          <t>P1013</t>
        </is>
      </c>
      <c r="H1103" t="inlineStr">
        <is>
          <t>Trail Tote</t>
        </is>
      </c>
      <c r="I1103" t="inlineStr">
        <is>
          <t>Furniture</t>
        </is>
      </c>
      <c r="J1103" t="inlineStr">
        <is>
          <t>Lighting</t>
        </is>
      </c>
      <c r="K1103" t="inlineStr">
        <is>
          <t>South</t>
        </is>
      </c>
      <c r="L1103" t="inlineStr">
        <is>
          <t>Georgia</t>
        </is>
      </c>
      <c r="M1103" t="inlineStr">
        <is>
          <t>Houston</t>
        </is>
      </c>
      <c r="N1103" t="inlineStr">
        <is>
          <t>Sophia Singh</t>
        </is>
      </c>
      <c r="O1103" t="n">
        <v>1</v>
      </c>
      <c r="P1103" s="3" t="n">
        <v>175.46</v>
      </c>
      <c r="Q1103" s="4" t="n">
        <v>0.019</v>
      </c>
      <c r="R1103" s="3" t="n">
        <v>172.13</v>
      </c>
      <c r="S1103" s="3" t="n">
        <v>107.41</v>
      </c>
      <c r="T1103" s="3" t="n">
        <v>57.92</v>
      </c>
      <c r="U1103" s="4" t="n">
        <v>0.3365</v>
      </c>
      <c r="V1103" s="3" t="n">
        <v>6.8</v>
      </c>
      <c r="W1103" t="inlineStr">
        <is>
          <t>Credit Card</t>
        </is>
      </c>
      <c r="X1103" t="inlineStr">
        <is>
          <t>Medium</t>
        </is>
      </c>
      <c r="Y1103" t="n">
        <v>2025</v>
      </c>
      <c r="Z1103" t="n">
        <v>10</v>
      </c>
      <c r="AA1103" t="inlineStr">
        <is>
          <t>Oct</t>
        </is>
      </c>
      <c r="AB1103" t="inlineStr">
        <is>
          <t>Saturday</t>
        </is>
      </c>
      <c r="AC1103" t="n">
        <v>4</v>
      </c>
      <c r="AD1103" t="inlineStr">
        <is>
          <t>Profitable</t>
        </is>
      </c>
      <c r="AE1103" t="inlineStr">
        <is>
          <t>Low</t>
        </is>
      </c>
      <c r="AF1103" t="inlineStr">
        <is>
          <t>Small</t>
        </is>
      </c>
    </row>
    <row r="1104">
      <c r="A1104" t="inlineStr">
        <is>
          <t>ORD-01103</t>
        </is>
      </c>
      <c r="B1104" s="2" t="n">
        <v>45971</v>
      </c>
      <c r="C1104" s="2" t="n">
        <v>45972</v>
      </c>
      <c r="D1104" t="inlineStr">
        <is>
          <t>CUST-01103</t>
        </is>
      </c>
      <c r="E1104" t="inlineStr">
        <is>
          <t>Customer 1103</t>
        </is>
      </c>
      <c r="F1104" t="inlineStr">
        <is>
          <t>Corporate</t>
        </is>
      </c>
      <c r="G1104" t="inlineStr">
        <is>
          <t>P1015</t>
        </is>
      </c>
      <c r="H1104" t="inlineStr">
        <is>
          <t>Trail Tote</t>
        </is>
      </c>
      <c r="I1104" t="inlineStr">
        <is>
          <t>Technology</t>
        </is>
      </c>
      <c r="J1104" t="inlineStr">
        <is>
          <t>Furniture</t>
        </is>
      </c>
      <c r="K1104" t="inlineStr">
        <is>
          <t>West</t>
        </is>
      </c>
      <c r="L1104" t="inlineStr">
        <is>
          <t>Colorado</t>
        </is>
      </c>
      <c r="M1104" t="inlineStr">
        <is>
          <t>San Francisco</t>
        </is>
      </c>
      <c r="N1104" t="inlineStr">
        <is>
          <t>Mia Rodriguez</t>
        </is>
      </c>
      <c r="O1104" t="n">
        <v>2</v>
      </c>
      <c r="P1104" s="3" t="n">
        <v>78.72</v>
      </c>
      <c r="Q1104" s="4" t="n">
        <v>0.028</v>
      </c>
      <c r="R1104" s="3" t="n">
        <v>153.03</v>
      </c>
      <c r="S1104" s="3" t="n">
        <v>74.88</v>
      </c>
      <c r="T1104" s="3" t="n">
        <v>69.55</v>
      </c>
      <c r="U1104" s="4" t="n">
        <v>0.4545</v>
      </c>
      <c r="V1104" s="3" t="n">
        <v>8.6</v>
      </c>
      <c r="W1104" t="inlineStr">
        <is>
          <t>Bank Transfer</t>
        </is>
      </c>
      <c r="X1104" t="inlineStr">
        <is>
          <t>Medium</t>
        </is>
      </c>
      <c r="Y1104" t="n">
        <v>2025</v>
      </c>
      <c r="Z1104" t="n">
        <v>11</v>
      </c>
      <c r="AA1104" t="inlineStr">
        <is>
          <t>Nov</t>
        </is>
      </c>
      <c r="AB1104" t="inlineStr">
        <is>
          <t>Monday</t>
        </is>
      </c>
      <c r="AC1104" t="n">
        <v>1</v>
      </c>
      <c r="AD1104" t="inlineStr">
        <is>
          <t>Profitable</t>
        </is>
      </c>
      <c r="AE1104" t="inlineStr">
        <is>
          <t>Medium</t>
        </is>
      </c>
      <c r="AF1104" t="inlineStr">
        <is>
          <t>Small</t>
        </is>
      </c>
    </row>
    <row r="1105">
      <c r="A1105" t="inlineStr">
        <is>
          <t>ORD-01104</t>
        </is>
      </c>
      <c r="B1105" s="2" t="n">
        <v>45734</v>
      </c>
      <c r="C1105" s="2" t="n">
        <v>45741</v>
      </c>
      <c r="D1105" t="inlineStr">
        <is>
          <t>CUST-01104</t>
        </is>
      </c>
      <c r="E1105" t="inlineStr">
        <is>
          <t>Customer 1104</t>
        </is>
      </c>
      <c r="F1105" t="inlineStr">
        <is>
          <t>Consumer</t>
        </is>
      </c>
      <c r="G1105" t="inlineStr">
        <is>
          <t>P1004</t>
        </is>
      </c>
      <c r="H1105" t="inlineStr">
        <is>
          <t>Nimbus Monitor Arm</t>
        </is>
      </c>
      <c r="I1105" t="inlineStr">
        <is>
          <t>Furniture</t>
        </is>
      </c>
      <c r="J1105" t="inlineStr">
        <is>
          <t>Video</t>
        </is>
      </c>
      <c r="K1105" t="inlineStr">
        <is>
          <t>East</t>
        </is>
      </c>
      <c r="L1105" t="inlineStr">
        <is>
          <t>Virginia</t>
        </is>
      </c>
      <c r="M1105" t="inlineStr">
        <is>
          <t>Boston</t>
        </is>
      </c>
      <c r="N1105" t="inlineStr">
        <is>
          <t>Ethan Brooks</t>
        </is>
      </c>
      <c r="O1105" t="n">
        <v>3</v>
      </c>
      <c r="P1105" s="3" t="n">
        <v>584.64</v>
      </c>
      <c r="Q1105" s="4" t="n">
        <v>0.04</v>
      </c>
      <c r="R1105" s="3" t="n">
        <v>1683.76</v>
      </c>
      <c r="S1105" s="3" t="n">
        <v>1066.9</v>
      </c>
      <c r="T1105" s="3" t="n">
        <v>607.46</v>
      </c>
      <c r="U1105" s="4" t="n">
        <v>0.3608</v>
      </c>
      <c r="V1105" s="3" t="n">
        <v>9.4</v>
      </c>
      <c r="W1105" t="inlineStr">
        <is>
          <t>PayPal</t>
        </is>
      </c>
      <c r="X1105" t="inlineStr">
        <is>
          <t>High</t>
        </is>
      </c>
      <c r="Y1105" t="n">
        <v>2025</v>
      </c>
      <c r="Z1105" t="n">
        <v>3</v>
      </c>
      <c r="AA1105" t="inlineStr">
        <is>
          <t>Mar</t>
        </is>
      </c>
      <c r="AB1105" t="inlineStr">
        <is>
          <t>Tuesday</t>
        </is>
      </c>
      <c r="AC1105" t="n">
        <v>7</v>
      </c>
      <c r="AD1105" t="inlineStr">
        <is>
          <t>Profitable</t>
        </is>
      </c>
      <c r="AE1105" t="inlineStr">
        <is>
          <t>Medium</t>
        </is>
      </c>
      <c r="AF1105" t="inlineStr">
        <is>
          <t>Large</t>
        </is>
      </c>
    </row>
    <row r="1106">
      <c r="A1106" t="inlineStr">
        <is>
          <t>ORD-01105</t>
        </is>
      </c>
      <c r="B1106" s="2" t="n">
        <v>45841</v>
      </c>
      <c r="C1106" s="2" t="n">
        <v>45845</v>
      </c>
      <c r="D1106" t="inlineStr">
        <is>
          <t>CUST-01105</t>
        </is>
      </c>
      <c r="E1106" t="inlineStr">
        <is>
          <t>Customer 1105</t>
        </is>
      </c>
      <c r="F1106" t="inlineStr">
        <is>
          <t>Home Office</t>
        </is>
      </c>
      <c r="G1106" t="inlineStr">
        <is>
          <t>P1003</t>
        </is>
      </c>
      <c r="H1106" t="inlineStr">
        <is>
          <t>Nova Laptop Stand</t>
        </is>
      </c>
      <c r="I1106" t="inlineStr">
        <is>
          <t>Home Decor</t>
        </is>
      </c>
      <c r="J1106" t="inlineStr">
        <is>
          <t>Bags</t>
        </is>
      </c>
      <c r="K1106" t="inlineStr">
        <is>
          <t>West</t>
        </is>
      </c>
      <c r="L1106" t="inlineStr">
        <is>
          <t>California</t>
        </is>
      </c>
      <c r="M1106" t="inlineStr">
        <is>
          <t>San Francisco</t>
        </is>
      </c>
      <c r="N1106" t="inlineStr">
        <is>
          <t>Ethan Brooks</t>
        </is>
      </c>
      <c r="O1106" t="n">
        <v>5</v>
      </c>
      <c r="P1106" s="3" t="n">
        <v>167.99</v>
      </c>
      <c r="Q1106" s="4" t="n">
        <v>0.051</v>
      </c>
      <c r="R1106" s="3" t="n">
        <v>797.11</v>
      </c>
      <c r="S1106" s="3" t="n">
        <v>414.51</v>
      </c>
      <c r="T1106" s="3" t="n">
        <v>371.6</v>
      </c>
      <c r="U1106" s="4" t="n">
        <v>0.4662</v>
      </c>
      <c r="V1106" s="3" t="n">
        <v>11</v>
      </c>
      <c r="W1106" t="inlineStr">
        <is>
          <t>Bank Transfer</t>
        </is>
      </c>
      <c r="X1106" t="inlineStr">
        <is>
          <t>High</t>
        </is>
      </c>
      <c r="Y1106" t="n">
        <v>2025</v>
      </c>
      <c r="Z1106" t="n">
        <v>7</v>
      </c>
      <c r="AA1106" t="inlineStr">
        <is>
          <t>Jul</t>
        </is>
      </c>
      <c r="AB1106" t="inlineStr">
        <is>
          <t>Thursday</t>
        </is>
      </c>
      <c r="AC1106" t="n">
        <v>4</v>
      </c>
      <c r="AD1106" t="inlineStr">
        <is>
          <t>Profitable</t>
        </is>
      </c>
      <c r="AE1106" t="inlineStr">
        <is>
          <t>High</t>
        </is>
      </c>
      <c r="AF1106" t="inlineStr">
        <is>
          <t>Medium</t>
        </is>
      </c>
    </row>
    <row r="1107">
      <c r="A1107" t="inlineStr">
        <is>
          <t>ORD-01106</t>
        </is>
      </c>
      <c r="B1107" s="2" t="n">
        <v>45098</v>
      </c>
      <c r="C1107" s="2" t="n">
        <v>45103</v>
      </c>
      <c r="D1107" t="inlineStr">
        <is>
          <t>CUST-01106</t>
        </is>
      </c>
      <c r="E1107" t="inlineStr">
        <is>
          <t>Customer 1106</t>
        </is>
      </c>
      <c r="F1107" t="inlineStr">
        <is>
          <t>Consumer</t>
        </is>
      </c>
      <c r="G1107" t="inlineStr">
        <is>
          <t>P1002</t>
        </is>
      </c>
      <c r="H1107" t="inlineStr">
        <is>
          <t>Tide Cooler</t>
        </is>
      </c>
      <c r="I1107" t="inlineStr">
        <is>
          <t>Home Decor</t>
        </is>
      </c>
      <c r="J1107" t="inlineStr">
        <is>
          <t>Accessories</t>
        </is>
      </c>
      <c r="K1107" t="inlineStr">
        <is>
          <t>Central</t>
        </is>
      </c>
      <c r="L1107" t="inlineStr">
        <is>
          <t>Kansas</t>
        </is>
      </c>
      <c r="M1107" t="inlineStr">
        <is>
          <t>Kansas City</t>
        </is>
      </c>
      <c r="N1107" t="inlineStr">
        <is>
          <t>James Carter</t>
        </is>
      </c>
      <c r="O1107" t="n">
        <v>4</v>
      </c>
      <c r="P1107" s="3" t="n">
        <v>82.86</v>
      </c>
      <c r="Q1107" s="4" t="n">
        <v>0.005</v>
      </c>
      <c r="R1107" s="3" t="n">
        <v>329.78</v>
      </c>
      <c r="S1107" s="3" t="n">
        <v>153.76</v>
      </c>
      <c r="T1107" s="3" t="n">
        <v>166.82</v>
      </c>
      <c r="U1107" s="4" t="n">
        <v>0.5059</v>
      </c>
      <c r="V1107" s="3" t="n">
        <v>9.199999999999999</v>
      </c>
      <c r="W1107" t="inlineStr">
        <is>
          <t>Credit Card</t>
        </is>
      </c>
      <c r="X1107" t="inlineStr">
        <is>
          <t>Medium</t>
        </is>
      </c>
      <c r="Y1107" t="n">
        <v>2023</v>
      </c>
      <c r="Z1107" t="n">
        <v>6</v>
      </c>
      <c r="AA1107" t="inlineStr">
        <is>
          <t>Jun</t>
        </is>
      </c>
      <c r="AB1107" t="inlineStr">
        <is>
          <t>Wednesday</t>
        </is>
      </c>
      <c r="AC1107" t="n">
        <v>5</v>
      </c>
      <c r="AD1107" t="inlineStr">
        <is>
          <t>Profitable</t>
        </is>
      </c>
      <c r="AE1107" t="inlineStr">
        <is>
          <t>Low</t>
        </is>
      </c>
      <c r="AF1107" t="inlineStr">
        <is>
          <t>Small</t>
        </is>
      </c>
    </row>
    <row r="1108">
      <c r="A1108" t="inlineStr">
        <is>
          <t>ORD-01107</t>
        </is>
      </c>
      <c r="B1108" s="2" t="n">
        <v>45568</v>
      </c>
      <c r="C1108" s="2" t="n">
        <v>45574</v>
      </c>
      <c r="D1108" t="inlineStr">
        <is>
          <t>CUST-01107</t>
        </is>
      </c>
      <c r="E1108" t="inlineStr">
        <is>
          <t>Customer 1107</t>
        </is>
      </c>
      <c r="F1108" t="inlineStr">
        <is>
          <t>Consumer</t>
        </is>
      </c>
      <c r="G1108" t="inlineStr">
        <is>
          <t>P1004</t>
        </is>
      </c>
      <c r="H1108" t="inlineStr">
        <is>
          <t>Echo Web Camera</t>
        </is>
      </c>
      <c r="I1108" t="inlineStr">
        <is>
          <t>Home Decor</t>
        </is>
      </c>
      <c r="J1108" t="inlineStr">
        <is>
          <t>Decor</t>
        </is>
      </c>
      <c r="K1108" t="inlineStr">
        <is>
          <t>North</t>
        </is>
      </c>
      <c r="L1108" t="inlineStr">
        <is>
          <t>Alberta</t>
        </is>
      </c>
      <c r="M1108" t="inlineStr">
        <is>
          <t>Vancouver</t>
        </is>
      </c>
      <c r="N1108" t="inlineStr">
        <is>
          <t>Noah Kim</t>
        </is>
      </c>
      <c r="O1108" t="n">
        <v>3</v>
      </c>
      <c r="P1108" s="3" t="n">
        <v>662.54</v>
      </c>
      <c r="Q1108" s="4" t="n">
        <v>0.026</v>
      </c>
      <c r="R1108" s="3" t="n">
        <v>1935.94</v>
      </c>
      <c r="S1108" s="3" t="n">
        <v>1229.15</v>
      </c>
      <c r="T1108" s="3" t="n">
        <v>698.39</v>
      </c>
      <c r="U1108" s="4" t="n">
        <v>0.3607</v>
      </c>
      <c r="V1108" s="3" t="n">
        <v>8.4</v>
      </c>
      <c r="W1108" t="inlineStr">
        <is>
          <t>Credit Card</t>
        </is>
      </c>
      <c r="X1108" t="inlineStr">
        <is>
          <t>Critical</t>
        </is>
      </c>
      <c r="Y1108" t="n">
        <v>2024</v>
      </c>
      <c r="Z1108" t="n">
        <v>10</v>
      </c>
      <c r="AA1108" t="inlineStr">
        <is>
          <t>Oct</t>
        </is>
      </c>
      <c r="AB1108" t="inlineStr">
        <is>
          <t>Thursday</t>
        </is>
      </c>
      <c r="AC1108" t="n">
        <v>6</v>
      </c>
      <c r="AD1108" t="inlineStr">
        <is>
          <t>Profitable</t>
        </is>
      </c>
      <c r="AE1108" t="inlineStr">
        <is>
          <t>Medium</t>
        </is>
      </c>
      <c r="AF1108" t="inlineStr">
        <is>
          <t>Large</t>
        </is>
      </c>
    </row>
    <row r="1109">
      <c r="A1109" t="inlineStr">
        <is>
          <t>ORD-01108</t>
        </is>
      </c>
      <c r="B1109" s="2" t="n">
        <v>45752</v>
      </c>
      <c r="C1109" s="2" t="n">
        <v>45757</v>
      </c>
      <c r="D1109" t="inlineStr">
        <is>
          <t>CUST-01108</t>
        </is>
      </c>
      <c r="E1109" t="inlineStr">
        <is>
          <t>Customer 1108</t>
        </is>
      </c>
      <c r="F1109" t="inlineStr">
        <is>
          <t>Consumer</t>
        </is>
      </c>
      <c r="G1109" t="inlineStr">
        <is>
          <t>P1006</t>
        </is>
      </c>
      <c r="H1109" t="inlineStr">
        <is>
          <t>Aero Standing Desk</t>
        </is>
      </c>
      <c r="I1109" t="inlineStr">
        <is>
          <t>Outdoor</t>
        </is>
      </c>
      <c r="J1109" t="inlineStr">
        <is>
          <t>Accessories</t>
        </is>
      </c>
      <c r="K1109" t="inlineStr">
        <is>
          <t>East</t>
        </is>
      </c>
      <c r="L1109" t="inlineStr">
        <is>
          <t>New York</t>
        </is>
      </c>
      <c r="M1109" t="inlineStr">
        <is>
          <t>Washington</t>
        </is>
      </c>
      <c r="N1109" t="inlineStr">
        <is>
          <t>Liam Chen</t>
        </is>
      </c>
      <c r="O1109" t="n">
        <v>1</v>
      </c>
      <c r="P1109" s="3" t="n">
        <v>18.56</v>
      </c>
      <c r="Q1109" s="4" t="n">
        <v>0.018</v>
      </c>
      <c r="R1109" s="3" t="n">
        <v>18.23</v>
      </c>
      <c r="S1109" s="3" t="n">
        <v>12</v>
      </c>
      <c r="T1109" s="3" t="n">
        <v>-1.57</v>
      </c>
      <c r="U1109" s="4" t="n">
        <v>-0.0861</v>
      </c>
      <c r="V1109" s="3" t="n">
        <v>7.8</v>
      </c>
      <c r="W1109" t="inlineStr">
        <is>
          <t>PayPal</t>
        </is>
      </c>
      <c r="X1109" t="inlineStr">
        <is>
          <t>Low</t>
        </is>
      </c>
      <c r="Y1109" t="n">
        <v>2025</v>
      </c>
      <c r="Z1109" t="n">
        <v>4</v>
      </c>
      <c r="AA1109" t="inlineStr">
        <is>
          <t>Apr</t>
        </is>
      </c>
      <c r="AB1109" t="inlineStr">
        <is>
          <t>Saturday</t>
        </is>
      </c>
      <c r="AC1109" t="n">
        <v>5</v>
      </c>
      <c r="AD1109" t="inlineStr">
        <is>
          <t>Unprofitable</t>
        </is>
      </c>
      <c r="AE1109" t="inlineStr">
        <is>
          <t>Low</t>
        </is>
      </c>
      <c r="AF1109" t="inlineStr">
        <is>
          <t>Small</t>
        </is>
      </c>
    </row>
    <row r="1110">
      <c r="A1110" t="inlineStr">
        <is>
          <t>ORD-01109</t>
        </is>
      </c>
      <c r="B1110" s="2" t="n">
        <v>45916</v>
      </c>
      <c r="C1110" s="2" t="n">
        <v>45921</v>
      </c>
      <c r="D1110" t="inlineStr">
        <is>
          <t>CUST-01109</t>
        </is>
      </c>
      <c r="E1110" t="inlineStr">
        <is>
          <t>Customer 1109</t>
        </is>
      </c>
      <c r="F1110" t="inlineStr">
        <is>
          <t>Corporate</t>
        </is>
      </c>
      <c r="G1110" t="inlineStr">
        <is>
          <t>P1004</t>
        </is>
      </c>
      <c r="H1110" t="inlineStr">
        <is>
          <t>SmartInk Pen Set</t>
        </is>
      </c>
      <c r="I1110" t="inlineStr">
        <is>
          <t>Home Decor</t>
        </is>
      </c>
      <c r="J1110" t="inlineStr">
        <is>
          <t>Accessories</t>
        </is>
      </c>
      <c r="K1110" t="inlineStr">
        <is>
          <t>West</t>
        </is>
      </c>
      <c r="L1110" t="inlineStr">
        <is>
          <t>Colorado</t>
        </is>
      </c>
      <c r="M1110" t="inlineStr">
        <is>
          <t>Denver</t>
        </is>
      </c>
      <c r="N1110" t="inlineStr">
        <is>
          <t>Ava Patel</t>
        </is>
      </c>
      <c r="O1110" t="n">
        <v>2</v>
      </c>
      <c r="P1110" s="3" t="n">
        <v>645.95</v>
      </c>
      <c r="Q1110" s="4" t="n">
        <v>0.042</v>
      </c>
      <c r="R1110" s="3" t="n">
        <v>1237.64</v>
      </c>
      <c r="S1110" s="3" t="n">
        <v>786.55</v>
      </c>
      <c r="T1110" s="3" t="n">
        <v>442.49</v>
      </c>
      <c r="U1110" s="4" t="n">
        <v>0.3575</v>
      </c>
      <c r="V1110" s="3" t="n">
        <v>8.6</v>
      </c>
      <c r="W1110" t="inlineStr">
        <is>
          <t>Credit Card</t>
        </is>
      </c>
      <c r="X1110" t="inlineStr">
        <is>
          <t>Critical</t>
        </is>
      </c>
      <c r="Y1110" t="n">
        <v>2025</v>
      </c>
      <c r="Z1110" t="n">
        <v>9</v>
      </c>
      <c r="AA1110" t="inlineStr">
        <is>
          <t>Sep</t>
        </is>
      </c>
      <c r="AB1110" t="inlineStr">
        <is>
          <t>Tuesday</t>
        </is>
      </c>
      <c r="AC1110" t="n">
        <v>5</v>
      </c>
      <c r="AD1110" t="inlineStr">
        <is>
          <t>Profitable</t>
        </is>
      </c>
      <c r="AE1110" t="inlineStr">
        <is>
          <t>Medium</t>
        </is>
      </c>
      <c r="AF1110" t="inlineStr">
        <is>
          <t>Medium</t>
        </is>
      </c>
    </row>
    <row r="1111">
      <c r="A1111" t="inlineStr">
        <is>
          <t>ORD-01110</t>
        </is>
      </c>
      <c r="B1111" s="2" t="n">
        <v>45250</v>
      </c>
      <c r="C1111" s="2" t="n">
        <v>45254</v>
      </c>
      <c r="D1111" t="inlineStr">
        <is>
          <t>CUST-01110</t>
        </is>
      </c>
      <c r="E1111" t="inlineStr">
        <is>
          <t>Customer 1110</t>
        </is>
      </c>
      <c r="F1111" t="inlineStr">
        <is>
          <t>Home Office</t>
        </is>
      </c>
      <c r="G1111" t="inlineStr">
        <is>
          <t>P1017</t>
        </is>
      </c>
      <c r="H1111" t="inlineStr">
        <is>
          <t>Trail Tote</t>
        </is>
      </c>
      <c r="I1111" t="inlineStr">
        <is>
          <t>Office Supplies</t>
        </is>
      </c>
      <c r="J1111" t="inlineStr">
        <is>
          <t>Textiles</t>
        </is>
      </c>
      <c r="K1111" t="inlineStr">
        <is>
          <t>Central</t>
        </is>
      </c>
      <c r="L1111" t="inlineStr">
        <is>
          <t>Missouri</t>
        </is>
      </c>
      <c r="M1111" t="inlineStr">
        <is>
          <t>Minneapolis</t>
        </is>
      </c>
      <c r="N1111" t="inlineStr">
        <is>
          <t>Mia Rodriguez</t>
        </is>
      </c>
      <c r="O1111" t="n">
        <v>1</v>
      </c>
      <c r="P1111" s="3" t="n">
        <v>613.0599999999999</v>
      </c>
      <c r="Q1111" s="4" t="n">
        <v>0.049</v>
      </c>
      <c r="R1111" s="3" t="n">
        <v>583.02</v>
      </c>
      <c r="S1111" s="3" t="n">
        <v>391.33</v>
      </c>
      <c r="T1111" s="3" t="n">
        <v>184.89</v>
      </c>
      <c r="U1111" s="4" t="n">
        <v>0.3171</v>
      </c>
      <c r="V1111" s="3" t="n">
        <v>6.8</v>
      </c>
      <c r="W1111" t="inlineStr">
        <is>
          <t>Credit Card</t>
        </is>
      </c>
      <c r="X1111" t="inlineStr">
        <is>
          <t>High</t>
        </is>
      </c>
      <c r="Y1111" t="n">
        <v>2023</v>
      </c>
      <c r="Z1111" t="n">
        <v>11</v>
      </c>
      <c r="AA1111" t="inlineStr">
        <is>
          <t>Nov</t>
        </is>
      </c>
      <c r="AB1111" t="inlineStr">
        <is>
          <t>Monday</t>
        </is>
      </c>
      <c r="AC1111" t="n">
        <v>4</v>
      </c>
      <c r="AD1111" t="inlineStr">
        <is>
          <t>Profitable</t>
        </is>
      </c>
      <c r="AE1111" t="inlineStr">
        <is>
          <t>Medium</t>
        </is>
      </c>
      <c r="AF1111" t="inlineStr">
        <is>
          <t>Medium</t>
        </is>
      </c>
    </row>
    <row r="1112">
      <c r="A1112" t="inlineStr">
        <is>
          <t>ORD-01111</t>
        </is>
      </c>
      <c r="B1112" s="2" t="n">
        <v>45821</v>
      </c>
      <c r="C1112" s="2" t="n">
        <v>45824</v>
      </c>
      <c r="D1112" t="inlineStr">
        <is>
          <t>CUST-01111</t>
        </is>
      </c>
      <c r="E1112" t="inlineStr">
        <is>
          <t>Customer 1111</t>
        </is>
      </c>
      <c r="F1112" t="inlineStr">
        <is>
          <t>Corporate</t>
        </is>
      </c>
      <c r="G1112" t="inlineStr">
        <is>
          <t>P1007</t>
        </is>
      </c>
      <c r="H1112" t="inlineStr">
        <is>
          <t>Pulse Keyboard</t>
        </is>
      </c>
      <c r="I1112" t="inlineStr">
        <is>
          <t>Home Decor</t>
        </is>
      </c>
      <c r="J1112" t="inlineStr">
        <is>
          <t>Binders</t>
        </is>
      </c>
      <c r="K1112" t="inlineStr">
        <is>
          <t>East</t>
        </is>
      </c>
      <c r="L1112" t="inlineStr">
        <is>
          <t>Virginia</t>
        </is>
      </c>
      <c r="M1112" t="inlineStr">
        <is>
          <t>Philadelphia</t>
        </is>
      </c>
      <c r="N1112" t="inlineStr">
        <is>
          <t>Liam Chen</t>
        </is>
      </c>
      <c r="O1112" t="n">
        <v>3</v>
      </c>
      <c r="P1112" s="3" t="n">
        <v>25.23</v>
      </c>
      <c r="Q1112" s="4" t="n">
        <v>0.011</v>
      </c>
      <c r="R1112" s="3" t="n">
        <v>74.86</v>
      </c>
      <c r="S1112" s="3" t="n">
        <v>29.54</v>
      </c>
      <c r="T1112" s="3" t="n">
        <v>35.92</v>
      </c>
      <c r="U1112" s="4" t="n">
        <v>0.4798</v>
      </c>
      <c r="V1112" s="3" t="n">
        <v>9.4</v>
      </c>
      <c r="W1112" t="inlineStr">
        <is>
          <t>Bank Transfer</t>
        </is>
      </c>
      <c r="X1112" t="inlineStr">
        <is>
          <t>Medium</t>
        </is>
      </c>
      <c r="Y1112" t="n">
        <v>2025</v>
      </c>
      <c r="Z1112" t="n">
        <v>6</v>
      </c>
      <c r="AA1112" t="inlineStr">
        <is>
          <t>Jun</t>
        </is>
      </c>
      <c r="AB1112" t="inlineStr">
        <is>
          <t>Friday</t>
        </is>
      </c>
      <c r="AC1112" t="n">
        <v>3</v>
      </c>
      <c r="AD1112" t="inlineStr">
        <is>
          <t>Profitable</t>
        </is>
      </c>
      <c r="AE1112" t="inlineStr">
        <is>
          <t>Low</t>
        </is>
      </c>
      <c r="AF1112" t="inlineStr">
        <is>
          <t>Small</t>
        </is>
      </c>
    </row>
    <row r="1113">
      <c r="A1113" t="inlineStr">
        <is>
          <t>ORD-01112</t>
        </is>
      </c>
      <c r="B1113" s="2" t="n">
        <v>45271</v>
      </c>
      <c r="C1113" s="2" t="n">
        <v>45277</v>
      </c>
      <c r="D1113" t="inlineStr">
        <is>
          <t>CUST-01112</t>
        </is>
      </c>
      <c r="E1113" t="inlineStr">
        <is>
          <t>Customer 1112</t>
        </is>
      </c>
      <c r="F1113" t="inlineStr">
        <is>
          <t>Home Office</t>
        </is>
      </c>
      <c r="G1113" t="inlineStr">
        <is>
          <t>P1018</t>
        </is>
      </c>
      <c r="H1113" t="inlineStr">
        <is>
          <t>Lumen Desk Lamp</t>
        </is>
      </c>
      <c r="I1113" t="inlineStr">
        <is>
          <t>Technology</t>
        </is>
      </c>
      <c r="J1113" t="inlineStr">
        <is>
          <t>Storage</t>
        </is>
      </c>
      <c r="K1113" t="inlineStr">
        <is>
          <t>West</t>
        </is>
      </c>
      <c r="L1113" t="inlineStr">
        <is>
          <t>Colorado</t>
        </is>
      </c>
      <c r="M1113" t="inlineStr">
        <is>
          <t>Los Angeles</t>
        </is>
      </c>
      <c r="N1113" t="inlineStr">
        <is>
          <t>Olivia Martin</t>
        </is>
      </c>
      <c r="O1113" t="n">
        <v>3</v>
      </c>
      <c r="P1113" s="3" t="n">
        <v>97.13</v>
      </c>
      <c r="Q1113" s="4" t="n">
        <v>0.04899999999999999</v>
      </c>
      <c r="R1113" s="3" t="n">
        <v>277.11</v>
      </c>
      <c r="S1113" s="3" t="n">
        <v>128.83</v>
      </c>
      <c r="T1113" s="3" t="n">
        <v>138.88</v>
      </c>
      <c r="U1113" s="4" t="n">
        <v>0.5012</v>
      </c>
      <c r="V1113" s="3" t="n">
        <v>9.4</v>
      </c>
      <c r="W1113" t="inlineStr">
        <is>
          <t>Bank Transfer</t>
        </is>
      </c>
      <c r="X1113" t="inlineStr">
        <is>
          <t>High</t>
        </is>
      </c>
      <c r="Y1113" t="n">
        <v>2023</v>
      </c>
      <c r="Z1113" t="n">
        <v>12</v>
      </c>
      <c r="AA1113" t="inlineStr">
        <is>
          <t>Dec</t>
        </is>
      </c>
      <c r="AB1113" t="inlineStr">
        <is>
          <t>Monday</t>
        </is>
      </c>
      <c r="AC1113" t="n">
        <v>6</v>
      </c>
      <c r="AD1113" t="inlineStr">
        <is>
          <t>Profitable</t>
        </is>
      </c>
      <c r="AE1113" t="inlineStr">
        <is>
          <t>Medium</t>
        </is>
      </c>
      <c r="AF1113" t="inlineStr">
        <is>
          <t>Small</t>
        </is>
      </c>
    </row>
    <row r="1114">
      <c r="A1114" t="inlineStr">
        <is>
          <t>ORD-01113</t>
        </is>
      </c>
      <c r="B1114" s="2" t="n">
        <v>45286</v>
      </c>
      <c r="C1114" s="2" t="n">
        <v>45287</v>
      </c>
      <c r="D1114" t="inlineStr">
        <is>
          <t>CUST-01113</t>
        </is>
      </c>
      <c r="E1114" t="inlineStr">
        <is>
          <t>Customer 1113</t>
        </is>
      </c>
      <c r="F1114" t="inlineStr">
        <is>
          <t>Consumer</t>
        </is>
      </c>
      <c r="G1114" t="inlineStr">
        <is>
          <t>P1010</t>
        </is>
      </c>
      <c r="H1114" t="inlineStr">
        <is>
          <t>Echo Web Camera</t>
        </is>
      </c>
      <c r="I1114" t="inlineStr">
        <is>
          <t>Office Supplies</t>
        </is>
      </c>
      <c r="J1114" t="inlineStr">
        <is>
          <t>Flooring</t>
        </is>
      </c>
      <c r="K1114" t="inlineStr">
        <is>
          <t>South</t>
        </is>
      </c>
      <c r="L1114" t="inlineStr">
        <is>
          <t>Texas</t>
        </is>
      </c>
      <c r="M1114" t="inlineStr">
        <is>
          <t>Atlanta</t>
        </is>
      </c>
      <c r="N1114" t="inlineStr">
        <is>
          <t>Ava Patel</t>
        </is>
      </c>
      <c r="O1114" t="n">
        <v>3</v>
      </c>
      <c r="P1114" s="3" t="n">
        <v>58.98</v>
      </c>
      <c r="Q1114" s="4" t="n">
        <v>0.05</v>
      </c>
      <c r="R1114" s="3" t="n">
        <v>168.09</v>
      </c>
      <c r="S1114" s="3" t="n">
        <v>77.93000000000001</v>
      </c>
      <c r="T1114" s="3" t="n">
        <v>81.76000000000001</v>
      </c>
      <c r="U1114" s="4" t="n">
        <v>0.4864</v>
      </c>
      <c r="V1114" s="3" t="n">
        <v>8.4</v>
      </c>
      <c r="W1114" t="inlineStr">
        <is>
          <t>Credit Card</t>
        </is>
      </c>
      <c r="X1114" t="inlineStr">
        <is>
          <t>High</t>
        </is>
      </c>
      <c r="Y1114" t="n">
        <v>2023</v>
      </c>
      <c r="Z1114" t="n">
        <v>12</v>
      </c>
      <c r="AA1114" t="inlineStr">
        <is>
          <t>Dec</t>
        </is>
      </c>
      <c r="AB1114" t="inlineStr">
        <is>
          <t>Tuesday</t>
        </is>
      </c>
      <c r="AC1114" t="n">
        <v>1</v>
      </c>
      <c r="AD1114" t="inlineStr">
        <is>
          <t>Profitable</t>
        </is>
      </c>
      <c r="AE1114" t="inlineStr">
        <is>
          <t>High</t>
        </is>
      </c>
      <c r="AF1114" t="inlineStr">
        <is>
          <t>Small</t>
        </is>
      </c>
    </row>
    <row r="1115">
      <c r="A1115" t="inlineStr">
        <is>
          <t>ORD-01114</t>
        </is>
      </c>
      <c r="B1115" s="2" t="n">
        <v>45335</v>
      </c>
      <c r="C1115" s="2" t="n">
        <v>45338</v>
      </c>
      <c r="D1115" t="inlineStr">
        <is>
          <t>CUST-01114</t>
        </is>
      </c>
      <c r="E1115" t="inlineStr">
        <is>
          <t>Customer 1114</t>
        </is>
      </c>
      <c r="F1115" t="inlineStr">
        <is>
          <t>Consumer</t>
        </is>
      </c>
      <c r="G1115" t="inlineStr">
        <is>
          <t>P1017</t>
        </is>
      </c>
      <c r="H1115" t="inlineStr">
        <is>
          <t>Nova Laptop Stand</t>
        </is>
      </c>
      <c r="I1115" t="inlineStr">
        <is>
          <t>Technology</t>
        </is>
      </c>
      <c r="J1115" t="inlineStr">
        <is>
          <t>Storage</t>
        </is>
      </c>
      <c r="K1115" t="inlineStr">
        <is>
          <t>West</t>
        </is>
      </c>
      <c r="L1115" t="inlineStr">
        <is>
          <t>Oregon</t>
        </is>
      </c>
      <c r="M1115" t="inlineStr">
        <is>
          <t>Denver</t>
        </is>
      </c>
      <c r="N1115" t="inlineStr">
        <is>
          <t>Sophia Singh</t>
        </is>
      </c>
      <c r="O1115" t="n">
        <v>2</v>
      </c>
      <c r="P1115" s="3" t="n">
        <v>568.01</v>
      </c>
      <c r="Q1115" s="4" t="n">
        <v>0.013</v>
      </c>
      <c r="R1115" s="3" t="n">
        <v>1121.25</v>
      </c>
      <c r="S1115" s="3" t="n">
        <v>749.6799999999999</v>
      </c>
      <c r="T1115" s="3" t="n">
        <v>362.97</v>
      </c>
      <c r="U1115" s="4" t="n">
        <v>0.3237</v>
      </c>
      <c r="V1115" s="3" t="n">
        <v>8.6</v>
      </c>
      <c r="W1115" t="inlineStr">
        <is>
          <t>Bank Transfer</t>
        </is>
      </c>
      <c r="X1115" t="inlineStr">
        <is>
          <t>Low</t>
        </is>
      </c>
      <c r="Y1115" t="n">
        <v>2024</v>
      </c>
      <c r="Z1115" t="n">
        <v>2</v>
      </c>
      <c r="AA1115" t="inlineStr">
        <is>
          <t>Feb</t>
        </is>
      </c>
      <c r="AB1115" t="inlineStr">
        <is>
          <t>Tuesday</t>
        </is>
      </c>
      <c r="AC1115" t="n">
        <v>3</v>
      </c>
      <c r="AD1115" t="inlineStr">
        <is>
          <t>Profitable</t>
        </is>
      </c>
      <c r="AE1115" t="inlineStr">
        <is>
          <t>Low</t>
        </is>
      </c>
      <c r="AF1115" t="inlineStr">
        <is>
          <t>Medium</t>
        </is>
      </c>
    </row>
    <row r="1116">
      <c r="A1116" t="inlineStr">
        <is>
          <t>ORD-01115</t>
        </is>
      </c>
      <c r="B1116" s="2" t="n">
        <v>45401</v>
      </c>
      <c r="C1116" s="2" t="n">
        <v>45404</v>
      </c>
      <c r="D1116" t="inlineStr">
        <is>
          <t>CUST-01115</t>
        </is>
      </c>
      <c r="E1116" t="inlineStr">
        <is>
          <t>Customer 1115</t>
        </is>
      </c>
      <c r="F1116" t="inlineStr">
        <is>
          <t>Corporate</t>
        </is>
      </c>
      <c r="G1116" t="inlineStr">
        <is>
          <t>P1004</t>
        </is>
      </c>
      <c r="H1116" t="inlineStr">
        <is>
          <t>ProClip Binder</t>
        </is>
      </c>
      <c r="I1116" t="inlineStr">
        <is>
          <t>Furniture</t>
        </is>
      </c>
      <c r="J1116" t="inlineStr">
        <is>
          <t>Storage</t>
        </is>
      </c>
      <c r="K1116" t="inlineStr">
        <is>
          <t>West</t>
        </is>
      </c>
      <c r="L1116" t="inlineStr">
        <is>
          <t>Colorado</t>
        </is>
      </c>
      <c r="M1116" t="inlineStr">
        <is>
          <t>San Francisco</t>
        </is>
      </c>
      <c r="N1116" t="inlineStr">
        <is>
          <t>Liam Chen</t>
        </is>
      </c>
      <c r="O1116" t="n">
        <v>5</v>
      </c>
      <c r="P1116" s="3" t="n">
        <v>644.1900000000001</v>
      </c>
      <c r="Q1116" s="4" t="n">
        <v>0.02</v>
      </c>
      <c r="R1116" s="3" t="n">
        <v>3156.53</v>
      </c>
      <c r="S1116" s="3" t="n">
        <v>1994.47</v>
      </c>
      <c r="T1116" s="3" t="n">
        <v>1151.06</v>
      </c>
      <c r="U1116" s="4" t="n">
        <v>0.3647</v>
      </c>
      <c r="V1116" s="3" t="n">
        <v>11</v>
      </c>
      <c r="W1116" t="inlineStr">
        <is>
          <t>Debit Card</t>
        </is>
      </c>
      <c r="X1116" t="inlineStr">
        <is>
          <t>Medium</t>
        </is>
      </c>
      <c r="Y1116" t="n">
        <v>2024</v>
      </c>
      <c r="Z1116" t="n">
        <v>4</v>
      </c>
      <c r="AA1116" t="inlineStr">
        <is>
          <t>Apr</t>
        </is>
      </c>
      <c r="AB1116" t="inlineStr">
        <is>
          <t>Friday</t>
        </is>
      </c>
      <c r="AC1116" t="n">
        <v>3</v>
      </c>
      <c r="AD1116" t="inlineStr">
        <is>
          <t>Profitable</t>
        </is>
      </c>
      <c r="AE1116" t="inlineStr">
        <is>
          <t>Medium</t>
        </is>
      </c>
      <c r="AF1116" t="inlineStr">
        <is>
          <t>Large</t>
        </is>
      </c>
    </row>
    <row r="1117">
      <c r="A1117" t="inlineStr">
        <is>
          <t>ORD-01116</t>
        </is>
      </c>
      <c r="B1117" s="2" t="n">
        <v>45654</v>
      </c>
      <c r="C1117" s="2" t="n">
        <v>45656</v>
      </c>
      <c r="D1117" t="inlineStr">
        <is>
          <t>CUST-01116</t>
        </is>
      </c>
      <c r="E1117" t="inlineStr">
        <is>
          <t>Customer 1116</t>
        </is>
      </c>
      <c r="F1117" t="inlineStr">
        <is>
          <t>Corporate</t>
        </is>
      </c>
      <c r="G1117" t="inlineStr">
        <is>
          <t>P1019</t>
        </is>
      </c>
      <c r="H1117" t="inlineStr">
        <is>
          <t>SmartInk Pen Set</t>
        </is>
      </c>
      <c r="I1117" t="inlineStr">
        <is>
          <t>Technology</t>
        </is>
      </c>
      <c r="J1117" t="inlineStr">
        <is>
          <t>Writing</t>
        </is>
      </c>
      <c r="K1117" t="inlineStr">
        <is>
          <t>North</t>
        </is>
      </c>
      <c r="L1117" t="inlineStr">
        <is>
          <t>British Columbia</t>
        </is>
      </c>
      <c r="M1117" t="inlineStr">
        <is>
          <t>Vancouver</t>
        </is>
      </c>
      <c r="N1117" t="inlineStr">
        <is>
          <t>James Carter</t>
        </is>
      </c>
      <c r="O1117" t="n">
        <v>3</v>
      </c>
      <c r="P1117" s="3" t="n">
        <v>61.6</v>
      </c>
      <c r="Q1117" s="4" t="n">
        <v>0.039</v>
      </c>
      <c r="R1117" s="3" t="n">
        <v>177.59</v>
      </c>
      <c r="S1117" s="3" t="n">
        <v>79.38</v>
      </c>
      <c r="T1117" s="3" t="n">
        <v>89.81</v>
      </c>
      <c r="U1117" s="4" t="n">
        <v>0.5057</v>
      </c>
      <c r="V1117" s="3" t="n">
        <v>8.4</v>
      </c>
      <c r="W1117" t="inlineStr">
        <is>
          <t>Debit Card</t>
        </is>
      </c>
      <c r="X1117" t="inlineStr">
        <is>
          <t>Medium</t>
        </is>
      </c>
      <c r="Y1117" t="n">
        <v>2024</v>
      </c>
      <c r="Z1117" t="n">
        <v>12</v>
      </c>
      <c r="AA1117" t="inlineStr">
        <is>
          <t>Dec</t>
        </is>
      </c>
      <c r="AB1117" t="inlineStr">
        <is>
          <t>Saturday</t>
        </is>
      </c>
      <c r="AC1117" t="n">
        <v>2</v>
      </c>
      <c r="AD1117" t="inlineStr">
        <is>
          <t>Profitable</t>
        </is>
      </c>
      <c r="AE1117" t="inlineStr">
        <is>
          <t>Medium</t>
        </is>
      </c>
      <c r="AF1117" t="inlineStr">
        <is>
          <t>Small</t>
        </is>
      </c>
    </row>
    <row r="1118">
      <c r="A1118" t="inlineStr">
        <is>
          <t>ORD-01117</t>
        </is>
      </c>
      <c r="B1118" s="2" t="n">
        <v>45266</v>
      </c>
      <c r="C1118" s="2" t="n">
        <v>45273</v>
      </c>
      <c r="D1118" t="inlineStr">
        <is>
          <t>CUST-01117</t>
        </is>
      </c>
      <c r="E1118" t="inlineStr">
        <is>
          <t>Customer 1117</t>
        </is>
      </c>
      <c r="F1118" t="inlineStr">
        <is>
          <t>Consumer</t>
        </is>
      </c>
      <c r="G1118" t="inlineStr">
        <is>
          <t>P1007</t>
        </is>
      </c>
      <c r="H1118" t="inlineStr">
        <is>
          <t>ProClip Binder</t>
        </is>
      </c>
      <c r="I1118" t="inlineStr">
        <is>
          <t>Office Supplies</t>
        </is>
      </c>
      <c r="J1118" t="inlineStr">
        <is>
          <t>Paper</t>
        </is>
      </c>
      <c r="K1118" t="inlineStr">
        <is>
          <t>East</t>
        </is>
      </c>
      <c r="L1118" t="inlineStr">
        <is>
          <t>Massachusetts</t>
        </is>
      </c>
      <c r="M1118" t="inlineStr">
        <is>
          <t>Washington</t>
        </is>
      </c>
      <c r="N1118" t="inlineStr">
        <is>
          <t>Sophia Singh</t>
        </is>
      </c>
      <c r="O1118" t="n">
        <v>3</v>
      </c>
      <c r="P1118" s="3" t="n">
        <v>26.75</v>
      </c>
      <c r="Q1118" s="4" t="n">
        <v>0.02</v>
      </c>
      <c r="R1118" s="3" t="n">
        <v>78.64</v>
      </c>
      <c r="S1118" s="3" t="n">
        <v>33</v>
      </c>
      <c r="T1118" s="3" t="n">
        <v>36.24</v>
      </c>
      <c r="U1118" s="4" t="n">
        <v>0.4608</v>
      </c>
      <c r="V1118" s="3" t="n">
        <v>9.4</v>
      </c>
      <c r="W1118" t="inlineStr">
        <is>
          <t>Bank Transfer</t>
        </is>
      </c>
      <c r="X1118" t="inlineStr">
        <is>
          <t>Medium</t>
        </is>
      </c>
      <c r="Y1118" t="n">
        <v>2023</v>
      </c>
      <c r="Z1118" t="n">
        <v>12</v>
      </c>
      <c r="AA1118" t="inlineStr">
        <is>
          <t>Dec</t>
        </is>
      </c>
      <c r="AB1118" t="inlineStr">
        <is>
          <t>Wednesday</t>
        </is>
      </c>
      <c r="AC1118" t="n">
        <v>7</v>
      </c>
      <c r="AD1118" t="inlineStr">
        <is>
          <t>Profitable</t>
        </is>
      </c>
      <c r="AE1118" t="inlineStr">
        <is>
          <t>Medium</t>
        </is>
      </c>
      <c r="AF1118" t="inlineStr">
        <is>
          <t>Small</t>
        </is>
      </c>
    </row>
    <row r="1119">
      <c r="A1119" t="inlineStr">
        <is>
          <t>ORD-01118</t>
        </is>
      </c>
      <c r="B1119" s="2" t="n">
        <v>45712</v>
      </c>
      <c r="C1119" s="2" t="n">
        <v>45713</v>
      </c>
      <c r="D1119" t="inlineStr">
        <is>
          <t>CUST-01118</t>
        </is>
      </c>
      <c r="E1119" t="inlineStr">
        <is>
          <t>Customer 1118</t>
        </is>
      </c>
      <c r="F1119" t="inlineStr">
        <is>
          <t>Home Office</t>
        </is>
      </c>
      <c r="G1119" t="inlineStr">
        <is>
          <t>P1013</t>
        </is>
      </c>
      <c r="H1119" t="inlineStr">
        <is>
          <t>Tide Cooler</t>
        </is>
      </c>
      <c r="I1119" t="inlineStr">
        <is>
          <t>Technology</t>
        </is>
      </c>
      <c r="J1119" t="inlineStr">
        <is>
          <t>Bags</t>
        </is>
      </c>
      <c r="K1119" t="inlineStr">
        <is>
          <t>East</t>
        </is>
      </c>
      <c r="L1119" t="inlineStr">
        <is>
          <t>New Jersey</t>
        </is>
      </c>
      <c r="M1119" t="inlineStr">
        <is>
          <t>New York</t>
        </is>
      </c>
      <c r="N1119" t="inlineStr">
        <is>
          <t>Sophia Singh</t>
        </is>
      </c>
      <c r="O1119" t="n">
        <v>4</v>
      </c>
      <c r="P1119" s="3" t="n">
        <v>167.53</v>
      </c>
      <c r="Q1119" s="4" t="n">
        <v>0.01</v>
      </c>
      <c r="R1119" s="3" t="n">
        <v>663.42</v>
      </c>
      <c r="S1119" s="3" t="n">
        <v>383.43</v>
      </c>
      <c r="T1119" s="3" t="n">
        <v>269.79</v>
      </c>
      <c r="U1119" s="4" t="n">
        <v>0.4067</v>
      </c>
      <c r="V1119" s="3" t="n">
        <v>10.2</v>
      </c>
      <c r="W1119" t="inlineStr">
        <is>
          <t>PayPal</t>
        </is>
      </c>
      <c r="X1119" t="inlineStr">
        <is>
          <t>Low</t>
        </is>
      </c>
      <c r="Y1119" t="n">
        <v>2025</v>
      </c>
      <c r="Z1119" t="n">
        <v>2</v>
      </c>
      <c r="AA1119" t="inlineStr">
        <is>
          <t>Feb</t>
        </is>
      </c>
      <c r="AB1119" t="inlineStr">
        <is>
          <t>Monday</t>
        </is>
      </c>
      <c r="AC1119" t="n">
        <v>1</v>
      </c>
      <c r="AD1119" t="inlineStr">
        <is>
          <t>Profitable</t>
        </is>
      </c>
      <c r="AE1119" t="inlineStr">
        <is>
          <t>Low</t>
        </is>
      </c>
      <c r="AF1119" t="inlineStr">
        <is>
          <t>Medium</t>
        </is>
      </c>
    </row>
    <row r="1120">
      <c r="A1120" t="inlineStr">
        <is>
          <t>ORD-01119</t>
        </is>
      </c>
      <c r="B1120" s="2" t="n">
        <v>44939</v>
      </c>
      <c r="C1120" s="2" t="n">
        <v>44943</v>
      </c>
      <c r="D1120" t="inlineStr">
        <is>
          <t>CUST-01119</t>
        </is>
      </c>
      <c r="E1120" t="inlineStr">
        <is>
          <t>Customer 1119</t>
        </is>
      </c>
      <c r="F1120" t="inlineStr">
        <is>
          <t>Consumer</t>
        </is>
      </c>
      <c r="G1120" t="inlineStr">
        <is>
          <t>P1003</t>
        </is>
      </c>
      <c r="H1120" t="inlineStr">
        <is>
          <t>Harbor Rug</t>
        </is>
      </c>
      <c r="I1120" t="inlineStr">
        <is>
          <t>Office Supplies</t>
        </is>
      </c>
      <c r="J1120" t="inlineStr">
        <is>
          <t>Chairs</t>
        </is>
      </c>
      <c r="K1120" t="inlineStr">
        <is>
          <t>East</t>
        </is>
      </c>
      <c r="L1120" t="inlineStr">
        <is>
          <t>Virginia</t>
        </is>
      </c>
      <c r="M1120" t="inlineStr">
        <is>
          <t>Boston</t>
        </is>
      </c>
      <c r="N1120" t="inlineStr">
        <is>
          <t>Olivia Martin</t>
        </is>
      </c>
      <c r="O1120" t="n">
        <v>1</v>
      </c>
      <c r="P1120" s="3" t="n">
        <v>147.77</v>
      </c>
      <c r="Q1120" s="4" t="n">
        <v>0.002</v>
      </c>
      <c r="R1120" s="3" t="n">
        <v>147.47</v>
      </c>
      <c r="S1120" s="3" t="n">
        <v>82.40000000000001</v>
      </c>
      <c r="T1120" s="3" t="n">
        <v>57.27</v>
      </c>
      <c r="U1120" s="4" t="n">
        <v>0.3884</v>
      </c>
      <c r="V1120" s="3" t="n">
        <v>7.8</v>
      </c>
      <c r="W1120" t="inlineStr">
        <is>
          <t>Bank Transfer</t>
        </is>
      </c>
      <c r="X1120" t="inlineStr">
        <is>
          <t>Medium</t>
        </is>
      </c>
      <c r="Y1120" t="n">
        <v>2023</v>
      </c>
      <c r="Z1120" t="n">
        <v>1</v>
      </c>
      <c r="AA1120" t="inlineStr">
        <is>
          <t>Jan</t>
        </is>
      </c>
      <c r="AB1120" t="inlineStr">
        <is>
          <t>Friday</t>
        </is>
      </c>
      <c r="AC1120" t="n">
        <v>4</v>
      </c>
      <c r="AD1120" t="inlineStr">
        <is>
          <t>Profitable</t>
        </is>
      </c>
      <c r="AE1120" t="inlineStr">
        <is>
          <t>Low</t>
        </is>
      </c>
      <c r="AF1120" t="inlineStr">
        <is>
          <t>Small</t>
        </is>
      </c>
    </row>
    <row r="1121">
      <c r="A1121" t="inlineStr">
        <is>
          <t>ORD-01120</t>
        </is>
      </c>
      <c r="B1121" s="2" t="n">
        <v>45013</v>
      </c>
      <c r="C1121" s="2" t="n">
        <v>45020</v>
      </c>
      <c r="D1121" t="inlineStr">
        <is>
          <t>CUST-01120</t>
        </is>
      </c>
      <c r="E1121" t="inlineStr">
        <is>
          <t>Customer 1120</t>
        </is>
      </c>
      <c r="F1121" t="inlineStr">
        <is>
          <t>Consumer</t>
        </is>
      </c>
      <c r="G1121" t="inlineStr">
        <is>
          <t>P1008</t>
        </is>
      </c>
      <c r="H1121" t="inlineStr">
        <is>
          <t>Nova Laptop Stand</t>
        </is>
      </c>
      <c r="I1121" t="inlineStr">
        <is>
          <t>Office Supplies</t>
        </is>
      </c>
      <c r="J1121" t="inlineStr">
        <is>
          <t>Flooring</t>
        </is>
      </c>
      <c r="K1121" t="inlineStr">
        <is>
          <t>West</t>
        </is>
      </c>
      <c r="L1121" t="inlineStr">
        <is>
          <t>California</t>
        </is>
      </c>
      <c r="M1121" t="inlineStr">
        <is>
          <t>Los Angeles</t>
        </is>
      </c>
      <c r="N1121" t="inlineStr">
        <is>
          <t>Olivia Martin</t>
        </is>
      </c>
      <c r="O1121" t="n">
        <v>2</v>
      </c>
      <c r="P1121" s="3" t="n">
        <v>37.97</v>
      </c>
      <c r="Q1121" s="4" t="n">
        <v>0.021</v>
      </c>
      <c r="R1121" s="3" t="n">
        <v>74.34999999999999</v>
      </c>
      <c r="S1121" s="3" t="n">
        <v>32.73</v>
      </c>
      <c r="T1121" s="3" t="n">
        <v>33.02</v>
      </c>
      <c r="U1121" s="4" t="n">
        <v>0.4441</v>
      </c>
      <c r="V1121" s="3" t="n">
        <v>8.6</v>
      </c>
      <c r="W1121" t="inlineStr">
        <is>
          <t>Bank Transfer</t>
        </is>
      </c>
      <c r="X1121" t="inlineStr">
        <is>
          <t>Medium</t>
        </is>
      </c>
      <c r="Y1121" t="n">
        <v>2023</v>
      </c>
      <c r="Z1121" t="n">
        <v>3</v>
      </c>
      <c r="AA1121" t="inlineStr">
        <is>
          <t>Mar</t>
        </is>
      </c>
      <c r="AB1121" t="inlineStr">
        <is>
          <t>Tuesday</t>
        </is>
      </c>
      <c r="AC1121" t="n">
        <v>7</v>
      </c>
      <c r="AD1121" t="inlineStr">
        <is>
          <t>Profitable</t>
        </is>
      </c>
      <c r="AE1121" t="inlineStr">
        <is>
          <t>Medium</t>
        </is>
      </c>
      <c r="AF1121" t="inlineStr">
        <is>
          <t>Small</t>
        </is>
      </c>
    </row>
    <row r="1122">
      <c r="A1122" t="inlineStr">
        <is>
          <t>ORD-01121</t>
        </is>
      </c>
      <c r="B1122" s="2" t="n">
        <v>45995</v>
      </c>
      <c r="C1122" s="2" t="n">
        <v>45997</v>
      </c>
      <c r="D1122" t="inlineStr">
        <is>
          <t>CUST-01121</t>
        </is>
      </c>
      <c r="E1122" t="inlineStr">
        <is>
          <t>Customer 1121</t>
        </is>
      </c>
      <c r="F1122" t="inlineStr">
        <is>
          <t>Corporate</t>
        </is>
      </c>
      <c r="G1122" t="inlineStr">
        <is>
          <t>P1011</t>
        </is>
      </c>
      <c r="H1122" t="inlineStr">
        <is>
          <t>Northstar Lantern</t>
        </is>
      </c>
      <c r="I1122" t="inlineStr">
        <is>
          <t>Technology</t>
        </is>
      </c>
      <c r="J1122" t="inlineStr">
        <is>
          <t>Storage</t>
        </is>
      </c>
      <c r="K1122" t="inlineStr">
        <is>
          <t>West</t>
        </is>
      </c>
      <c r="L1122" t="inlineStr">
        <is>
          <t>Washington</t>
        </is>
      </c>
      <c r="M1122" t="inlineStr">
        <is>
          <t>Seattle</t>
        </is>
      </c>
      <c r="N1122" t="inlineStr">
        <is>
          <t>Liam Chen</t>
        </is>
      </c>
      <c r="O1122" t="n">
        <v>3</v>
      </c>
      <c r="P1122" s="3" t="n">
        <v>100.59</v>
      </c>
      <c r="Q1122" s="4" t="n">
        <v>0.049</v>
      </c>
      <c r="R1122" s="3" t="n">
        <v>286.98</v>
      </c>
      <c r="S1122" s="3" t="n">
        <v>138.83</v>
      </c>
      <c r="T1122" s="3" t="n">
        <v>138.75</v>
      </c>
      <c r="U1122" s="4" t="n">
        <v>0.4835</v>
      </c>
      <c r="V1122" s="3" t="n">
        <v>9.4</v>
      </c>
      <c r="W1122" t="inlineStr">
        <is>
          <t>PayPal</t>
        </is>
      </c>
      <c r="X1122" t="inlineStr">
        <is>
          <t>High</t>
        </is>
      </c>
      <c r="Y1122" t="n">
        <v>2025</v>
      </c>
      <c r="Z1122" t="n">
        <v>12</v>
      </c>
      <c r="AA1122" t="inlineStr">
        <is>
          <t>Dec</t>
        </is>
      </c>
      <c r="AB1122" t="inlineStr">
        <is>
          <t>Thursday</t>
        </is>
      </c>
      <c r="AC1122" t="n">
        <v>2</v>
      </c>
      <c r="AD1122" t="inlineStr">
        <is>
          <t>Profitable</t>
        </is>
      </c>
      <c r="AE1122" t="inlineStr">
        <is>
          <t>Medium</t>
        </is>
      </c>
      <c r="AF1122" t="inlineStr">
        <is>
          <t>Small</t>
        </is>
      </c>
    </row>
    <row r="1123">
      <c r="A1123" t="inlineStr">
        <is>
          <t>ORD-01122</t>
        </is>
      </c>
      <c r="B1123" s="2" t="n">
        <v>45741</v>
      </c>
      <c r="C1123" s="2" t="n">
        <v>45743</v>
      </c>
      <c r="D1123" t="inlineStr">
        <is>
          <t>CUST-01122</t>
        </is>
      </c>
      <c r="E1123" t="inlineStr">
        <is>
          <t>Customer 1122</t>
        </is>
      </c>
      <c r="F1123" t="inlineStr">
        <is>
          <t>Corporate</t>
        </is>
      </c>
      <c r="G1123" t="inlineStr">
        <is>
          <t>P1016</t>
        </is>
      </c>
      <c r="H1123" t="inlineStr">
        <is>
          <t>Aero Standing Desk</t>
        </is>
      </c>
      <c r="I1123" t="inlineStr">
        <is>
          <t>Technology</t>
        </is>
      </c>
      <c r="J1123" t="inlineStr">
        <is>
          <t>Peripherals</t>
        </is>
      </c>
      <c r="K1123" t="inlineStr">
        <is>
          <t>East</t>
        </is>
      </c>
      <c r="L1123" t="inlineStr">
        <is>
          <t>New York</t>
        </is>
      </c>
      <c r="M1123" t="inlineStr">
        <is>
          <t>Philadelphia</t>
        </is>
      </c>
      <c r="N1123" t="inlineStr">
        <is>
          <t>Liam Chen</t>
        </is>
      </c>
      <c r="O1123" t="n">
        <v>3</v>
      </c>
      <c r="P1123" s="3" t="n">
        <v>39.4</v>
      </c>
      <c r="Q1123" s="4" t="n">
        <v>0.015</v>
      </c>
      <c r="R1123" s="3" t="n">
        <v>116.43</v>
      </c>
      <c r="S1123" s="3" t="n">
        <v>52.88</v>
      </c>
      <c r="T1123" s="3" t="n">
        <v>54.15</v>
      </c>
      <c r="U1123" s="4" t="n">
        <v>0.4651</v>
      </c>
      <c r="V1123" s="3" t="n">
        <v>9.4</v>
      </c>
      <c r="W1123" t="inlineStr">
        <is>
          <t>Bank Transfer</t>
        </is>
      </c>
      <c r="X1123" t="inlineStr">
        <is>
          <t>Medium</t>
        </is>
      </c>
      <c r="Y1123" t="n">
        <v>2025</v>
      </c>
      <c r="Z1123" t="n">
        <v>3</v>
      </c>
      <c r="AA1123" t="inlineStr">
        <is>
          <t>Mar</t>
        </is>
      </c>
      <c r="AB1123" t="inlineStr">
        <is>
          <t>Tuesday</t>
        </is>
      </c>
      <c r="AC1123" t="n">
        <v>2</v>
      </c>
      <c r="AD1123" t="inlineStr">
        <is>
          <t>Profitable</t>
        </is>
      </c>
      <c r="AE1123" t="inlineStr">
        <is>
          <t>Low</t>
        </is>
      </c>
      <c r="AF1123" t="inlineStr">
        <is>
          <t>Small</t>
        </is>
      </c>
    </row>
    <row r="1124">
      <c r="A1124" t="inlineStr">
        <is>
          <t>ORD-01123</t>
        </is>
      </c>
      <c r="B1124" s="2" t="n">
        <v>45860</v>
      </c>
      <c r="C1124" s="2" t="n">
        <v>45867</v>
      </c>
      <c r="D1124" t="inlineStr">
        <is>
          <t>CUST-01123</t>
        </is>
      </c>
      <c r="E1124" t="inlineStr">
        <is>
          <t>Customer 1123</t>
        </is>
      </c>
      <c r="F1124" t="inlineStr">
        <is>
          <t>Consumer</t>
        </is>
      </c>
      <c r="G1124" t="inlineStr">
        <is>
          <t>P1020</t>
        </is>
      </c>
      <c r="H1124" t="inlineStr">
        <is>
          <t>Aero Standing Desk</t>
        </is>
      </c>
      <c r="I1124" t="inlineStr">
        <is>
          <t>Office Supplies</t>
        </is>
      </c>
      <c r="J1124" t="inlineStr">
        <is>
          <t>Bags</t>
        </is>
      </c>
      <c r="K1124" t="inlineStr">
        <is>
          <t>Central</t>
        </is>
      </c>
      <c r="L1124" t="inlineStr">
        <is>
          <t>Minnesota</t>
        </is>
      </c>
      <c r="M1124" t="inlineStr">
        <is>
          <t>St. Louis</t>
        </is>
      </c>
      <c r="N1124" t="inlineStr">
        <is>
          <t>Mia Rodriguez</t>
        </is>
      </c>
      <c r="O1124" t="n">
        <v>3</v>
      </c>
      <c r="P1124" s="3" t="n">
        <v>75.27</v>
      </c>
      <c r="Q1124" s="4" t="n">
        <v>0.016</v>
      </c>
      <c r="R1124" s="3" t="n">
        <v>222.2</v>
      </c>
      <c r="S1124" s="3" t="n">
        <v>109.47</v>
      </c>
      <c r="T1124" s="3" t="n">
        <v>104.33</v>
      </c>
      <c r="U1124" s="4" t="n">
        <v>0.4695</v>
      </c>
      <c r="V1124" s="3" t="n">
        <v>8.4</v>
      </c>
      <c r="W1124" t="inlineStr">
        <is>
          <t>Bank Transfer</t>
        </is>
      </c>
      <c r="X1124" t="inlineStr">
        <is>
          <t>High</t>
        </is>
      </c>
      <c r="Y1124" t="n">
        <v>2025</v>
      </c>
      <c r="Z1124" t="n">
        <v>7</v>
      </c>
      <c r="AA1124" t="inlineStr">
        <is>
          <t>Jul</t>
        </is>
      </c>
      <c r="AB1124" t="inlineStr">
        <is>
          <t>Tuesday</t>
        </is>
      </c>
      <c r="AC1124" t="n">
        <v>7</v>
      </c>
      <c r="AD1124" t="inlineStr">
        <is>
          <t>Profitable</t>
        </is>
      </c>
      <c r="AE1124" t="inlineStr">
        <is>
          <t>Low</t>
        </is>
      </c>
      <c r="AF1124" t="inlineStr">
        <is>
          <t>Small</t>
        </is>
      </c>
    </row>
    <row r="1125">
      <c r="A1125" t="inlineStr">
        <is>
          <t>ORD-01124</t>
        </is>
      </c>
      <c r="B1125" s="2" t="n">
        <v>45966</v>
      </c>
      <c r="C1125" s="2" t="n">
        <v>45971</v>
      </c>
      <c r="D1125" t="inlineStr">
        <is>
          <t>CUST-01124</t>
        </is>
      </c>
      <c r="E1125" t="inlineStr">
        <is>
          <t>Customer 1124</t>
        </is>
      </c>
      <c r="F1125" t="inlineStr">
        <is>
          <t>Consumer</t>
        </is>
      </c>
      <c r="G1125" t="inlineStr">
        <is>
          <t>P1019</t>
        </is>
      </c>
      <c r="H1125" t="inlineStr">
        <is>
          <t>Harbor Rug</t>
        </is>
      </c>
      <c r="I1125" t="inlineStr">
        <is>
          <t>Office Supplies</t>
        </is>
      </c>
      <c r="J1125" t="inlineStr">
        <is>
          <t>Writing</t>
        </is>
      </c>
      <c r="K1125" t="inlineStr">
        <is>
          <t>Central</t>
        </is>
      </c>
      <c r="L1125" t="inlineStr">
        <is>
          <t>Kansas</t>
        </is>
      </c>
      <c r="M1125" t="inlineStr">
        <is>
          <t>Chicago</t>
        </is>
      </c>
      <c r="N1125" t="inlineStr">
        <is>
          <t>Sophia Singh</t>
        </is>
      </c>
      <c r="O1125" t="n">
        <v>4</v>
      </c>
      <c r="P1125" s="3" t="n">
        <v>62.91</v>
      </c>
      <c r="Q1125" s="4" t="n">
        <v>0.039</v>
      </c>
      <c r="R1125" s="3" t="n">
        <v>241.83</v>
      </c>
      <c r="S1125" s="3" t="n">
        <v>107.13</v>
      </c>
      <c r="T1125" s="3" t="n">
        <v>125.5</v>
      </c>
      <c r="U1125" s="4" t="n">
        <v>0.519</v>
      </c>
      <c r="V1125" s="3" t="n">
        <v>9.199999999999999</v>
      </c>
      <c r="W1125" t="inlineStr">
        <is>
          <t>Debit Card</t>
        </is>
      </c>
      <c r="X1125" t="inlineStr">
        <is>
          <t>High</t>
        </is>
      </c>
      <c r="Y1125" t="n">
        <v>2025</v>
      </c>
      <c r="Z1125" t="n">
        <v>11</v>
      </c>
      <c r="AA1125" t="inlineStr">
        <is>
          <t>Nov</t>
        </is>
      </c>
      <c r="AB1125" t="inlineStr">
        <is>
          <t>Wednesday</t>
        </is>
      </c>
      <c r="AC1125" t="n">
        <v>5</v>
      </c>
      <c r="AD1125" t="inlineStr">
        <is>
          <t>Profitable</t>
        </is>
      </c>
      <c r="AE1125" t="inlineStr">
        <is>
          <t>Medium</t>
        </is>
      </c>
      <c r="AF1125" t="inlineStr">
        <is>
          <t>Small</t>
        </is>
      </c>
    </row>
    <row r="1126">
      <c r="A1126" t="inlineStr">
        <is>
          <t>ORD-01125</t>
        </is>
      </c>
      <c r="B1126" s="2" t="n">
        <v>45676</v>
      </c>
      <c r="C1126" s="2" t="n">
        <v>45680</v>
      </c>
      <c r="D1126" t="inlineStr">
        <is>
          <t>CUST-01125</t>
        </is>
      </c>
      <c r="E1126" t="inlineStr">
        <is>
          <t>Customer 1125</t>
        </is>
      </c>
      <c r="F1126" t="inlineStr">
        <is>
          <t>Consumer</t>
        </is>
      </c>
      <c r="G1126" t="inlineStr">
        <is>
          <t>P1009</t>
        </is>
      </c>
      <c r="H1126" t="inlineStr">
        <is>
          <t>Pulse Keyboard</t>
        </is>
      </c>
      <c r="I1126" t="inlineStr">
        <is>
          <t>Technology</t>
        </is>
      </c>
      <c r="J1126" t="inlineStr">
        <is>
          <t>Lighting</t>
        </is>
      </c>
      <c r="K1126" t="inlineStr">
        <is>
          <t>West</t>
        </is>
      </c>
      <c r="L1126" t="inlineStr">
        <is>
          <t>California</t>
        </is>
      </c>
      <c r="M1126" t="inlineStr">
        <is>
          <t>San Francisco</t>
        </is>
      </c>
      <c r="N1126" t="inlineStr">
        <is>
          <t>James Carter</t>
        </is>
      </c>
      <c r="O1126" t="n">
        <v>2</v>
      </c>
      <c r="P1126" s="3" t="n">
        <v>93.69</v>
      </c>
      <c r="Q1126" s="4" t="n">
        <v>0.04099999999999999</v>
      </c>
      <c r="R1126" s="3" t="n">
        <v>179.7</v>
      </c>
      <c r="S1126" s="3" t="n">
        <v>94.37</v>
      </c>
      <c r="T1126" s="3" t="n">
        <v>76.73</v>
      </c>
      <c r="U1126" s="4" t="n">
        <v>0.427</v>
      </c>
      <c r="V1126" s="3" t="n">
        <v>8.6</v>
      </c>
      <c r="W1126" t="inlineStr">
        <is>
          <t>Credit Card</t>
        </is>
      </c>
      <c r="X1126" t="inlineStr">
        <is>
          <t>High</t>
        </is>
      </c>
      <c r="Y1126" t="n">
        <v>2025</v>
      </c>
      <c r="Z1126" t="n">
        <v>1</v>
      </c>
      <c r="AA1126" t="inlineStr">
        <is>
          <t>Jan</t>
        </is>
      </c>
      <c r="AB1126" t="inlineStr">
        <is>
          <t>Sunday</t>
        </is>
      </c>
      <c r="AC1126" t="n">
        <v>4</v>
      </c>
      <c r="AD1126" t="inlineStr">
        <is>
          <t>Profitable</t>
        </is>
      </c>
      <c r="AE1126" t="inlineStr">
        <is>
          <t>Medium</t>
        </is>
      </c>
      <c r="AF1126" t="inlineStr">
        <is>
          <t>Small</t>
        </is>
      </c>
    </row>
    <row r="1127">
      <c r="A1127" t="inlineStr">
        <is>
          <t>ORD-01126</t>
        </is>
      </c>
      <c r="B1127" s="2" t="n">
        <v>45509</v>
      </c>
      <c r="C1127" s="2" t="n">
        <v>45512</v>
      </c>
      <c r="D1127" t="inlineStr">
        <is>
          <t>CUST-01126</t>
        </is>
      </c>
      <c r="E1127" t="inlineStr">
        <is>
          <t>Customer 1126</t>
        </is>
      </c>
      <c r="F1127" t="inlineStr">
        <is>
          <t>Corporate</t>
        </is>
      </c>
      <c r="G1127" t="inlineStr">
        <is>
          <t>P1010</t>
        </is>
      </c>
      <c r="H1127" t="inlineStr">
        <is>
          <t>Lumen Desk Lamp</t>
        </is>
      </c>
      <c r="I1127" t="inlineStr">
        <is>
          <t>Technology</t>
        </is>
      </c>
      <c r="J1127" t="inlineStr">
        <is>
          <t>Writing</t>
        </is>
      </c>
      <c r="K1127" t="inlineStr">
        <is>
          <t>West</t>
        </is>
      </c>
      <c r="L1127" t="inlineStr">
        <is>
          <t>Oregon</t>
        </is>
      </c>
      <c r="M1127" t="inlineStr">
        <is>
          <t>Seattle</t>
        </is>
      </c>
      <c r="N1127" t="inlineStr">
        <is>
          <t>James Carter</t>
        </is>
      </c>
      <c r="O1127" t="n">
        <v>1</v>
      </c>
      <c r="P1127" s="3" t="n">
        <v>57.31</v>
      </c>
      <c r="Q1127" s="4" t="n">
        <v>0.018</v>
      </c>
      <c r="R1127" s="3" t="n">
        <v>56.28</v>
      </c>
      <c r="S1127" s="3" t="n">
        <v>27.53</v>
      </c>
      <c r="T1127" s="3" t="n">
        <v>20.95</v>
      </c>
      <c r="U1127" s="4" t="n">
        <v>0.3722</v>
      </c>
      <c r="V1127" s="3" t="n">
        <v>7.8</v>
      </c>
      <c r="W1127" t="inlineStr">
        <is>
          <t>Credit Card</t>
        </is>
      </c>
      <c r="X1127" t="inlineStr">
        <is>
          <t>Medium</t>
        </is>
      </c>
      <c r="Y1127" t="n">
        <v>2024</v>
      </c>
      <c r="Z1127" t="n">
        <v>8</v>
      </c>
      <c r="AA1127" t="inlineStr">
        <is>
          <t>Aug</t>
        </is>
      </c>
      <c r="AB1127" t="inlineStr">
        <is>
          <t>Monday</t>
        </is>
      </c>
      <c r="AC1127" t="n">
        <v>3</v>
      </c>
      <c r="AD1127" t="inlineStr">
        <is>
          <t>Profitable</t>
        </is>
      </c>
      <c r="AE1127" t="inlineStr">
        <is>
          <t>Low</t>
        </is>
      </c>
      <c r="AF1127" t="inlineStr">
        <is>
          <t>Small</t>
        </is>
      </c>
    </row>
    <row r="1128">
      <c r="A1128" t="inlineStr">
        <is>
          <t>ORD-01127</t>
        </is>
      </c>
      <c r="B1128" s="2" t="n">
        <v>45067</v>
      </c>
      <c r="C1128" s="2" t="n">
        <v>45073</v>
      </c>
      <c r="D1128" t="inlineStr">
        <is>
          <t>CUST-01127</t>
        </is>
      </c>
      <c r="E1128" t="inlineStr">
        <is>
          <t>Customer 1127</t>
        </is>
      </c>
      <c r="F1128" t="inlineStr">
        <is>
          <t>Corporate</t>
        </is>
      </c>
      <c r="G1128" t="inlineStr">
        <is>
          <t>P1006</t>
        </is>
      </c>
      <c r="H1128" t="inlineStr">
        <is>
          <t>ProClip Binder</t>
        </is>
      </c>
      <c r="I1128" t="inlineStr">
        <is>
          <t>Furniture</t>
        </is>
      </c>
      <c r="J1128" t="inlineStr">
        <is>
          <t>Textiles</t>
        </is>
      </c>
      <c r="K1128" t="inlineStr">
        <is>
          <t>East</t>
        </is>
      </c>
      <c r="L1128" t="inlineStr">
        <is>
          <t>New York</t>
        </is>
      </c>
      <c r="M1128" t="inlineStr">
        <is>
          <t>New York</t>
        </is>
      </c>
      <c r="N1128" t="inlineStr">
        <is>
          <t>Liam Chen</t>
        </is>
      </c>
      <c r="O1128" t="n">
        <v>2</v>
      </c>
      <c r="P1128" s="3" t="n">
        <v>17.67</v>
      </c>
      <c r="Q1128" s="4" t="n">
        <v>0.051</v>
      </c>
      <c r="R1128" s="3" t="n">
        <v>33.54</v>
      </c>
      <c r="S1128" s="3" t="n">
        <v>16.23</v>
      </c>
      <c r="T1128" s="3" t="n">
        <v>8.710000000000001</v>
      </c>
      <c r="U1128" s="4" t="n">
        <v>0.2597</v>
      </c>
      <c r="V1128" s="3" t="n">
        <v>8.6</v>
      </c>
      <c r="W1128" t="inlineStr">
        <is>
          <t>Debit Card</t>
        </is>
      </c>
      <c r="X1128" t="inlineStr">
        <is>
          <t>High</t>
        </is>
      </c>
      <c r="Y1128" t="n">
        <v>2023</v>
      </c>
      <c r="Z1128" t="n">
        <v>5</v>
      </c>
      <c r="AA1128" t="inlineStr">
        <is>
          <t>May</t>
        </is>
      </c>
      <c r="AB1128" t="inlineStr">
        <is>
          <t>Sunday</t>
        </is>
      </c>
      <c r="AC1128" t="n">
        <v>6</v>
      </c>
      <c r="AD1128" t="inlineStr">
        <is>
          <t>Profitable</t>
        </is>
      </c>
      <c r="AE1128" t="inlineStr">
        <is>
          <t>High</t>
        </is>
      </c>
      <c r="AF1128" t="inlineStr">
        <is>
          <t>Small</t>
        </is>
      </c>
    </row>
    <row r="1129">
      <c r="A1129" t="inlineStr">
        <is>
          <t>ORD-01128</t>
        </is>
      </c>
      <c r="B1129" s="2" t="n">
        <v>45610</v>
      </c>
      <c r="C1129" s="2" t="n">
        <v>45613</v>
      </c>
      <c r="D1129" t="inlineStr">
        <is>
          <t>CUST-01128</t>
        </is>
      </c>
      <c r="E1129" t="inlineStr">
        <is>
          <t>Customer 1128</t>
        </is>
      </c>
      <c r="F1129" t="inlineStr">
        <is>
          <t>Corporate</t>
        </is>
      </c>
      <c r="G1129" t="inlineStr">
        <is>
          <t>P1003</t>
        </is>
      </c>
      <c r="H1129" t="inlineStr">
        <is>
          <t>Echo Web Camera</t>
        </is>
      </c>
      <c r="I1129" t="inlineStr">
        <is>
          <t>Outdoor</t>
        </is>
      </c>
      <c r="J1129" t="inlineStr">
        <is>
          <t>Video</t>
        </is>
      </c>
      <c r="K1129" t="inlineStr">
        <is>
          <t>West</t>
        </is>
      </c>
      <c r="L1129" t="inlineStr">
        <is>
          <t>Oregon</t>
        </is>
      </c>
      <c r="M1129" t="inlineStr">
        <is>
          <t>Seattle</t>
        </is>
      </c>
      <c r="N1129" t="inlineStr">
        <is>
          <t>Olivia Martin</t>
        </is>
      </c>
      <c r="O1129" t="n">
        <v>5</v>
      </c>
      <c r="P1129" s="3" t="n">
        <v>161.95</v>
      </c>
      <c r="Q1129" s="4" t="n">
        <v>0.027</v>
      </c>
      <c r="R1129" s="3" t="n">
        <v>787.89</v>
      </c>
      <c r="S1129" s="3" t="n">
        <v>412.85</v>
      </c>
      <c r="T1129" s="3" t="n">
        <v>364.04</v>
      </c>
      <c r="U1129" s="4" t="n">
        <v>0.462</v>
      </c>
      <c r="V1129" s="3" t="n">
        <v>11</v>
      </c>
      <c r="W1129" t="inlineStr">
        <is>
          <t>PayPal</t>
        </is>
      </c>
      <c r="X1129" t="inlineStr">
        <is>
          <t>Low</t>
        </is>
      </c>
      <c r="Y1129" t="n">
        <v>2024</v>
      </c>
      <c r="Z1129" t="n">
        <v>11</v>
      </c>
      <c r="AA1129" t="inlineStr">
        <is>
          <t>Nov</t>
        </is>
      </c>
      <c r="AB1129" t="inlineStr">
        <is>
          <t>Thursday</t>
        </is>
      </c>
      <c r="AC1129" t="n">
        <v>3</v>
      </c>
      <c r="AD1129" t="inlineStr">
        <is>
          <t>Profitable</t>
        </is>
      </c>
      <c r="AE1129" t="inlineStr">
        <is>
          <t>Medium</t>
        </is>
      </c>
      <c r="AF1129" t="inlineStr">
        <is>
          <t>Medium</t>
        </is>
      </c>
    </row>
    <row r="1130">
      <c r="A1130" t="inlineStr">
        <is>
          <t>ORD-01129</t>
        </is>
      </c>
      <c r="B1130" s="2" t="n">
        <v>45440</v>
      </c>
      <c r="C1130" s="2" t="n">
        <v>45443</v>
      </c>
      <c r="D1130" t="inlineStr">
        <is>
          <t>CUST-01129</t>
        </is>
      </c>
      <c r="E1130" t="inlineStr">
        <is>
          <t>Customer 1129</t>
        </is>
      </c>
      <c r="F1130" t="inlineStr">
        <is>
          <t>Consumer</t>
        </is>
      </c>
      <c r="G1130" t="inlineStr">
        <is>
          <t>P1020</t>
        </is>
      </c>
      <c r="H1130" t="inlineStr">
        <is>
          <t>CloudDrive File Box</t>
        </is>
      </c>
      <c r="I1130" t="inlineStr">
        <is>
          <t>Furniture</t>
        </is>
      </c>
      <c r="J1130" t="inlineStr">
        <is>
          <t>Peripherals</t>
        </is>
      </c>
      <c r="K1130" t="inlineStr">
        <is>
          <t>West</t>
        </is>
      </c>
      <c r="L1130" t="inlineStr">
        <is>
          <t>California</t>
        </is>
      </c>
      <c r="M1130" t="inlineStr">
        <is>
          <t>Denver</t>
        </is>
      </c>
      <c r="N1130" t="inlineStr">
        <is>
          <t>Sophia Singh</t>
        </is>
      </c>
      <c r="O1130" t="n">
        <v>4</v>
      </c>
      <c r="P1130" s="3" t="n">
        <v>74.25</v>
      </c>
      <c r="Q1130" s="4" t="n">
        <v>0.038</v>
      </c>
      <c r="R1130" s="3" t="n">
        <v>285.71</v>
      </c>
      <c r="S1130" s="3" t="n">
        <v>133.61</v>
      </c>
      <c r="T1130" s="3" t="n">
        <v>141.9</v>
      </c>
      <c r="U1130" s="4" t="n">
        <v>0.4967</v>
      </c>
      <c r="V1130" s="3" t="n">
        <v>10.2</v>
      </c>
      <c r="W1130" t="inlineStr">
        <is>
          <t>Credit Card</t>
        </is>
      </c>
      <c r="X1130" t="inlineStr">
        <is>
          <t>Critical</t>
        </is>
      </c>
      <c r="Y1130" t="n">
        <v>2024</v>
      </c>
      <c r="Z1130" t="n">
        <v>5</v>
      </c>
      <c r="AA1130" t="inlineStr">
        <is>
          <t>May</t>
        </is>
      </c>
      <c r="AB1130" t="inlineStr">
        <is>
          <t>Tuesday</t>
        </is>
      </c>
      <c r="AC1130" t="n">
        <v>3</v>
      </c>
      <c r="AD1130" t="inlineStr">
        <is>
          <t>Profitable</t>
        </is>
      </c>
      <c r="AE1130" t="inlineStr">
        <is>
          <t>Medium</t>
        </is>
      </c>
      <c r="AF1130" t="inlineStr">
        <is>
          <t>Small</t>
        </is>
      </c>
    </row>
    <row r="1131">
      <c r="A1131" t="inlineStr">
        <is>
          <t>ORD-01130</t>
        </is>
      </c>
      <c r="B1131" s="2" t="n">
        <v>45227</v>
      </c>
      <c r="C1131" s="2" t="n">
        <v>45232</v>
      </c>
      <c r="D1131" t="inlineStr">
        <is>
          <t>CUST-01130</t>
        </is>
      </c>
      <c r="E1131" t="inlineStr">
        <is>
          <t>Customer 1130</t>
        </is>
      </c>
      <c r="F1131" t="inlineStr">
        <is>
          <t>Home Office</t>
        </is>
      </c>
      <c r="G1131" t="inlineStr">
        <is>
          <t>P1008</t>
        </is>
      </c>
      <c r="H1131" t="inlineStr">
        <is>
          <t>FlexNote Notebook</t>
        </is>
      </c>
      <c r="I1131" t="inlineStr">
        <is>
          <t>Outdoor</t>
        </is>
      </c>
      <c r="J1131" t="inlineStr">
        <is>
          <t>Accessories</t>
        </is>
      </c>
      <c r="K1131" t="inlineStr">
        <is>
          <t>South</t>
        </is>
      </c>
      <c r="L1131" t="inlineStr">
        <is>
          <t>Florida</t>
        </is>
      </c>
      <c r="M1131" t="inlineStr">
        <is>
          <t>Dallas</t>
        </is>
      </c>
      <c r="N1131" t="inlineStr">
        <is>
          <t>Noah Kim</t>
        </is>
      </c>
      <c r="O1131" t="n">
        <v>2</v>
      </c>
      <c r="P1131" s="3" t="n">
        <v>37.67</v>
      </c>
      <c r="Q1131" s="4" t="n">
        <v>0.041</v>
      </c>
      <c r="R1131" s="3" t="n">
        <v>72.25</v>
      </c>
      <c r="S1131" s="3" t="n">
        <v>35.12</v>
      </c>
      <c r="T1131" s="3" t="n">
        <v>29.53</v>
      </c>
      <c r="U1131" s="4" t="n">
        <v>0.4087</v>
      </c>
      <c r="V1131" s="3" t="n">
        <v>7.6</v>
      </c>
      <c r="W1131" t="inlineStr">
        <is>
          <t>Credit Card</t>
        </is>
      </c>
      <c r="X1131" t="inlineStr">
        <is>
          <t>Critical</t>
        </is>
      </c>
      <c r="Y1131" t="n">
        <v>2023</v>
      </c>
      <c r="Z1131" t="n">
        <v>10</v>
      </c>
      <c r="AA1131" t="inlineStr">
        <is>
          <t>Oct</t>
        </is>
      </c>
      <c r="AB1131" t="inlineStr">
        <is>
          <t>Saturday</t>
        </is>
      </c>
      <c r="AC1131" t="n">
        <v>5</v>
      </c>
      <c r="AD1131" t="inlineStr">
        <is>
          <t>Profitable</t>
        </is>
      </c>
      <c r="AE1131" t="inlineStr">
        <is>
          <t>Medium</t>
        </is>
      </c>
      <c r="AF1131" t="inlineStr">
        <is>
          <t>Small</t>
        </is>
      </c>
    </row>
    <row r="1132">
      <c r="A1132" t="inlineStr">
        <is>
          <t>ORD-01131</t>
        </is>
      </c>
      <c r="B1132" s="2" t="n">
        <v>45904</v>
      </c>
      <c r="C1132" s="2" t="n">
        <v>45907</v>
      </c>
      <c r="D1132" t="inlineStr">
        <is>
          <t>CUST-01131</t>
        </is>
      </c>
      <c r="E1132" t="inlineStr">
        <is>
          <t>Customer 1131</t>
        </is>
      </c>
      <c r="F1132" t="inlineStr">
        <is>
          <t>Home Office</t>
        </is>
      </c>
      <c r="G1132" t="inlineStr">
        <is>
          <t>P1006</t>
        </is>
      </c>
      <c r="H1132" t="inlineStr">
        <is>
          <t>Trail Tote</t>
        </is>
      </c>
      <c r="I1132" t="inlineStr">
        <is>
          <t>Outdoor</t>
        </is>
      </c>
      <c r="J1132" t="inlineStr">
        <is>
          <t>Writing</t>
        </is>
      </c>
      <c r="K1132" t="inlineStr">
        <is>
          <t>South</t>
        </is>
      </c>
      <c r="L1132" t="inlineStr">
        <is>
          <t>Texas</t>
        </is>
      </c>
      <c r="M1132" t="inlineStr">
        <is>
          <t>Houston</t>
        </is>
      </c>
      <c r="N1132" t="inlineStr">
        <is>
          <t>Noah Kim</t>
        </is>
      </c>
      <c r="O1132" t="n">
        <v>2</v>
      </c>
      <c r="P1132" s="3" t="n">
        <v>18.07</v>
      </c>
      <c r="Q1132" s="4" t="n">
        <v>0.02</v>
      </c>
      <c r="R1132" s="3" t="n">
        <v>35.42</v>
      </c>
      <c r="S1132" s="3" t="n">
        <v>19.6</v>
      </c>
      <c r="T1132" s="3" t="n">
        <v>8.220000000000001</v>
      </c>
      <c r="U1132" s="4" t="n">
        <v>0.2321</v>
      </c>
      <c r="V1132" s="3" t="n">
        <v>7.6</v>
      </c>
      <c r="W1132" t="inlineStr">
        <is>
          <t>Credit Card</t>
        </is>
      </c>
      <c r="X1132" t="inlineStr">
        <is>
          <t>Medium</t>
        </is>
      </c>
      <c r="Y1132" t="n">
        <v>2025</v>
      </c>
      <c r="Z1132" t="n">
        <v>9</v>
      </c>
      <c r="AA1132" t="inlineStr">
        <is>
          <t>Sep</t>
        </is>
      </c>
      <c r="AB1132" t="inlineStr">
        <is>
          <t>Thursday</t>
        </is>
      </c>
      <c r="AC1132" t="n">
        <v>3</v>
      </c>
      <c r="AD1132" t="inlineStr">
        <is>
          <t>Profitable</t>
        </is>
      </c>
      <c r="AE1132" t="inlineStr">
        <is>
          <t>Medium</t>
        </is>
      </c>
      <c r="AF1132" t="inlineStr">
        <is>
          <t>Small</t>
        </is>
      </c>
    </row>
    <row r="1133">
      <c r="A1133" t="inlineStr">
        <is>
          <t>ORD-01132</t>
        </is>
      </c>
      <c r="B1133" s="2" t="n">
        <v>45394</v>
      </c>
      <c r="C1133" s="2" t="n">
        <v>45395</v>
      </c>
      <c r="D1133" t="inlineStr">
        <is>
          <t>CUST-01132</t>
        </is>
      </c>
      <c r="E1133" t="inlineStr">
        <is>
          <t>Customer 1132</t>
        </is>
      </c>
      <c r="F1133" t="inlineStr">
        <is>
          <t>Consumer</t>
        </is>
      </c>
      <c r="G1133" t="inlineStr">
        <is>
          <t>P1008</t>
        </is>
      </c>
      <c r="H1133" t="inlineStr">
        <is>
          <t>Nova Laptop Stand</t>
        </is>
      </c>
      <c r="I1133" t="inlineStr">
        <is>
          <t>Technology</t>
        </is>
      </c>
      <c r="J1133" t="inlineStr">
        <is>
          <t>Bags</t>
        </is>
      </c>
      <c r="K1133" t="inlineStr">
        <is>
          <t>North</t>
        </is>
      </c>
      <c r="L1133" t="inlineStr">
        <is>
          <t>Ontario</t>
        </is>
      </c>
      <c r="M1133" t="inlineStr">
        <is>
          <t>Calgary</t>
        </is>
      </c>
      <c r="N1133" t="inlineStr">
        <is>
          <t>Noah Kim</t>
        </is>
      </c>
      <c r="O1133" t="n">
        <v>4</v>
      </c>
      <c r="P1133" s="3" t="n">
        <v>35.64</v>
      </c>
      <c r="Q1133" s="4" t="n">
        <v>0.026</v>
      </c>
      <c r="R1133" s="3" t="n">
        <v>138.85</v>
      </c>
      <c r="S1133" s="3" t="n">
        <v>60.15</v>
      </c>
      <c r="T1133" s="3" t="n">
        <v>69.5</v>
      </c>
      <c r="U1133" s="4" t="n">
        <v>0.5004999999999999</v>
      </c>
      <c r="V1133" s="3" t="n">
        <v>9.199999999999999</v>
      </c>
      <c r="W1133" t="inlineStr">
        <is>
          <t>Credit Card</t>
        </is>
      </c>
      <c r="X1133" t="inlineStr">
        <is>
          <t>Critical</t>
        </is>
      </c>
      <c r="Y1133" t="n">
        <v>2024</v>
      </c>
      <c r="Z1133" t="n">
        <v>4</v>
      </c>
      <c r="AA1133" t="inlineStr">
        <is>
          <t>Apr</t>
        </is>
      </c>
      <c r="AB1133" t="inlineStr">
        <is>
          <t>Friday</t>
        </is>
      </c>
      <c r="AC1133" t="n">
        <v>1</v>
      </c>
      <c r="AD1133" t="inlineStr">
        <is>
          <t>Profitable</t>
        </is>
      </c>
      <c r="AE1133" t="inlineStr">
        <is>
          <t>Medium</t>
        </is>
      </c>
      <c r="AF1133" t="inlineStr">
        <is>
          <t>Small</t>
        </is>
      </c>
    </row>
    <row r="1134">
      <c r="A1134" t="inlineStr">
        <is>
          <t>ORD-01133</t>
        </is>
      </c>
      <c r="B1134" s="2" t="n">
        <v>44932</v>
      </c>
      <c r="C1134" s="2" t="n">
        <v>44935</v>
      </c>
      <c r="D1134" t="inlineStr">
        <is>
          <t>CUST-01133</t>
        </is>
      </c>
      <c r="E1134" t="inlineStr">
        <is>
          <t>Customer 1133</t>
        </is>
      </c>
      <c r="F1134" t="inlineStr">
        <is>
          <t>Consumer</t>
        </is>
      </c>
      <c r="G1134" t="inlineStr">
        <is>
          <t>P1014</t>
        </is>
      </c>
      <c r="H1134" t="inlineStr">
        <is>
          <t>Aero Standing Desk</t>
        </is>
      </c>
      <c r="I1134" t="inlineStr">
        <is>
          <t>Technology</t>
        </is>
      </c>
      <c r="J1134" t="inlineStr">
        <is>
          <t>Decor</t>
        </is>
      </c>
      <c r="K1134" t="inlineStr">
        <is>
          <t>Central</t>
        </is>
      </c>
      <c r="L1134" t="inlineStr">
        <is>
          <t>Illinois</t>
        </is>
      </c>
      <c r="M1134" t="inlineStr">
        <is>
          <t>Minneapolis</t>
        </is>
      </c>
      <c r="N1134" t="inlineStr">
        <is>
          <t>Sophia Singh</t>
        </is>
      </c>
      <c r="O1134" t="n">
        <v>2</v>
      </c>
      <c r="P1134" s="3" t="n">
        <v>41.34</v>
      </c>
      <c r="Q1134" s="4" t="n">
        <v>0.02</v>
      </c>
      <c r="R1134" s="3" t="n">
        <v>81.03</v>
      </c>
      <c r="S1134" s="3" t="n">
        <v>36.89</v>
      </c>
      <c r="T1134" s="3" t="n">
        <v>36.54</v>
      </c>
      <c r="U1134" s="4" t="n">
        <v>0.4509</v>
      </c>
      <c r="V1134" s="3" t="n">
        <v>7.6</v>
      </c>
      <c r="W1134" t="inlineStr">
        <is>
          <t>Debit Card</t>
        </is>
      </c>
      <c r="X1134" t="inlineStr">
        <is>
          <t>High</t>
        </is>
      </c>
      <c r="Y1134" t="n">
        <v>2023</v>
      </c>
      <c r="Z1134" t="n">
        <v>1</v>
      </c>
      <c r="AA1134" t="inlineStr">
        <is>
          <t>Jan</t>
        </is>
      </c>
      <c r="AB1134" t="inlineStr">
        <is>
          <t>Friday</t>
        </is>
      </c>
      <c r="AC1134" t="n">
        <v>3</v>
      </c>
      <c r="AD1134" t="inlineStr">
        <is>
          <t>Profitable</t>
        </is>
      </c>
      <c r="AE1134" t="inlineStr">
        <is>
          <t>Medium</t>
        </is>
      </c>
      <c r="AF1134" t="inlineStr">
        <is>
          <t>Small</t>
        </is>
      </c>
    </row>
    <row r="1135">
      <c r="A1135" t="inlineStr">
        <is>
          <t>ORD-01134</t>
        </is>
      </c>
      <c r="B1135" s="2" t="n">
        <v>45096</v>
      </c>
      <c r="C1135" s="2" t="n">
        <v>45099</v>
      </c>
      <c r="D1135" t="inlineStr">
        <is>
          <t>CUST-01134</t>
        </is>
      </c>
      <c r="E1135" t="inlineStr">
        <is>
          <t>Customer 1134</t>
        </is>
      </c>
      <c r="F1135" t="inlineStr">
        <is>
          <t>Consumer</t>
        </is>
      </c>
      <c r="G1135" t="inlineStr">
        <is>
          <t>P1008</t>
        </is>
      </c>
      <c r="H1135" t="inlineStr">
        <is>
          <t>Nova Laptop Stand</t>
        </is>
      </c>
      <c r="I1135" t="inlineStr">
        <is>
          <t>Home Decor</t>
        </is>
      </c>
      <c r="J1135" t="inlineStr">
        <is>
          <t>Desks</t>
        </is>
      </c>
      <c r="K1135" t="inlineStr">
        <is>
          <t>East</t>
        </is>
      </c>
      <c r="L1135" t="inlineStr">
        <is>
          <t>Massachusetts</t>
        </is>
      </c>
      <c r="M1135" t="inlineStr">
        <is>
          <t>Boston</t>
        </is>
      </c>
      <c r="N1135" t="inlineStr">
        <is>
          <t>Sophia Singh</t>
        </is>
      </c>
      <c r="O1135" t="n">
        <v>3</v>
      </c>
      <c r="P1135" s="3" t="n">
        <v>38.88</v>
      </c>
      <c r="Q1135" s="4" t="n">
        <v>0</v>
      </c>
      <c r="R1135" s="3" t="n">
        <v>116.64</v>
      </c>
      <c r="S1135" s="3" t="n">
        <v>50.58</v>
      </c>
      <c r="T1135" s="3" t="n">
        <v>56.66</v>
      </c>
      <c r="U1135" s="4" t="n">
        <v>0.4858</v>
      </c>
      <c r="V1135" s="3" t="n">
        <v>9.4</v>
      </c>
      <c r="W1135" t="inlineStr">
        <is>
          <t>Credit Card</t>
        </is>
      </c>
      <c r="X1135" t="inlineStr">
        <is>
          <t>Low</t>
        </is>
      </c>
      <c r="Y1135" t="n">
        <v>2023</v>
      </c>
      <c r="Z1135" t="n">
        <v>6</v>
      </c>
      <c r="AA1135" t="inlineStr">
        <is>
          <t>Jun</t>
        </is>
      </c>
      <c r="AB1135" t="inlineStr">
        <is>
          <t>Monday</t>
        </is>
      </c>
      <c r="AC1135" t="n">
        <v>3</v>
      </c>
      <c r="AD1135" t="inlineStr">
        <is>
          <t>Profitable</t>
        </is>
      </c>
      <c r="AE1135" t="inlineStr">
        <is>
          <t>Low</t>
        </is>
      </c>
      <c r="AF1135" t="inlineStr">
        <is>
          <t>Small</t>
        </is>
      </c>
    </row>
    <row r="1136">
      <c r="A1136" t="inlineStr">
        <is>
          <t>ORD-01135</t>
        </is>
      </c>
      <c r="B1136" s="2" t="n">
        <v>45787</v>
      </c>
      <c r="C1136" s="2" t="n">
        <v>45788</v>
      </c>
      <c r="D1136" t="inlineStr">
        <is>
          <t>CUST-01135</t>
        </is>
      </c>
      <c r="E1136" t="inlineStr">
        <is>
          <t>Customer 1135</t>
        </is>
      </c>
      <c r="F1136" t="inlineStr">
        <is>
          <t>Consumer</t>
        </is>
      </c>
      <c r="G1136" t="inlineStr">
        <is>
          <t>P1011</t>
        </is>
      </c>
      <c r="H1136" t="inlineStr">
        <is>
          <t>Echo Web Camera</t>
        </is>
      </c>
      <c r="I1136" t="inlineStr">
        <is>
          <t>Outdoor</t>
        </is>
      </c>
      <c r="J1136" t="inlineStr">
        <is>
          <t>Accessories</t>
        </is>
      </c>
      <c r="K1136" t="inlineStr">
        <is>
          <t>Central</t>
        </is>
      </c>
      <c r="L1136" t="inlineStr">
        <is>
          <t>Illinois</t>
        </is>
      </c>
      <c r="M1136" t="inlineStr">
        <is>
          <t>Kansas City</t>
        </is>
      </c>
      <c r="N1136" t="inlineStr">
        <is>
          <t>Liam Chen</t>
        </is>
      </c>
      <c r="O1136" t="n">
        <v>3</v>
      </c>
      <c r="P1136" s="3" t="n">
        <v>85.75</v>
      </c>
      <c r="Q1136" s="4" t="n">
        <v>0.043</v>
      </c>
      <c r="R1136" s="3" t="n">
        <v>246.19</v>
      </c>
      <c r="S1136" s="3" t="n">
        <v>119.39</v>
      </c>
      <c r="T1136" s="3" t="n">
        <v>118.4</v>
      </c>
      <c r="U1136" s="4" t="n">
        <v>0.4809</v>
      </c>
      <c r="V1136" s="3" t="n">
        <v>8.4</v>
      </c>
      <c r="W1136" t="inlineStr">
        <is>
          <t>Credit Card</t>
        </is>
      </c>
      <c r="X1136" t="inlineStr">
        <is>
          <t>High</t>
        </is>
      </c>
      <c r="Y1136" t="n">
        <v>2025</v>
      </c>
      <c r="Z1136" t="n">
        <v>5</v>
      </c>
      <c r="AA1136" t="inlineStr">
        <is>
          <t>May</t>
        </is>
      </c>
      <c r="AB1136" t="inlineStr">
        <is>
          <t>Saturday</t>
        </is>
      </c>
      <c r="AC1136" t="n">
        <v>1</v>
      </c>
      <c r="AD1136" t="inlineStr">
        <is>
          <t>Profitable</t>
        </is>
      </c>
      <c r="AE1136" t="inlineStr">
        <is>
          <t>Medium</t>
        </is>
      </c>
      <c r="AF1136" t="inlineStr">
        <is>
          <t>Small</t>
        </is>
      </c>
    </row>
    <row r="1137">
      <c r="A1137" t="inlineStr">
        <is>
          <t>ORD-01136</t>
        </is>
      </c>
      <c r="B1137" s="2" t="n">
        <v>45231</v>
      </c>
      <c r="C1137" s="2" t="n">
        <v>45236</v>
      </c>
      <c r="D1137" t="inlineStr">
        <is>
          <t>CUST-01136</t>
        </is>
      </c>
      <c r="E1137" t="inlineStr">
        <is>
          <t>Customer 1136</t>
        </is>
      </c>
      <c r="F1137" t="inlineStr">
        <is>
          <t>Home Office</t>
        </is>
      </c>
      <c r="G1137" t="inlineStr">
        <is>
          <t>P1010</t>
        </is>
      </c>
      <c r="H1137" t="inlineStr">
        <is>
          <t>Aero Standing Desk</t>
        </is>
      </c>
      <c r="I1137" t="inlineStr">
        <is>
          <t>Office Supplies</t>
        </is>
      </c>
      <c r="J1137" t="inlineStr">
        <is>
          <t>Accessories</t>
        </is>
      </c>
      <c r="K1137" t="inlineStr">
        <is>
          <t>East</t>
        </is>
      </c>
      <c r="L1137" t="inlineStr">
        <is>
          <t>Massachusetts</t>
        </is>
      </c>
      <c r="M1137" t="inlineStr">
        <is>
          <t>Philadelphia</t>
        </is>
      </c>
      <c r="N1137" t="inlineStr">
        <is>
          <t>Liam Chen</t>
        </is>
      </c>
      <c r="O1137" t="n">
        <v>3</v>
      </c>
      <c r="P1137" s="3" t="n">
        <v>57.54</v>
      </c>
      <c r="Q1137" s="4" t="n">
        <v>0.052</v>
      </c>
      <c r="R1137" s="3" t="n">
        <v>163.64</v>
      </c>
      <c r="S1137" s="3" t="n">
        <v>74.93000000000001</v>
      </c>
      <c r="T1137" s="3" t="n">
        <v>79.31</v>
      </c>
      <c r="U1137" s="4" t="n">
        <v>0.4847</v>
      </c>
      <c r="V1137" s="3" t="n">
        <v>9.4</v>
      </c>
      <c r="W1137" t="inlineStr">
        <is>
          <t>Credit Card</t>
        </is>
      </c>
      <c r="X1137" t="inlineStr">
        <is>
          <t>Critical</t>
        </is>
      </c>
      <c r="Y1137" t="n">
        <v>2023</v>
      </c>
      <c r="Z1137" t="n">
        <v>11</v>
      </c>
      <c r="AA1137" t="inlineStr">
        <is>
          <t>Nov</t>
        </is>
      </c>
      <c r="AB1137" t="inlineStr">
        <is>
          <t>Wednesday</t>
        </is>
      </c>
      <c r="AC1137" t="n">
        <v>5</v>
      </c>
      <c r="AD1137" t="inlineStr">
        <is>
          <t>Profitable</t>
        </is>
      </c>
      <c r="AE1137" t="inlineStr">
        <is>
          <t>High</t>
        </is>
      </c>
      <c r="AF1137" t="inlineStr">
        <is>
          <t>Small</t>
        </is>
      </c>
    </row>
    <row r="1138">
      <c r="A1138" t="inlineStr">
        <is>
          <t>ORD-01137</t>
        </is>
      </c>
      <c r="B1138" s="2" t="n">
        <v>45984</v>
      </c>
      <c r="C1138" s="2" t="n">
        <v>45986</v>
      </c>
      <c r="D1138" t="inlineStr">
        <is>
          <t>CUST-01137</t>
        </is>
      </c>
      <c r="E1138" t="inlineStr">
        <is>
          <t>Customer 1137</t>
        </is>
      </c>
      <c r="F1138" t="inlineStr">
        <is>
          <t>Corporate</t>
        </is>
      </c>
      <c r="G1138" t="inlineStr">
        <is>
          <t>P1010</t>
        </is>
      </c>
      <c r="H1138" t="inlineStr">
        <is>
          <t>Summit Patio Set</t>
        </is>
      </c>
      <c r="I1138" t="inlineStr">
        <is>
          <t>Technology</t>
        </is>
      </c>
      <c r="J1138" t="inlineStr">
        <is>
          <t>Paper</t>
        </is>
      </c>
      <c r="K1138" t="inlineStr">
        <is>
          <t>West</t>
        </is>
      </c>
      <c r="L1138" t="inlineStr">
        <is>
          <t>Oregon</t>
        </is>
      </c>
      <c r="M1138" t="inlineStr">
        <is>
          <t>Denver</t>
        </is>
      </c>
      <c r="N1138" t="inlineStr">
        <is>
          <t>Mia Rodriguez</t>
        </is>
      </c>
      <c r="O1138" t="n">
        <v>3</v>
      </c>
      <c r="P1138" s="3" t="n">
        <v>63.1</v>
      </c>
      <c r="Q1138" s="4" t="n">
        <v>0.02</v>
      </c>
      <c r="R1138" s="3" t="n">
        <v>185.51</v>
      </c>
      <c r="S1138" s="3" t="n">
        <v>87.58</v>
      </c>
      <c r="T1138" s="3" t="n">
        <v>88.53</v>
      </c>
      <c r="U1138" s="4" t="n">
        <v>0.4772</v>
      </c>
      <c r="V1138" s="3" t="n">
        <v>9.4</v>
      </c>
      <c r="W1138" t="inlineStr">
        <is>
          <t>Cash on Delivery</t>
        </is>
      </c>
      <c r="X1138" t="inlineStr">
        <is>
          <t>Medium</t>
        </is>
      </c>
      <c r="Y1138" t="n">
        <v>2025</v>
      </c>
      <c r="Z1138" t="n">
        <v>11</v>
      </c>
      <c r="AA1138" t="inlineStr">
        <is>
          <t>Nov</t>
        </is>
      </c>
      <c r="AB1138" t="inlineStr">
        <is>
          <t>Sunday</t>
        </is>
      </c>
      <c r="AC1138" t="n">
        <v>2</v>
      </c>
      <c r="AD1138" t="inlineStr">
        <is>
          <t>Profitable</t>
        </is>
      </c>
      <c r="AE1138" t="inlineStr">
        <is>
          <t>Medium</t>
        </is>
      </c>
      <c r="AF1138" t="inlineStr">
        <is>
          <t>Small</t>
        </is>
      </c>
    </row>
    <row r="1139">
      <c r="A1139" t="inlineStr">
        <is>
          <t>ORD-01138</t>
        </is>
      </c>
      <c r="B1139" s="2" t="n">
        <v>45496</v>
      </c>
      <c r="C1139" s="2" t="n">
        <v>45500</v>
      </c>
      <c r="D1139" t="inlineStr">
        <is>
          <t>CUST-01138</t>
        </is>
      </c>
      <c r="E1139" t="inlineStr">
        <is>
          <t>Customer 1138</t>
        </is>
      </c>
      <c r="F1139" t="inlineStr">
        <is>
          <t>Home Office</t>
        </is>
      </c>
      <c r="G1139" t="inlineStr">
        <is>
          <t>P1011</t>
        </is>
      </c>
      <c r="H1139" t="inlineStr">
        <is>
          <t>Trail Tote</t>
        </is>
      </c>
      <c r="I1139" t="inlineStr">
        <is>
          <t>Furniture</t>
        </is>
      </c>
      <c r="J1139" t="inlineStr">
        <is>
          <t>Accessories</t>
        </is>
      </c>
      <c r="K1139" t="inlineStr">
        <is>
          <t>South</t>
        </is>
      </c>
      <c r="L1139" t="inlineStr">
        <is>
          <t>Florida</t>
        </is>
      </c>
      <c r="M1139" t="inlineStr">
        <is>
          <t>Atlanta</t>
        </is>
      </c>
      <c r="N1139" t="inlineStr">
        <is>
          <t>Olivia Martin</t>
        </is>
      </c>
      <c r="O1139" t="n">
        <v>4</v>
      </c>
      <c r="P1139" s="3" t="n">
        <v>84.69</v>
      </c>
      <c r="Q1139" s="4" t="n">
        <v>0.025</v>
      </c>
      <c r="R1139" s="3" t="n">
        <v>330.29</v>
      </c>
      <c r="S1139" s="3" t="n">
        <v>159.28</v>
      </c>
      <c r="T1139" s="3" t="n">
        <v>161.81</v>
      </c>
      <c r="U1139" s="4" t="n">
        <v>0.4899</v>
      </c>
      <c r="V1139" s="3" t="n">
        <v>9.199999999999999</v>
      </c>
      <c r="W1139" t="inlineStr">
        <is>
          <t>Credit Card</t>
        </is>
      </c>
      <c r="X1139" t="inlineStr">
        <is>
          <t>Critical</t>
        </is>
      </c>
      <c r="Y1139" t="n">
        <v>2024</v>
      </c>
      <c r="Z1139" t="n">
        <v>7</v>
      </c>
      <c r="AA1139" t="inlineStr">
        <is>
          <t>Jul</t>
        </is>
      </c>
      <c r="AB1139" t="inlineStr">
        <is>
          <t>Tuesday</t>
        </is>
      </c>
      <c r="AC1139" t="n">
        <v>4</v>
      </c>
      <c r="AD1139" t="inlineStr">
        <is>
          <t>Profitable</t>
        </is>
      </c>
      <c r="AE1139" t="inlineStr">
        <is>
          <t>Medium</t>
        </is>
      </c>
      <c r="AF1139" t="inlineStr">
        <is>
          <t>Small</t>
        </is>
      </c>
    </row>
    <row r="1140">
      <c r="A1140" t="inlineStr">
        <is>
          <t>ORD-01139</t>
        </is>
      </c>
      <c r="B1140" s="2" t="n">
        <v>45563</v>
      </c>
      <c r="C1140" s="2" t="n">
        <v>45568</v>
      </c>
      <c r="D1140" t="inlineStr">
        <is>
          <t>CUST-01139</t>
        </is>
      </c>
      <c r="E1140" t="inlineStr">
        <is>
          <t>Customer 1139</t>
        </is>
      </c>
      <c r="F1140" t="inlineStr">
        <is>
          <t>Consumer</t>
        </is>
      </c>
      <c r="G1140" t="inlineStr">
        <is>
          <t>P1001</t>
        </is>
      </c>
      <c r="H1140" t="inlineStr">
        <is>
          <t>Lumen Desk Lamp</t>
        </is>
      </c>
      <c r="I1140" t="inlineStr">
        <is>
          <t>Office Supplies</t>
        </is>
      </c>
      <c r="J1140" t="inlineStr">
        <is>
          <t>Chairs</t>
        </is>
      </c>
      <c r="K1140" t="inlineStr">
        <is>
          <t>West</t>
        </is>
      </c>
      <c r="L1140" t="inlineStr">
        <is>
          <t>Oregon</t>
        </is>
      </c>
      <c r="M1140" t="inlineStr">
        <is>
          <t>Los Angeles</t>
        </is>
      </c>
      <c r="N1140" t="inlineStr">
        <is>
          <t>Mia Rodriguez</t>
        </is>
      </c>
      <c r="O1140" t="n">
        <v>1</v>
      </c>
      <c r="P1140" s="3" t="n">
        <v>293.02</v>
      </c>
      <c r="Q1140" s="4" t="n">
        <v>0.019</v>
      </c>
      <c r="R1140" s="3" t="n">
        <v>287.45</v>
      </c>
      <c r="S1140" s="3" t="n">
        <v>175.03</v>
      </c>
      <c r="T1140" s="3" t="n">
        <v>104.62</v>
      </c>
      <c r="U1140" s="4" t="n">
        <v>0.364</v>
      </c>
      <c r="V1140" s="3" t="n">
        <v>7.8</v>
      </c>
      <c r="W1140" t="inlineStr">
        <is>
          <t>Debit Card</t>
        </is>
      </c>
      <c r="X1140" t="inlineStr">
        <is>
          <t>Medium</t>
        </is>
      </c>
      <c r="Y1140" t="n">
        <v>2024</v>
      </c>
      <c r="Z1140" t="n">
        <v>9</v>
      </c>
      <c r="AA1140" t="inlineStr">
        <is>
          <t>Sep</t>
        </is>
      </c>
      <c r="AB1140" t="inlineStr">
        <is>
          <t>Saturday</t>
        </is>
      </c>
      <c r="AC1140" t="n">
        <v>5</v>
      </c>
      <c r="AD1140" t="inlineStr">
        <is>
          <t>Profitable</t>
        </is>
      </c>
      <c r="AE1140" t="inlineStr">
        <is>
          <t>Low</t>
        </is>
      </c>
      <c r="AF1140" t="inlineStr">
        <is>
          <t>Small</t>
        </is>
      </c>
    </row>
    <row r="1141">
      <c r="A1141" t="inlineStr">
        <is>
          <t>ORD-01140</t>
        </is>
      </c>
      <c r="B1141" s="2" t="n">
        <v>45520</v>
      </c>
      <c r="C1141" s="2" t="n">
        <v>45523</v>
      </c>
      <c r="D1141" t="inlineStr">
        <is>
          <t>CUST-01140</t>
        </is>
      </c>
      <c r="E1141" t="inlineStr">
        <is>
          <t>Customer 1140</t>
        </is>
      </c>
      <c r="F1141" t="inlineStr">
        <is>
          <t>Corporate</t>
        </is>
      </c>
      <c r="G1141" t="inlineStr">
        <is>
          <t>P1015</t>
        </is>
      </c>
      <c r="H1141" t="inlineStr">
        <is>
          <t>Harbor Rug</t>
        </is>
      </c>
      <c r="I1141" t="inlineStr">
        <is>
          <t>Home Decor</t>
        </is>
      </c>
      <c r="J1141" t="inlineStr">
        <is>
          <t>Coolers</t>
        </is>
      </c>
      <c r="K1141" t="inlineStr">
        <is>
          <t>South</t>
        </is>
      </c>
      <c r="L1141" t="inlineStr">
        <is>
          <t>Texas</t>
        </is>
      </c>
      <c r="M1141" t="inlineStr">
        <is>
          <t>Miami</t>
        </is>
      </c>
      <c r="N1141" t="inlineStr">
        <is>
          <t>Mia Rodriguez</t>
        </is>
      </c>
      <c r="O1141" t="n">
        <v>2</v>
      </c>
      <c r="P1141" s="3" t="n">
        <v>64.95999999999999</v>
      </c>
      <c r="Q1141" s="4" t="n">
        <v>0.065</v>
      </c>
      <c r="R1141" s="3" t="n">
        <v>121.48</v>
      </c>
      <c r="S1141" s="3" t="n">
        <v>57.18</v>
      </c>
      <c r="T1141" s="3" t="n">
        <v>56.7</v>
      </c>
      <c r="U1141" s="4" t="n">
        <v>0.4667</v>
      </c>
      <c r="V1141" s="3" t="n">
        <v>7.6</v>
      </c>
      <c r="W1141" t="inlineStr">
        <is>
          <t>PayPal</t>
        </is>
      </c>
      <c r="X1141" t="inlineStr">
        <is>
          <t>High</t>
        </is>
      </c>
      <c r="Y1141" t="n">
        <v>2024</v>
      </c>
      <c r="Z1141" t="n">
        <v>8</v>
      </c>
      <c r="AA1141" t="inlineStr">
        <is>
          <t>Aug</t>
        </is>
      </c>
      <c r="AB1141" t="inlineStr">
        <is>
          <t>Friday</t>
        </is>
      </c>
      <c r="AC1141" t="n">
        <v>3</v>
      </c>
      <c r="AD1141" t="inlineStr">
        <is>
          <t>Profitable</t>
        </is>
      </c>
      <c r="AE1141" t="inlineStr">
        <is>
          <t>High</t>
        </is>
      </c>
      <c r="AF1141" t="inlineStr">
        <is>
          <t>Small</t>
        </is>
      </c>
    </row>
    <row r="1142">
      <c r="A1142" t="inlineStr">
        <is>
          <t>ORD-01141</t>
        </is>
      </c>
      <c r="B1142" s="2" t="n">
        <v>45965</v>
      </c>
      <c r="C1142" s="2" t="n">
        <v>45967</v>
      </c>
      <c r="D1142" t="inlineStr">
        <is>
          <t>CUST-01141</t>
        </is>
      </c>
      <c r="E1142" t="inlineStr">
        <is>
          <t>Customer 1141</t>
        </is>
      </c>
      <c r="F1142" t="inlineStr">
        <is>
          <t>Consumer</t>
        </is>
      </c>
      <c r="G1142" t="inlineStr">
        <is>
          <t>P1005</t>
        </is>
      </c>
      <c r="H1142" t="inlineStr">
        <is>
          <t>Halo Planter</t>
        </is>
      </c>
      <c r="I1142" t="inlineStr">
        <is>
          <t>Home Decor</t>
        </is>
      </c>
      <c r="J1142" t="inlineStr">
        <is>
          <t>Flooring</t>
        </is>
      </c>
      <c r="K1142" t="inlineStr">
        <is>
          <t>Central</t>
        </is>
      </c>
      <c r="L1142" t="inlineStr">
        <is>
          <t>Illinois</t>
        </is>
      </c>
      <c r="M1142" t="inlineStr">
        <is>
          <t>Kansas City</t>
        </is>
      </c>
      <c r="N1142" t="inlineStr">
        <is>
          <t>Olivia Martin</t>
        </is>
      </c>
      <c r="O1142" t="n">
        <v>5</v>
      </c>
      <c r="P1142" s="3" t="n">
        <v>13.4</v>
      </c>
      <c r="Q1142" s="4" t="n">
        <v>0.01</v>
      </c>
      <c r="R1142" s="3" t="n">
        <v>66.33</v>
      </c>
      <c r="S1142" s="3" t="n">
        <v>34.47</v>
      </c>
      <c r="T1142" s="3" t="n">
        <v>21.86</v>
      </c>
      <c r="U1142" s="4" t="n">
        <v>0.3296</v>
      </c>
      <c r="V1142" s="3" t="n">
        <v>10</v>
      </c>
      <c r="W1142" t="inlineStr">
        <is>
          <t>Credit Card</t>
        </is>
      </c>
      <c r="X1142" t="inlineStr">
        <is>
          <t>Medium</t>
        </is>
      </c>
      <c r="Y1142" t="n">
        <v>2025</v>
      </c>
      <c r="Z1142" t="n">
        <v>11</v>
      </c>
      <c r="AA1142" t="inlineStr">
        <is>
          <t>Nov</t>
        </is>
      </c>
      <c r="AB1142" t="inlineStr">
        <is>
          <t>Tuesday</t>
        </is>
      </c>
      <c r="AC1142" t="n">
        <v>2</v>
      </c>
      <c r="AD1142" t="inlineStr">
        <is>
          <t>Profitable</t>
        </is>
      </c>
      <c r="AE1142" t="inlineStr">
        <is>
          <t>Low</t>
        </is>
      </c>
      <c r="AF1142" t="inlineStr">
        <is>
          <t>Small</t>
        </is>
      </c>
    </row>
    <row r="1143">
      <c r="A1143" t="inlineStr">
        <is>
          <t>ORD-01142</t>
        </is>
      </c>
      <c r="B1143" s="2" t="n">
        <v>45452</v>
      </c>
      <c r="C1143" s="2" t="n">
        <v>45456</v>
      </c>
      <c r="D1143" t="inlineStr">
        <is>
          <t>CUST-01142</t>
        </is>
      </c>
      <c r="E1143" t="inlineStr">
        <is>
          <t>Customer 1142</t>
        </is>
      </c>
      <c r="F1143" t="inlineStr">
        <is>
          <t>Consumer</t>
        </is>
      </c>
      <c r="G1143" t="inlineStr">
        <is>
          <t>P1014</t>
        </is>
      </c>
      <c r="H1143" t="inlineStr">
        <is>
          <t>CloudDrive File Box</t>
        </is>
      </c>
      <c r="I1143" t="inlineStr">
        <is>
          <t>Home Decor</t>
        </is>
      </c>
      <c r="J1143" t="inlineStr">
        <is>
          <t>Desks</t>
        </is>
      </c>
      <c r="K1143" t="inlineStr">
        <is>
          <t>Central</t>
        </is>
      </c>
      <c r="L1143" t="inlineStr">
        <is>
          <t>Illinois</t>
        </is>
      </c>
      <c r="M1143" t="inlineStr">
        <is>
          <t>Kansas City</t>
        </is>
      </c>
      <c r="N1143" t="inlineStr">
        <is>
          <t>Ethan Brooks</t>
        </is>
      </c>
      <c r="O1143" t="n">
        <v>4</v>
      </c>
      <c r="P1143" s="3" t="n">
        <v>43.62</v>
      </c>
      <c r="Q1143" s="4" t="n">
        <v>0.011</v>
      </c>
      <c r="R1143" s="3" t="n">
        <v>172.56</v>
      </c>
      <c r="S1143" s="3" t="n">
        <v>73.84999999999999</v>
      </c>
      <c r="T1143" s="3" t="n">
        <v>89.51000000000001</v>
      </c>
      <c r="U1143" s="4" t="n">
        <v>0.5187</v>
      </c>
      <c r="V1143" s="3" t="n">
        <v>9.199999999999999</v>
      </c>
      <c r="W1143" t="inlineStr">
        <is>
          <t>Cash on Delivery</t>
        </is>
      </c>
      <c r="X1143" t="inlineStr">
        <is>
          <t>Medium</t>
        </is>
      </c>
      <c r="Y1143" t="n">
        <v>2024</v>
      </c>
      <c r="Z1143" t="n">
        <v>6</v>
      </c>
      <c r="AA1143" t="inlineStr">
        <is>
          <t>Jun</t>
        </is>
      </c>
      <c r="AB1143" t="inlineStr">
        <is>
          <t>Sunday</t>
        </is>
      </c>
      <c r="AC1143" t="n">
        <v>4</v>
      </c>
      <c r="AD1143" t="inlineStr">
        <is>
          <t>Profitable</t>
        </is>
      </c>
      <c r="AE1143" t="inlineStr">
        <is>
          <t>Low</t>
        </is>
      </c>
      <c r="AF1143" t="inlineStr">
        <is>
          <t>Small</t>
        </is>
      </c>
    </row>
    <row r="1144">
      <c r="A1144" t="inlineStr">
        <is>
          <t>ORD-01143</t>
        </is>
      </c>
      <c r="B1144" s="2" t="n">
        <v>45805</v>
      </c>
      <c r="C1144" s="2" t="n">
        <v>45809</v>
      </c>
      <c r="D1144" t="inlineStr">
        <is>
          <t>CUST-01143</t>
        </is>
      </c>
      <c r="E1144" t="inlineStr">
        <is>
          <t>Customer 1143</t>
        </is>
      </c>
      <c r="F1144" t="inlineStr">
        <is>
          <t>Corporate</t>
        </is>
      </c>
      <c r="G1144" t="inlineStr">
        <is>
          <t>P1020</t>
        </is>
      </c>
      <c r="H1144" t="inlineStr">
        <is>
          <t>ProClip Binder</t>
        </is>
      </c>
      <c r="I1144" t="inlineStr">
        <is>
          <t>Furniture</t>
        </is>
      </c>
      <c r="J1144" t="inlineStr">
        <is>
          <t>Coolers</t>
        </is>
      </c>
      <c r="K1144" t="inlineStr">
        <is>
          <t>East</t>
        </is>
      </c>
      <c r="L1144" t="inlineStr">
        <is>
          <t>Virginia</t>
        </is>
      </c>
      <c r="M1144" t="inlineStr">
        <is>
          <t>Philadelphia</t>
        </is>
      </c>
      <c r="N1144" t="inlineStr">
        <is>
          <t>Ava Patel</t>
        </is>
      </c>
      <c r="O1144" t="n">
        <v>1</v>
      </c>
      <c r="P1144" s="3" t="n">
        <v>72.83</v>
      </c>
      <c r="Q1144" s="4" t="n">
        <v>0.029</v>
      </c>
      <c r="R1144" s="3" t="n">
        <v>70.72</v>
      </c>
      <c r="S1144" s="3" t="n">
        <v>39.15</v>
      </c>
      <c r="T1144" s="3" t="n">
        <v>23.77</v>
      </c>
      <c r="U1144" s="4" t="n">
        <v>0.3361</v>
      </c>
      <c r="V1144" s="3" t="n">
        <v>7.8</v>
      </c>
      <c r="W1144" t="inlineStr">
        <is>
          <t>Credit Card</t>
        </is>
      </c>
      <c r="X1144" t="inlineStr">
        <is>
          <t>Medium</t>
        </is>
      </c>
      <c r="Y1144" t="n">
        <v>2025</v>
      </c>
      <c r="Z1144" t="n">
        <v>5</v>
      </c>
      <c r="AA1144" t="inlineStr">
        <is>
          <t>May</t>
        </is>
      </c>
      <c r="AB1144" t="inlineStr">
        <is>
          <t>Wednesday</t>
        </is>
      </c>
      <c r="AC1144" t="n">
        <v>4</v>
      </c>
      <c r="AD1144" t="inlineStr">
        <is>
          <t>Profitable</t>
        </is>
      </c>
      <c r="AE1144" t="inlineStr">
        <is>
          <t>Medium</t>
        </is>
      </c>
      <c r="AF1144" t="inlineStr">
        <is>
          <t>Small</t>
        </is>
      </c>
    </row>
    <row r="1145">
      <c r="A1145" t="inlineStr">
        <is>
          <t>ORD-01144</t>
        </is>
      </c>
      <c r="B1145" s="2" t="n">
        <v>45430</v>
      </c>
      <c r="C1145" s="2" t="n">
        <v>45434</v>
      </c>
      <c r="D1145" t="inlineStr">
        <is>
          <t>CUST-01144</t>
        </is>
      </c>
      <c r="E1145" t="inlineStr">
        <is>
          <t>Customer 1144</t>
        </is>
      </c>
      <c r="F1145" t="inlineStr">
        <is>
          <t>Consumer</t>
        </is>
      </c>
      <c r="G1145" t="inlineStr">
        <is>
          <t>P1008</t>
        </is>
      </c>
      <c r="H1145" t="inlineStr">
        <is>
          <t>Nova Laptop Stand</t>
        </is>
      </c>
      <c r="I1145" t="inlineStr">
        <is>
          <t>Furniture</t>
        </is>
      </c>
      <c r="J1145" t="inlineStr">
        <is>
          <t>Accessories</t>
        </is>
      </c>
      <c r="K1145" t="inlineStr">
        <is>
          <t>South</t>
        </is>
      </c>
      <c r="L1145" t="inlineStr">
        <is>
          <t>North Carolina</t>
        </is>
      </c>
      <c r="M1145" t="inlineStr">
        <is>
          <t>Houston</t>
        </is>
      </c>
      <c r="N1145" t="inlineStr">
        <is>
          <t>Noah Kim</t>
        </is>
      </c>
      <c r="O1145" t="n">
        <v>3</v>
      </c>
      <c r="P1145" s="3" t="n">
        <v>33.72</v>
      </c>
      <c r="Q1145" s="4" t="n">
        <v>0.028</v>
      </c>
      <c r="R1145" s="3" t="n">
        <v>98.33</v>
      </c>
      <c r="S1145" s="3" t="n">
        <v>47.5</v>
      </c>
      <c r="T1145" s="3" t="n">
        <v>42.43</v>
      </c>
      <c r="U1145" s="4" t="n">
        <v>0.4315</v>
      </c>
      <c r="V1145" s="3" t="n">
        <v>8.4</v>
      </c>
      <c r="W1145" t="inlineStr">
        <is>
          <t>Bank Transfer</t>
        </is>
      </c>
      <c r="X1145" t="inlineStr">
        <is>
          <t>Medium</t>
        </is>
      </c>
      <c r="Y1145" t="n">
        <v>2024</v>
      </c>
      <c r="Z1145" t="n">
        <v>5</v>
      </c>
      <c r="AA1145" t="inlineStr">
        <is>
          <t>May</t>
        </is>
      </c>
      <c r="AB1145" t="inlineStr">
        <is>
          <t>Saturday</t>
        </is>
      </c>
      <c r="AC1145" t="n">
        <v>4</v>
      </c>
      <c r="AD1145" t="inlineStr">
        <is>
          <t>Profitable</t>
        </is>
      </c>
      <c r="AE1145" t="inlineStr">
        <is>
          <t>Medium</t>
        </is>
      </c>
      <c r="AF1145" t="inlineStr">
        <is>
          <t>Small</t>
        </is>
      </c>
    </row>
    <row r="1146">
      <c r="A1146" t="inlineStr">
        <is>
          <t>ORD-01145</t>
        </is>
      </c>
      <c r="B1146" s="2" t="n">
        <v>45155</v>
      </c>
      <c r="C1146" s="2" t="n">
        <v>45156</v>
      </c>
      <c r="D1146" t="inlineStr">
        <is>
          <t>CUST-01145</t>
        </is>
      </c>
      <c r="E1146" t="inlineStr">
        <is>
          <t>Customer 1145</t>
        </is>
      </c>
      <c r="F1146" t="inlineStr">
        <is>
          <t>Corporate</t>
        </is>
      </c>
      <c r="G1146" t="inlineStr">
        <is>
          <t>P1017</t>
        </is>
      </c>
      <c r="H1146" t="inlineStr">
        <is>
          <t>Pulse Keyboard</t>
        </is>
      </c>
      <c r="I1146" t="inlineStr">
        <is>
          <t>Outdoor</t>
        </is>
      </c>
      <c r="J1146" t="inlineStr">
        <is>
          <t>Writing</t>
        </is>
      </c>
      <c r="K1146" t="inlineStr">
        <is>
          <t>North</t>
        </is>
      </c>
      <c r="L1146" t="inlineStr">
        <is>
          <t>Alberta</t>
        </is>
      </c>
      <c r="M1146" t="inlineStr">
        <is>
          <t>Toronto</t>
        </is>
      </c>
      <c r="N1146" t="inlineStr">
        <is>
          <t>Sophia Singh</t>
        </is>
      </c>
      <c r="O1146" t="n">
        <v>1</v>
      </c>
      <c r="P1146" s="3" t="n">
        <v>586.21</v>
      </c>
      <c r="Q1146" s="4" t="n">
        <v>0.015</v>
      </c>
      <c r="R1146" s="3" t="n">
        <v>577.42</v>
      </c>
      <c r="S1146" s="3" t="n">
        <v>392.58</v>
      </c>
      <c r="T1146" s="3" t="n">
        <v>178.04</v>
      </c>
      <c r="U1146" s="4" t="n">
        <v>0.3083</v>
      </c>
      <c r="V1146" s="3" t="n">
        <v>6.8</v>
      </c>
      <c r="W1146" t="inlineStr">
        <is>
          <t>Debit Card</t>
        </is>
      </c>
      <c r="X1146" t="inlineStr">
        <is>
          <t>Medium</t>
        </is>
      </c>
      <c r="Y1146" t="n">
        <v>2023</v>
      </c>
      <c r="Z1146" t="n">
        <v>8</v>
      </c>
      <c r="AA1146" t="inlineStr">
        <is>
          <t>Aug</t>
        </is>
      </c>
      <c r="AB1146" t="inlineStr">
        <is>
          <t>Thursday</t>
        </is>
      </c>
      <c r="AC1146" t="n">
        <v>1</v>
      </c>
      <c r="AD1146" t="inlineStr">
        <is>
          <t>Profitable</t>
        </is>
      </c>
      <c r="AE1146" t="inlineStr">
        <is>
          <t>Low</t>
        </is>
      </c>
      <c r="AF1146" t="inlineStr">
        <is>
          <t>Medium</t>
        </is>
      </c>
    </row>
    <row r="1147">
      <c r="A1147" t="inlineStr">
        <is>
          <t>ORD-01146</t>
        </is>
      </c>
      <c r="B1147" s="2" t="n">
        <v>45853</v>
      </c>
      <c r="C1147" s="2" t="n">
        <v>45854</v>
      </c>
      <c r="D1147" t="inlineStr">
        <is>
          <t>CUST-01146</t>
        </is>
      </c>
      <c r="E1147" t="inlineStr">
        <is>
          <t>Customer 1146</t>
        </is>
      </c>
      <c r="F1147" t="inlineStr">
        <is>
          <t>Corporate</t>
        </is>
      </c>
      <c r="G1147" t="inlineStr">
        <is>
          <t>P1004</t>
        </is>
      </c>
      <c r="H1147" t="inlineStr">
        <is>
          <t>Echo Web Camera</t>
        </is>
      </c>
      <c r="I1147" t="inlineStr">
        <is>
          <t>Office Supplies</t>
        </is>
      </c>
      <c r="J1147" t="inlineStr">
        <is>
          <t>Plants</t>
        </is>
      </c>
      <c r="K1147" t="inlineStr">
        <is>
          <t>Central</t>
        </is>
      </c>
      <c r="L1147" t="inlineStr">
        <is>
          <t>Missouri</t>
        </is>
      </c>
      <c r="M1147" t="inlineStr">
        <is>
          <t>St. Louis</t>
        </is>
      </c>
      <c r="N1147" t="inlineStr">
        <is>
          <t>Ethan Brooks</t>
        </is>
      </c>
      <c r="O1147" t="n">
        <v>3</v>
      </c>
      <c r="P1147" s="3" t="n">
        <v>605.77</v>
      </c>
      <c r="Q1147" s="4" t="n">
        <v>0.011</v>
      </c>
      <c r="R1147" s="3" t="n">
        <v>1797.32</v>
      </c>
      <c r="S1147" s="3" t="n">
        <v>1139.26</v>
      </c>
      <c r="T1147" s="3" t="n">
        <v>649.66</v>
      </c>
      <c r="U1147" s="4" t="n">
        <v>0.3615</v>
      </c>
      <c r="V1147" s="3" t="n">
        <v>8.4</v>
      </c>
      <c r="W1147" t="inlineStr">
        <is>
          <t>Debit Card</t>
        </is>
      </c>
      <c r="X1147" t="inlineStr">
        <is>
          <t>Medium</t>
        </is>
      </c>
      <c r="Y1147" t="n">
        <v>2025</v>
      </c>
      <c r="Z1147" t="n">
        <v>7</v>
      </c>
      <c r="AA1147" t="inlineStr">
        <is>
          <t>Jul</t>
        </is>
      </c>
      <c r="AB1147" t="inlineStr">
        <is>
          <t>Tuesday</t>
        </is>
      </c>
      <c r="AC1147" t="n">
        <v>1</v>
      </c>
      <c r="AD1147" t="inlineStr">
        <is>
          <t>Profitable</t>
        </is>
      </c>
      <c r="AE1147" t="inlineStr">
        <is>
          <t>Low</t>
        </is>
      </c>
      <c r="AF1147" t="inlineStr">
        <is>
          <t>Large</t>
        </is>
      </c>
    </row>
    <row r="1148">
      <c r="A1148" t="inlineStr">
        <is>
          <t>ORD-01147</t>
        </is>
      </c>
      <c r="B1148" s="2" t="n">
        <v>45827</v>
      </c>
      <c r="C1148" s="2" t="n">
        <v>45829</v>
      </c>
      <c r="D1148" t="inlineStr">
        <is>
          <t>CUST-01147</t>
        </is>
      </c>
      <c r="E1148" t="inlineStr">
        <is>
          <t>Customer 1147</t>
        </is>
      </c>
      <c r="F1148" t="inlineStr">
        <is>
          <t>Home Office</t>
        </is>
      </c>
      <c r="G1148" t="inlineStr">
        <is>
          <t>P1004</t>
        </is>
      </c>
      <c r="H1148" t="inlineStr">
        <is>
          <t>Lumen Desk Lamp</t>
        </is>
      </c>
      <c r="I1148" t="inlineStr">
        <is>
          <t>Outdoor</t>
        </is>
      </c>
      <c r="J1148" t="inlineStr">
        <is>
          <t>Flooring</t>
        </is>
      </c>
      <c r="K1148" t="inlineStr">
        <is>
          <t>South</t>
        </is>
      </c>
      <c r="L1148" t="inlineStr">
        <is>
          <t>North Carolina</t>
        </is>
      </c>
      <c r="M1148" t="inlineStr">
        <is>
          <t>Atlanta</t>
        </is>
      </c>
      <c r="N1148" t="inlineStr">
        <is>
          <t>James Carter</t>
        </is>
      </c>
      <c r="O1148" t="n">
        <v>1</v>
      </c>
      <c r="P1148" s="3" t="n">
        <v>631.39</v>
      </c>
      <c r="Q1148" s="4" t="n">
        <v>0.06</v>
      </c>
      <c r="R1148" s="3" t="n">
        <v>593.51</v>
      </c>
      <c r="S1148" s="3" t="n">
        <v>384.26</v>
      </c>
      <c r="T1148" s="3" t="n">
        <v>202.45</v>
      </c>
      <c r="U1148" s="4" t="n">
        <v>0.3411</v>
      </c>
      <c r="V1148" s="3" t="n">
        <v>6.8</v>
      </c>
      <c r="W1148" t="inlineStr">
        <is>
          <t>Debit Card</t>
        </is>
      </c>
      <c r="X1148" t="inlineStr">
        <is>
          <t>Critical</t>
        </is>
      </c>
      <c r="Y1148" t="n">
        <v>2025</v>
      </c>
      <c r="Z1148" t="n">
        <v>6</v>
      </c>
      <c r="AA1148" t="inlineStr">
        <is>
          <t>Jun</t>
        </is>
      </c>
      <c r="AB1148" t="inlineStr">
        <is>
          <t>Thursday</t>
        </is>
      </c>
      <c r="AC1148" t="n">
        <v>2</v>
      </c>
      <c r="AD1148" t="inlineStr">
        <is>
          <t>Profitable</t>
        </is>
      </c>
      <c r="AE1148" t="inlineStr">
        <is>
          <t>High</t>
        </is>
      </c>
      <c r="AF1148" t="inlineStr">
        <is>
          <t>Medium</t>
        </is>
      </c>
    </row>
    <row r="1149">
      <c r="A1149" t="inlineStr">
        <is>
          <t>ORD-01148</t>
        </is>
      </c>
      <c r="B1149" s="2" t="n">
        <v>45695</v>
      </c>
      <c r="C1149" s="2" t="n">
        <v>45698</v>
      </c>
      <c r="D1149" t="inlineStr">
        <is>
          <t>CUST-01148</t>
        </is>
      </c>
      <c r="E1149" t="inlineStr">
        <is>
          <t>Customer 1148</t>
        </is>
      </c>
      <c r="F1149" t="inlineStr">
        <is>
          <t>Consumer</t>
        </is>
      </c>
      <c r="G1149" t="inlineStr">
        <is>
          <t>P1018</t>
        </is>
      </c>
      <c r="H1149" t="inlineStr">
        <is>
          <t>Lumen Desk Lamp</t>
        </is>
      </c>
      <c r="I1149" t="inlineStr">
        <is>
          <t>Technology</t>
        </is>
      </c>
      <c r="J1149" t="inlineStr">
        <is>
          <t>Lighting</t>
        </is>
      </c>
      <c r="K1149" t="inlineStr">
        <is>
          <t>North</t>
        </is>
      </c>
      <c r="L1149" t="inlineStr">
        <is>
          <t>British Columbia</t>
        </is>
      </c>
      <c r="M1149" t="inlineStr">
        <is>
          <t>Montreal</t>
        </is>
      </c>
      <c r="N1149" t="inlineStr">
        <is>
          <t>Noah Kim</t>
        </is>
      </c>
      <c r="O1149" t="n">
        <v>2</v>
      </c>
      <c r="P1149" s="3" t="n">
        <v>89.51000000000001</v>
      </c>
      <c r="Q1149" s="4" t="n">
        <v>0.034</v>
      </c>
      <c r="R1149" s="3" t="n">
        <v>172.93</v>
      </c>
      <c r="S1149" s="3" t="n">
        <v>81.77</v>
      </c>
      <c r="T1149" s="3" t="n">
        <v>83.56</v>
      </c>
      <c r="U1149" s="4" t="n">
        <v>0.4832</v>
      </c>
      <c r="V1149" s="3" t="n">
        <v>7.6</v>
      </c>
      <c r="W1149" t="inlineStr">
        <is>
          <t>Cash on Delivery</t>
        </is>
      </c>
      <c r="X1149" t="inlineStr">
        <is>
          <t>High</t>
        </is>
      </c>
      <c r="Y1149" t="n">
        <v>2025</v>
      </c>
      <c r="Z1149" t="n">
        <v>2</v>
      </c>
      <c r="AA1149" t="inlineStr">
        <is>
          <t>Feb</t>
        </is>
      </c>
      <c r="AB1149" t="inlineStr">
        <is>
          <t>Friday</t>
        </is>
      </c>
      <c r="AC1149" t="n">
        <v>3</v>
      </c>
      <c r="AD1149" t="inlineStr">
        <is>
          <t>Profitable</t>
        </is>
      </c>
      <c r="AE1149" t="inlineStr">
        <is>
          <t>Medium</t>
        </is>
      </c>
      <c r="AF1149" t="inlineStr">
        <is>
          <t>Small</t>
        </is>
      </c>
    </row>
    <row r="1150">
      <c r="A1150" t="inlineStr">
        <is>
          <t>ORD-01149</t>
        </is>
      </c>
      <c r="B1150" s="2" t="n">
        <v>45955</v>
      </c>
      <c r="C1150" s="2" t="n">
        <v>45962</v>
      </c>
      <c r="D1150" t="inlineStr">
        <is>
          <t>CUST-01149</t>
        </is>
      </c>
      <c r="E1150" t="inlineStr">
        <is>
          <t>Customer 1149</t>
        </is>
      </c>
      <c r="F1150" t="inlineStr">
        <is>
          <t>Corporate</t>
        </is>
      </c>
      <c r="G1150" t="inlineStr">
        <is>
          <t>P1019</t>
        </is>
      </c>
      <c r="H1150" t="inlineStr">
        <is>
          <t>Pulse Keyboard</t>
        </is>
      </c>
      <c r="I1150" t="inlineStr">
        <is>
          <t>Office Supplies</t>
        </is>
      </c>
      <c r="J1150" t="inlineStr">
        <is>
          <t>Peripherals</t>
        </is>
      </c>
      <c r="K1150" t="inlineStr">
        <is>
          <t>East</t>
        </is>
      </c>
      <c r="L1150" t="inlineStr">
        <is>
          <t>New York</t>
        </is>
      </c>
      <c r="M1150" t="inlineStr">
        <is>
          <t>Philadelphia</t>
        </is>
      </c>
      <c r="N1150" t="inlineStr">
        <is>
          <t>Sophia Singh</t>
        </is>
      </c>
      <c r="O1150" t="n">
        <v>3</v>
      </c>
      <c r="P1150" s="3" t="n">
        <v>61.36</v>
      </c>
      <c r="Q1150" s="4" t="n">
        <v>0.012</v>
      </c>
      <c r="R1150" s="3" t="n">
        <v>181.87</v>
      </c>
      <c r="S1150" s="3" t="n">
        <v>77.01000000000001</v>
      </c>
      <c r="T1150" s="3" t="n">
        <v>95.45999999999999</v>
      </c>
      <c r="U1150" s="4" t="n">
        <v>0.5249</v>
      </c>
      <c r="V1150" s="3" t="n">
        <v>9.4</v>
      </c>
      <c r="W1150" t="inlineStr">
        <is>
          <t>PayPal</t>
        </is>
      </c>
      <c r="X1150" t="inlineStr">
        <is>
          <t>Low</t>
        </is>
      </c>
      <c r="Y1150" t="n">
        <v>2025</v>
      </c>
      <c r="Z1150" t="n">
        <v>10</v>
      </c>
      <c r="AA1150" t="inlineStr">
        <is>
          <t>Oct</t>
        </is>
      </c>
      <c r="AB1150" t="inlineStr">
        <is>
          <t>Saturday</t>
        </is>
      </c>
      <c r="AC1150" t="n">
        <v>7</v>
      </c>
      <c r="AD1150" t="inlineStr">
        <is>
          <t>Profitable</t>
        </is>
      </c>
      <c r="AE1150" t="inlineStr">
        <is>
          <t>Low</t>
        </is>
      </c>
      <c r="AF1150" t="inlineStr">
        <is>
          <t>Small</t>
        </is>
      </c>
    </row>
    <row r="1151">
      <c r="A1151" t="inlineStr">
        <is>
          <t>ORD-01150</t>
        </is>
      </c>
      <c r="B1151" s="2" t="n">
        <v>45765</v>
      </c>
      <c r="C1151" s="2" t="n">
        <v>45767</v>
      </c>
      <c r="D1151" t="inlineStr">
        <is>
          <t>CUST-01150</t>
        </is>
      </c>
      <c r="E1151" t="inlineStr">
        <is>
          <t>Customer 1150</t>
        </is>
      </c>
      <c r="F1151" t="inlineStr">
        <is>
          <t>Home Office</t>
        </is>
      </c>
      <c r="G1151" t="inlineStr">
        <is>
          <t>P1003</t>
        </is>
      </c>
      <c r="H1151" t="inlineStr">
        <is>
          <t>CloudDrive File Box</t>
        </is>
      </c>
      <c r="I1151" t="inlineStr">
        <is>
          <t>Office Supplies</t>
        </is>
      </c>
      <c r="J1151" t="inlineStr">
        <is>
          <t>Desks</t>
        </is>
      </c>
      <c r="K1151" t="inlineStr">
        <is>
          <t>East</t>
        </is>
      </c>
      <c r="L1151" t="inlineStr">
        <is>
          <t>Virginia</t>
        </is>
      </c>
      <c r="M1151" t="inlineStr">
        <is>
          <t>New York</t>
        </is>
      </c>
      <c r="N1151" t="inlineStr">
        <is>
          <t>James Carter</t>
        </is>
      </c>
      <c r="O1151" t="n">
        <v>2</v>
      </c>
      <c r="P1151" s="3" t="n">
        <v>144.53</v>
      </c>
      <c r="Q1151" s="4" t="n">
        <v>0.075</v>
      </c>
      <c r="R1151" s="3" t="n">
        <v>267.38</v>
      </c>
      <c r="S1151" s="3" t="n">
        <v>142.03</v>
      </c>
      <c r="T1151" s="3" t="n">
        <v>116.75</v>
      </c>
      <c r="U1151" s="4" t="n">
        <v>0.4366</v>
      </c>
      <c r="V1151" s="3" t="n">
        <v>8.6</v>
      </c>
      <c r="W1151" t="inlineStr">
        <is>
          <t>Bank Transfer</t>
        </is>
      </c>
      <c r="X1151" t="inlineStr">
        <is>
          <t>Critical</t>
        </is>
      </c>
      <c r="Y1151" t="n">
        <v>2025</v>
      </c>
      <c r="Z1151" t="n">
        <v>4</v>
      </c>
      <c r="AA1151" t="inlineStr">
        <is>
          <t>Apr</t>
        </is>
      </c>
      <c r="AB1151" t="inlineStr">
        <is>
          <t>Friday</t>
        </is>
      </c>
      <c r="AC1151" t="n">
        <v>2</v>
      </c>
      <c r="AD1151" t="inlineStr">
        <is>
          <t>Profitable</t>
        </is>
      </c>
      <c r="AE1151" t="inlineStr">
        <is>
          <t>High</t>
        </is>
      </c>
      <c r="AF1151" t="inlineStr">
        <is>
          <t>Small</t>
        </is>
      </c>
    </row>
    <row r="1152">
      <c r="A1152" t="inlineStr">
        <is>
          <t>ORD-01151</t>
        </is>
      </c>
      <c r="B1152" s="2" t="n">
        <v>45753</v>
      </c>
      <c r="C1152" s="2" t="n">
        <v>45756</v>
      </c>
      <c r="D1152" t="inlineStr">
        <is>
          <t>CUST-01151</t>
        </is>
      </c>
      <c r="E1152" t="inlineStr">
        <is>
          <t>Customer 1151</t>
        </is>
      </c>
      <c r="F1152" t="inlineStr">
        <is>
          <t>Home Office</t>
        </is>
      </c>
      <c r="G1152" t="inlineStr">
        <is>
          <t>P1009</t>
        </is>
      </c>
      <c r="H1152" t="inlineStr">
        <is>
          <t>ProClip Binder</t>
        </is>
      </c>
      <c r="I1152" t="inlineStr">
        <is>
          <t>Furniture</t>
        </is>
      </c>
      <c r="J1152" t="inlineStr">
        <is>
          <t>Coolers</t>
        </is>
      </c>
      <c r="K1152" t="inlineStr">
        <is>
          <t>Central</t>
        </is>
      </c>
      <c r="L1152" t="inlineStr">
        <is>
          <t>Kansas</t>
        </is>
      </c>
      <c r="M1152" t="inlineStr">
        <is>
          <t>Chicago</t>
        </is>
      </c>
      <c r="N1152" t="inlineStr">
        <is>
          <t>Ethan Brooks</t>
        </is>
      </c>
      <c r="O1152" t="n">
        <v>3</v>
      </c>
      <c r="P1152" s="3" t="n">
        <v>91.62</v>
      </c>
      <c r="Q1152" s="4" t="n">
        <v>0.006</v>
      </c>
      <c r="R1152" s="3" t="n">
        <v>273.21</v>
      </c>
      <c r="S1152" s="3" t="n">
        <v>139.1</v>
      </c>
      <c r="T1152" s="3" t="n">
        <v>125.71</v>
      </c>
      <c r="U1152" s="4" t="n">
        <v>0.4601</v>
      </c>
      <c r="V1152" s="3" t="n">
        <v>8.4</v>
      </c>
      <c r="W1152" t="inlineStr">
        <is>
          <t>Credit Card</t>
        </is>
      </c>
      <c r="X1152" t="inlineStr">
        <is>
          <t>Medium</t>
        </is>
      </c>
      <c r="Y1152" t="n">
        <v>2025</v>
      </c>
      <c r="Z1152" t="n">
        <v>4</v>
      </c>
      <c r="AA1152" t="inlineStr">
        <is>
          <t>Apr</t>
        </is>
      </c>
      <c r="AB1152" t="inlineStr">
        <is>
          <t>Sunday</t>
        </is>
      </c>
      <c r="AC1152" t="n">
        <v>3</v>
      </c>
      <c r="AD1152" t="inlineStr">
        <is>
          <t>Profitable</t>
        </is>
      </c>
      <c r="AE1152" t="inlineStr">
        <is>
          <t>Low</t>
        </is>
      </c>
      <c r="AF1152" t="inlineStr">
        <is>
          <t>Small</t>
        </is>
      </c>
    </row>
    <row r="1153">
      <c r="A1153" t="inlineStr">
        <is>
          <t>ORD-01152</t>
        </is>
      </c>
      <c r="B1153" s="2" t="n">
        <v>45827</v>
      </c>
      <c r="C1153" s="2" t="n">
        <v>45832</v>
      </c>
      <c r="D1153" t="inlineStr">
        <is>
          <t>CUST-01152</t>
        </is>
      </c>
      <c r="E1153" t="inlineStr">
        <is>
          <t>Customer 1152</t>
        </is>
      </c>
      <c r="F1153" t="inlineStr">
        <is>
          <t>Corporate</t>
        </is>
      </c>
      <c r="G1153" t="inlineStr">
        <is>
          <t>P1007</t>
        </is>
      </c>
      <c r="H1153" t="inlineStr">
        <is>
          <t>Tide Cooler</t>
        </is>
      </c>
      <c r="I1153" t="inlineStr">
        <is>
          <t>Office Supplies</t>
        </is>
      </c>
      <c r="J1153" t="inlineStr">
        <is>
          <t>Accessories</t>
        </is>
      </c>
      <c r="K1153" t="inlineStr">
        <is>
          <t>South</t>
        </is>
      </c>
      <c r="L1153" t="inlineStr">
        <is>
          <t>North Carolina</t>
        </is>
      </c>
      <c r="M1153" t="inlineStr">
        <is>
          <t>Dallas</t>
        </is>
      </c>
      <c r="N1153" t="inlineStr">
        <is>
          <t>James Carter</t>
        </is>
      </c>
      <c r="O1153" t="n">
        <v>6</v>
      </c>
      <c r="P1153" s="3" t="n">
        <v>23.75</v>
      </c>
      <c r="Q1153" s="4" t="n">
        <v>0.031</v>
      </c>
      <c r="R1153" s="3" t="n">
        <v>138.08</v>
      </c>
      <c r="S1153" s="3" t="n">
        <v>53.79</v>
      </c>
      <c r="T1153" s="3" t="n">
        <v>73.48999999999999</v>
      </c>
      <c r="U1153" s="4" t="n">
        <v>0.5322</v>
      </c>
      <c r="V1153" s="3" t="n">
        <v>10.8</v>
      </c>
      <c r="W1153" t="inlineStr">
        <is>
          <t>Bank Transfer</t>
        </is>
      </c>
      <c r="X1153" t="inlineStr">
        <is>
          <t>High</t>
        </is>
      </c>
      <c r="Y1153" t="n">
        <v>2025</v>
      </c>
      <c r="Z1153" t="n">
        <v>6</v>
      </c>
      <c r="AA1153" t="inlineStr">
        <is>
          <t>Jun</t>
        </is>
      </c>
      <c r="AB1153" t="inlineStr">
        <is>
          <t>Thursday</t>
        </is>
      </c>
      <c r="AC1153" t="n">
        <v>5</v>
      </c>
      <c r="AD1153" t="inlineStr">
        <is>
          <t>Profitable</t>
        </is>
      </c>
      <c r="AE1153" t="inlineStr">
        <is>
          <t>Medium</t>
        </is>
      </c>
      <c r="AF1153" t="inlineStr">
        <is>
          <t>Small</t>
        </is>
      </c>
    </row>
    <row r="1154">
      <c r="A1154" t="inlineStr">
        <is>
          <t>ORD-01153</t>
        </is>
      </c>
      <c r="B1154" s="2" t="n">
        <v>45768</v>
      </c>
      <c r="C1154" s="2" t="n">
        <v>45775</v>
      </c>
      <c r="D1154" t="inlineStr">
        <is>
          <t>CUST-01153</t>
        </is>
      </c>
      <c r="E1154" t="inlineStr">
        <is>
          <t>Customer 1153</t>
        </is>
      </c>
      <c r="F1154" t="inlineStr">
        <is>
          <t>Corporate</t>
        </is>
      </c>
      <c r="G1154" t="inlineStr">
        <is>
          <t>P1002</t>
        </is>
      </c>
      <c r="H1154" t="inlineStr">
        <is>
          <t>Pulse Keyboard</t>
        </is>
      </c>
      <c r="I1154" t="inlineStr">
        <is>
          <t>Outdoor</t>
        </is>
      </c>
      <c r="J1154" t="inlineStr">
        <is>
          <t>Lighting</t>
        </is>
      </c>
      <c r="K1154" t="inlineStr">
        <is>
          <t>East</t>
        </is>
      </c>
      <c r="L1154" t="inlineStr">
        <is>
          <t>New York</t>
        </is>
      </c>
      <c r="M1154" t="inlineStr">
        <is>
          <t>Philadelphia</t>
        </is>
      </c>
      <c r="N1154" t="inlineStr">
        <is>
          <t>Ava Patel</t>
        </is>
      </c>
      <c r="O1154" t="n">
        <v>2</v>
      </c>
      <c r="P1154" s="3" t="n">
        <v>82.51000000000001</v>
      </c>
      <c r="Q1154" s="4" t="n">
        <v>0.034</v>
      </c>
      <c r="R1154" s="3" t="n">
        <v>159.41</v>
      </c>
      <c r="S1154" s="3" t="n">
        <v>77.09999999999999</v>
      </c>
      <c r="T1154" s="3" t="n">
        <v>73.70999999999999</v>
      </c>
      <c r="U1154" s="4" t="n">
        <v>0.4624</v>
      </c>
      <c r="V1154" s="3" t="n">
        <v>8.6</v>
      </c>
      <c r="W1154" t="inlineStr">
        <is>
          <t>Credit Card</t>
        </is>
      </c>
      <c r="X1154" t="inlineStr">
        <is>
          <t>Medium</t>
        </is>
      </c>
      <c r="Y1154" t="n">
        <v>2025</v>
      </c>
      <c r="Z1154" t="n">
        <v>4</v>
      </c>
      <c r="AA1154" t="inlineStr">
        <is>
          <t>Apr</t>
        </is>
      </c>
      <c r="AB1154" t="inlineStr">
        <is>
          <t>Monday</t>
        </is>
      </c>
      <c r="AC1154" t="n">
        <v>7</v>
      </c>
      <c r="AD1154" t="inlineStr">
        <is>
          <t>Profitable</t>
        </is>
      </c>
      <c r="AE1154" t="inlineStr">
        <is>
          <t>Medium</t>
        </is>
      </c>
      <c r="AF1154" t="inlineStr">
        <is>
          <t>Small</t>
        </is>
      </c>
    </row>
    <row r="1155">
      <c r="A1155" t="inlineStr">
        <is>
          <t>ORD-01154</t>
        </is>
      </c>
      <c r="B1155" s="2" t="n">
        <v>45881</v>
      </c>
      <c r="C1155" s="2" t="n">
        <v>45885</v>
      </c>
      <c r="D1155" t="inlineStr">
        <is>
          <t>CUST-01154</t>
        </is>
      </c>
      <c r="E1155" t="inlineStr">
        <is>
          <t>Customer 1154</t>
        </is>
      </c>
      <c r="F1155" t="inlineStr">
        <is>
          <t>Consumer</t>
        </is>
      </c>
      <c r="G1155" t="inlineStr">
        <is>
          <t>P1009</t>
        </is>
      </c>
      <c r="H1155" t="inlineStr">
        <is>
          <t>ProClip Binder</t>
        </is>
      </c>
      <c r="I1155" t="inlineStr">
        <is>
          <t>Office Supplies</t>
        </is>
      </c>
      <c r="J1155" t="inlineStr">
        <is>
          <t>Video</t>
        </is>
      </c>
      <c r="K1155" t="inlineStr">
        <is>
          <t>West</t>
        </is>
      </c>
      <c r="L1155" t="inlineStr">
        <is>
          <t>Colorado</t>
        </is>
      </c>
      <c r="M1155" t="inlineStr">
        <is>
          <t>Los Angeles</t>
        </is>
      </c>
      <c r="N1155" t="inlineStr">
        <is>
          <t>Sophia Singh</t>
        </is>
      </c>
      <c r="O1155" t="n">
        <v>3</v>
      </c>
      <c r="P1155" s="3" t="n">
        <v>101.12</v>
      </c>
      <c r="Q1155" s="4" t="n">
        <v>0.021</v>
      </c>
      <c r="R1155" s="3" t="n">
        <v>296.99</v>
      </c>
      <c r="S1155" s="3" t="n">
        <v>148.81</v>
      </c>
      <c r="T1155" s="3" t="n">
        <v>138.78</v>
      </c>
      <c r="U1155" s="4" t="n">
        <v>0.4673</v>
      </c>
      <c r="V1155" s="3" t="n">
        <v>9.4</v>
      </c>
      <c r="W1155" t="inlineStr">
        <is>
          <t>Credit Card</t>
        </is>
      </c>
      <c r="X1155" t="inlineStr">
        <is>
          <t>Medium</t>
        </is>
      </c>
      <c r="Y1155" t="n">
        <v>2025</v>
      </c>
      <c r="Z1155" t="n">
        <v>8</v>
      </c>
      <c r="AA1155" t="inlineStr">
        <is>
          <t>Aug</t>
        </is>
      </c>
      <c r="AB1155" t="inlineStr">
        <is>
          <t>Tuesday</t>
        </is>
      </c>
      <c r="AC1155" t="n">
        <v>4</v>
      </c>
      <c r="AD1155" t="inlineStr">
        <is>
          <t>Profitable</t>
        </is>
      </c>
      <c r="AE1155" t="inlineStr">
        <is>
          <t>Medium</t>
        </is>
      </c>
      <c r="AF1155" t="inlineStr">
        <is>
          <t>Small</t>
        </is>
      </c>
    </row>
    <row r="1156">
      <c r="A1156" t="inlineStr">
        <is>
          <t>ORD-01155</t>
        </is>
      </c>
      <c r="B1156" s="2" t="n">
        <v>45468</v>
      </c>
      <c r="C1156" s="2" t="n">
        <v>45472</v>
      </c>
      <c r="D1156" t="inlineStr">
        <is>
          <t>CUST-01155</t>
        </is>
      </c>
      <c r="E1156" t="inlineStr">
        <is>
          <t>Customer 1155</t>
        </is>
      </c>
      <c r="F1156" t="inlineStr">
        <is>
          <t>Corporate</t>
        </is>
      </c>
      <c r="G1156" t="inlineStr">
        <is>
          <t>P1006</t>
        </is>
      </c>
      <c r="H1156" t="inlineStr">
        <is>
          <t>Nova Laptop Stand</t>
        </is>
      </c>
      <c r="I1156" t="inlineStr">
        <is>
          <t>Furniture</t>
        </is>
      </c>
      <c r="J1156" t="inlineStr">
        <is>
          <t>Desks</t>
        </is>
      </c>
      <c r="K1156" t="inlineStr">
        <is>
          <t>East</t>
        </is>
      </c>
      <c r="L1156" t="inlineStr">
        <is>
          <t>New York</t>
        </is>
      </c>
      <c r="M1156" t="inlineStr">
        <is>
          <t>Philadelphia</t>
        </is>
      </c>
      <c r="N1156" t="inlineStr">
        <is>
          <t>Mia Rodriguez</t>
        </is>
      </c>
      <c r="O1156" t="n">
        <v>3</v>
      </c>
      <c r="P1156" s="3" t="n">
        <v>19.98</v>
      </c>
      <c r="Q1156" s="4" t="n">
        <v>0.018</v>
      </c>
      <c r="R1156" s="3" t="n">
        <v>58.86</v>
      </c>
      <c r="S1156" s="3" t="n">
        <v>25.54</v>
      </c>
      <c r="T1156" s="3" t="n">
        <v>23.92</v>
      </c>
      <c r="U1156" s="4" t="n">
        <v>0.4064</v>
      </c>
      <c r="V1156" s="3" t="n">
        <v>9.4</v>
      </c>
      <c r="W1156" t="inlineStr">
        <is>
          <t>Credit Card</t>
        </is>
      </c>
      <c r="X1156" t="inlineStr">
        <is>
          <t>Low</t>
        </is>
      </c>
      <c r="Y1156" t="n">
        <v>2024</v>
      </c>
      <c r="Z1156" t="n">
        <v>6</v>
      </c>
      <c r="AA1156" t="inlineStr">
        <is>
          <t>Jun</t>
        </is>
      </c>
      <c r="AB1156" t="inlineStr">
        <is>
          <t>Tuesday</t>
        </is>
      </c>
      <c r="AC1156" t="n">
        <v>4</v>
      </c>
      <c r="AD1156" t="inlineStr">
        <is>
          <t>Profitable</t>
        </is>
      </c>
      <c r="AE1156" t="inlineStr">
        <is>
          <t>Low</t>
        </is>
      </c>
      <c r="AF1156" t="inlineStr">
        <is>
          <t>Small</t>
        </is>
      </c>
    </row>
    <row r="1157">
      <c r="A1157" t="inlineStr">
        <is>
          <t>ORD-01156</t>
        </is>
      </c>
      <c r="B1157" s="2" t="n">
        <v>45841</v>
      </c>
      <c r="C1157" s="2" t="n">
        <v>45842</v>
      </c>
      <c r="D1157" t="inlineStr">
        <is>
          <t>CUST-01156</t>
        </is>
      </c>
      <c r="E1157" t="inlineStr">
        <is>
          <t>Customer 1156</t>
        </is>
      </c>
      <c r="F1157" t="inlineStr">
        <is>
          <t>Corporate</t>
        </is>
      </c>
      <c r="G1157" t="inlineStr">
        <is>
          <t>P1006</t>
        </is>
      </c>
      <c r="H1157" t="inlineStr">
        <is>
          <t>Cove Wall Clock</t>
        </is>
      </c>
      <c r="I1157" t="inlineStr">
        <is>
          <t>Outdoor</t>
        </is>
      </c>
      <c r="J1157" t="inlineStr">
        <is>
          <t>Decor</t>
        </is>
      </c>
      <c r="K1157" t="inlineStr">
        <is>
          <t>South</t>
        </is>
      </c>
      <c r="L1157" t="inlineStr">
        <is>
          <t>Georgia</t>
        </is>
      </c>
      <c r="M1157" t="inlineStr">
        <is>
          <t>Dallas</t>
        </is>
      </c>
      <c r="N1157" t="inlineStr">
        <is>
          <t>Ethan Brooks</t>
        </is>
      </c>
      <c r="O1157" t="n">
        <v>4</v>
      </c>
      <c r="P1157" s="3" t="n">
        <v>18.01</v>
      </c>
      <c r="Q1157" s="4" t="n">
        <v>0.067</v>
      </c>
      <c r="R1157" s="3" t="n">
        <v>67.20999999999999</v>
      </c>
      <c r="S1157" s="3" t="n">
        <v>27.41</v>
      </c>
      <c r="T1157" s="3" t="n">
        <v>30.6</v>
      </c>
      <c r="U1157" s="4" t="n">
        <v>0.4553</v>
      </c>
      <c r="V1157" s="3" t="n">
        <v>9.199999999999999</v>
      </c>
      <c r="W1157" t="inlineStr">
        <is>
          <t>Cash on Delivery</t>
        </is>
      </c>
      <c r="X1157" t="inlineStr">
        <is>
          <t>High</t>
        </is>
      </c>
      <c r="Y1157" t="n">
        <v>2025</v>
      </c>
      <c r="Z1157" t="n">
        <v>7</v>
      </c>
      <c r="AA1157" t="inlineStr">
        <is>
          <t>Jul</t>
        </is>
      </c>
      <c r="AB1157" t="inlineStr">
        <is>
          <t>Thursday</t>
        </is>
      </c>
      <c r="AC1157" t="n">
        <v>1</v>
      </c>
      <c r="AD1157" t="inlineStr">
        <is>
          <t>Profitable</t>
        </is>
      </c>
      <c r="AE1157" t="inlineStr">
        <is>
          <t>High</t>
        </is>
      </c>
      <c r="AF1157" t="inlineStr">
        <is>
          <t>Small</t>
        </is>
      </c>
    </row>
    <row r="1158">
      <c r="A1158" t="inlineStr">
        <is>
          <t>ORD-01157</t>
        </is>
      </c>
      <c r="B1158" s="2" t="n">
        <v>45139</v>
      </c>
      <c r="C1158" s="2" t="n">
        <v>45146</v>
      </c>
      <c r="D1158" t="inlineStr">
        <is>
          <t>CUST-01157</t>
        </is>
      </c>
      <c r="E1158" t="inlineStr">
        <is>
          <t>Customer 1157</t>
        </is>
      </c>
      <c r="F1158" t="inlineStr">
        <is>
          <t>Corporate</t>
        </is>
      </c>
      <c r="G1158" t="inlineStr">
        <is>
          <t>P1016</t>
        </is>
      </c>
      <c r="H1158" t="inlineStr">
        <is>
          <t>Northstar Lantern</t>
        </is>
      </c>
      <c r="I1158" t="inlineStr">
        <is>
          <t>Furniture</t>
        </is>
      </c>
      <c r="J1158" t="inlineStr">
        <is>
          <t>Textiles</t>
        </is>
      </c>
      <c r="K1158" t="inlineStr">
        <is>
          <t>East</t>
        </is>
      </c>
      <c r="L1158" t="inlineStr">
        <is>
          <t>New York</t>
        </is>
      </c>
      <c r="M1158" t="inlineStr">
        <is>
          <t>Washington</t>
        </is>
      </c>
      <c r="N1158" t="inlineStr">
        <is>
          <t>Noah Kim</t>
        </is>
      </c>
      <c r="O1158" t="n">
        <v>2</v>
      </c>
      <c r="P1158" s="3" t="n">
        <v>42.29</v>
      </c>
      <c r="Q1158" s="4" t="n">
        <v>0.036</v>
      </c>
      <c r="R1158" s="3" t="n">
        <v>81.54000000000001</v>
      </c>
      <c r="S1158" s="3" t="n">
        <v>34.68</v>
      </c>
      <c r="T1158" s="3" t="n">
        <v>38.26</v>
      </c>
      <c r="U1158" s="4" t="n">
        <v>0.4692</v>
      </c>
      <c r="V1158" s="3" t="n">
        <v>8.6</v>
      </c>
      <c r="W1158" t="inlineStr">
        <is>
          <t>Debit Card</t>
        </is>
      </c>
      <c r="X1158" t="inlineStr">
        <is>
          <t>Medium</t>
        </is>
      </c>
      <c r="Y1158" t="n">
        <v>2023</v>
      </c>
      <c r="Z1158" t="n">
        <v>8</v>
      </c>
      <c r="AA1158" t="inlineStr">
        <is>
          <t>Aug</t>
        </is>
      </c>
      <c r="AB1158" t="inlineStr">
        <is>
          <t>Tuesday</t>
        </is>
      </c>
      <c r="AC1158" t="n">
        <v>7</v>
      </c>
      <c r="AD1158" t="inlineStr">
        <is>
          <t>Profitable</t>
        </is>
      </c>
      <c r="AE1158" t="inlineStr">
        <is>
          <t>Medium</t>
        </is>
      </c>
      <c r="AF1158" t="inlineStr">
        <is>
          <t>Small</t>
        </is>
      </c>
    </row>
    <row r="1159">
      <c r="A1159" t="inlineStr">
        <is>
          <t>ORD-01158</t>
        </is>
      </c>
      <c r="B1159" s="2" t="n">
        <v>45752</v>
      </c>
      <c r="C1159" s="2" t="n">
        <v>45757</v>
      </c>
      <c r="D1159" t="inlineStr">
        <is>
          <t>CUST-01158</t>
        </is>
      </c>
      <c r="E1159" t="inlineStr">
        <is>
          <t>Customer 1158</t>
        </is>
      </c>
      <c r="F1159" t="inlineStr">
        <is>
          <t>Corporate</t>
        </is>
      </c>
      <c r="G1159" t="inlineStr">
        <is>
          <t>P1002</t>
        </is>
      </c>
      <c r="H1159" t="inlineStr">
        <is>
          <t>ProClip Binder</t>
        </is>
      </c>
      <c r="I1159" t="inlineStr">
        <is>
          <t>Home Decor</t>
        </is>
      </c>
      <c r="J1159" t="inlineStr">
        <is>
          <t>Desks</t>
        </is>
      </c>
      <c r="K1159" t="inlineStr">
        <is>
          <t>East</t>
        </is>
      </c>
      <c r="L1159" t="inlineStr">
        <is>
          <t>New Jersey</t>
        </is>
      </c>
      <c r="M1159" t="inlineStr">
        <is>
          <t>Philadelphia</t>
        </is>
      </c>
      <c r="N1159" t="inlineStr">
        <is>
          <t>Noah Kim</t>
        </is>
      </c>
      <c r="O1159" t="n">
        <v>3</v>
      </c>
      <c r="P1159" s="3" t="n">
        <v>80.91</v>
      </c>
      <c r="Q1159" s="4" t="n">
        <v>0.021</v>
      </c>
      <c r="R1159" s="3" t="n">
        <v>237.63</v>
      </c>
      <c r="S1159" s="3" t="n">
        <v>113.4</v>
      </c>
      <c r="T1159" s="3" t="n">
        <v>114.83</v>
      </c>
      <c r="U1159" s="4" t="n">
        <v>0.4832</v>
      </c>
      <c r="V1159" s="3" t="n">
        <v>9.4</v>
      </c>
      <c r="W1159" t="inlineStr">
        <is>
          <t>Credit Card</t>
        </is>
      </c>
      <c r="X1159" t="inlineStr">
        <is>
          <t>Low</t>
        </is>
      </c>
      <c r="Y1159" t="n">
        <v>2025</v>
      </c>
      <c r="Z1159" t="n">
        <v>4</v>
      </c>
      <c r="AA1159" t="inlineStr">
        <is>
          <t>Apr</t>
        </is>
      </c>
      <c r="AB1159" t="inlineStr">
        <is>
          <t>Saturday</t>
        </is>
      </c>
      <c r="AC1159" t="n">
        <v>5</v>
      </c>
      <c r="AD1159" t="inlineStr">
        <is>
          <t>Profitable</t>
        </is>
      </c>
      <c r="AE1159" t="inlineStr">
        <is>
          <t>Medium</t>
        </is>
      </c>
      <c r="AF1159" t="inlineStr">
        <is>
          <t>Small</t>
        </is>
      </c>
    </row>
    <row r="1160">
      <c r="A1160" t="inlineStr">
        <is>
          <t>ORD-01159</t>
        </is>
      </c>
      <c r="B1160" s="2" t="n">
        <v>45717</v>
      </c>
      <c r="C1160" s="2" t="n">
        <v>45723</v>
      </c>
      <c r="D1160" t="inlineStr">
        <is>
          <t>CUST-01159</t>
        </is>
      </c>
      <c r="E1160" t="inlineStr">
        <is>
          <t>Customer 1159</t>
        </is>
      </c>
      <c r="F1160" t="inlineStr">
        <is>
          <t>Consumer</t>
        </is>
      </c>
      <c r="G1160" t="inlineStr">
        <is>
          <t>P1016</t>
        </is>
      </c>
      <c r="H1160" t="inlineStr">
        <is>
          <t>Trail Tote</t>
        </is>
      </c>
      <c r="I1160" t="inlineStr">
        <is>
          <t>Outdoor</t>
        </is>
      </c>
      <c r="J1160" t="inlineStr">
        <is>
          <t>Video</t>
        </is>
      </c>
      <c r="K1160" t="inlineStr">
        <is>
          <t>West</t>
        </is>
      </c>
      <c r="L1160" t="inlineStr">
        <is>
          <t>Oregon</t>
        </is>
      </c>
      <c r="M1160" t="inlineStr">
        <is>
          <t>Denver</t>
        </is>
      </c>
      <c r="N1160" t="inlineStr">
        <is>
          <t>Noah Kim</t>
        </is>
      </c>
      <c r="O1160" t="n">
        <v>3</v>
      </c>
      <c r="P1160" s="3" t="n">
        <v>39.06</v>
      </c>
      <c r="Q1160" s="4" t="n">
        <v>0.02</v>
      </c>
      <c r="R1160" s="3" t="n">
        <v>114.84</v>
      </c>
      <c r="S1160" s="3" t="n">
        <v>49.46</v>
      </c>
      <c r="T1160" s="3" t="n">
        <v>55.98</v>
      </c>
      <c r="U1160" s="4" t="n">
        <v>0.4875</v>
      </c>
      <c r="V1160" s="3" t="n">
        <v>9.4</v>
      </c>
      <c r="W1160" t="inlineStr">
        <is>
          <t>Debit Card</t>
        </is>
      </c>
      <c r="X1160" t="inlineStr">
        <is>
          <t>Medium</t>
        </is>
      </c>
      <c r="Y1160" t="n">
        <v>2025</v>
      </c>
      <c r="Z1160" t="n">
        <v>3</v>
      </c>
      <c r="AA1160" t="inlineStr">
        <is>
          <t>Mar</t>
        </is>
      </c>
      <c r="AB1160" t="inlineStr">
        <is>
          <t>Saturday</t>
        </is>
      </c>
      <c r="AC1160" t="n">
        <v>6</v>
      </c>
      <c r="AD1160" t="inlineStr">
        <is>
          <t>Profitable</t>
        </is>
      </c>
      <c r="AE1160" t="inlineStr">
        <is>
          <t>Medium</t>
        </is>
      </c>
      <c r="AF1160" t="inlineStr">
        <is>
          <t>Small</t>
        </is>
      </c>
    </row>
    <row r="1161">
      <c r="A1161" t="inlineStr">
        <is>
          <t>ORD-01160</t>
        </is>
      </c>
      <c r="B1161" s="2" t="n">
        <v>45238</v>
      </c>
      <c r="C1161" s="2" t="n">
        <v>45243</v>
      </c>
      <c r="D1161" t="inlineStr">
        <is>
          <t>CUST-01160</t>
        </is>
      </c>
      <c r="E1161" t="inlineStr">
        <is>
          <t>Customer 1160</t>
        </is>
      </c>
      <c r="F1161" t="inlineStr">
        <is>
          <t>Consumer</t>
        </is>
      </c>
      <c r="G1161" t="inlineStr">
        <is>
          <t>P1003</t>
        </is>
      </c>
      <c r="H1161" t="inlineStr">
        <is>
          <t>Northstar Lantern</t>
        </is>
      </c>
      <c r="I1161" t="inlineStr">
        <is>
          <t>Technology</t>
        </is>
      </c>
      <c r="J1161" t="inlineStr">
        <is>
          <t>Lighting</t>
        </is>
      </c>
      <c r="K1161" t="inlineStr">
        <is>
          <t>East</t>
        </is>
      </c>
      <c r="L1161" t="inlineStr">
        <is>
          <t>New York</t>
        </is>
      </c>
      <c r="M1161" t="inlineStr">
        <is>
          <t>Washington</t>
        </is>
      </c>
      <c r="N1161" t="inlineStr">
        <is>
          <t>Ava Patel</t>
        </is>
      </c>
      <c r="O1161" t="n">
        <v>6</v>
      </c>
      <c r="P1161" s="3" t="n">
        <v>171.78</v>
      </c>
      <c r="Q1161" s="4" t="n">
        <v>0.027</v>
      </c>
      <c r="R1161" s="3" t="n">
        <v>1002.85</v>
      </c>
      <c r="S1161" s="3" t="n">
        <v>517.46</v>
      </c>
      <c r="T1161" s="3" t="n">
        <v>473.59</v>
      </c>
      <c r="U1161" s="4" t="n">
        <v>0.4722</v>
      </c>
      <c r="V1161" s="3" t="n">
        <v>11.8</v>
      </c>
      <c r="W1161" t="inlineStr">
        <is>
          <t>Debit Card</t>
        </is>
      </c>
      <c r="X1161" t="inlineStr">
        <is>
          <t>Medium</t>
        </is>
      </c>
      <c r="Y1161" t="n">
        <v>2023</v>
      </c>
      <c r="Z1161" t="n">
        <v>11</v>
      </c>
      <c r="AA1161" t="inlineStr">
        <is>
          <t>Nov</t>
        </is>
      </c>
      <c r="AB1161" t="inlineStr">
        <is>
          <t>Wednesday</t>
        </is>
      </c>
      <c r="AC1161" t="n">
        <v>5</v>
      </c>
      <c r="AD1161" t="inlineStr">
        <is>
          <t>Profitable</t>
        </is>
      </c>
      <c r="AE1161" t="inlineStr">
        <is>
          <t>Medium</t>
        </is>
      </c>
      <c r="AF1161" t="inlineStr">
        <is>
          <t>Medium</t>
        </is>
      </c>
    </row>
    <row r="1162">
      <c r="A1162" t="inlineStr">
        <is>
          <t>ORD-01161</t>
        </is>
      </c>
      <c r="B1162" s="2" t="n">
        <v>45815</v>
      </c>
      <c r="C1162" s="2" t="n">
        <v>45818</v>
      </c>
      <c r="D1162" t="inlineStr">
        <is>
          <t>CUST-01161</t>
        </is>
      </c>
      <c r="E1162" t="inlineStr">
        <is>
          <t>Customer 1161</t>
        </is>
      </c>
      <c r="F1162" t="inlineStr">
        <is>
          <t>Corporate</t>
        </is>
      </c>
      <c r="G1162" t="inlineStr">
        <is>
          <t>P1016</t>
        </is>
      </c>
      <c r="H1162" t="inlineStr">
        <is>
          <t>Orbit Wireless Mouse</t>
        </is>
      </c>
      <c r="I1162" t="inlineStr">
        <is>
          <t>Outdoor</t>
        </is>
      </c>
      <c r="J1162" t="inlineStr">
        <is>
          <t>Lighting</t>
        </is>
      </c>
      <c r="K1162" t="inlineStr">
        <is>
          <t>West</t>
        </is>
      </c>
      <c r="L1162" t="inlineStr">
        <is>
          <t>Colorado</t>
        </is>
      </c>
      <c r="M1162" t="inlineStr">
        <is>
          <t>Seattle</t>
        </is>
      </c>
      <c r="N1162" t="inlineStr">
        <is>
          <t>Ethan Brooks</t>
        </is>
      </c>
      <c r="O1162" t="n">
        <v>2</v>
      </c>
      <c r="P1162" s="3" t="n">
        <v>40.56</v>
      </c>
      <c r="Q1162" s="4" t="n">
        <v>0.07300000000000001</v>
      </c>
      <c r="R1162" s="3" t="n">
        <v>75.2</v>
      </c>
      <c r="S1162" s="3" t="n">
        <v>35.12</v>
      </c>
      <c r="T1162" s="3" t="n">
        <v>31.48</v>
      </c>
      <c r="U1162" s="4" t="n">
        <v>0.4186</v>
      </c>
      <c r="V1162" s="3" t="n">
        <v>8.6</v>
      </c>
      <c r="W1162" t="inlineStr">
        <is>
          <t>Credit Card</t>
        </is>
      </c>
      <c r="X1162" t="inlineStr">
        <is>
          <t>High</t>
        </is>
      </c>
      <c r="Y1162" t="n">
        <v>2025</v>
      </c>
      <c r="Z1162" t="n">
        <v>6</v>
      </c>
      <c r="AA1162" t="inlineStr">
        <is>
          <t>Jun</t>
        </is>
      </c>
      <c r="AB1162" t="inlineStr">
        <is>
          <t>Saturday</t>
        </is>
      </c>
      <c r="AC1162" t="n">
        <v>3</v>
      </c>
      <c r="AD1162" t="inlineStr">
        <is>
          <t>Profitable</t>
        </is>
      </c>
      <c r="AE1162" t="inlineStr">
        <is>
          <t>High</t>
        </is>
      </c>
      <c r="AF1162" t="inlineStr">
        <is>
          <t>Small</t>
        </is>
      </c>
    </row>
    <row r="1163">
      <c r="A1163" t="inlineStr">
        <is>
          <t>ORD-01162</t>
        </is>
      </c>
      <c r="B1163" s="2" t="n">
        <v>45092</v>
      </c>
      <c r="C1163" s="2" t="n">
        <v>45097</v>
      </c>
      <c r="D1163" t="inlineStr">
        <is>
          <t>CUST-01162</t>
        </is>
      </c>
      <c r="E1163" t="inlineStr">
        <is>
          <t>Customer 1162</t>
        </is>
      </c>
      <c r="F1163" t="inlineStr">
        <is>
          <t>Consumer</t>
        </is>
      </c>
      <c r="G1163" t="inlineStr">
        <is>
          <t>P1012</t>
        </is>
      </c>
      <c r="H1163" t="inlineStr">
        <is>
          <t>Cove Wall Clock</t>
        </is>
      </c>
      <c r="I1163" t="inlineStr">
        <is>
          <t>Office Supplies</t>
        </is>
      </c>
      <c r="J1163" t="inlineStr">
        <is>
          <t>Video</t>
        </is>
      </c>
      <c r="K1163" t="inlineStr">
        <is>
          <t>West</t>
        </is>
      </c>
      <c r="L1163" t="inlineStr">
        <is>
          <t>Colorado</t>
        </is>
      </c>
      <c r="M1163" t="inlineStr">
        <is>
          <t>Los Angeles</t>
        </is>
      </c>
      <c r="N1163" t="inlineStr">
        <is>
          <t>Noah Kim</t>
        </is>
      </c>
      <c r="O1163" t="n">
        <v>6</v>
      </c>
      <c r="P1163" s="3" t="n">
        <v>139.36</v>
      </c>
      <c r="Q1163" s="4" t="n">
        <v>0.013</v>
      </c>
      <c r="R1163" s="3" t="n">
        <v>825.29</v>
      </c>
      <c r="S1163" s="3" t="n">
        <v>408.66</v>
      </c>
      <c r="T1163" s="3" t="n">
        <v>404.83</v>
      </c>
      <c r="U1163" s="4" t="n">
        <v>0.4905</v>
      </c>
      <c r="V1163" s="3" t="n">
        <v>11.8</v>
      </c>
      <c r="W1163" t="inlineStr">
        <is>
          <t>Credit Card</t>
        </is>
      </c>
      <c r="X1163" t="inlineStr">
        <is>
          <t>Low</t>
        </is>
      </c>
      <c r="Y1163" t="n">
        <v>2023</v>
      </c>
      <c r="Z1163" t="n">
        <v>6</v>
      </c>
      <c r="AA1163" t="inlineStr">
        <is>
          <t>Jun</t>
        </is>
      </c>
      <c r="AB1163" t="inlineStr">
        <is>
          <t>Thursday</t>
        </is>
      </c>
      <c r="AC1163" t="n">
        <v>5</v>
      </c>
      <c r="AD1163" t="inlineStr">
        <is>
          <t>Profitable</t>
        </is>
      </c>
      <c r="AE1163" t="inlineStr">
        <is>
          <t>Low</t>
        </is>
      </c>
      <c r="AF1163" t="inlineStr">
        <is>
          <t>Medium</t>
        </is>
      </c>
    </row>
    <row r="1164">
      <c r="A1164" t="inlineStr">
        <is>
          <t>ORD-01163</t>
        </is>
      </c>
      <c r="B1164" s="2" t="n">
        <v>45302</v>
      </c>
      <c r="C1164" s="2" t="n">
        <v>45309</v>
      </c>
      <c r="D1164" t="inlineStr">
        <is>
          <t>CUST-01163</t>
        </is>
      </c>
      <c r="E1164" t="inlineStr">
        <is>
          <t>Customer 1163</t>
        </is>
      </c>
      <c r="F1164" t="inlineStr">
        <is>
          <t>Consumer</t>
        </is>
      </c>
      <c r="G1164" t="inlineStr">
        <is>
          <t>P1003</t>
        </is>
      </c>
      <c r="H1164" t="inlineStr">
        <is>
          <t>FlexNote Notebook</t>
        </is>
      </c>
      <c r="I1164" t="inlineStr">
        <is>
          <t>Technology</t>
        </is>
      </c>
      <c r="J1164" t="inlineStr">
        <is>
          <t>Plants</t>
        </is>
      </c>
      <c r="K1164" t="inlineStr">
        <is>
          <t>South</t>
        </is>
      </c>
      <c r="L1164" t="inlineStr">
        <is>
          <t>Florida</t>
        </is>
      </c>
      <c r="M1164" t="inlineStr">
        <is>
          <t>Dallas</t>
        </is>
      </c>
      <c r="N1164" t="inlineStr">
        <is>
          <t>Liam Chen</t>
        </is>
      </c>
      <c r="O1164" t="n">
        <v>4</v>
      </c>
      <c r="P1164" s="3" t="n">
        <v>148.12</v>
      </c>
      <c r="Q1164" s="4" t="n">
        <v>0.028</v>
      </c>
      <c r="R1164" s="3" t="n">
        <v>575.89</v>
      </c>
      <c r="S1164" s="3" t="n">
        <v>299.18</v>
      </c>
      <c r="T1164" s="3" t="n">
        <v>267.51</v>
      </c>
      <c r="U1164" s="4" t="n">
        <v>0.4645</v>
      </c>
      <c r="V1164" s="3" t="n">
        <v>9.199999999999999</v>
      </c>
      <c r="W1164" t="inlineStr">
        <is>
          <t>Credit Card</t>
        </is>
      </c>
      <c r="X1164" t="inlineStr">
        <is>
          <t>Critical</t>
        </is>
      </c>
      <c r="Y1164" t="n">
        <v>2024</v>
      </c>
      <c r="Z1164" t="n">
        <v>1</v>
      </c>
      <c r="AA1164" t="inlineStr">
        <is>
          <t>Jan</t>
        </is>
      </c>
      <c r="AB1164" t="inlineStr">
        <is>
          <t>Thursday</t>
        </is>
      </c>
      <c r="AC1164" t="n">
        <v>7</v>
      </c>
      <c r="AD1164" t="inlineStr">
        <is>
          <t>Profitable</t>
        </is>
      </c>
      <c r="AE1164" t="inlineStr">
        <is>
          <t>Medium</t>
        </is>
      </c>
      <c r="AF1164" t="inlineStr">
        <is>
          <t>Medium</t>
        </is>
      </c>
    </row>
    <row r="1165">
      <c r="A1165" t="inlineStr">
        <is>
          <t>ORD-01164</t>
        </is>
      </c>
      <c r="B1165" s="2" t="n">
        <v>45856</v>
      </c>
      <c r="C1165" s="2" t="n">
        <v>45863</v>
      </c>
      <c r="D1165" t="inlineStr">
        <is>
          <t>CUST-01164</t>
        </is>
      </c>
      <c r="E1165" t="inlineStr">
        <is>
          <t>Customer 1164</t>
        </is>
      </c>
      <c r="F1165" t="inlineStr">
        <is>
          <t>Consumer</t>
        </is>
      </c>
      <c r="G1165" t="inlineStr">
        <is>
          <t>P1011</t>
        </is>
      </c>
      <c r="H1165" t="inlineStr">
        <is>
          <t>Echo Web Camera</t>
        </is>
      </c>
      <c r="I1165" t="inlineStr">
        <is>
          <t>Home Decor</t>
        </is>
      </c>
      <c r="J1165" t="inlineStr">
        <is>
          <t>Accessories</t>
        </is>
      </c>
      <c r="K1165" t="inlineStr">
        <is>
          <t>South</t>
        </is>
      </c>
      <c r="L1165" t="inlineStr">
        <is>
          <t>Georgia</t>
        </is>
      </c>
      <c r="M1165" t="inlineStr">
        <is>
          <t>Houston</t>
        </is>
      </c>
      <c r="N1165" t="inlineStr">
        <is>
          <t>James Carter</t>
        </is>
      </c>
      <c r="O1165" t="n">
        <v>3</v>
      </c>
      <c r="P1165" s="3" t="n">
        <v>90.72</v>
      </c>
      <c r="Q1165" s="4" t="n">
        <v>0.055</v>
      </c>
      <c r="R1165" s="3" t="n">
        <v>257.19</v>
      </c>
      <c r="S1165" s="3" t="n">
        <v>126.12</v>
      </c>
      <c r="T1165" s="3" t="n">
        <v>122.67</v>
      </c>
      <c r="U1165" s="4" t="n">
        <v>0.477</v>
      </c>
      <c r="V1165" s="3" t="n">
        <v>8.4</v>
      </c>
      <c r="W1165" t="inlineStr">
        <is>
          <t>Cash on Delivery</t>
        </is>
      </c>
      <c r="X1165" t="inlineStr">
        <is>
          <t>High</t>
        </is>
      </c>
      <c r="Y1165" t="n">
        <v>2025</v>
      </c>
      <c r="Z1165" t="n">
        <v>7</v>
      </c>
      <c r="AA1165" t="inlineStr">
        <is>
          <t>Jul</t>
        </is>
      </c>
      <c r="AB1165" t="inlineStr">
        <is>
          <t>Friday</t>
        </is>
      </c>
      <c r="AC1165" t="n">
        <v>7</v>
      </c>
      <c r="AD1165" t="inlineStr">
        <is>
          <t>Profitable</t>
        </is>
      </c>
      <c r="AE1165" t="inlineStr">
        <is>
          <t>High</t>
        </is>
      </c>
      <c r="AF1165" t="inlineStr">
        <is>
          <t>Small</t>
        </is>
      </c>
    </row>
    <row r="1166">
      <c r="A1166" t="inlineStr">
        <is>
          <t>ORD-01165</t>
        </is>
      </c>
      <c r="B1166" s="2" t="n">
        <v>45152</v>
      </c>
      <c r="C1166" s="2" t="n">
        <v>45153</v>
      </c>
      <c r="D1166" t="inlineStr">
        <is>
          <t>CUST-01165</t>
        </is>
      </c>
      <c r="E1166" t="inlineStr">
        <is>
          <t>Customer 1165</t>
        </is>
      </c>
      <c r="F1166" t="inlineStr">
        <is>
          <t>Consumer</t>
        </is>
      </c>
      <c r="G1166" t="inlineStr">
        <is>
          <t>P1011</t>
        </is>
      </c>
      <c r="H1166" t="inlineStr">
        <is>
          <t>Northstar Lantern</t>
        </is>
      </c>
      <c r="I1166" t="inlineStr">
        <is>
          <t>Office Supplies</t>
        </is>
      </c>
      <c r="J1166" t="inlineStr">
        <is>
          <t>Lighting</t>
        </is>
      </c>
      <c r="K1166" t="inlineStr">
        <is>
          <t>East</t>
        </is>
      </c>
      <c r="L1166" t="inlineStr">
        <is>
          <t>Virginia</t>
        </is>
      </c>
      <c r="M1166" t="inlineStr">
        <is>
          <t>Washington</t>
        </is>
      </c>
      <c r="N1166" t="inlineStr">
        <is>
          <t>Olivia Martin</t>
        </is>
      </c>
      <c r="O1166" t="n">
        <v>2</v>
      </c>
      <c r="P1166" s="3" t="n">
        <v>89.20999999999999</v>
      </c>
      <c r="Q1166" s="4" t="n">
        <v>0.016</v>
      </c>
      <c r="R1166" s="3" t="n">
        <v>175.57</v>
      </c>
      <c r="S1166" s="3" t="n">
        <v>90.48999999999999</v>
      </c>
      <c r="T1166" s="3" t="n">
        <v>76.48</v>
      </c>
      <c r="U1166" s="4" t="n">
        <v>0.4356</v>
      </c>
      <c r="V1166" s="3" t="n">
        <v>8.6</v>
      </c>
      <c r="W1166" t="inlineStr">
        <is>
          <t>Bank Transfer</t>
        </is>
      </c>
      <c r="X1166" t="inlineStr">
        <is>
          <t>Medium</t>
        </is>
      </c>
      <c r="Y1166" t="n">
        <v>2023</v>
      </c>
      <c r="Z1166" t="n">
        <v>8</v>
      </c>
      <c r="AA1166" t="inlineStr">
        <is>
          <t>Aug</t>
        </is>
      </c>
      <c r="AB1166" t="inlineStr">
        <is>
          <t>Monday</t>
        </is>
      </c>
      <c r="AC1166" t="n">
        <v>1</v>
      </c>
      <c r="AD1166" t="inlineStr">
        <is>
          <t>Profitable</t>
        </is>
      </c>
      <c r="AE1166" t="inlineStr">
        <is>
          <t>Low</t>
        </is>
      </c>
      <c r="AF1166" t="inlineStr">
        <is>
          <t>Small</t>
        </is>
      </c>
    </row>
    <row r="1167">
      <c r="A1167" t="inlineStr">
        <is>
          <t>ORD-01166</t>
        </is>
      </c>
      <c r="B1167" s="2" t="n">
        <v>45896</v>
      </c>
      <c r="C1167" s="2" t="n">
        <v>45899</v>
      </c>
      <c r="D1167" t="inlineStr">
        <is>
          <t>CUST-01166</t>
        </is>
      </c>
      <c r="E1167" t="inlineStr">
        <is>
          <t>Customer 1166</t>
        </is>
      </c>
      <c r="F1167" t="inlineStr">
        <is>
          <t>Home Office</t>
        </is>
      </c>
      <c r="G1167" t="inlineStr">
        <is>
          <t>P1016</t>
        </is>
      </c>
      <c r="H1167" t="inlineStr">
        <is>
          <t>Lumen Desk Lamp</t>
        </is>
      </c>
      <c r="I1167" t="inlineStr">
        <is>
          <t>Home Decor</t>
        </is>
      </c>
      <c r="J1167" t="inlineStr">
        <is>
          <t>Plants</t>
        </is>
      </c>
      <c r="K1167" t="inlineStr">
        <is>
          <t>West</t>
        </is>
      </c>
      <c r="L1167" t="inlineStr">
        <is>
          <t>Oregon</t>
        </is>
      </c>
      <c r="M1167" t="inlineStr">
        <is>
          <t>San Francisco</t>
        </is>
      </c>
      <c r="N1167" t="inlineStr">
        <is>
          <t>Mia Rodriguez</t>
        </is>
      </c>
      <c r="O1167" t="n">
        <v>3</v>
      </c>
      <c r="P1167" s="3" t="n">
        <v>41.11</v>
      </c>
      <c r="Q1167" s="4" t="n">
        <v>0.012</v>
      </c>
      <c r="R1167" s="3" t="n">
        <v>121.85</v>
      </c>
      <c r="S1167" s="3" t="n">
        <v>55.35</v>
      </c>
      <c r="T1167" s="3" t="n">
        <v>57.1</v>
      </c>
      <c r="U1167" s="4" t="n">
        <v>0.4686</v>
      </c>
      <c r="V1167" s="3" t="n">
        <v>9.4</v>
      </c>
      <c r="W1167" t="inlineStr">
        <is>
          <t>Credit Card</t>
        </is>
      </c>
      <c r="X1167" t="inlineStr">
        <is>
          <t>Low</t>
        </is>
      </c>
      <c r="Y1167" t="n">
        <v>2025</v>
      </c>
      <c r="Z1167" t="n">
        <v>8</v>
      </c>
      <c r="AA1167" t="inlineStr">
        <is>
          <t>Aug</t>
        </is>
      </c>
      <c r="AB1167" t="inlineStr">
        <is>
          <t>Wednesday</t>
        </is>
      </c>
      <c r="AC1167" t="n">
        <v>3</v>
      </c>
      <c r="AD1167" t="inlineStr">
        <is>
          <t>Profitable</t>
        </is>
      </c>
      <c r="AE1167" t="inlineStr">
        <is>
          <t>Low</t>
        </is>
      </c>
      <c r="AF1167" t="inlineStr">
        <is>
          <t>Small</t>
        </is>
      </c>
    </row>
    <row r="1168">
      <c r="A1168" t="inlineStr">
        <is>
          <t>ORD-01167</t>
        </is>
      </c>
      <c r="B1168" s="2" t="n">
        <v>45939</v>
      </c>
      <c r="C1168" s="2" t="n">
        <v>45941</v>
      </c>
      <c r="D1168" t="inlineStr">
        <is>
          <t>CUST-01167</t>
        </is>
      </c>
      <c r="E1168" t="inlineStr">
        <is>
          <t>Customer 1167</t>
        </is>
      </c>
      <c r="F1168" t="inlineStr">
        <is>
          <t>Corporate</t>
        </is>
      </c>
      <c r="G1168" t="inlineStr">
        <is>
          <t>P1005</t>
        </is>
      </c>
      <c r="H1168" t="inlineStr">
        <is>
          <t>Halo Planter</t>
        </is>
      </c>
      <c r="I1168" t="inlineStr">
        <is>
          <t>Home Decor</t>
        </is>
      </c>
      <c r="J1168" t="inlineStr">
        <is>
          <t>Bags</t>
        </is>
      </c>
      <c r="K1168" t="inlineStr">
        <is>
          <t>Central</t>
        </is>
      </c>
      <c r="L1168" t="inlineStr">
        <is>
          <t>Illinois</t>
        </is>
      </c>
      <c r="M1168" t="inlineStr">
        <is>
          <t>St. Louis</t>
        </is>
      </c>
      <c r="N1168" t="inlineStr">
        <is>
          <t>Mia Rodriguez</t>
        </is>
      </c>
      <c r="O1168" t="n">
        <v>1</v>
      </c>
      <c r="P1168" s="3" t="n">
        <v>13.53</v>
      </c>
      <c r="Q1168" s="4" t="n">
        <v>0.042</v>
      </c>
      <c r="R1168" s="3" t="n">
        <v>12.96</v>
      </c>
      <c r="S1168" s="3" t="n">
        <v>14.55</v>
      </c>
      <c r="T1168" s="3" t="n">
        <v>-8.390000000000001</v>
      </c>
      <c r="U1168" s="4" t="n">
        <v>-0.6474</v>
      </c>
      <c r="V1168" s="3" t="n">
        <v>6.8</v>
      </c>
      <c r="W1168" t="inlineStr">
        <is>
          <t>Cash on Delivery</t>
        </is>
      </c>
      <c r="X1168" t="inlineStr">
        <is>
          <t>High</t>
        </is>
      </c>
      <c r="Y1168" t="n">
        <v>2025</v>
      </c>
      <c r="Z1168" t="n">
        <v>10</v>
      </c>
      <c r="AA1168" t="inlineStr">
        <is>
          <t>Oct</t>
        </is>
      </c>
      <c r="AB1168" t="inlineStr">
        <is>
          <t>Thursday</t>
        </is>
      </c>
      <c r="AC1168" t="n">
        <v>2</v>
      </c>
      <c r="AD1168" t="inlineStr">
        <is>
          <t>Unprofitable</t>
        </is>
      </c>
      <c r="AE1168" t="inlineStr">
        <is>
          <t>Medium</t>
        </is>
      </c>
      <c r="AF1168" t="inlineStr">
        <is>
          <t>Small</t>
        </is>
      </c>
    </row>
    <row r="1169">
      <c r="A1169" t="inlineStr">
        <is>
          <t>ORD-01168</t>
        </is>
      </c>
      <c r="B1169" s="2" t="n">
        <v>45356</v>
      </c>
      <c r="C1169" s="2" t="n">
        <v>45359</v>
      </c>
      <c r="D1169" t="inlineStr">
        <is>
          <t>CUST-01168</t>
        </is>
      </c>
      <c r="E1169" t="inlineStr">
        <is>
          <t>Customer 1168</t>
        </is>
      </c>
      <c r="F1169" t="inlineStr">
        <is>
          <t>Consumer</t>
        </is>
      </c>
      <c r="G1169" t="inlineStr">
        <is>
          <t>P1020</t>
        </is>
      </c>
      <c r="H1169" t="inlineStr">
        <is>
          <t>ProClip Binder</t>
        </is>
      </c>
      <c r="I1169" t="inlineStr">
        <is>
          <t>Outdoor</t>
        </is>
      </c>
      <c r="J1169" t="inlineStr">
        <is>
          <t>Writing</t>
        </is>
      </c>
      <c r="K1169" t="inlineStr">
        <is>
          <t>East</t>
        </is>
      </c>
      <c r="L1169" t="inlineStr">
        <is>
          <t>New York</t>
        </is>
      </c>
      <c r="M1169" t="inlineStr">
        <is>
          <t>Washington</t>
        </is>
      </c>
      <c r="N1169" t="inlineStr">
        <is>
          <t>Sophia Singh</t>
        </is>
      </c>
      <c r="O1169" t="n">
        <v>5</v>
      </c>
      <c r="P1169" s="3" t="n">
        <v>75.91</v>
      </c>
      <c r="Q1169" s="4" t="n">
        <v>0.008</v>
      </c>
      <c r="R1169" s="3" t="n">
        <v>376.51</v>
      </c>
      <c r="S1169" s="3" t="n">
        <v>181.16</v>
      </c>
      <c r="T1169" s="3" t="n">
        <v>184.35</v>
      </c>
      <c r="U1169" s="4" t="n">
        <v>0.4896</v>
      </c>
      <c r="V1169" s="3" t="n">
        <v>11</v>
      </c>
      <c r="W1169" t="inlineStr">
        <is>
          <t>Bank Transfer</t>
        </is>
      </c>
      <c r="X1169" t="inlineStr">
        <is>
          <t>Low</t>
        </is>
      </c>
      <c r="Y1169" t="n">
        <v>2024</v>
      </c>
      <c r="Z1169" t="n">
        <v>3</v>
      </c>
      <c r="AA1169" t="inlineStr">
        <is>
          <t>Mar</t>
        </is>
      </c>
      <c r="AB1169" t="inlineStr">
        <is>
          <t>Tuesday</t>
        </is>
      </c>
      <c r="AC1169" t="n">
        <v>3</v>
      </c>
      <c r="AD1169" t="inlineStr">
        <is>
          <t>Profitable</t>
        </is>
      </c>
      <c r="AE1169" t="inlineStr">
        <is>
          <t>Low</t>
        </is>
      </c>
      <c r="AF1169" t="inlineStr">
        <is>
          <t>Small</t>
        </is>
      </c>
    </row>
    <row r="1170">
      <c r="A1170" t="inlineStr">
        <is>
          <t>ORD-01169</t>
        </is>
      </c>
      <c r="B1170" s="2" t="n">
        <v>45039</v>
      </c>
      <c r="C1170" s="2" t="n">
        <v>45041</v>
      </c>
      <c r="D1170" t="inlineStr">
        <is>
          <t>CUST-01169</t>
        </is>
      </c>
      <c r="E1170" t="inlineStr">
        <is>
          <t>Customer 1169</t>
        </is>
      </c>
      <c r="F1170" t="inlineStr">
        <is>
          <t>Consumer</t>
        </is>
      </c>
      <c r="G1170" t="inlineStr">
        <is>
          <t>P1008</t>
        </is>
      </c>
      <c r="H1170" t="inlineStr">
        <is>
          <t>CloudDrive File Box</t>
        </is>
      </c>
      <c r="I1170" t="inlineStr">
        <is>
          <t>Office Supplies</t>
        </is>
      </c>
      <c r="J1170" t="inlineStr">
        <is>
          <t>Desks</t>
        </is>
      </c>
      <c r="K1170" t="inlineStr">
        <is>
          <t>North</t>
        </is>
      </c>
      <c r="L1170" t="inlineStr">
        <is>
          <t>Ontario</t>
        </is>
      </c>
      <c r="M1170" t="inlineStr">
        <is>
          <t>Vancouver</t>
        </is>
      </c>
      <c r="N1170" t="inlineStr">
        <is>
          <t>James Carter</t>
        </is>
      </c>
      <c r="O1170" t="n">
        <v>2</v>
      </c>
      <c r="P1170" s="3" t="n">
        <v>35.24</v>
      </c>
      <c r="Q1170" s="4" t="n">
        <v>0.008</v>
      </c>
      <c r="R1170" s="3" t="n">
        <v>69.92</v>
      </c>
      <c r="S1170" s="3" t="n">
        <v>36.98</v>
      </c>
      <c r="T1170" s="3" t="n">
        <v>25.34</v>
      </c>
      <c r="U1170" s="4" t="n">
        <v>0.3624</v>
      </c>
      <c r="V1170" s="3" t="n">
        <v>7.6</v>
      </c>
      <c r="W1170" t="inlineStr">
        <is>
          <t>Debit Card</t>
        </is>
      </c>
      <c r="X1170" t="inlineStr">
        <is>
          <t>Low</t>
        </is>
      </c>
      <c r="Y1170" t="n">
        <v>2023</v>
      </c>
      <c r="Z1170" t="n">
        <v>4</v>
      </c>
      <c r="AA1170" t="inlineStr">
        <is>
          <t>Apr</t>
        </is>
      </c>
      <c r="AB1170" t="inlineStr">
        <is>
          <t>Sunday</t>
        </is>
      </c>
      <c r="AC1170" t="n">
        <v>2</v>
      </c>
      <c r="AD1170" t="inlineStr">
        <is>
          <t>Profitable</t>
        </is>
      </c>
      <c r="AE1170" t="inlineStr">
        <is>
          <t>Low</t>
        </is>
      </c>
      <c r="AF1170" t="inlineStr">
        <is>
          <t>Small</t>
        </is>
      </c>
    </row>
    <row r="1171">
      <c r="A1171" t="inlineStr">
        <is>
          <t>ORD-01173</t>
        </is>
      </c>
      <c r="B1171" s="2" t="n">
        <v>45497</v>
      </c>
      <c r="C1171" s="2" t="n">
        <v>45503</v>
      </c>
      <c r="D1171" t="inlineStr">
        <is>
          <t>CUST-01173</t>
        </is>
      </c>
      <c r="E1171" t="inlineStr">
        <is>
          <t>Customer 1173</t>
        </is>
      </c>
      <c r="F1171" t="inlineStr">
        <is>
          <t>Home Office</t>
        </is>
      </c>
      <c r="G1171" t="inlineStr">
        <is>
          <t>P1019</t>
        </is>
      </c>
      <c r="H1171" t="inlineStr">
        <is>
          <t>Pulse Keyboard</t>
        </is>
      </c>
      <c r="I1171" t="inlineStr">
        <is>
          <t>Outdoor</t>
        </is>
      </c>
      <c r="J1171" t="inlineStr">
        <is>
          <t>Paper</t>
        </is>
      </c>
      <c r="K1171" t="inlineStr">
        <is>
          <t>West</t>
        </is>
      </c>
      <c r="L1171" t="inlineStr">
        <is>
          <t>Oregon</t>
        </is>
      </c>
      <c r="M1171" t="inlineStr">
        <is>
          <t>Denver</t>
        </is>
      </c>
      <c r="N1171" t="inlineStr">
        <is>
          <t>Mia Rodriguez</t>
        </is>
      </c>
      <c r="O1171" t="n">
        <v>4</v>
      </c>
      <c r="P1171" s="3" t="n">
        <v>63.23</v>
      </c>
      <c r="Q1171" s="4" t="n">
        <v>0.013</v>
      </c>
      <c r="R1171" s="3" t="n">
        <v>249.63</v>
      </c>
      <c r="S1171" s="3" t="n">
        <v>106.23</v>
      </c>
      <c r="T1171" s="3" t="n">
        <v>133.2</v>
      </c>
      <c r="U1171" s="4" t="n">
        <v>0.5336</v>
      </c>
      <c r="V1171" s="3" t="n">
        <v>10.2</v>
      </c>
      <c r="W1171" t="inlineStr">
        <is>
          <t>Debit Card</t>
        </is>
      </c>
      <c r="X1171" t="inlineStr">
        <is>
          <t>Medium</t>
        </is>
      </c>
      <c r="Y1171" t="n">
        <v>2024</v>
      </c>
      <c r="Z1171" t="n">
        <v>7</v>
      </c>
      <c r="AA1171" t="inlineStr">
        <is>
          <t>Jul</t>
        </is>
      </c>
      <c r="AB1171" t="inlineStr">
        <is>
          <t>Wednesday</t>
        </is>
      </c>
      <c r="AC1171" t="n">
        <v>6</v>
      </c>
      <c r="AD1171" t="inlineStr">
        <is>
          <t>Profitable</t>
        </is>
      </c>
      <c r="AE1171" t="inlineStr">
        <is>
          <t>Low</t>
        </is>
      </c>
      <c r="AF1171" t="inlineStr">
        <is>
          <t>Small</t>
        </is>
      </c>
    </row>
    <row r="1172">
      <c r="A1172" t="inlineStr">
        <is>
          <t>ORD-01174</t>
        </is>
      </c>
      <c r="B1172" s="2" t="n">
        <v>45029</v>
      </c>
      <c r="C1172" s="2" t="n">
        <v>45031</v>
      </c>
      <c r="D1172" t="inlineStr">
        <is>
          <t>CUST-01174</t>
        </is>
      </c>
      <c r="E1172" t="inlineStr">
        <is>
          <t>Customer 1174</t>
        </is>
      </c>
      <c r="F1172" t="inlineStr">
        <is>
          <t>Consumer</t>
        </is>
      </c>
      <c r="G1172" t="inlineStr">
        <is>
          <t>P1010</t>
        </is>
      </c>
      <c r="H1172" t="inlineStr">
        <is>
          <t>Nova Laptop Stand</t>
        </is>
      </c>
      <c r="I1172" t="inlineStr">
        <is>
          <t>Home Decor</t>
        </is>
      </c>
      <c r="J1172" t="inlineStr">
        <is>
          <t>Accessories</t>
        </is>
      </c>
      <c r="K1172" t="inlineStr">
        <is>
          <t>West</t>
        </is>
      </c>
      <c r="L1172" t="inlineStr">
        <is>
          <t>Colorado</t>
        </is>
      </c>
      <c r="M1172" t="inlineStr">
        <is>
          <t>San Francisco</t>
        </is>
      </c>
      <c r="N1172" t="inlineStr">
        <is>
          <t>Ethan Brooks</t>
        </is>
      </c>
      <c r="O1172" t="n">
        <v>4</v>
      </c>
      <c r="P1172" s="3" t="n">
        <v>57.75</v>
      </c>
      <c r="Q1172" s="4" t="n">
        <v>0.014</v>
      </c>
      <c r="R1172" s="3" t="n">
        <v>227.77</v>
      </c>
      <c r="S1172" s="3" t="n">
        <v>103.23</v>
      </c>
      <c r="T1172" s="3" t="n">
        <v>114.34</v>
      </c>
      <c r="U1172" s="4" t="n">
        <v>0.502</v>
      </c>
      <c r="V1172" s="3" t="n">
        <v>10.2</v>
      </c>
      <c r="W1172" t="inlineStr">
        <is>
          <t>PayPal</t>
        </is>
      </c>
      <c r="X1172" t="inlineStr">
        <is>
          <t>Low</t>
        </is>
      </c>
      <c r="Y1172" t="n">
        <v>2023</v>
      </c>
      <c r="Z1172" t="n">
        <v>4</v>
      </c>
      <c r="AA1172" t="inlineStr">
        <is>
          <t>Apr</t>
        </is>
      </c>
      <c r="AB1172" t="inlineStr">
        <is>
          <t>Thursday</t>
        </is>
      </c>
      <c r="AC1172" t="n">
        <v>2</v>
      </c>
      <c r="AD1172" t="inlineStr">
        <is>
          <t>Profitable</t>
        </is>
      </c>
      <c r="AE1172" t="inlineStr">
        <is>
          <t>Low</t>
        </is>
      </c>
      <c r="AF1172" t="inlineStr">
        <is>
          <t>Small</t>
        </is>
      </c>
    </row>
    <row r="1173">
      <c r="A1173" t="inlineStr">
        <is>
          <t>ORD-01175</t>
        </is>
      </c>
      <c r="B1173" s="2" t="n">
        <v>45323</v>
      </c>
      <c r="C1173" s="2" t="n">
        <v>45324</v>
      </c>
      <c r="D1173" t="inlineStr">
        <is>
          <t>CUST-01175</t>
        </is>
      </c>
      <c r="E1173" t="inlineStr">
        <is>
          <t>Customer 1175</t>
        </is>
      </c>
      <c r="F1173" t="inlineStr">
        <is>
          <t>Corporate</t>
        </is>
      </c>
      <c r="G1173" t="inlineStr">
        <is>
          <t>P1004</t>
        </is>
      </c>
      <c r="H1173" t="inlineStr">
        <is>
          <t>Summit Patio Set</t>
        </is>
      </c>
      <c r="I1173" t="inlineStr">
        <is>
          <t>Outdoor</t>
        </is>
      </c>
      <c r="J1173" t="inlineStr">
        <is>
          <t>Binders</t>
        </is>
      </c>
      <c r="K1173" t="inlineStr">
        <is>
          <t>West</t>
        </is>
      </c>
      <c r="L1173" t="inlineStr">
        <is>
          <t>Washington</t>
        </is>
      </c>
      <c r="M1173" t="inlineStr">
        <is>
          <t>Seattle</t>
        </is>
      </c>
      <c r="N1173" t="inlineStr">
        <is>
          <t>Ethan Brooks</t>
        </is>
      </c>
      <c r="O1173" t="n">
        <v>1</v>
      </c>
      <c r="P1173" s="3" t="n">
        <v>609.01</v>
      </c>
      <c r="Q1173" s="4" t="n">
        <v>0.039</v>
      </c>
      <c r="R1173" s="3" t="n">
        <v>585.26</v>
      </c>
      <c r="S1173" s="3" t="n">
        <v>373.23</v>
      </c>
      <c r="T1173" s="3" t="n">
        <v>204.23</v>
      </c>
      <c r="U1173" s="4" t="n">
        <v>0.349</v>
      </c>
      <c r="V1173" s="3" t="n">
        <v>7.8</v>
      </c>
      <c r="W1173" t="inlineStr">
        <is>
          <t>Bank Transfer</t>
        </is>
      </c>
      <c r="X1173" t="inlineStr">
        <is>
          <t>High</t>
        </is>
      </c>
      <c r="Y1173" t="n">
        <v>2024</v>
      </c>
      <c r="Z1173" t="n">
        <v>2</v>
      </c>
      <c r="AA1173" t="inlineStr">
        <is>
          <t>Feb</t>
        </is>
      </c>
      <c r="AB1173" t="inlineStr">
        <is>
          <t>Thursday</t>
        </is>
      </c>
      <c r="AC1173" t="n">
        <v>1</v>
      </c>
      <c r="AD1173" t="inlineStr">
        <is>
          <t>Profitable</t>
        </is>
      </c>
      <c r="AE1173" t="inlineStr">
        <is>
          <t>Medium</t>
        </is>
      </c>
      <c r="AF1173" t="inlineStr">
        <is>
          <t>Medium</t>
        </is>
      </c>
    </row>
    <row r="1174">
      <c r="A1174" t="inlineStr">
        <is>
          <t>ORD-01176</t>
        </is>
      </c>
      <c r="B1174" s="2" t="n">
        <v>45415</v>
      </c>
      <c r="C1174" s="2" t="n">
        <v>45421</v>
      </c>
      <c r="D1174" t="inlineStr">
        <is>
          <t>CUST-01176</t>
        </is>
      </c>
      <c r="E1174" t="inlineStr">
        <is>
          <t>Customer 1176</t>
        </is>
      </c>
      <c r="F1174" t="inlineStr">
        <is>
          <t>Home Office</t>
        </is>
      </c>
      <c r="G1174" t="inlineStr">
        <is>
          <t>P1010</t>
        </is>
      </c>
      <c r="H1174" t="inlineStr">
        <is>
          <t>Northstar Lantern</t>
        </is>
      </c>
      <c r="I1174" t="inlineStr">
        <is>
          <t>Technology</t>
        </is>
      </c>
      <c r="J1174" t="inlineStr">
        <is>
          <t>Video</t>
        </is>
      </c>
      <c r="K1174" t="inlineStr">
        <is>
          <t>North</t>
        </is>
      </c>
      <c r="L1174" t="inlineStr">
        <is>
          <t>Alberta</t>
        </is>
      </c>
      <c r="M1174" t="inlineStr">
        <is>
          <t>Vancouver</t>
        </is>
      </c>
      <c r="N1174" t="inlineStr">
        <is>
          <t>Liam Chen</t>
        </is>
      </c>
      <c r="O1174" t="n">
        <v>6</v>
      </c>
      <c r="P1174" s="3" t="n">
        <v>52.12</v>
      </c>
      <c r="Q1174" s="4" t="n">
        <v>0.047</v>
      </c>
      <c r="R1174" s="3" t="n">
        <v>298.02</v>
      </c>
      <c r="S1174" s="3" t="n">
        <v>130.45</v>
      </c>
      <c r="T1174" s="3" t="n">
        <v>156.77</v>
      </c>
      <c r="U1174" s="4" t="n">
        <v>0.526</v>
      </c>
      <c r="V1174" s="3" t="n">
        <v>10.8</v>
      </c>
      <c r="W1174" t="inlineStr">
        <is>
          <t>Credit Card</t>
        </is>
      </c>
      <c r="X1174" t="inlineStr">
        <is>
          <t>High</t>
        </is>
      </c>
      <c r="Y1174" t="n">
        <v>2024</v>
      </c>
      <c r="Z1174" t="n">
        <v>5</v>
      </c>
      <c r="AA1174" t="inlineStr">
        <is>
          <t>May</t>
        </is>
      </c>
      <c r="AB1174" t="inlineStr">
        <is>
          <t>Friday</t>
        </is>
      </c>
      <c r="AC1174" t="n">
        <v>6</v>
      </c>
      <c r="AD1174" t="inlineStr">
        <is>
          <t>Profitable</t>
        </is>
      </c>
      <c r="AE1174" t="inlineStr">
        <is>
          <t>Medium</t>
        </is>
      </c>
      <c r="AF1174" t="inlineStr">
        <is>
          <t>Small</t>
        </is>
      </c>
    </row>
    <row r="1175">
      <c r="A1175" t="inlineStr">
        <is>
          <t>ORD-01177</t>
        </is>
      </c>
      <c r="B1175" s="2" t="n">
        <v>45738</v>
      </c>
      <c r="C1175" s="2" t="n">
        <v>45744</v>
      </c>
      <c r="D1175" t="inlineStr">
        <is>
          <t>CUST-01177</t>
        </is>
      </c>
      <c r="E1175" t="inlineStr">
        <is>
          <t>Customer 1177</t>
        </is>
      </c>
      <c r="F1175" t="inlineStr">
        <is>
          <t>Home Office</t>
        </is>
      </c>
      <c r="G1175" t="inlineStr">
        <is>
          <t>P1014</t>
        </is>
      </c>
      <c r="H1175" t="inlineStr">
        <is>
          <t>Lumen Desk Lamp</t>
        </is>
      </c>
      <c r="I1175" t="inlineStr">
        <is>
          <t>Technology</t>
        </is>
      </c>
      <c r="J1175" t="inlineStr">
        <is>
          <t>Flooring</t>
        </is>
      </c>
      <c r="K1175" t="inlineStr">
        <is>
          <t>West</t>
        </is>
      </c>
      <c r="L1175" t="inlineStr">
        <is>
          <t>Washington</t>
        </is>
      </c>
      <c r="M1175" t="inlineStr">
        <is>
          <t>Seattle</t>
        </is>
      </c>
      <c r="N1175" t="inlineStr">
        <is>
          <t>James Carter</t>
        </is>
      </c>
      <c r="O1175" t="n">
        <v>3</v>
      </c>
      <c r="P1175" s="3" t="n">
        <v>44.53</v>
      </c>
      <c r="Q1175" s="4" t="n">
        <v>0.024</v>
      </c>
      <c r="R1175" s="3" t="n">
        <v>130.38</v>
      </c>
      <c r="S1175" s="3" t="n">
        <v>59.52</v>
      </c>
      <c r="T1175" s="3" t="n">
        <v>61.46</v>
      </c>
      <c r="U1175" s="4" t="n">
        <v>0.4714</v>
      </c>
      <c r="V1175" s="3" t="n">
        <v>9.4</v>
      </c>
      <c r="W1175" t="inlineStr">
        <is>
          <t>Cash on Delivery</t>
        </is>
      </c>
      <c r="X1175" t="inlineStr">
        <is>
          <t>Medium</t>
        </is>
      </c>
      <c r="Y1175" t="n">
        <v>2025</v>
      </c>
      <c r="Z1175" t="n">
        <v>3</v>
      </c>
      <c r="AA1175" t="inlineStr">
        <is>
          <t>Mar</t>
        </is>
      </c>
      <c r="AB1175" t="inlineStr">
        <is>
          <t>Saturday</t>
        </is>
      </c>
      <c r="AC1175" t="n">
        <v>6</v>
      </c>
      <c r="AD1175" t="inlineStr">
        <is>
          <t>Profitable</t>
        </is>
      </c>
      <c r="AE1175" t="inlineStr">
        <is>
          <t>Medium</t>
        </is>
      </c>
      <c r="AF1175" t="inlineStr">
        <is>
          <t>Small</t>
        </is>
      </c>
    </row>
    <row r="1176">
      <c r="A1176" t="inlineStr">
        <is>
          <t>ORD-01178</t>
        </is>
      </c>
      <c r="B1176" s="2" t="n">
        <v>45207</v>
      </c>
      <c r="C1176" s="2" t="n">
        <v>45213</v>
      </c>
      <c r="D1176" t="inlineStr">
        <is>
          <t>CUST-01178</t>
        </is>
      </c>
      <c r="E1176" t="inlineStr">
        <is>
          <t>Customer 1178</t>
        </is>
      </c>
      <c r="F1176" t="inlineStr">
        <is>
          <t>Consumer</t>
        </is>
      </c>
      <c r="G1176" t="inlineStr">
        <is>
          <t>P1006</t>
        </is>
      </c>
      <c r="H1176" t="inlineStr">
        <is>
          <t>CloudDrive File Box</t>
        </is>
      </c>
      <c r="I1176" t="inlineStr">
        <is>
          <t>Furniture</t>
        </is>
      </c>
      <c r="J1176" t="inlineStr">
        <is>
          <t>Chairs</t>
        </is>
      </c>
      <c r="K1176" t="inlineStr">
        <is>
          <t>Central</t>
        </is>
      </c>
      <c r="L1176" t="inlineStr">
        <is>
          <t>Minnesota</t>
        </is>
      </c>
      <c r="M1176" t="inlineStr">
        <is>
          <t>St. Louis</t>
        </is>
      </c>
      <c r="N1176" t="inlineStr">
        <is>
          <t>Ava Patel</t>
        </is>
      </c>
      <c r="O1176" t="n">
        <v>1</v>
      </c>
      <c r="P1176" s="3" t="n">
        <v>19.7</v>
      </c>
      <c r="Q1176" s="4" t="n">
        <v>0.014</v>
      </c>
      <c r="R1176" s="3" t="n">
        <v>19.42</v>
      </c>
      <c r="S1176" s="3" t="n">
        <v>16.27</v>
      </c>
      <c r="T1176" s="3" t="n">
        <v>-3.65</v>
      </c>
      <c r="U1176" s="4" t="n">
        <v>-0.188</v>
      </c>
      <c r="V1176" s="3" t="n">
        <v>6.8</v>
      </c>
      <c r="W1176" t="inlineStr">
        <is>
          <t>Credit Card</t>
        </is>
      </c>
      <c r="X1176" t="inlineStr">
        <is>
          <t>Medium</t>
        </is>
      </c>
      <c r="Y1176" t="n">
        <v>2023</v>
      </c>
      <c r="Z1176" t="n">
        <v>10</v>
      </c>
      <c r="AA1176" t="inlineStr">
        <is>
          <t>Oct</t>
        </is>
      </c>
      <c r="AB1176" t="inlineStr">
        <is>
          <t>Sunday</t>
        </is>
      </c>
      <c r="AC1176" t="n">
        <v>6</v>
      </c>
      <c r="AD1176" t="inlineStr">
        <is>
          <t>Unprofitable</t>
        </is>
      </c>
      <c r="AE1176" t="inlineStr">
        <is>
          <t>Low</t>
        </is>
      </c>
      <c r="AF1176" t="inlineStr">
        <is>
          <t>Small</t>
        </is>
      </c>
    </row>
    <row r="1177">
      <c r="A1177" t="inlineStr">
        <is>
          <t>ORD-01180</t>
        </is>
      </c>
      <c r="B1177" s="2" t="n">
        <v>45369</v>
      </c>
      <c r="C1177" s="2" t="n">
        <v>45371</v>
      </c>
      <c r="D1177" t="inlineStr">
        <is>
          <t>CUST-01180</t>
        </is>
      </c>
      <c r="E1177" t="inlineStr">
        <is>
          <t>Customer 1180</t>
        </is>
      </c>
      <c r="F1177" t="inlineStr">
        <is>
          <t>Consumer</t>
        </is>
      </c>
      <c r="G1177" t="inlineStr">
        <is>
          <t>P1015</t>
        </is>
      </c>
      <c r="H1177" t="inlineStr">
        <is>
          <t>Nimbus Monitor Arm</t>
        </is>
      </c>
      <c r="I1177" t="inlineStr">
        <is>
          <t>Furniture</t>
        </is>
      </c>
      <c r="J1177" t="inlineStr">
        <is>
          <t>Textiles</t>
        </is>
      </c>
      <c r="K1177" t="inlineStr">
        <is>
          <t>Central</t>
        </is>
      </c>
      <c r="L1177" t="inlineStr">
        <is>
          <t>Kansas</t>
        </is>
      </c>
      <c r="M1177" t="inlineStr">
        <is>
          <t>Minneapolis</t>
        </is>
      </c>
      <c r="N1177" t="inlineStr">
        <is>
          <t>James Carter</t>
        </is>
      </c>
      <c r="O1177" t="n">
        <v>1</v>
      </c>
      <c r="P1177" s="3" t="n">
        <v>69.42</v>
      </c>
      <c r="Q1177" s="4" t="n">
        <v>0.02</v>
      </c>
      <c r="R1177" s="3" t="n">
        <v>68.03</v>
      </c>
      <c r="S1177" s="3" t="n">
        <v>38.09</v>
      </c>
      <c r="T1177" s="3" t="n">
        <v>23.14</v>
      </c>
      <c r="U1177" s="4" t="n">
        <v>0.3401</v>
      </c>
      <c r="V1177" s="3" t="n">
        <v>6.8</v>
      </c>
      <c r="W1177" t="inlineStr">
        <is>
          <t>Credit Card</t>
        </is>
      </c>
      <c r="X1177" t="inlineStr">
        <is>
          <t>High</t>
        </is>
      </c>
      <c r="Y1177" t="n">
        <v>2024</v>
      </c>
      <c r="Z1177" t="n">
        <v>3</v>
      </c>
      <c r="AA1177" t="inlineStr">
        <is>
          <t>Mar</t>
        </is>
      </c>
      <c r="AB1177" t="inlineStr">
        <is>
          <t>Monday</t>
        </is>
      </c>
      <c r="AC1177" t="n">
        <v>2</v>
      </c>
      <c r="AD1177" t="inlineStr">
        <is>
          <t>Profitable</t>
        </is>
      </c>
      <c r="AE1177" t="inlineStr">
        <is>
          <t>Medium</t>
        </is>
      </c>
      <c r="AF1177" t="inlineStr">
        <is>
          <t>Small</t>
        </is>
      </c>
    </row>
    <row r="1178">
      <c r="A1178" t="inlineStr">
        <is>
          <t>ORD-01181</t>
        </is>
      </c>
      <c r="B1178" s="2" t="n">
        <v>45682</v>
      </c>
      <c r="C1178" s="2" t="n">
        <v>45685</v>
      </c>
      <c r="D1178" t="inlineStr">
        <is>
          <t>CUST-01181</t>
        </is>
      </c>
      <c r="E1178" t="inlineStr">
        <is>
          <t>Customer 1181</t>
        </is>
      </c>
      <c r="F1178" t="inlineStr">
        <is>
          <t>Consumer</t>
        </is>
      </c>
      <c r="G1178" t="inlineStr">
        <is>
          <t>P1005</t>
        </is>
      </c>
      <c r="H1178" t="inlineStr">
        <is>
          <t>Orbit Wireless Mouse</t>
        </is>
      </c>
      <c r="I1178" t="inlineStr">
        <is>
          <t>Technology</t>
        </is>
      </c>
      <c r="J1178" t="inlineStr">
        <is>
          <t>Lighting</t>
        </is>
      </c>
      <c r="K1178" t="inlineStr">
        <is>
          <t>North</t>
        </is>
      </c>
      <c r="L1178" t="inlineStr">
        <is>
          <t>British Columbia</t>
        </is>
      </c>
      <c r="M1178" t="inlineStr">
        <is>
          <t>Vancouver</t>
        </is>
      </c>
      <c r="N1178" t="inlineStr">
        <is>
          <t>Ava Patel</t>
        </is>
      </c>
      <c r="O1178" t="n">
        <v>2</v>
      </c>
      <c r="P1178" s="3" t="n">
        <v>12.96</v>
      </c>
      <c r="Q1178" s="4" t="n">
        <v>0.007</v>
      </c>
      <c r="R1178" s="3" t="n">
        <v>25.74</v>
      </c>
      <c r="S1178" s="3" t="n">
        <v>17.61</v>
      </c>
      <c r="T1178" s="3" t="n">
        <v>0.53</v>
      </c>
      <c r="U1178" s="4" t="n">
        <v>0.0206</v>
      </c>
      <c r="V1178" s="3" t="n">
        <v>7.6</v>
      </c>
      <c r="W1178" t="inlineStr">
        <is>
          <t>Debit Card</t>
        </is>
      </c>
      <c r="X1178" t="inlineStr">
        <is>
          <t>Medium</t>
        </is>
      </c>
      <c r="Y1178" t="n">
        <v>2025</v>
      </c>
      <c r="Z1178" t="n">
        <v>1</v>
      </c>
      <c r="AA1178" t="inlineStr">
        <is>
          <t>Jan</t>
        </is>
      </c>
      <c r="AB1178" t="inlineStr">
        <is>
          <t>Saturday</t>
        </is>
      </c>
      <c r="AC1178" t="n">
        <v>3</v>
      </c>
      <c r="AD1178" t="inlineStr">
        <is>
          <t>Profitable</t>
        </is>
      </c>
      <c r="AE1178" t="inlineStr">
        <is>
          <t>Low</t>
        </is>
      </c>
      <c r="AF1178" t="inlineStr">
        <is>
          <t>Small</t>
        </is>
      </c>
    </row>
    <row r="1179">
      <c r="A1179" t="inlineStr">
        <is>
          <t>ORD-01182</t>
        </is>
      </c>
      <c r="B1179" s="2" t="n">
        <v>45612</v>
      </c>
      <c r="C1179" s="2" t="n">
        <v>45616</v>
      </c>
      <c r="D1179" t="inlineStr">
        <is>
          <t>CUST-01182</t>
        </is>
      </c>
      <c r="E1179" t="inlineStr">
        <is>
          <t>Customer 1182</t>
        </is>
      </c>
      <c r="F1179" t="inlineStr">
        <is>
          <t>Consumer</t>
        </is>
      </c>
      <c r="G1179" t="inlineStr">
        <is>
          <t>P1006</t>
        </is>
      </c>
      <c r="H1179" t="inlineStr">
        <is>
          <t>Lumen Desk Lamp</t>
        </is>
      </c>
      <c r="I1179" t="inlineStr">
        <is>
          <t>Technology</t>
        </is>
      </c>
      <c r="J1179" t="inlineStr">
        <is>
          <t>Accessories</t>
        </is>
      </c>
      <c r="K1179" t="inlineStr">
        <is>
          <t>West</t>
        </is>
      </c>
      <c r="L1179" t="inlineStr">
        <is>
          <t>Colorado</t>
        </is>
      </c>
      <c r="M1179" t="inlineStr">
        <is>
          <t>Denver</t>
        </is>
      </c>
      <c r="N1179" t="inlineStr">
        <is>
          <t>Liam Chen</t>
        </is>
      </c>
      <c r="O1179" t="n">
        <v>3</v>
      </c>
      <c r="P1179" s="3" t="n">
        <v>19.39</v>
      </c>
      <c r="Q1179" s="4" t="n">
        <v>0.027</v>
      </c>
      <c r="R1179" s="3" t="n">
        <v>56.6</v>
      </c>
      <c r="S1179" s="3" t="n">
        <v>27.42</v>
      </c>
      <c r="T1179" s="3" t="n">
        <v>19.78</v>
      </c>
      <c r="U1179" s="4" t="n">
        <v>0.3495</v>
      </c>
      <c r="V1179" s="3" t="n">
        <v>9.4</v>
      </c>
      <c r="W1179" t="inlineStr">
        <is>
          <t>Cash on Delivery</t>
        </is>
      </c>
      <c r="X1179" t="inlineStr">
        <is>
          <t>Medium</t>
        </is>
      </c>
      <c r="Y1179" t="n">
        <v>2024</v>
      </c>
      <c r="Z1179" t="n">
        <v>11</v>
      </c>
      <c r="AA1179" t="inlineStr">
        <is>
          <t>Nov</t>
        </is>
      </c>
      <c r="AB1179" t="inlineStr">
        <is>
          <t>Saturday</t>
        </is>
      </c>
      <c r="AC1179" t="n">
        <v>4</v>
      </c>
      <c r="AD1179" t="inlineStr">
        <is>
          <t>Profitable</t>
        </is>
      </c>
      <c r="AE1179" t="inlineStr">
        <is>
          <t>Medium</t>
        </is>
      </c>
      <c r="AF1179" t="inlineStr">
        <is>
          <t>Small</t>
        </is>
      </c>
    </row>
    <row r="1180">
      <c r="A1180" t="inlineStr">
        <is>
          <t>ORD-01183</t>
        </is>
      </c>
      <c r="B1180" s="2" t="n">
        <v>45371</v>
      </c>
      <c r="C1180" s="2" t="n">
        <v>45377</v>
      </c>
      <c r="D1180" t="inlineStr">
        <is>
          <t>CUST-01183</t>
        </is>
      </c>
      <c r="E1180" t="inlineStr">
        <is>
          <t>Customer 1183</t>
        </is>
      </c>
      <c r="F1180" t="inlineStr">
        <is>
          <t>Home Office</t>
        </is>
      </c>
      <c r="G1180" t="inlineStr">
        <is>
          <t>P1019</t>
        </is>
      </c>
      <c r="H1180" t="inlineStr">
        <is>
          <t>SmartInk Pen Set</t>
        </is>
      </c>
      <c r="I1180" t="inlineStr">
        <is>
          <t>Office Supplies</t>
        </is>
      </c>
      <c r="J1180" t="inlineStr">
        <is>
          <t>Peripherals</t>
        </is>
      </c>
      <c r="K1180" t="inlineStr">
        <is>
          <t>South</t>
        </is>
      </c>
      <c r="L1180" t="inlineStr">
        <is>
          <t>North Carolina</t>
        </is>
      </c>
      <c r="M1180" t="inlineStr">
        <is>
          <t>Dallas</t>
        </is>
      </c>
      <c r="N1180" t="inlineStr">
        <is>
          <t>Ava Patel</t>
        </is>
      </c>
      <c r="O1180" t="n">
        <v>2</v>
      </c>
      <c r="P1180" s="3" t="n">
        <v>52.87</v>
      </c>
      <c r="Q1180" s="4" t="n">
        <v>0.022</v>
      </c>
      <c r="R1180" s="3" t="n">
        <v>103.41</v>
      </c>
      <c r="S1180" s="3" t="n">
        <v>51.96</v>
      </c>
      <c r="T1180" s="3" t="n">
        <v>43.85</v>
      </c>
      <c r="U1180" s="4" t="n">
        <v>0.424</v>
      </c>
      <c r="V1180" s="3" t="n">
        <v>7.6</v>
      </c>
      <c r="W1180" t="inlineStr">
        <is>
          <t>Bank Transfer</t>
        </is>
      </c>
      <c r="X1180" t="inlineStr">
        <is>
          <t>High</t>
        </is>
      </c>
      <c r="Y1180" t="n">
        <v>2024</v>
      </c>
      <c r="Z1180" t="n">
        <v>3</v>
      </c>
      <c r="AA1180" t="inlineStr">
        <is>
          <t>Mar</t>
        </is>
      </c>
      <c r="AB1180" t="inlineStr">
        <is>
          <t>Wednesday</t>
        </is>
      </c>
      <c r="AC1180" t="n">
        <v>6</v>
      </c>
      <c r="AD1180" t="inlineStr">
        <is>
          <t>Profitable</t>
        </is>
      </c>
      <c r="AE1180" t="inlineStr">
        <is>
          <t>Medium</t>
        </is>
      </c>
      <c r="AF1180" t="inlineStr">
        <is>
          <t>Small</t>
        </is>
      </c>
    </row>
    <row r="1181">
      <c r="A1181" t="inlineStr">
        <is>
          <t>ORD-01186</t>
        </is>
      </c>
      <c r="B1181" s="2" t="n">
        <v>45871</v>
      </c>
      <c r="C1181" s="2" t="n">
        <v>45875</v>
      </c>
      <c r="D1181" t="inlineStr">
        <is>
          <t>CUST-01186</t>
        </is>
      </c>
      <c r="E1181" t="inlineStr">
        <is>
          <t>Customer 1186</t>
        </is>
      </c>
      <c r="F1181" t="inlineStr">
        <is>
          <t>Corporate</t>
        </is>
      </c>
      <c r="G1181" t="inlineStr">
        <is>
          <t>P1014</t>
        </is>
      </c>
      <c r="H1181" t="inlineStr">
        <is>
          <t>FlexNote Notebook</t>
        </is>
      </c>
      <c r="I1181" t="inlineStr">
        <is>
          <t>Office Supplies</t>
        </is>
      </c>
      <c r="J1181" t="inlineStr">
        <is>
          <t>Plants</t>
        </is>
      </c>
      <c r="K1181" t="inlineStr">
        <is>
          <t>Central</t>
        </is>
      </c>
      <c r="L1181" t="inlineStr">
        <is>
          <t>Kansas</t>
        </is>
      </c>
      <c r="M1181" t="inlineStr">
        <is>
          <t>Kansas City</t>
        </is>
      </c>
      <c r="N1181" t="inlineStr">
        <is>
          <t>Liam Chen</t>
        </is>
      </c>
      <c r="O1181" t="n">
        <v>3</v>
      </c>
      <c r="P1181" s="3" t="n">
        <v>41.97</v>
      </c>
      <c r="Q1181" s="4" t="n">
        <v>0.015</v>
      </c>
      <c r="R1181" s="3" t="n">
        <v>124.02</v>
      </c>
      <c r="S1181" s="3" t="n">
        <v>53.25</v>
      </c>
      <c r="T1181" s="3" t="n">
        <v>62.37</v>
      </c>
      <c r="U1181" s="4" t="n">
        <v>0.5029</v>
      </c>
      <c r="V1181" s="3" t="n">
        <v>8.4</v>
      </c>
      <c r="W1181" t="inlineStr">
        <is>
          <t>Credit Card</t>
        </is>
      </c>
      <c r="X1181" t="inlineStr">
        <is>
          <t>Low</t>
        </is>
      </c>
      <c r="Y1181" t="n">
        <v>2025</v>
      </c>
      <c r="Z1181" t="n">
        <v>8</v>
      </c>
      <c r="AA1181" t="inlineStr">
        <is>
          <t>Aug</t>
        </is>
      </c>
      <c r="AB1181" t="inlineStr">
        <is>
          <t>Saturday</t>
        </is>
      </c>
      <c r="AC1181" t="n">
        <v>4</v>
      </c>
      <c r="AD1181" t="inlineStr">
        <is>
          <t>Profitable</t>
        </is>
      </c>
      <c r="AE1181" t="inlineStr">
        <is>
          <t>Low</t>
        </is>
      </c>
      <c r="AF1181" t="inlineStr">
        <is>
          <t>Small</t>
        </is>
      </c>
    </row>
    <row r="1182">
      <c r="A1182" t="inlineStr">
        <is>
          <t>ORD-01187</t>
        </is>
      </c>
      <c r="B1182" s="2" t="n">
        <v>45794</v>
      </c>
      <c r="C1182" s="2" t="n">
        <v>45797</v>
      </c>
      <c r="D1182" t="inlineStr">
        <is>
          <t>CUST-01187</t>
        </is>
      </c>
      <c r="E1182" t="inlineStr">
        <is>
          <t>Customer 1187</t>
        </is>
      </c>
      <c r="F1182" t="inlineStr">
        <is>
          <t>Home Office</t>
        </is>
      </c>
      <c r="G1182" t="inlineStr">
        <is>
          <t>P1011</t>
        </is>
      </c>
      <c r="H1182" t="inlineStr">
        <is>
          <t>Nova Laptop Stand</t>
        </is>
      </c>
      <c r="I1182" t="inlineStr">
        <is>
          <t>Office Supplies</t>
        </is>
      </c>
      <c r="J1182" t="inlineStr">
        <is>
          <t>Accessories</t>
        </is>
      </c>
      <c r="K1182" t="inlineStr">
        <is>
          <t>South</t>
        </is>
      </c>
      <c r="L1182" t="inlineStr">
        <is>
          <t>Georgia</t>
        </is>
      </c>
      <c r="M1182" t="inlineStr">
        <is>
          <t>Dallas</t>
        </is>
      </c>
      <c r="N1182" t="inlineStr">
        <is>
          <t>Sophia Singh</t>
        </is>
      </c>
      <c r="O1182" t="n">
        <v>5</v>
      </c>
      <c r="P1182" s="3" t="n">
        <v>84.83</v>
      </c>
      <c r="Q1182" s="4" t="n">
        <v>0.023</v>
      </c>
      <c r="R1182" s="3" t="n">
        <v>414.39</v>
      </c>
      <c r="S1182" s="3" t="n">
        <v>197.11</v>
      </c>
      <c r="T1182" s="3" t="n">
        <v>207.28</v>
      </c>
      <c r="U1182" s="4" t="n">
        <v>0.5002</v>
      </c>
      <c r="V1182" s="3" t="n">
        <v>10</v>
      </c>
      <c r="W1182" t="inlineStr">
        <is>
          <t>Credit Card</t>
        </is>
      </c>
      <c r="X1182" t="inlineStr">
        <is>
          <t>Medium</t>
        </is>
      </c>
      <c r="Y1182" t="n">
        <v>2025</v>
      </c>
      <c r="Z1182" t="n">
        <v>5</v>
      </c>
      <c r="AA1182" t="inlineStr">
        <is>
          <t>May</t>
        </is>
      </c>
      <c r="AB1182" t="inlineStr">
        <is>
          <t>Saturday</t>
        </is>
      </c>
      <c r="AC1182" t="n">
        <v>3</v>
      </c>
      <c r="AD1182" t="inlineStr">
        <is>
          <t>Profitable</t>
        </is>
      </c>
      <c r="AE1182" t="inlineStr">
        <is>
          <t>Medium</t>
        </is>
      </c>
      <c r="AF1182" t="inlineStr">
        <is>
          <t>Small</t>
        </is>
      </c>
    </row>
    <row r="1183">
      <c r="A1183" t="inlineStr">
        <is>
          <t>ORD-01188</t>
        </is>
      </c>
      <c r="B1183" s="2" t="n">
        <v>44967</v>
      </c>
      <c r="C1183" s="2" t="n">
        <v>44971</v>
      </c>
      <c r="D1183" t="inlineStr">
        <is>
          <t>CUST-01188</t>
        </is>
      </c>
      <c r="E1183" t="inlineStr">
        <is>
          <t>Customer 1188</t>
        </is>
      </c>
      <c r="F1183" t="inlineStr">
        <is>
          <t>Corporate</t>
        </is>
      </c>
      <c r="G1183" t="inlineStr">
        <is>
          <t>P1014</t>
        </is>
      </c>
      <c r="H1183" t="inlineStr">
        <is>
          <t>Echo Web Camera</t>
        </is>
      </c>
      <c r="I1183" t="inlineStr">
        <is>
          <t>Furniture</t>
        </is>
      </c>
      <c r="J1183" t="inlineStr">
        <is>
          <t>Lighting</t>
        </is>
      </c>
      <c r="K1183" t="inlineStr">
        <is>
          <t>Central</t>
        </is>
      </c>
      <c r="L1183" t="inlineStr">
        <is>
          <t>Missouri</t>
        </is>
      </c>
      <c r="M1183" t="inlineStr">
        <is>
          <t>Chicago</t>
        </is>
      </c>
      <c r="N1183" t="inlineStr">
        <is>
          <t>James Carter</t>
        </is>
      </c>
      <c r="O1183" t="n">
        <v>1</v>
      </c>
      <c r="P1183" s="3" t="n">
        <v>40.86</v>
      </c>
      <c r="Q1183" s="4" t="n">
        <v>0.027</v>
      </c>
      <c r="R1183" s="3" t="n">
        <v>39.76</v>
      </c>
      <c r="S1183" s="3" t="n">
        <v>20.04</v>
      </c>
      <c r="T1183" s="3" t="n">
        <v>12.92</v>
      </c>
      <c r="U1183" s="4" t="n">
        <v>0.3249</v>
      </c>
      <c r="V1183" s="3" t="n">
        <v>6.8</v>
      </c>
      <c r="W1183" t="inlineStr">
        <is>
          <t>Bank Transfer</t>
        </is>
      </c>
      <c r="X1183" t="inlineStr">
        <is>
          <t>High</t>
        </is>
      </c>
      <c r="Y1183" t="n">
        <v>2023</v>
      </c>
      <c r="Z1183" t="n">
        <v>2</v>
      </c>
      <c r="AA1183" t="inlineStr">
        <is>
          <t>Feb</t>
        </is>
      </c>
      <c r="AB1183" t="inlineStr">
        <is>
          <t>Friday</t>
        </is>
      </c>
      <c r="AC1183" t="n">
        <v>4</v>
      </c>
      <c r="AD1183" t="inlineStr">
        <is>
          <t>Profitable</t>
        </is>
      </c>
      <c r="AE1183" t="inlineStr">
        <is>
          <t>Medium</t>
        </is>
      </c>
      <c r="AF1183" t="inlineStr">
        <is>
          <t>Small</t>
        </is>
      </c>
    </row>
    <row r="1184">
      <c r="A1184" t="inlineStr">
        <is>
          <t>ORD-01189</t>
        </is>
      </c>
      <c r="B1184" s="2" t="n">
        <v>45389</v>
      </c>
      <c r="C1184" s="2" t="n">
        <v>45390</v>
      </c>
      <c r="D1184" t="inlineStr">
        <is>
          <t>CUST-01189</t>
        </is>
      </c>
      <c r="E1184" t="inlineStr">
        <is>
          <t>Customer 1189</t>
        </is>
      </c>
      <c r="F1184" t="inlineStr">
        <is>
          <t>Consumer</t>
        </is>
      </c>
      <c r="G1184" t="inlineStr">
        <is>
          <t>P1005</t>
        </is>
      </c>
      <c r="H1184" t="inlineStr">
        <is>
          <t>Pulse Keyboard</t>
        </is>
      </c>
      <c r="I1184" t="inlineStr">
        <is>
          <t>Technology</t>
        </is>
      </c>
      <c r="J1184" t="inlineStr">
        <is>
          <t>Storage</t>
        </is>
      </c>
      <c r="K1184" t="inlineStr">
        <is>
          <t>West</t>
        </is>
      </c>
      <c r="L1184" t="inlineStr">
        <is>
          <t>Washington</t>
        </is>
      </c>
      <c r="M1184" t="inlineStr">
        <is>
          <t>San Francisco</t>
        </is>
      </c>
      <c r="N1184" t="inlineStr">
        <is>
          <t>Noah Kim</t>
        </is>
      </c>
      <c r="O1184" t="n">
        <v>2</v>
      </c>
      <c r="P1184" s="3" t="n">
        <v>13.47</v>
      </c>
      <c r="Q1184" s="4" t="n">
        <v>0.04</v>
      </c>
      <c r="R1184" s="3" t="n">
        <v>25.86</v>
      </c>
      <c r="S1184" s="3" t="n">
        <v>19.55</v>
      </c>
      <c r="T1184" s="3" t="n">
        <v>-2.29</v>
      </c>
      <c r="U1184" s="4" t="n">
        <v>-0.0886</v>
      </c>
      <c r="V1184" s="3" t="n">
        <v>8.6</v>
      </c>
      <c r="W1184" t="inlineStr">
        <is>
          <t>Debit Card</t>
        </is>
      </c>
      <c r="X1184" t="inlineStr">
        <is>
          <t>High</t>
        </is>
      </c>
      <c r="Y1184" t="n">
        <v>2024</v>
      </c>
      <c r="Z1184" t="n">
        <v>4</v>
      </c>
      <c r="AA1184" t="inlineStr">
        <is>
          <t>Apr</t>
        </is>
      </c>
      <c r="AB1184" t="inlineStr">
        <is>
          <t>Sunday</t>
        </is>
      </c>
      <c r="AC1184" t="n">
        <v>1</v>
      </c>
      <c r="AD1184" t="inlineStr">
        <is>
          <t>Unprofitable</t>
        </is>
      </c>
      <c r="AE1184" t="inlineStr">
        <is>
          <t>Medium</t>
        </is>
      </c>
      <c r="AF1184" t="inlineStr">
        <is>
          <t>Small</t>
        </is>
      </c>
    </row>
    <row r="1185">
      <c r="A1185" t="inlineStr">
        <is>
          <t>ORD-01191</t>
        </is>
      </c>
      <c r="B1185" s="2" t="n">
        <v>45087</v>
      </c>
      <c r="C1185" s="2" t="n">
        <v>45092</v>
      </c>
      <c r="D1185" t="inlineStr">
        <is>
          <t>CUST-01191</t>
        </is>
      </c>
      <c r="E1185" t="inlineStr">
        <is>
          <t>Customer 1191</t>
        </is>
      </c>
      <c r="F1185" t="inlineStr">
        <is>
          <t>Consumer</t>
        </is>
      </c>
      <c r="G1185" t="inlineStr">
        <is>
          <t>P1012</t>
        </is>
      </c>
      <c r="H1185" t="inlineStr">
        <is>
          <t>Nimbus Monitor Arm</t>
        </is>
      </c>
      <c r="I1185" t="inlineStr">
        <is>
          <t>Office Supplies</t>
        </is>
      </c>
      <c r="J1185" t="inlineStr">
        <is>
          <t>Accessories</t>
        </is>
      </c>
      <c r="K1185" t="inlineStr">
        <is>
          <t>West</t>
        </is>
      </c>
      <c r="L1185" t="inlineStr">
        <is>
          <t>Oregon</t>
        </is>
      </c>
      <c r="M1185" t="inlineStr">
        <is>
          <t>San Francisco</t>
        </is>
      </c>
      <c r="N1185" t="inlineStr">
        <is>
          <t>Ethan Brooks</t>
        </is>
      </c>
      <c r="O1185" t="n">
        <v>6</v>
      </c>
      <c r="P1185" s="3" t="n">
        <v>141.2</v>
      </c>
      <c r="Q1185" s="4" t="n">
        <v>0.03</v>
      </c>
      <c r="R1185" s="3" t="n">
        <v>821.78</v>
      </c>
      <c r="S1185" s="3" t="n">
        <v>414.37</v>
      </c>
      <c r="T1185" s="3" t="n">
        <v>395.61</v>
      </c>
      <c r="U1185" s="4" t="n">
        <v>0.4814</v>
      </c>
      <c r="V1185" s="3" t="n">
        <v>11.8</v>
      </c>
      <c r="W1185" t="inlineStr">
        <is>
          <t>Debit Card</t>
        </is>
      </c>
      <c r="X1185" t="inlineStr">
        <is>
          <t>High</t>
        </is>
      </c>
      <c r="Y1185" t="n">
        <v>2023</v>
      </c>
      <c r="Z1185" t="n">
        <v>6</v>
      </c>
      <c r="AA1185" t="inlineStr">
        <is>
          <t>Jun</t>
        </is>
      </c>
      <c r="AB1185" t="inlineStr">
        <is>
          <t>Saturday</t>
        </is>
      </c>
      <c r="AC1185" t="n">
        <v>5</v>
      </c>
      <c r="AD1185" t="inlineStr">
        <is>
          <t>Profitable</t>
        </is>
      </c>
      <c r="AE1185" t="inlineStr">
        <is>
          <t>Medium</t>
        </is>
      </c>
      <c r="AF1185" t="inlineStr">
        <is>
          <t>Medium</t>
        </is>
      </c>
    </row>
    <row r="1186">
      <c r="A1186" t="inlineStr">
        <is>
          <t>ORD-01193</t>
        </is>
      </c>
      <c r="B1186" s="2" t="n">
        <v>45432</v>
      </c>
      <c r="C1186" s="2" t="n">
        <v>45436</v>
      </c>
      <c r="D1186" t="inlineStr">
        <is>
          <t>CUST-01193</t>
        </is>
      </c>
      <c r="E1186" t="inlineStr">
        <is>
          <t>Customer 1193</t>
        </is>
      </c>
      <c r="F1186" t="inlineStr">
        <is>
          <t>Corporate</t>
        </is>
      </c>
      <c r="G1186" t="inlineStr">
        <is>
          <t>P1010</t>
        </is>
      </c>
      <c r="H1186" t="inlineStr">
        <is>
          <t>ErgoMesh Chair</t>
        </is>
      </c>
      <c r="I1186" t="inlineStr">
        <is>
          <t>Home Decor</t>
        </is>
      </c>
      <c r="J1186" t="inlineStr">
        <is>
          <t>Furniture</t>
        </is>
      </c>
      <c r="K1186" t="inlineStr">
        <is>
          <t>West</t>
        </is>
      </c>
      <c r="L1186" t="inlineStr">
        <is>
          <t>Washington</t>
        </is>
      </c>
      <c r="M1186" t="inlineStr">
        <is>
          <t>San Francisco</t>
        </is>
      </c>
      <c r="N1186" t="inlineStr">
        <is>
          <t>Olivia Martin</t>
        </is>
      </c>
      <c r="O1186" t="n">
        <v>1</v>
      </c>
      <c r="P1186" s="3" t="n">
        <v>59.52</v>
      </c>
      <c r="Q1186" s="4" t="n">
        <v>0.019</v>
      </c>
      <c r="R1186" s="3" t="n">
        <v>58.39</v>
      </c>
      <c r="S1186" s="3" t="n">
        <v>31.62</v>
      </c>
      <c r="T1186" s="3" t="n">
        <v>18.97</v>
      </c>
      <c r="U1186" s="4" t="n">
        <v>0.3249</v>
      </c>
      <c r="V1186" s="3" t="n">
        <v>7.8</v>
      </c>
      <c r="W1186" t="inlineStr">
        <is>
          <t>PayPal</t>
        </is>
      </c>
      <c r="X1186" t="inlineStr">
        <is>
          <t>Medium</t>
        </is>
      </c>
      <c r="Y1186" t="n">
        <v>2024</v>
      </c>
      <c r="Z1186" t="n">
        <v>5</v>
      </c>
      <c r="AA1186" t="inlineStr">
        <is>
          <t>May</t>
        </is>
      </c>
      <c r="AB1186" t="inlineStr">
        <is>
          <t>Monday</t>
        </is>
      </c>
      <c r="AC1186" t="n">
        <v>4</v>
      </c>
      <c r="AD1186" t="inlineStr">
        <is>
          <t>Profitable</t>
        </is>
      </c>
      <c r="AE1186" t="inlineStr">
        <is>
          <t>Low</t>
        </is>
      </c>
      <c r="AF1186" t="inlineStr">
        <is>
          <t>Small</t>
        </is>
      </c>
    </row>
    <row r="1187">
      <c r="A1187" t="inlineStr">
        <is>
          <t>ORD-01194</t>
        </is>
      </c>
      <c r="B1187" s="2" t="n">
        <v>45318</v>
      </c>
      <c r="C1187" s="2" t="n">
        <v>45325</v>
      </c>
      <c r="D1187" t="inlineStr">
        <is>
          <t>CUST-01194</t>
        </is>
      </c>
      <c r="E1187" t="inlineStr">
        <is>
          <t>Customer 1194</t>
        </is>
      </c>
      <c r="F1187" t="inlineStr">
        <is>
          <t>Corporate</t>
        </is>
      </c>
      <c r="G1187" t="inlineStr">
        <is>
          <t>P1013</t>
        </is>
      </c>
      <c r="H1187" t="inlineStr">
        <is>
          <t>ProClip Binder</t>
        </is>
      </c>
      <c r="I1187" t="inlineStr">
        <is>
          <t>Technology</t>
        </is>
      </c>
      <c r="J1187" t="inlineStr">
        <is>
          <t>Flooring</t>
        </is>
      </c>
      <c r="K1187" t="inlineStr">
        <is>
          <t>West</t>
        </is>
      </c>
      <c r="L1187" t="inlineStr">
        <is>
          <t>Colorado</t>
        </is>
      </c>
      <c r="M1187" t="inlineStr">
        <is>
          <t>Seattle</t>
        </is>
      </c>
      <c r="N1187" t="inlineStr">
        <is>
          <t>Ava Patel</t>
        </is>
      </c>
      <c r="O1187" t="n">
        <v>2</v>
      </c>
      <c r="P1187" s="3" t="n">
        <v>165.16</v>
      </c>
      <c r="Q1187" s="4" t="n">
        <v>0.019</v>
      </c>
      <c r="R1187" s="3" t="n">
        <v>324.04</v>
      </c>
      <c r="S1187" s="3" t="n">
        <v>185.65</v>
      </c>
      <c r="T1187" s="3" t="n">
        <v>129.79</v>
      </c>
      <c r="U1187" s="4" t="n">
        <v>0.4005</v>
      </c>
      <c r="V1187" s="3" t="n">
        <v>8.6</v>
      </c>
      <c r="W1187" t="inlineStr">
        <is>
          <t>PayPal</t>
        </is>
      </c>
      <c r="X1187" t="inlineStr">
        <is>
          <t>Medium</t>
        </is>
      </c>
      <c r="Y1187" t="n">
        <v>2024</v>
      </c>
      <c r="Z1187" t="n">
        <v>1</v>
      </c>
      <c r="AA1187" t="inlineStr">
        <is>
          <t>Jan</t>
        </is>
      </c>
      <c r="AB1187" t="inlineStr">
        <is>
          <t>Saturday</t>
        </is>
      </c>
      <c r="AC1187" t="n">
        <v>7</v>
      </c>
      <c r="AD1187" t="inlineStr">
        <is>
          <t>Profitable</t>
        </is>
      </c>
      <c r="AE1187" t="inlineStr">
        <is>
          <t>Low</t>
        </is>
      </c>
      <c r="AF1187" t="inlineStr">
        <is>
          <t>Small</t>
        </is>
      </c>
    </row>
    <row r="1188">
      <c r="A1188" t="inlineStr">
        <is>
          <t>ORD-01195</t>
        </is>
      </c>
      <c r="B1188" s="2" t="n">
        <v>45116</v>
      </c>
      <c r="C1188" s="2" t="n">
        <v>45121</v>
      </c>
      <c r="D1188" t="inlineStr">
        <is>
          <t>CUST-01195</t>
        </is>
      </c>
      <c r="E1188" t="inlineStr">
        <is>
          <t>Customer 1195</t>
        </is>
      </c>
      <c r="F1188" t="inlineStr">
        <is>
          <t>Consumer</t>
        </is>
      </c>
      <c r="G1188" t="inlineStr">
        <is>
          <t>P1015</t>
        </is>
      </c>
      <c r="H1188" t="inlineStr">
        <is>
          <t>Pulse Keyboard</t>
        </is>
      </c>
      <c r="I1188" t="inlineStr">
        <is>
          <t>Home Decor</t>
        </is>
      </c>
      <c r="J1188" t="inlineStr">
        <is>
          <t>Textiles</t>
        </is>
      </c>
      <c r="K1188" t="inlineStr">
        <is>
          <t>Central</t>
        </is>
      </c>
      <c r="L1188" t="inlineStr">
        <is>
          <t>Illinois</t>
        </is>
      </c>
      <c r="M1188" t="inlineStr">
        <is>
          <t>St. Louis</t>
        </is>
      </c>
      <c r="N1188" t="inlineStr">
        <is>
          <t>Liam Chen</t>
        </is>
      </c>
      <c r="O1188" t="n">
        <v>2</v>
      </c>
      <c r="P1188" s="3" t="n">
        <v>69.66</v>
      </c>
      <c r="Q1188" s="4" t="n">
        <v>0.008</v>
      </c>
      <c r="R1188" s="3" t="n">
        <v>138.21</v>
      </c>
      <c r="S1188" s="3" t="n">
        <v>69.88</v>
      </c>
      <c r="T1188" s="3" t="n">
        <v>60.73</v>
      </c>
      <c r="U1188" s="4" t="n">
        <v>0.4394</v>
      </c>
      <c r="V1188" s="3" t="n">
        <v>7.6</v>
      </c>
      <c r="W1188" t="inlineStr">
        <is>
          <t>Credit Card</t>
        </is>
      </c>
      <c r="X1188" t="inlineStr">
        <is>
          <t>Low</t>
        </is>
      </c>
      <c r="Y1188" t="n">
        <v>2023</v>
      </c>
      <c r="Z1188" t="n">
        <v>7</v>
      </c>
      <c r="AA1188" t="inlineStr">
        <is>
          <t>Jul</t>
        </is>
      </c>
      <c r="AB1188" t="inlineStr">
        <is>
          <t>Sunday</t>
        </is>
      </c>
      <c r="AC1188" t="n">
        <v>5</v>
      </c>
      <c r="AD1188" t="inlineStr">
        <is>
          <t>Profitable</t>
        </is>
      </c>
      <c r="AE1188" t="inlineStr">
        <is>
          <t>Low</t>
        </is>
      </c>
      <c r="AF1188" t="inlineStr">
        <is>
          <t>Small</t>
        </is>
      </c>
    </row>
    <row r="1189">
      <c r="A1189" t="inlineStr">
        <is>
          <t>ORD-01198</t>
        </is>
      </c>
      <c r="B1189" s="2" t="n">
        <v>45878</v>
      </c>
      <c r="C1189" s="2" t="n">
        <v>45885</v>
      </c>
      <c r="D1189" t="inlineStr">
        <is>
          <t>CUST-01198</t>
        </is>
      </c>
      <c r="E1189" t="inlineStr">
        <is>
          <t>Customer 1198</t>
        </is>
      </c>
      <c r="F1189" t="inlineStr">
        <is>
          <t>Home Office</t>
        </is>
      </c>
      <c r="G1189" t="inlineStr">
        <is>
          <t>P1004</t>
        </is>
      </c>
      <c r="H1189" t="inlineStr">
        <is>
          <t>Pulse Keyboard</t>
        </is>
      </c>
      <c r="I1189" t="inlineStr">
        <is>
          <t>Outdoor</t>
        </is>
      </c>
      <c r="J1189" t="inlineStr">
        <is>
          <t>Accessories</t>
        </is>
      </c>
      <c r="K1189" t="inlineStr">
        <is>
          <t>West</t>
        </is>
      </c>
      <c r="L1189" t="inlineStr">
        <is>
          <t>Washington</t>
        </is>
      </c>
      <c r="M1189" t="inlineStr">
        <is>
          <t>Los Angeles</t>
        </is>
      </c>
      <c r="N1189" t="inlineStr">
        <is>
          <t>Noah Kim</t>
        </is>
      </c>
      <c r="O1189" t="n">
        <v>2</v>
      </c>
      <c r="P1189" s="3" t="n">
        <v>633.01</v>
      </c>
      <c r="Q1189" s="4" t="n">
        <v>0.019</v>
      </c>
      <c r="R1189" s="3" t="n">
        <v>1241.97</v>
      </c>
      <c r="S1189" s="3" t="n">
        <v>787.8200000000001</v>
      </c>
      <c r="T1189" s="3" t="n">
        <v>445.55</v>
      </c>
      <c r="U1189" s="4" t="n">
        <v>0.3587</v>
      </c>
      <c r="V1189" s="3" t="n">
        <v>8.6</v>
      </c>
      <c r="W1189" t="inlineStr">
        <is>
          <t>Debit Card</t>
        </is>
      </c>
      <c r="X1189" t="inlineStr">
        <is>
          <t>Medium</t>
        </is>
      </c>
      <c r="Y1189" t="n">
        <v>2025</v>
      </c>
      <c r="Z1189" t="n">
        <v>8</v>
      </c>
      <c r="AA1189" t="inlineStr">
        <is>
          <t>Aug</t>
        </is>
      </c>
      <c r="AB1189" t="inlineStr">
        <is>
          <t>Saturday</t>
        </is>
      </c>
      <c r="AC1189" t="n">
        <v>7</v>
      </c>
      <c r="AD1189" t="inlineStr">
        <is>
          <t>Profitable</t>
        </is>
      </c>
      <c r="AE1189" t="inlineStr">
        <is>
          <t>Low</t>
        </is>
      </c>
      <c r="AF1189" t="inlineStr">
        <is>
          <t>Medium</t>
        </is>
      </c>
    </row>
    <row r="1190">
      <c r="A1190" t="inlineStr">
        <is>
          <t>ORD-01199</t>
        </is>
      </c>
      <c r="B1190" s="2" t="n">
        <v>45847</v>
      </c>
      <c r="C1190" s="2" t="n">
        <v>45850</v>
      </c>
      <c r="D1190" t="inlineStr">
        <is>
          <t>CUST-01199</t>
        </is>
      </c>
      <c r="E1190" t="inlineStr">
        <is>
          <t>Customer 1199</t>
        </is>
      </c>
      <c r="F1190" t="inlineStr">
        <is>
          <t>Corporate</t>
        </is>
      </c>
      <c r="G1190" t="inlineStr">
        <is>
          <t>P1009</t>
        </is>
      </c>
      <c r="H1190" t="inlineStr">
        <is>
          <t>Echo Web Camera</t>
        </is>
      </c>
      <c r="I1190" t="inlineStr">
        <is>
          <t>Technology</t>
        </is>
      </c>
      <c r="J1190" t="inlineStr">
        <is>
          <t>Flooring</t>
        </is>
      </c>
      <c r="K1190" t="inlineStr">
        <is>
          <t>South</t>
        </is>
      </c>
      <c r="L1190" t="inlineStr">
        <is>
          <t>Georgia</t>
        </is>
      </c>
      <c r="M1190" t="inlineStr">
        <is>
          <t>Atlanta</t>
        </is>
      </c>
      <c r="N1190" t="inlineStr">
        <is>
          <t>Liam Chen</t>
        </is>
      </c>
      <c r="O1190" t="n">
        <v>2</v>
      </c>
      <c r="P1190" s="3" t="n">
        <v>89.16</v>
      </c>
      <c r="Q1190" s="4" t="n">
        <v>0.014</v>
      </c>
      <c r="R1190" s="3" t="n">
        <v>175.82</v>
      </c>
      <c r="S1190" s="3" t="n">
        <v>94.12</v>
      </c>
      <c r="T1190" s="3" t="n">
        <v>74.09999999999999</v>
      </c>
      <c r="U1190" s="4" t="n">
        <v>0.4215</v>
      </c>
      <c r="V1190" s="3" t="n">
        <v>7.6</v>
      </c>
      <c r="W1190" t="inlineStr">
        <is>
          <t>Credit Card</t>
        </is>
      </c>
      <c r="X1190" t="inlineStr">
        <is>
          <t>Low</t>
        </is>
      </c>
      <c r="Y1190" t="n">
        <v>2025</v>
      </c>
      <c r="Z1190" t="n">
        <v>7</v>
      </c>
      <c r="AA1190" t="inlineStr">
        <is>
          <t>Jul</t>
        </is>
      </c>
      <c r="AB1190" t="inlineStr">
        <is>
          <t>Wednesday</t>
        </is>
      </c>
      <c r="AC1190" t="n">
        <v>3</v>
      </c>
      <c r="AD1190" t="inlineStr">
        <is>
          <t>Profitable</t>
        </is>
      </c>
      <c r="AE1190" t="inlineStr">
        <is>
          <t>Low</t>
        </is>
      </c>
      <c r="AF1190" t="inlineStr">
        <is>
          <t>Small</t>
        </is>
      </c>
    </row>
    <row r="1191">
      <c r="A1191" t="inlineStr">
        <is>
          <t>ORD-01202</t>
        </is>
      </c>
      <c r="B1191" s="2" t="n">
        <v>45237</v>
      </c>
      <c r="C1191" s="2" t="n">
        <v>45238</v>
      </c>
      <c r="D1191" t="inlineStr">
        <is>
          <t>CUST-01202</t>
        </is>
      </c>
      <c r="E1191" t="inlineStr">
        <is>
          <t>Customer 1202</t>
        </is>
      </c>
      <c r="F1191" t="inlineStr">
        <is>
          <t>Consumer</t>
        </is>
      </c>
      <c r="G1191" t="inlineStr">
        <is>
          <t>P1007</t>
        </is>
      </c>
      <c r="H1191" t="inlineStr">
        <is>
          <t>Nova Laptop Stand</t>
        </is>
      </c>
      <c r="I1191" t="inlineStr">
        <is>
          <t>Office Supplies</t>
        </is>
      </c>
      <c r="J1191" t="inlineStr">
        <is>
          <t>Furniture</t>
        </is>
      </c>
      <c r="K1191" t="inlineStr">
        <is>
          <t>West</t>
        </is>
      </c>
      <c r="L1191" t="inlineStr">
        <is>
          <t>California</t>
        </is>
      </c>
      <c r="M1191" t="inlineStr">
        <is>
          <t>Seattle</t>
        </is>
      </c>
      <c r="N1191" t="inlineStr">
        <is>
          <t>Liam Chen</t>
        </is>
      </c>
      <c r="O1191" t="n">
        <v>5</v>
      </c>
      <c r="P1191" s="3" t="n">
        <v>27.1</v>
      </c>
      <c r="Q1191" s="4" t="n">
        <v>0.04</v>
      </c>
      <c r="R1191" s="3" t="n">
        <v>130.08</v>
      </c>
      <c r="S1191" s="3" t="n">
        <v>46.88</v>
      </c>
      <c r="T1191" s="3" t="n">
        <v>72.2</v>
      </c>
      <c r="U1191" s="4" t="n">
        <v>0.555</v>
      </c>
      <c r="V1191" s="3" t="n">
        <v>11</v>
      </c>
      <c r="W1191" t="inlineStr">
        <is>
          <t>Credit Card</t>
        </is>
      </c>
      <c r="X1191" t="inlineStr">
        <is>
          <t>High</t>
        </is>
      </c>
      <c r="Y1191" t="n">
        <v>2023</v>
      </c>
      <c r="Z1191" t="n">
        <v>11</v>
      </c>
      <c r="AA1191" t="inlineStr">
        <is>
          <t>Nov</t>
        </is>
      </c>
      <c r="AB1191" t="inlineStr">
        <is>
          <t>Tuesday</t>
        </is>
      </c>
      <c r="AC1191" t="n">
        <v>1</v>
      </c>
      <c r="AD1191" t="inlineStr">
        <is>
          <t>Profitable</t>
        </is>
      </c>
      <c r="AE1191" t="inlineStr">
        <is>
          <t>Medium</t>
        </is>
      </c>
      <c r="AF1191" t="inlineStr">
        <is>
          <t>Small</t>
        </is>
      </c>
    </row>
    <row r="1192">
      <c r="A1192" t="inlineStr">
        <is>
          <t>ORD-01203</t>
        </is>
      </c>
      <c r="B1192" s="2" t="n">
        <v>45057</v>
      </c>
      <c r="C1192" s="2" t="n">
        <v>45062</v>
      </c>
      <c r="D1192" t="inlineStr">
        <is>
          <t>CUST-01203</t>
        </is>
      </c>
      <c r="E1192" t="inlineStr">
        <is>
          <t>Customer 1203</t>
        </is>
      </c>
      <c r="F1192" t="inlineStr">
        <is>
          <t>Corporate</t>
        </is>
      </c>
      <c r="G1192" t="inlineStr">
        <is>
          <t>P1015</t>
        </is>
      </c>
      <c r="H1192" t="inlineStr">
        <is>
          <t>Pulse Keyboard</t>
        </is>
      </c>
      <c r="I1192" t="inlineStr">
        <is>
          <t>Technology</t>
        </is>
      </c>
      <c r="J1192" t="inlineStr">
        <is>
          <t>Plants</t>
        </is>
      </c>
      <c r="K1192" t="inlineStr">
        <is>
          <t>West</t>
        </is>
      </c>
      <c r="L1192" t="inlineStr">
        <is>
          <t>Colorado</t>
        </is>
      </c>
      <c r="M1192" t="inlineStr">
        <is>
          <t>Denver</t>
        </is>
      </c>
      <c r="N1192" t="inlineStr">
        <is>
          <t>James Carter</t>
        </is>
      </c>
      <c r="O1192" t="n">
        <v>6</v>
      </c>
      <c r="P1192" s="3" t="n">
        <v>73.86</v>
      </c>
      <c r="Q1192" s="4" t="n">
        <v>0.027</v>
      </c>
      <c r="R1192" s="3" t="n">
        <v>431.19</v>
      </c>
      <c r="S1192" s="3" t="n">
        <v>186.88</v>
      </c>
      <c r="T1192" s="3" t="n">
        <v>232.51</v>
      </c>
      <c r="U1192" s="4" t="n">
        <v>0.5392</v>
      </c>
      <c r="V1192" s="3" t="n">
        <v>11.8</v>
      </c>
      <c r="W1192" t="inlineStr">
        <is>
          <t>Debit Card</t>
        </is>
      </c>
      <c r="X1192" t="inlineStr">
        <is>
          <t>Medium</t>
        </is>
      </c>
      <c r="Y1192" t="n">
        <v>2023</v>
      </c>
      <c r="Z1192" t="n">
        <v>5</v>
      </c>
      <c r="AA1192" t="inlineStr">
        <is>
          <t>May</t>
        </is>
      </c>
      <c r="AB1192" t="inlineStr">
        <is>
          <t>Thursday</t>
        </is>
      </c>
      <c r="AC1192" t="n">
        <v>5</v>
      </c>
      <c r="AD1192" t="inlineStr">
        <is>
          <t>Profitable</t>
        </is>
      </c>
      <c r="AE1192" t="inlineStr">
        <is>
          <t>Medium</t>
        </is>
      </c>
      <c r="AF1192" t="inlineStr">
        <is>
          <t>Small</t>
        </is>
      </c>
    </row>
    <row r="1193">
      <c r="A1193" t="inlineStr">
        <is>
          <t>ORD-01204</t>
        </is>
      </c>
      <c r="B1193" s="2" t="n">
        <v>45390</v>
      </c>
      <c r="C1193" s="2" t="n">
        <v>45392</v>
      </c>
      <c r="D1193" t="inlineStr">
        <is>
          <t>CUST-01204</t>
        </is>
      </c>
      <c r="E1193" t="inlineStr">
        <is>
          <t>Customer 1204</t>
        </is>
      </c>
      <c r="F1193" t="inlineStr">
        <is>
          <t>Corporate</t>
        </is>
      </c>
      <c r="G1193" t="inlineStr">
        <is>
          <t>P1017</t>
        </is>
      </c>
      <c r="H1193" t="inlineStr">
        <is>
          <t>Tide Cooler</t>
        </is>
      </c>
      <c r="I1193" t="inlineStr">
        <is>
          <t>Furniture</t>
        </is>
      </c>
      <c r="J1193" t="inlineStr">
        <is>
          <t>Desks</t>
        </is>
      </c>
      <c r="K1193" t="inlineStr">
        <is>
          <t>South</t>
        </is>
      </c>
      <c r="L1193" t="inlineStr">
        <is>
          <t>Florida</t>
        </is>
      </c>
      <c r="M1193" t="inlineStr">
        <is>
          <t>Miami</t>
        </is>
      </c>
      <c r="N1193" t="inlineStr">
        <is>
          <t>Ethan Brooks</t>
        </is>
      </c>
      <c r="O1193" t="n">
        <v>1</v>
      </c>
      <c r="P1193" s="3" t="n">
        <v>553.29</v>
      </c>
      <c r="Q1193" s="4" t="n">
        <v>0.015</v>
      </c>
      <c r="R1193" s="3" t="n">
        <v>544.99</v>
      </c>
      <c r="S1193" s="3" t="n">
        <v>364.57</v>
      </c>
      <c r="T1193" s="3" t="n">
        <v>173.62</v>
      </c>
      <c r="U1193" s="4" t="n">
        <v>0.3186</v>
      </c>
      <c r="V1193" s="3" t="n">
        <v>6.8</v>
      </c>
      <c r="W1193" t="inlineStr">
        <is>
          <t>Debit Card</t>
        </is>
      </c>
      <c r="X1193" t="inlineStr">
        <is>
          <t>Low</t>
        </is>
      </c>
      <c r="Y1193" t="n">
        <v>2024</v>
      </c>
      <c r="Z1193" t="n">
        <v>4</v>
      </c>
      <c r="AA1193" t="inlineStr">
        <is>
          <t>Apr</t>
        </is>
      </c>
      <c r="AB1193" t="inlineStr">
        <is>
          <t>Monday</t>
        </is>
      </c>
      <c r="AC1193" t="n">
        <v>2</v>
      </c>
      <c r="AD1193" t="inlineStr">
        <is>
          <t>Profitable</t>
        </is>
      </c>
      <c r="AE1193" t="inlineStr">
        <is>
          <t>Low</t>
        </is>
      </c>
      <c r="AF1193" t="inlineStr">
        <is>
          <t>Medium</t>
        </is>
      </c>
    </row>
    <row r="1194">
      <c r="A1194" t="inlineStr">
        <is>
          <t>ORD-01206</t>
        </is>
      </c>
      <c r="B1194" s="2" t="n">
        <v>45852</v>
      </c>
      <c r="C1194" s="2" t="n">
        <v>45855</v>
      </c>
      <c r="D1194" t="inlineStr">
        <is>
          <t>CUST-01206</t>
        </is>
      </c>
      <c r="E1194" t="inlineStr">
        <is>
          <t>Customer 1206</t>
        </is>
      </c>
      <c r="F1194" t="inlineStr">
        <is>
          <t>Consumer</t>
        </is>
      </c>
      <c r="G1194" t="inlineStr">
        <is>
          <t>P1014</t>
        </is>
      </c>
      <c r="H1194" t="inlineStr">
        <is>
          <t>Halo Planter</t>
        </is>
      </c>
      <c r="I1194" t="inlineStr">
        <is>
          <t>Technology</t>
        </is>
      </c>
      <c r="J1194" t="inlineStr">
        <is>
          <t>Writing</t>
        </is>
      </c>
      <c r="K1194" t="inlineStr">
        <is>
          <t>West</t>
        </is>
      </c>
      <c r="L1194" t="inlineStr">
        <is>
          <t>California</t>
        </is>
      </c>
      <c r="M1194" t="inlineStr">
        <is>
          <t>Denver</t>
        </is>
      </c>
      <c r="N1194" t="inlineStr">
        <is>
          <t>James Carter</t>
        </is>
      </c>
      <c r="O1194" t="n">
        <v>4</v>
      </c>
      <c r="P1194" s="3" t="n">
        <v>45.89</v>
      </c>
      <c r="Q1194" s="4" t="n">
        <v>0.031</v>
      </c>
      <c r="R1194" s="3" t="n">
        <v>177.87</v>
      </c>
      <c r="S1194" s="3" t="n">
        <v>78.13</v>
      </c>
      <c r="T1194" s="3" t="n">
        <v>89.54000000000001</v>
      </c>
      <c r="U1194" s="4" t="n">
        <v>0.5034</v>
      </c>
      <c r="V1194" s="3" t="n">
        <v>10.2</v>
      </c>
      <c r="W1194" t="inlineStr">
        <is>
          <t>Bank Transfer</t>
        </is>
      </c>
      <c r="X1194" t="inlineStr">
        <is>
          <t>Medium</t>
        </is>
      </c>
      <c r="Y1194" t="n">
        <v>2025</v>
      </c>
      <c r="Z1194" t="n">
        <v>7</v>
      </c>
      <c r="AA1194" t="inlineStr">
        <is>
          <t>Jul</t>
        </is>
      </c>
      <c r="AB1194" t="inlineStr">
        <is>
          <t>Monday</t>
        </is>
      </c>
      <c r="AC1194" t="n">
        <v>3</v>
      </c>
      <c r="AD1194" t="inlineStr">
        <is>
          <t>Profitable</t>
        </is>
      </c>
      <c r="AE1194" t="inlineStr">
        <is>
          <t>Medium</t>
        </is>
      </c>
      <c r="AF1194" t="inlineStr">
        <is>
          <t>Small</t>
        </is>
      </c>
    </row>
    <row r="1195">
      <c r="A1195" t="inlineStr">
        <is>
          <t>ORD-01207</t>
        </is>
      </c>
      <c r="B1195" s="2" t="n">
        <v>45932</v>
      </c>
      <c r="C1195" s="2" t="n">
        <v>45933</v>
      </c>
      <c r="D1195" t="inlineStr">
        <is>
          <t>CUST-01207</t>
        </is>
      </c>
      <c r="E1195" t="inlineStr">
        <is>
          <t>Customer 1207</t>
        </is>
      </c>
      <c r="F1195" t="inlineStr">
        <is>
          <t>Consumer</t>
        </is>
      </c>
      <c r="G1195" t="inlineStr">
        <is>
          <t>P1009</t>
        </is>
      </c>
      <c r="H1195" t="inlineStr">
        <is>
          <t>Tide Cooler</t>
        </is>
      </c>
      <c r="I1195" t="inlineStr">
        <is>
          <t>Furniture</t>
        </is>
      </c>
      <c r="J1195" t="inlineStr">
        <is>
          <t>Peripherals</t>
        </is>
      </c>
      <c r="K1195" t="inlineStr">
        <is>
          <t>Central</t>
        </is>
      </c>
      <c r="L1195" t="inlineStr">
        <is>
          <t>Minnesota</t>
        </is>
      </c>
      <c r="M1195" t="inlineStr">
        <is>
          <t>St. Louis</t>
        </is>
      </c>
      <c r="N1195" t="inlineStr">
        <is>
          <t>Liam Chen</t>
        </is>
      </c>
      <c r="O1195" t="n">
        <v>1</v>
      </c>
      <c r="P1195" s="3" t="n">
        <v>98.68000000000001</v>
      </c>
      <c r="Q1195" s="4" t="n">
        <v>0.01</v>
      </c>
      <c r="R1195" s="3" t="n">
        <v>97.69</v>
      </c>
      <c r="S1195" s="3" t="n">
        <v>53.22</v>
      </c>
      <c r="T1195" s="3" t="n">
        <v>37.67</v>
      </c>
      <c r="U1195" s="4" t="n">
        <v>0.3856</v>
      </c>
      <c r="V1195" s="3" t="n">
        <v>6.8</v>
      </c>
      <c r="W1195" t="inlineStr">
        <is>
          <t>Bank Transfer</t>
        </is>
      </c>
      <c r="X1195" t="inlineStr">
        <is>
          <t>Medium</t>
        </is>
      </c>
      <c r="Y1195" t="n">
        <v>2025</v>
      </c>
      <c r="Z1195" t="n">
        <v>10</v>
      </c>
      <c r="AA1195" t="inlineStr">
        <is>
          <t>Oct</t>
        </is>
      </c>
      <c r="AB1195" t="inlineStr">
        <is>
          <t>Thursday</t>
        </is>
      </c>
      <c r="AC1195" t="n">
        <v>1</v>
      </c>
      <c r="AD1195" t="inlineStr">
        <is>
          <t>Profitable</t>
        </is>
      </c>
      <c r="AE1195" t="inlineStr">
        <is>
          <t>Low</t>
        </is>
      </c>
      <c r="AF1195" t="inlineStr">
        <is>
          <t>Small</t>
        </is>
      </c>
    </row>
    <row r="1196">
      <c r="A1196" t="inlineStr">
        <is>
          <t>ORD-01208</t>
        </is>
      </c>
      <c r="B1196" s="2" t="n">
        <v>45483</v>
      </c>
      <c r="C1196" s="2" t="n">
        <v>45484</v>
      </c>
      <c r="D1196" t="inlineStr">
        <is>
          <t>CUST-01208</t>
        </is>
      </c>
      <c r="E1196" t="inlineStr">
        <is>
          <t>Customer 1208</t>
        </is>
      </c>
      <c r="F1196" t="inlineStr">
        <is>
          <t>Home Office</t>
        </is>
      </c>
      <c r="G1196" t="inlineStr">
        <is>
          <t>P1016</t>
        </is>
      </c>
      <c r="H1196" t="inlineStr">
        <is>
          <t>CloudDrive File Box</t>
        </is>
      </c>
      <c r="I1196" t="inlineStr">
        <is>
          <t>Home Decor</t>
        </is>
      </c>
      <c r="J1196" t="inlineStr">
        <is>
          <t>Chairs</t>
        </is>
      </c>
      <c r="K1196" t="inlineStr">
        <is>
          <t>South</t>
        </is>
      </c>
      <c r="L1196" t="inlineStr">
        <is>
          <t>Florida</t>
        </is>
      </c>
      <c r="M1196" t="inlineStr">
        <is>
          <t>Atlanta</t>
        </is>
      </c>
      <c r="N1196" t="inlineStr">
        <is>
          <t>Sophia Singh</t>
        </is>
      </c>
      <c r="O1196" t="n">
        <v>5</v>
      </c>
      <c r="P1196" s="3" t="n">
        <v>39.53</v>
      </c>
      <c r="Q1196" s="4" t="n">
        <v>0.017</v>
      </c>
      <c r="R1196" s="3" t="n">
        <v>194.29</v>
      </c>
      <c r="S1196" s="3" t="n">
        <v>81.52</v>
      </c>
      <c r="T1196" s="3" t="n">
        <v>102.77</v>
      </c>
      <c r="U1196" s="4" t="n">
        <v>0.529</v>
      </c>
      <c r="V1196" s="3" t="n">
        <v>10</v>
      </c>
      <c r="W1196" t="inlineStr">
        <is>
          <t>Bank Transfer</t>
        </is>
      </c>
      <c r="X1196" t="inlineStr">
        <is>
          <t>Medium</t>
        </is>
      </c>
      <c r="Y1196" t="n">
        <v>2024</v>
      </c>
      <c r="Z1196" t="n">
        <v>7</v>
      </c>
      <c r="AA1196" t="inlineStr">
        <is>
          <t>Jul</t>
        </is>
      </c>
      <c r="AB1196" t="inlineStr">
        <is>
          <t>Wednesday</t>
        </is>
      </c>
      <c r="AC1196" t="n">
        <v>1</v>
      </c>
      <c r="AD1196" t="inlineStr">
        <is>
          <t>Profitable</t>
        </is>
      </c>
      <c r="AE1196" t="inlineStr">
        <is>
          <t>Low</t>
        </is>
      </c>
      <c r="AF1196" t="inlineStr">
        <is>
          <t>Small</t>
        </is>
      </c>
    </row>
    <row r="1197">
      <c r="A1197" t="inlineStr">
        <is>
          <t>ORD-01209</t>
        </is>
      </c>
      <c r="B1197" s="2" t="n">
        <v>44978</v>
      </c>
      <c r="C1197" s="2" t="n">
        <v>44982</v>
      </c>
      <c r="D1197" t="inlineStr">
        <is>
          <t>CUST-01209</t>
        </is>
      </c>
      <c r="E1197" t="inlineStr">
        <is>
          <t>Customer 1209</t>
        </is>
      </c>
      <c r="F1197" t="inlineStr">
        <is>
          <t>Consumer</t>
        </is>
      </c>
      <c r="G1197" t="inlineStr">
        <is>
          <t>P1002</t>
        </is>
      </c>
      <c r="H1197" t="inlineStr">
        <is>
          <t>Aero Standing Desk</t>
        </is>
      </c>
      <c r="I1197" t="inlineStr">
        <is>
          <t>Home Decor</t>
        </is>
      </c>
      <c r="J1197" t="inlineStr">
        <is>
          <t>Desks</t>
        </is>
      </c>
      <c r="K1197" t="inlineStr">
        <is>
          <t>West</t>
        </is>
      </c>
      <c r="L1197" t="inlineStr">
        <is>
          <t>California</t>
        </is>
      </c>
      <c r="M1197" t="inlineStr">
        <is>
          <t>Denver</t>
        </is>
      </c>
      <c r="N1197" t="inlineStr">
        <is>
          <t>Liam Chen</t>
        </is>
      </c>
      <c r="O1197" t="n">
        <v>5</v>
      </c>
      <c r="P1197" s="3" t="n">
        <v>85.91</v>
      </c>
      <c r="Q1197" s="4" t="n">
        <v>0.015</v>
      </c>
      <c r="R1197" s="3" t="n">
        <v>423.11</v>
      </c>
      <c r="S1197" s="3" t="n">
        <v>195.36</v>
      </c>
      <c r="T1197" s="3" t="n">
        <v>216.75</v>
      </c>
      <c r="U1197" s="4" t="n">
        <v>0.5123</v>
      </c>
      <c r="V1197" s="3" t="n">
        <v>11</v>
      </c>
      <c r="W1197" t="inlineStr">
        <is>
          <t>Debit Card</t>
        </is>
      </c>
      <c r="X1197" t="inlineStr">
        <is>
          <t>Medium</t>
        </is>
      </c>
      <c r="Y1197" t="n">
        <v>2023</v>
      </c>
      <c r="Z1197" t="n">
        <v>2</v>
      </c>
      <c r="AA1197" t="inlineStr">
        <is>
          <t>Feb</t>
        </is>
      </c>
      <c r="AB1197" t="inlineStr">
        <is>
          <t>Tuesday</t>
        </is>
      </c>
      <c r="AC1197" t="n">
        <v>4</v>
      </c>
      <c r="AD1197" t="inlineStr">
        <is>
          <t>Profitable</t>
        </is>
      </c>
      <c r="AE1197" t="inlineStr">
        <is>
          <t>Low</t>
        </is>
      </c>
      <c r="AF1197" t="inlineStr">
        <is>
          <t>Small</t>
        </is>
      </c>
    </row>
    <row r="1198">
      <c r="A1198" t="inlineStr">
        <is>
          <t>ORD-01210</t>
        </is>
      </c>
      <c r="B1198" s="2" t="n">
        <v>45954</v>
      </c>
      <c r="C1198" s="2" t="n">
        <v>45955</v>
      </c>
      <c r="D1198" t="inlineStr">
        <is>
          <t>CUST-01210</t>
        </is>
      </c>
      <c r="E1198" t="inlineStr">
        <is>
          <t>Customer 1210</t>
        </is>
      </c>
      <c r="F1198" t="inlineStr">
        <is>
          <t>Consumer</t>
        </is>
      </c>
      <c r="G1198" t="inlineStr">
        <is>
          <t>P1014</t>
        </is>
      </c>
      <c r="H1198" t="inlineStr">
        <is>
          <t>Harbor Rug</t>
        </is>
      </c>
      <c r="I1198" t="inlineStr">
        <is>
          <t>Technology</t>
        </is>
      </c>
      <c r="J1198" t="inlineStr">
        <is>
          <t>Peripherals</t>
        </is>
      </c>
      <c r="K1198" t="inlineStr">
        <is>
          <t>West</t>
        </is>
      </c>
      <c r="L1198" t="inlineStr">
        <is>
          <t>California</t>
        </is>
      </c>
      <c r="M1198" t="inlineStr">
        <is>
          <t>Seattle</t>
        </is>
      </c>
      <c r="N1198" t="inlineStr">
        <is>
          <t>Ava Patel</t>
        </is>
      </c>
      <c r="O1198" t="n">
        <v>2</v>
      </c>
      <c r="P1198" s="3" t="n">
        <v>46.93</v>
      </c>
      <c r="Q1198" s="4" t="n">
        <v>0.02</v>
      </c>
      <c r="R1198" s="3" t="n">
        <v>91.98</v>
      </c>
      <c r="S1198" s="3" t="n">
        <v>42.45</v>
      </c>
      <c r="T1198" s="3" t="n">
        <v>40.93</v>
      </c>
      <c r="U1198" s="4" t="n">
        <v>0.445</v>
      </c>
      <c r="V1198" s="3" t="n">
        <v>8.6</v>
      </c>
      <c r="W1198" t="inlineStr">
        <is>
          <t>Bank Transfer</t>
        </is>
      </c>
      <c r="X1198" t="inlineStr">
        <is>
          <t>Medium</t>
        </is>
      </c>
      <c r="Y1198" t="n">
        <v>2025</v>
      </c>
      <c r="Z1198" t="n">
        <v>10</v>
      </c>
      <c r="AA1198" t="inlineStr">
        <is>
          <t>Oct</t>
        </is>
      </c>
      <c r="AB1198" t="inlineStr">
        <is>
          <t>Friday</t>
        </is>
      </c>
      <c r="AC1198" t="n">
        <v>1</v>
      </c>
      <c r="AD1198" t="inlineStr">
        <is>
          <t>Profitable</t>
        </is>
      </c>
      <c r="AE1198" t="inlineStr">
        <is>
          <t>Medium</t>
        </is>
      </c>
      <c r="AF1198" t="inlineStr">
        <is>
          <t>Small</t>
        </is>
      </c>
    </row>
    <row r="1199">
      <c r="A1199" t="inlineStr">
        <is>
          <t>ORD-01211</t>
        </is>
      </c>
      <c r="B1199" s="2" t="n">
        <v>45612</v>
      </c>
      <c r="C1199" s="2" t="n">
        <v>45617</v>
      </c>
      <c r="D1199" t="inlineStr">
        <is>
          <t>CUST-01211</t>
        </is>
      </c>
      <c r="E1199" t="inlineStr">
        <is>
          <t>Customer 1211</t>
        </is>
      </c>
      <c r="F1199" t="inlineStr">
        <is>
          <t>Consumer</t>
        </is>
      </c>
      <c r="G1199" t="inlineStr">
        <is>
          <t>P1004</t>
        </is>
      </c>
      <c r="H1199" t="inlineStr">
        <is>
          <t>Halo Planter</t>
        </is>
      </c>
      <c r="I1199" t="inlineStr">
        <is>
          <t>Furniture</t>
        </is>
      </c>
      <c r="J1199" t="inlineStr">
        <is>
          <t>Plants</t>
        </is>
      </c>
      <c r="K1199" t="inlineStr">
        <is>
          <t>West</t>
        </is>
      </c>
      <c r="L1199" t="inlineStr">
        <is>
          <t>California</t>
        </is>
      </c>
      <c r="M1199" t="inlineStr">
        <is>
          <t>Los Angeles</t>
        </is>
      </c>
      <c r="N1199" t="inlineStr">
        <is>
          <t>Olivia Martin</t>
        </is>
      </c>
      <c r="O1199" t="n">
        <v>4</v>
      </c>
      <c r="P1199" s="3" t="n">
        <v>654.16</v>
      </c>
      <c r="Q1199" s="4" t="n">
        <v>0.028</v>
      </c>
      <c r="R1199" s="3" t="n">
        <v>2543.37</v>
      </c>
      <c r="S1199" s="3" t="n">
        <v>1612.57</v>
      </c>
      <c r="T1199" s="3" t="n">
        <v>920.6</v>
      </c>
      <c r="U1199" s="4" t="n">
        <v>0.362</v>
      </c>
      <c r="V1199" s="3" t="n">
        <v>10.2</v>
      </c>
      <c r="W1199" t="inlineStr">
        <is>
          <t>Bank Transfer</t>
        </is>
      </c>
      <c r="X1199" t="inlineStr">
        <is>
          <t>Medium</t>
        </is>
      </c>
      <c r="Y1199" t="n">
        <v>2024</v>
      </c>
      <c r="Z1199" t="n">
        <v>11</v>
      </c>
      <c r="AA1199" t="inlineStr">
        <is>
          <t>Nov</t>
        </is>
      </c>
      <c r="AB1199" t="inlineStr">
        <is>
          <t>Saturday</t>
        </is>
      </c>
      <c r="AC1199" t="n">
        <v>5</v>
      </c>
      <c r="AD1199" t="inlineStr">
        <is>
          <t>Profitable</t>
        </is>
      </c>
      <c r="AE1199" t="inlineStr">
        <is>
          <t>Medium</t>
        </is>
      </c>
      <c r="AF1199" t="inlineStr">
        <is>
          <t>Large</t>
        </is>
      </c>
    </row>
    <row r="1200">
      <c r="A1200" t="inlineStr">
        <is>
          <t>ORD-01212</t>
        </is>
      </c>
      <c r="B1200" s="2" t="n">
        <v>45428</v>
      </c>
      <c r="C1200" s="2" t="n">
        <v>45431</v>
      </c>
      <c r="D1200" t="inlineStr">
        <is>
          <t>CUST-01212</t>
        </is>
      </c>
      <c r="E1200" t="inlineStr">
        <is>
          <t>Customer 1212</t>
        </is>
      </c>
      <c r="F1200" t="inlineStr">
        <is>
          <t>Consumer</t>
        </is>
      </c>
      <c r="G1200" t="inlineStr">
        <is>
          <t>P1003</t>
        </is>
      </c>
      <c r="H1200" t="inlineStr">
        <is>
          <t>CloudDrive File Box</t>
        </is>
      </c>
      <c r="I1200" t="inlineStr">
        <is>
          <t>Technology</t>
        </is>
      </c>
      <c r="J1200" t="inlineStr">
        <is>
          <t>Plants</t>
        </is>
      </c>
      <c r="K1200" t="inlineStr">
        <is>
          <t>West</t>
        </is>
      </c>
      <c r="L1200" t="inlineStr">
        <is>
          <t>Oregon</t>
        </is>
      </c>
      <c r="M1200" t="inlineStr">
        <is>
          <t>Denver</t>
        </is>
      </c>
      <c r="N1200" t="inlineStr">
        <is>
          <t>Noah Kim</t>
        </is>
      </c>
      <c r="O1200" t="n">
        <v>3</v>
      </c>
      <c r="P1200" s="3" t="n">
        <v>154.88</v>
      </c>
      <c r="Q1200" s="4" t="n">
        <v>0.026</v>
      </c>
      <c r="R1200" s="3" t="n">
        <v>452.56</v>
      </c>
      <c r="S1200" s="3" t="n">
        <v>235.56</v>
      </c>
      <c r="T1200" s="3" t="n">
        <v>207.6</v>
      </c>
      <c r="U1200" s="4" t="n">
        <v>0.4587</v>
      </c>
      <c r="V1200" s="3" t="n">
        <v>9.4</v>
      </c>
      <c r="W1200" t="inlineStr">
        <is>
          <t>Debit Card</t>
        </is>
      </c>
      <c r="X1200" t="inlineStr">
        <is>
          <t>Medium</t>
        </is>
      </c>
      <c r="Y1200" t="n">
        <v>2024</v>
      </c>
      <c r="Z1200" t="n">
        <v>5</v>
      </c>
      <c r="AA1200" t="inlineStr">
        <is>
          <t>May</t>
        </is>
      </c>
      <c r="AB1200" t="inlineStr">
        <is>
          <t>Thursday</t>
        </is>
      </c>
      <c r="AC1200" t="n">
        <v>3</v>
      </c>
      <c r="AD1200" t="inlineStr">
        <is>
          <t>Profitable</t>
        </is>
      </c>
      <c r="AE1200" t="inlineStr">
        <is>
          <t>Medium</t>
        </is>
      </c>
      <c r="AF1200" t="inlineStr">
        <is>
          <t>Small</t>
        </is>
      </c>
    </row>
    <row r="1201">
      <c r="A1201" t="inlineStr">
        <is>
          <t>ORD-01213</t>
        </is>
      </c>
      <c r="B1201" s="2" t="n">
        <v>45188</v>
      </c>
      <c r="C1201" s="2" t="n">
        <v>45193</v>
      </c>
      <c r="D1201" t="inlineStr">
        <is>
          <t>CUST-01213</t>
        </is>
      </c>
      <c r="E1201" t="inlineStr">
        <is>
          <t>Customer 1213</t>
        </is>
      </c>
      <c r="F1201" t="inlineStr">
        <is>
          <t>Corporate</t>
        </is>
      </c>
      <c r="G1201" t="inlineStr">
        <is>
          <t>P1003</t>
        </is>
      </c>
      <c r="H1201" t="inlineStr">
        <is>
          <t>Atlas Throw Pillow</t>
        </is>
      </c>
      <c r="I1201" t="inlineStr">
        <is>
          <t>Outdoor</t>
        </is>
      </c>
      <c r="J1201" t="inlineStr">
        <is>
          <t>Accessories</t>
        </is>
      </c>
      <c r="K1201" t="inlineStr">
        <is>
          <t>West</t>
        </is>
      </c>
      <c r="L1201" t="inlineStr">
        <is>
          <t>Oregon</t>
        </is>
      </c>
      <c r="M1201" t="inlineStr">
        <is>
          <t>San Francisco</t>
        </is>
      </c>
      <c r="N1201" t="inlineStr">
        <is>
          <t>Mia Rodriguez</t>
        </is>
      </c>
      <c r="O1201" t="n">
        <v>1</v>
      </c>
      <c r="P1201" s="3" t="n">
        <v>158.68</v>
      </c>
      <c r="Q1201" s="4" t="n">
        <v>0.029</v>
      </c>
      <c r="R1201" s="3" t="n">
        <v>154.08</v>
      </c>
      <c r="S1201" s="3" t="n">
        <v>83.34</v>
      </c>
      <c r="T1201" s="3" t="n">
        <v>62.94</v>
      </c>
      <c r="U1201" s="4" t="n">
        <v>0.4085</v>
      </c>
      <c r="V1201" s="3" t="n">
        <v>7.8</v>
      </c>
      <c r="W1201" t="inlineStr">
        <is>
          <t>Cash on Delivery</t>
        </is>
      </c>
      <c r="X1201" t="inlineStr">
        <is>
          <t>Medium</t>
        </is>
      </c>
      <c r="Y1201" t="n">
        <v>2023</v>
      </c>
      <c r="Z1201" t="n">
        <v>9</v>
      </c>
      <c r="AA1201" t="inlineStr">
        <is>
          <t>Sep</t>
        </is>
      </c>
      <c r="AB1201" t="inlineStr">
        <is>
          <t>Tuesday</t>
        </is>
      </c>
      <c r="AC1201" t="n">
        <v>5</v>
      </c>
      <c r="AD1201" t="inlineStr">
        <is>
          <t>Profitable</t>
        </is>
      </c>
      <c r="AE1201" t="inlineStr">
        <is>
          <t>Medium</t>
        </is>
      </c>
      <c r="AF1201" t="inlineStr">
        <is>
          <t>Small</t>
        </is>
      </c>
    </row>
    <row r="1202">
      <c r="A1202" t="inlineStr">
        <is>
          <t>ORD-01214</t>
        </is>
      </c>
      <c r="B1202" s="2" t="n">
        <v>45835</v>
      </c>
      <c r="C1202" s="2" t="n">
        <v>45842</v>
      </c>
      <c r="D1202" t="inlineStr">
        <is>
          <t>CUST-01214</t>
        </is>
      </c>
      <c r="E1202" t="inlineStr">
        <is>
          <t>Customer 1214</t>
        </is>
      </c>
      <c r="F1202" t="inlineStr">
        <is>
          <t>Home Office</t>
        </is>
      </c>
      <c r="G1202" t="inlineStr">
        <is>
          <t>P1011</t>
        </is>
      </c>
      <c r="H1202" t="inlineStr">
        <is>
          <t>Pulse Keyboard</t>
        </is>
      </c>
      <c r="I1202" t="inlineStr">
        <is>
          <t>Office Supplies</t>
        </is>
      </c>
      <c r="J1202" t="inlineStr">
        <is>
          <t>Lighting</t>
        </is>
      </c>
      <c r="K1202" t="inlineStr">
        <is>
          <t>Central</t>
        </is>
      </c>
      <c r="L1202" t="inlineStr">
        <is>
          <t>Missouri</t>
        </is>
      </c>
      <c r="M1202" t="inlineStr">
        <is>
          <t>Chicago</t>
        </is>
      </c>
      <c r="N1202" t="inlineStr">
        <is>
          <t>James Carter</t>
        </is>
      </c>
      <c r="O1202" t="n">
        <v>2</v>
      </c>
      <c r="P1202" s="3" t="n">
        <v>88.17</v>
      </c>
      <c r="Q1202" s="4" t="n">
        <v>0.05</v>
      </c>
      <c r="R1202" s="3" t="n">
        <v>167.52</v>
      </c>
      <c r="S1202" s="3" t="n">
        <v>88.18000000000001</v>
      </c>
      <c r="T1202" s="3" t="n">
        <v>71.73999999999999</v>
      </c>
      <c r="U1202" s="4" t="n">
        <v>0.4282</v>
      </c>
      <c r="V1202" s="3" t="n">
        <v>7.6</v>
      </c>
      <c r="W1202" t="inlineStr">
        <is>
          <t>Cash on Delivery</t>
        </is>
      </c>
      <c r="X1202" t="inlineStr">
        <is>
          <t>High</t>
        </is>
      </c>
      <c r="Y1202" t="n">
        <v>2025</v>
      </c>
      <c r="Z1202" t="n">
        <v>6</v>
      </c>
      <c r="AA1202" t="inlineStr">
        <is>
          <t>Jun</t>
        </is>
      </c>
      <c r="AB1202" t="inlineStr">
        <is>
          <t>Friday</t>
        </is>
      </c>
      <c r="AC1202" t="n">
        <v>7</v>
      </c>
      <c r="AD1202" t="inlineStr">
        <is>
          <t>Profitable</t>
        </is>
      </c>
      <c r="AE1202" t="inlineStr">
        <is>
          <t>High</t>
        </is>
      </c>
      <c r="AF1202" t="inlineStr">
        <is>
          <t>Small</t>
        </is>
      </c>
    </row>
    <row r="1203">
      <c r="A1203" t="inlineStr">
        <is>
          <t>ORD-01215</t>
        </is>
      </c>
      <c r="B1203" s="2" t="n">
        <v>46002</v>
      </c>
      <c r="C1203" s="2" t="n">
        <v>46007</v>
      </c>
      <c r="D1203" t="inlineStr">
        <is>
          <t>CUST-01215</t>
        </is>
      </c>
      <c r="E1203" t="inlineStr">
        <is>
          <t>Customer 1215</t>
        </is>
      </c>
      <c r="F1203" t="inlineStr">
        <is>
          <t>Consumer</t>
        </is>
      </c>
      <c r="G1203" t="inlineStr">
        <is>
          <t>P1005</t>
        </is>
      </c>
      <c r="H1203" t="inlineStr">
        <is>
          <t>Harbor Rug</t>
        </is>
      </c>
      <c r="I1203" t="inlineStr">
        <is>
          <t>Technology</t>
        </is>
      </c>
      <c r="J1203" t="inlineStr">
        <is>
          <t>Bags</t>
        </is>
      </c>
      <c r="K1203" t="inlineStr">
        <is>
          <t>West</t>
        </is>
      </c>
      <c r="L1203" t="inlineStr">
        <is>
          <t>Oregon</t>
        </is>
      </c>
      <c r="M1203" t="inlineStr">
        <is>
          <t>Los Angeles</t>
        </is>
      </c>
      <c r="N1203" t="inlineStr">
        <is>
          <t>James Carter</t>
        </is>
      </c>
      <c r="O1203" t="n">
        <v>2</v>
      </c>
      <c r="P1203" s="3" t="n">
        <v>13.9</v>
      </c>
      <c r="Q1203" s="4" t="n">
        <v>0.01</v>
      </c>
      <c r="R1203" s="3" t="n">
        <v>27.52</v>
      </c>
      <c r="S1203" s="3" t="n">
        <v>18.84</v>
      </c>
      <c r="T1203" s="3" t="n">
        <v>0.08</v>
      </c>
      <c r="U1203" s="4" t="n">
        <v>0.0029</v>
      </c>
      <c r="V1203" s="3" t="n">
        <v>8.6</v>
      </c>
      <c r="W1203" t="inlineStr">
        <is>
          <t>Credit Card</t>
        </is>
      </c>
      <c r="X1203" t="inlineStr">
        <is>
          <t>Medium</t>
        </is>
      </c>
      <c r="Y1203" t="n">
        <v>2025</v>
      </c>
      <c r="Z1203" t="n">
        <v>12</v>
      </c>
      <c r="AA1203" t="inlineStr">
        <is>
          <t>Dec</t>
        </is>
      </c>
      <c r="AB1203" t="inlineStr">
        <is>
          <t>Thursday</t>
        </is>
      </c>
      <c r="AC1203" t="n">
        <v>5</v>
      </c>
      <c r="AD1203" t="inlineStr">
        <is>
          <t>Profitable</t>
        </is>
      </c>
      <c r="AE1203" t="inlineStr">
        <is>
          <t>Low</t>
        </is>
      </c>
      <c r="AF1203" t="inlineStr">
        <is>
          <t>Small</t>
        </is>
      </c>
    </row>
    <row r="1204">
      <c r="A1204" t="inlineStr">
        <is>
          <t>ORD-01216</t>
        </is>
      </c>
      <c r="B1204" s="2" t="n">
        <v>45236</v>
      </c>
      <c r="C1204" s="2" t="n">
        <v>45242</v>
      </c>
      <c r="D1204" t="inlineStr">
        <is>
          <t>CUST-01216</t>
        </is>
      </c>
      <c r="E1204" t="inlineStr">
        <is>
          <t>Customer 1216</t>
        </is>
      </c>
      <c r="F1204" t="inlineStr">
        <is>
          <t>Corporate</t>
        </is>
      </c>
      <c r="G1204" t="inlineStr">
        <is>
          <t>P1016</t>
        </is>
      </c>
      <c r="H1204" t="inlineStr">
        <is>
          <t>SmartInk Pen Set</t>
        </is>
      </c>
      <c r="I1204" t="inlineStr">
        <is>
          <t>Office Supplies</t>
        </is>
      </c>
      <c r="J1204" t="inlineStr">
        <is>
          <t>Decor</t>
        </is>
      </c>
      <c r="K1204" t="inlineStr">
        <is>
          <t>South</t>
        </is>
      </c>
      <c r="L1204" t="inlineStr">
        <is>
          <t>Texas</t>
        </is>
      </c>
      <c r="M1204" t="inlineStr">
        <is>
          <t>Miami</t>
        </is>
      </c>
      <c r="N1204" t="inlineStr">
        <is>
          <t>Liam Chen</t>
        </is>
      </c>
      <c r="O1204" t="n">
        <v>4</v>
      </c>
      <c r="P1204" s="3" t="n">
        <v>41.95</v>
      </c>
      <c r="Q1204" s="4" t="n">
        <v>0.016</v>
      </c>
      <c r="R1204" s="3" t="n">
        <v>165.12</v>
      </c>
      <c r="S1204" s="3" t="n">
        <v>69.61</v>
      </c>
      <c r="T1204" s="3" t="n">
        <v>86.31</v>
      </c>
      <c r="U1204" s="4" t="n">
        <v>0.5227000000000001</v>
      </c>
      <c r="V1204" s="3" t="n">
        <v>9.199999999999999</v>
      </c>
      <c r="W1204" t="inlineStr">
        <is>
          <t>Cash on Delivery</t>
        </is>
      </c>
      <c r="X1204" t="inlineStr">
        <is>
          <t>Low</t>
        </is>
      </c>
      <c r="Y1204" t="n">
        <v>2023</v>
      </c>
      <c r="Z1204" t="n">
        <v>11</v>
      </c>
      <c r="AA1204" t="inlineStr">
        <is>
          <t>Nov</t>
        </is>
      </c>
      <c r="AB1204" t="inlineStr">
        <is>
          <t>Monday</t>
        </is>
      </c>
      <c r="AC1204" t="n">
        <v>6</v>
      </c>
      <c r="AD1204" t="inlineStr">
        <is>
          <t>Profitable</t>
        </is>
      </c>
      <c r="AE1204" t="inlineStr">
        <is>
          <t>Low</t>
        </is>
      </c>
      <c r="AF1204" t="inlineStr">
        <is>
          <t>Small</t>
        </is>
      </c>
    </row>
    <row r="1205">
      <c r="A1205" t="inlineStr">
        <is>
          <t>ORD-01217</t>
        </is>
      </c>
      <c r="B1205" s="2" t="n">
        <v>45113</v>
      </c>
      <c r="C1205" s="2" t="n">
        <v>45115</v>
      </c>
      <c r="D1205" t="inlineStr">
        <is>
          <t>CUST-01217</t>
        </is>
      </c>
      <c r="E1205" t="inlineStr">
        <is>
          <t>Customer 1217</t>
        </is>
      </c>
      <c r="F1205" t="inlineStr">
        <is>
          <t>Consumer</t>
        </is>
      </c>
      <c r="G1205" t="inlineStr">
        <is>
          <t>P1019</t>
        </is>
      </c>
      <c r="H1205" t="inlineStr">
        <is>
          <t>Tide Cooler</t>
        </is>
      </c>
      <c r="I1205" t="inlineStr">
        <is>
          <t>Home Decor</t>
        </is>
      </c>
      <c r="J1205" t="inlineStr">
        <is>
          <t>Accessories</t>
        </is>
      </c>
      <c r="K1205" t="inlineStr">
        <is>
          <t>Central</t>
        </is>
      </c>
      <c r="L1205" t="inlineStr">
        <is>
          <t>Missouri</t>
        </is>
      </c>
      <c r="M1205" t="inlineStr">
        <is>
          <t>Chicago</t>
        </is>
      </c>
      <c r="N1205" t="inlineStr">
        <is>
          <t>Noah Kim</t>
        </is>
      </c>
      <c r="O1205" t="n">
        <v>4</v>
      </c>
      <c r="P1205" s="3" t="n">
        <v>56.18</v>
      </c>
      <c r="Q1205" s="4" t="n">
        <v>0.002</v>
      </c>
      <c r="R1205" s="3" t="n">
        <v>224.27</v>
      </c>
      <c r="S1205" s="3" t="n">
        <v>95.91</v>
      </c>
      <c r="T1205" s="3" t="n">
        <v>119.16</v>
      </c>
      <c r="U1205" s="4" t="n">
        <v>0.5313</v>
      </c>
      <c r="V1205" s="3" t="n">
        <v>9.199999999999999</v>
      </c>
      <c r="W1205" t="inlineStr">
        <is>
          <t>Credit Card</t>
        </is>
      </c>
      <c r="X1205" t="inlineStr">
        <is>
          <t>Low</t>
        </is>
      </c>
      <c r="Y1205" t="n">
        <v>2023</v>
      </c>
      <c r="Z1205" t="n">
        <v>7</v>
      </c>
      <c r="AA1205" t="inlineStr">
        <is>
          <t>Jul</t>
        </is>
      </c>
      <c r="AB1205" t="inlineStr">
        <is>
          <t>Thursday</t>
        </is>
      </c>
      <c r="AC1205" t="n">
        <v>2</v>
      </c>
      <c r="AD1205" t="inlineStr">
        <is>
          <t>Profitable</t>
        </is>
      </c>
      <c r="AE1205" t="inlineStr">
        <is>
          <t>Low</t>
        </is>
      </c>
      <c r="AF1205" t="inlineStr">
        <is>
          <t>Small</t>
        </is>
      </c>
    </row>
    <row r="1206">
      <c r="A1206" t="inlineStr">
        <is>
          <t>ORD-01218</t>
        </is>
      </c>
      <c r="B1206" s="2" t="n">
        <v>45937</v>
      </c>
      <c r="C1206" s="2" t="n">
        <v>45944</v>
      </c>
      <c r="D1206" t="inlineStr">
        <is>
          <t>CUST-01218</t>
        </is>
      </c>
      <c r="E1206" t="inlineStr">
        <is>
          <t>Customer 1218</t>
        </is>
      </c>
      <c r="F1206" t="inlineStr">
        <is>
          <t>Home Office</t>
        </is>
      </c>
      <c r="G1206" t="inlineStr">
        <is>
          <t>P1009</t>
        </is>
      </c>
      <c r="H1206" t="inlineStr">
        <is>
          <t>CloudDrive File Box</t>
        </is>
      </c>
      <c r="I1206" t="inlineStr">
        <is>
          <t>Outdoor</t>
        </is>
      </c>
      <c r="J1206" t="inlineStr">
        <is>
          <t>Storage</t>
        </is>
      </c>
      <c r="K1206" t="inlineStr">
        <is>
          <t>West</t>
        </is>
      </c>
      <c r="L1206" t="inlineStr">
        <is>
          <t>Colorado</t>
        </is>
      </c>
      <c r="M1206" t="inlineStr">
        <is>
          <t>Seattle</t>
        </is>
      </c>
      <c r="N1206" t="inlineStr">
        <is>
          <t>Olivia Martin</t>
        </is>
      </c>
      <c r="O1206" t="n">
        <v>1</v>
      </c>
      <c r="P1206" s="3" t="n">
        <v>95.89</v>
      </c>
      <c r="Q1206" s="4" t="n">
        <v>0.023</v>
      </c>
      <c r="R1206" s="3" t="n">
        <v>93.68000000000001</v>
      </c>
      <c r="S1206" s="3" t="n">
        <v>52.64</v>
      </c>
      <c r="T1206" s="3" t="n">
        <v>33.24</v>
      </c>
      <c r="U1206" s="4" t="n">
        <v>0.3548</v>
      </c>
      <c r="V1206" s="3" t="n">
        <v>7.8</v>
      </c>
      <c r="W1206" t="inlineStr">
        <is>
          <t>Cash on Delivery</t>
        </is>
      </c>
      <c r="X1206" t="inlineStr">
        <is>
          <t>Medium</t>
        </is>
      </c>
      <c r="Y1206" t="n">
        <v>2025</v>
      </c>
      <c r="Z1206" t="n">
        <v>10</v>
      </c>
      <c r="AA1206" t="inlineStr">
        <is>
          <t>Oct</t>
        </is>
      </c>
      <c r="AB1206" t="inlineStr">
        <is>
          <t>Tuesday</t>
        </is>
      </c>
      <c r="AC1206" t="n">
        <v>7</v>
      </c>
      <c r="AD1206" t="inlineStr">
        <is>
          <t>Profitable</t>
        </is>
      </c>
      <c r="AE1206" t="inlineStr">
        <is>
          <t>Medium</t>
        </is>
      </c>
      <c r="AF1206" t="inlineStr">
        <is>
          <t>Small</t>
        </is>
      </c>
    </row>
    <row r="1207">
      <c r="A1207" t="inlineStr">
        <is>
          <t>ORD-01219</t>
        </is>
      </c>
      <c r="B1207" s="2" t="n">
        <v>45977</v>
      </c>
      <c r="C1207" s="2" t="n">
        <v>45984</v>
      </c>
      <c r="D1207" t="inlineStr">
        <is>
          <t>CUST-01219</t>
        </is>
      </c>
      <c r="E1207" t="inlineStr">
        <is>
          <t>Customer 1219</t>
        </is>
      </c>
      <c r="F1207" t="inlineStr">
        <is>
          <t>Consumer</t>
        </is>
      </c>
      <c r="G1207" t="inlineStr">
        <is>
          <t>P1011</t>
        </is>
      </c>
      <c r="H1207" t="inlineStr">
        <is>
          <t>Lumen Desk Lamp</t>
        </is>
      </c>
      <c r="I1207" t="inlineStr">
        <is>
          <t>Outdoor</t>
        </is>
      </c>
      <c r="J1207" t="inlineStr">
        <is>
          <t>Peripherals</t>
        </is>
      </c>
      <c r="K1207" t="inlineStr">
        <is>
          <t>Central</t>
        </is>
      </c>
      <c r="L1207" t="inlineStr">
        <is>
          <t>Illinois</t>
        </is>
      </c>
      <c r="M1207" t="inlineStr">
        <is>
          <t>Kansas City</t>
        </is>
      </c>
      <c r="N1207" t="inlineStr">
        <is>
          <t>James Carter</t>
        </is>
      </c>
      <c r="O1207" t="n">
        <v>4</v>
      </c>
      <c r="P1207" s="3" t="n">
        <v>94.18000000000001</v>
      </c>
      <c r="Q1207" s="4" t="n">
        <v>0.052</v>
      </c>
      <c r="R1207" s="3" t="n">
        <v>357.13</v>
      </c>
      <c r="S1207" s="3" t="n">
        <v>170.68</v>
      </c>
      <c r="T1207" s="3" t="n">
        <v>177.25</v>
      </c>
      <c r="U1207" s="4" t="n">
        <v>0.4963</v>
      </c>
      <c r="V1207" s="3" t="n">
        <v>9.199999999999999</v>
      </c>
      <c r="W1207" t="inlineStr">
        <is>
          <t>Bank Transfer</t>
        </is>
      </c>
      <c r="X1207" t="inlineStr">
        <is>
          <t>High</t>
        </is>
      </c>
      <c r="Y1207" t="n">
        <v>2025</v>
      </c>
      <c r="Z1207" t="n">
        <v>11</v>
      </c>
      <c r="AA1207" t="inlineStr">
        <is>
          <t>Nov</t>
        </is>
      </c>
      <c r="AB1207" t="inlineStr">
        <is>
          <t>Sunday</t>
        </is>
      </c>
      <c r="AC1207" t="n">
        <v>7</v>
      </c>
      <c r="AD1207" t="inlineStr">
        <is>
          <t>Profitable</t>
        </is>
      </c>
      <c r="AE1207" t="inlineStr">
        <is>
          <t>High</t>
        </is>
      </c>
      <c r="AF1207" t="inlineStr">
        <is>
          <t>Small</t>
        </is>
      </c>
    </row>
    <row r="1208">
      <c r="A1208" t="inlineStr">
        <is>
          <t>ORD-01220</t>
        </is>
      </c>
      <c r="B1208" s="2" t="n">
        <v>45120</v>
      </c>
      <c r="C1208" s="2" t="n">
        <v>45126</v>
      </c>
      <c r="D1208" t="inlineStr">
        <is>
          <t>CUST-01220</t>
        </is>
      </c>
      <c r="E1208" t="inlineStr">
        <is>
          <t>Customer 1220</t>
        </is>
      </c>
      <c r="F1208" t="inlineStr">
        <is>
          <t>Consumer</t>
        </is>
      </c>
      <c r="G1208" t="inlineStr">
        <is>
          <t>P1012</t>
        </is>
      </c>
      <c r="H1208" t="inlineStr">
        <is>
          <t>Nimbus Monitor Arm</t>
        </is>
      </c>
      <c r="I1208" t="inlineStr">
        <is>
          <t>Furniture</t>
        </is>
      </c>
      <c r="J1208" t="inlineStr">
        <is>
          <t>Accessories</t>
        </is>
      </c>
      <c r="K1208" t="inlineStr">
        <is>
          <t>North</t>
        </is>
      </c>
      <c r="L1208" t="inlineStr">
        <is>
          <t>Ontario</t>
        </is>
      </c>
      <c r="M1208" t="inlineStr">
        <is>
          <t>Montreal</t>
        </is>
      </c>
      <c r="N1208" t="inlineStr">
        <is>
          <t>Sophia Singh</t>
        </is>
      </c>
      <c r="O1208" t="n">
        <v>1</v>
      </c>
      <c r="P1208" s="3" t="n">
        <v>134.72</v>
      </c>
      <c r="Q1208" s="4" t="n">
        <v>0.025</v>
      </c>
      <c r="R1208" s="3" t="n">
        <v>131.35</v>
      </c>
      <c r="S1208" s="3" t="n">
        <v>72.13</v>
      </c>
      <c r="T1208" s="3" t="n">
        <v>52.42</v>
      </c>
      <c r="U1208" s="4" t="n">
        <v>0.3991</v>
      </c>
      <c r="V1208" s="3" t="n">
        <v>6.8</v>
      </c>
      <c r="W1208" t="inlineStr">
        <is>
          <t>Cash on Delivery</t>
        </is>
      </c>
      <c r="X1208" t="inlineStr">
        <is>
          <t>Medium</t>
        </is>
      </c>
      <c r="Y1208" t="n">
        <v>2023</v>
      </c>
      <c r="Z1208" t="n">
        <v>7</v>
      </c>
      <c r="AA1208" t="inlineStr">
        <is>
          <t>Jul</t>
        </is>
      </c>
      <c r="AB1208" t="inlineStr">
        <is>
          <t>Thursday</t>
        </is>
      </c>
      <c r="AC1208" t="n">
        <v>6</v>
      </c>
      <c r="AD1208" t="inlineStr">
        <is>
          <t>Profitable</t>
        </is>
      </c>
      <c r="AE1208" t="inlineStr">
        <is>
          <t>Medium</t>
        </is>
      </c>
      <c r="AF1208" t="inlineStr">
        <is>
          <t>Small</t>
        </is>
      </c>
    </row>
    <row r="1209">
      <c r="A1209" t="inlineStr">
        <is>
          <t>ORD-01221</t>
        </is>
      </c>
      <c r="B1209" s="2" t="n">
        <v>45804</v>
      </c>
      <c r="C1209" s="2" t="n">
        <v>45810</v>
      </c>
      <c r="D1209" t="inlineStr">
        <is>
          <t>CUST-01221</t>
        </is>
      </c>
      <c r="E1209" t="inlineStr">
        <is>
          <t>Customer 1221</t>
        </is>
      </c>
      <c r="F1209" t="inlineStr">
        <is>
          <t>Corporate</t>
        </is>
      </c>
      <c r="G1209" t="inlineStr">
        <is>
          <t>P1008</t>
        </is>
      </c>
      <c r="H1209" t="inlineStr">
        <is>
          <t>Orbit Wireless Mouse</t>
        </is>
      </c>
      <c r="I1209" t="inlineStr">
        <is>
          <t>Furniture</t>
        </is>
      </c>
      <c r="J1209" t="inlineStr">
        <is>
          <t>Plants</t>
        </is>
      </c>
      <c r="K1209" t="inlineStr">
        <is>
          <t>South</t>
        </is>
      </c>
      <c r="L1209" t="inlineStr">
        <is>
          <t>Georgia</t>
        </is>
      </c>
      <c r="M1209" t="inlineStr">
        <is>
          <t>Houston</t>
        </is>
      </c>
      <c r="N1209" t="inlineStr">
        <is>
          <t>Sophia Singh</t>
        </is>
      </c>
      <c r="O1209" t="n">
        <v>4</v>
      </c>
      <c r="P1209" s="3" t="n">
        <v>35.72</v>
      </c>
      <c r="Q1209" s="4" t="n">
        <v>0.01</v>
      </c>
      <c r="R1209" s="3" t="n">
        <v>141.45</v>
      </c>
      <c r="S1209" s="3" t="n">
        <v>60.84</v>
      </c>
      <c r="T1209" s="3" t="n">
        <v>71.41</v>
      </c>
      <c r="U1209" s="4" t="n">
        <v>0.5048</v>
      </c>
      <c r="V1209" s="3" t="n">
        <v>9.199999999999999</v>
      </c>
      <c r="W1209" t="inlineStr">
        <is>
          <t>Debit Card</t>
        </is>
      </c>
      <c r="X1209" t="inlineStr">
        <is>
          <t>Medium</t>
        </is>
      </c>
      <c r="Y1209" t="n">
        <v>2025</v>
      </c>
      <c r="Z1209" t="n">
        <v>5</v>
      </c>
      <c r="AA1209" t="inlineStr">
        <is>
          <t>May</t>
        </is>
      </c>
      <c r="AB1209" t="inlineStr">
        <is>
          <t>Tuesday</t>
        </is>
      </c>
      <c r="AC1209" t="n">
        <v>6</v>
      </c>
      <c r="AD1209" t="inlineStr">
        <is>
          <t>Profitable</t>
        </is>
      </c>
      <c r="AE1209" t="inlineStr">
        <is>
          <t>Low</t>
        </is>
      </c>
      <c r="AF1209" t="inlineStr">
        <is>
          <t>Small</t>
        </is>
      </c>
    </row>
    <row r="1210">
      <c r="A1210" t="inlineStr">
        <is>
          <t>ORD-01222</t>
        </is>
      </c>
      <c r="B1210" s="2" t="n">
        <v>45202</v>
      </c>
      <c r="C1210" s="2" t="n">
        <v>45206</v>
      </c>
      <c r="D1210" t="inlineStr">
        <is>
          <t>CUST-01222</t>
        </is>
      </c>
      <c r="E1210" t="inlineStr">
        <is>
          <t>Customer 1222</t>
        </is>
      </c>
      <c r="F1210" t="inlineStr">
        <is>
          <t>Consumer</t>
        </is>
      </c>
      <c r="G1210" t="inlineStr">
        <is>
          <t>P1014</t>
        </is>
      </c>
      <c r="H1210" t="inlineStr">
        <is>
          <t>SmartInk Pen Set</t>
        </is>
      </c>
      <c r="I1210" t="inlineStr">
        <is>
          <t>Office Supplies</t>
        </is>
      </c>
      <c r="J1210" t="inlineStr">
        <is>
          <t>Accessories</t>
        </is>
      </c>
      <c r="K1210" t="inlineStr">
        <is>
          <t>West</t>
        </is>
      </c>
      <c r="L1210" t="inlineStr">
        <is>
          <t>Colorado</t>
        </is>
      </c>
      <c r="M1210" t="inlineStr">
        <is>
          <t>San Francisco</t>
        </is>
      </c>
      <c r="N1210" t="inlineStr">
        <is>
          <t>Liam Chen</t>
        </is>
      </c>
      <c r="O1210" t="n">
        <v>4</v>
      </c>
      <c r="P1210" s="3" t="n">
        <v>45.31</v>
      </c>
      <c r="Q1210" s="4" t="n">
        <v>0.031</v>
      </c>
      <c r="R1210" s="3" t="n">
        <v>175.62</v>
      </c>
      <c r="S1210" s="3" t="n">
        <v>75.94</v>
      </c>
      <c r="T1210" s="3" t="n">
        <v>89.48</v>
      </c>
      <c r="U1210" s="4" t="n">
        <v>0.5095</v>
      </c>
      <c r="V1210" s="3" t="n">
        <v>10.2</v>
      </c>
      <c r="W1210" t="inlineStr">
        <is>
          <t>Credit Card</t>
        </is>
      </c>
      <c r="X1210" t="inlineStr">
        <is>
          <t>Critical</t>
        </is>
      </c>
      <c r="Y1210" t="n">
        <v>2023</v>
      </c>
      <c r="Z1210" t="n">
        <v>10</v>
      </c>
      <c r="AA1210" t="inlineStr">
        <is>
          <t>Oct</t>
        </is>
      </c>
      <c r="AB1210" t="inlineStr">
        <is>
          <t>Tuesday</t>
        </is>
      </c>
      <c r="AC1210" t="n">
        <v>4</v>
      </c>
      <c r="AD1210" t="inlineStr">
        <is>
          <t>Profitable</t>
        </is>
      </c>
      <c r="AE1210" t="inlineStr">
        <is>
          <t>Medium</t>
        </is>
      </c>
      <c r="AF1210" t="inlineStr">
        <is>
          <t>Small</t>
        </is>
      </c>
    </row>
    <row r="1211">
      <c r="A1211" t="inlineStr">
        <is>
          <t>ORD-01223</t>
        </is>
      </c>
      <c r="B1211" s="2" t="n">
        <v>45406</v>
      </c>
      <c r="C1211" s="2" t="n">
        <v>45411</v>
      </c>
      <c r="D1211" t="inlineStr">
        <is>
          <t>CUST-01223</t>
        </is>
      </c>
      <c r="E1211" t="inlineStr">
        <is>
          <t>Customer 1223</t>
        </is>
      </c>
      <c r="F1211" t="inlineStr">
        <is>
          <t>Consumer</t>
        </is>
      </c>
      <c r="G1211" t="inlineStr">
        <is>
          <t>P1017</t>
        </is>
      </c>
      <c r="H1211" t="inlineStr">
        <is>
          <t>SmartInk Pen Set</t>
        </is>
      </c>
      <c r="I1211" t="inlineStr">
        <is>
          <t>Technology</t>
        </is>
      </c>
      <c r="J1211" t="inlineStr">
        <is>
          <t>Desks</t>
        </is>
      </c>
      <c r="K1211" t="inlineStr">
        <is>
          <t>Central</t>
        </is>
      </c>
      <c r="L1211" t="inlineStr">
        <is>
          <t>Minnesota</t>
        </is>
      </c>
      <c r="M1211" t="inlineStr">
        <is>
          <t>Chicago</t>
        </is>
      </c>
      <c r="N1211" t="inlineStr">
        <is>
          <t>Ethan Brooks</t>
        </is>
      </c>
      <c r="O1211" t="n">
        <v>1</v>
      </c>
      <c r="P1211" s="3" t="n">
        <v>572.46</v>
      </c>
      <c r="Q1211" s="4" t="n">
        <v>0.039</v>
      </c>
      <c r="R1211" s="3" t="n">
        <v>550.13</v>
      </c>
      <c r="S1211" s="3" t="n">
        <v>369.11</v>
      </c>
      <c r="T1211" s="3" t="n">
        <v>174.22</v>
      </c>
      <c r="U1211" s="4" t="n">
        <v>0.3167</v>
      </c>
      <c r="V1211" s="3" t="n">
        <v>6.8</v>
      </c>
      <c r="W1211" t="inlineStr">
        <is>
          <t>Credit Card</t>
        </is>
      </c>
      <c r="X1211" t="inlineStr">
        <is>
          <t>High</t>
        </is>
      </c>
      <c r="Y1211" t="n">
        <v>2024</v>
      </c>
      <c r="Z1211" t="n">
        <v>4</v>
      </c>
      <c r="AA1211" t="inlineStr">
        <is>
          <t>Apr</t>
        </is>
      </c>
      <c r="AB1211" t="inlineStr">
        <is>
          <t>Wednesday</t>
        </is>
      </c>
      <c r="AC1211" t="n">
        <v>5</v>
      </c>
      <c r="AD1211" t="inlineStr">
        <is>
          <t>Profitable</t>
        </is>
      </c>
      <c r="AE1211" t="inlineStr">
        <is>
          <t>Medium</t>
        </is>
      </c>
      <c r="AF1211" t="inlineStr">
        <is>
          <t>Medium</t>
        </is>
      </c>
    </row>
    <row r="1212">
      <c r="A1212" t="inlineStr">
        <is>
          <t>ORD-01224</t>
        </is>
      </c>
      <c r="B1212" s="2" t="n">
        <v>45832</v>
      </c>
      <c r="C1212" s="2" t="n">
        <v>45834</v>
      </c>
      <c r="D1212" t="inlineStr">
        <is>
          <t>CUST-01224</t>
        </is>
      </c>
      <c r="E1212" t="inlineStr">
        <is>
          <t>Customer 1224</t>
        </is>
      </c>
      <c r="F1212" t="inlineStr">
        <is>
          <t>Corporate</t>
        </is>
      </c>
      <c r="G1212" t="inlineStr">
        <is>
          <t>P1020</t>
        </is>
      </c>
      <c r="H1212" t="inlineStr">
        <is>
          <t>Aero Standing Desk</t>
        </is>
      </c>
      <c r="I1212" t="inlineStr">
        <is>
          <t>Furniture</t>
        </is>
      </c>
      <c r="J1212" t="inlineStr">
        <is>
          <t>Video</t>
        </is>
      </c>
      <c r="K1212" t="inlineStr">
        <is>
          <t>South</t>
        </is>
      </c>
      <c r="L1212" t="inlineStr">
        <is>
          <t>Texas</t>
        </is>
      </c>
      <c r="M1212" t="inlineStr">
        <is>
          <t>Dallas</t>
        </is>
      </c>
      <c r="N1212" t="inlineStr">
        <is>
          <t>James Carter</t>
        </is>
      </c>
      <c r="O1212" t="n">
        <v>2</v>
      </c>
      <c r="P1212" s="3" t="n">
        <v>72.08</v>
      </c>
      <c r="Q1212" s="4" t="n">
        <v>0.06899999999999999</v>
      </c>
      <c r="R1212" s="3" t="n">
        <v>134.21</v>
      </c>
      <c r="S1212" s="3" t="n">
        <v>65.75</v>
      </c>
      <c r="T1212" s="3" t="n">
        <v>60.86</v>
      </c>
      <c r="U1212" s="4" t="n">
        <v>0.4535</v>
      </c>
      <c r="V1212" s="3" t="n">
        <v>7.6</v>
      </c>
      <c r="W1212" t="inlineStr">
        <is>
          <t>Credit Card</t>
        </is>
      </c>
      <c r="X1212" t="inlineStr">
        <is>
          <t>Critical</t>
        </is>
      </c>
      <c r="Y1212" t="n">
        <v>2025</v>
      </c>
      <c r="Z1212" t="n">
        <v>6</v>
      </c>
      <c r="AA1212" t="inlineStr">
        <is>
          <t>Jun</t>
        </is>
      </c>
      <c r="AB1212" t="inlineStr">
        <is>
          <t>Tuesday</t>
        </is>
      </c>
      <c r="AC1212" t="n">
        <v>2</v>
      </c>
      <c r="AD1212" t="inlineStr">
        <is>
          <t>Profitable</t>
        </is>
      </c>
      <c r="AE1212" t="inlineStr">
        <is>
          <t>High</t>
        </is>
      </c>
      <c r="AF1212" t="inlineStr">
        <is>
          <t>Small</t>
        </is>
      </c>
    </row>
    <row r="1213">
      <c r="A1213" t="inlineStr">
        <is>
          <t>ORD-01225</t>
        </is>
      </c>
      <c r="B1213" s="2" t="n">
        <v>45605</v>
      </c>
      <c r="C1213" s="2" t="n">
        <v>45608</v>
      </c>
      <c r="D1213" t="inlineStr">
        <is>
          <t>CUST-01225</t>
        </is>
      </c>
      <c r="E1213" t="inlineStr">
        <is>
          <t>Customer 1225</t>
        </is>
      </c>
      <c r="F1213" t="inlineStr">
        <is>
          <t>Corporate</t>
        </is>
      </c>
      <c r="G1213" t="inlineStr">
        <is>
          <t>P1015</t>
        </is>
      </c>
      <c r="H1213" t="inlineStr">
        <is>
          <t>CloudDrive File Box</t>
        </is>
      </c>
      <c r="I1213" t="inlineStr">
        <is>
          <t>Technology</t>
        </is>
      </c>
      <c r="J1213" t="inlineStr">
        <is>
          <t>Lighting</t>
        </is>
      </c>
      <c r="K1213" t="inlineStr">
        <is>
          <t>South</t>
        </is>
      </c>
      <c r="L1213" t="inlineStr">
        <is>
          <t>Florida</t>
        </is>
      </c>
      <c r="M1213" t="inlineStr">
        <is>
          <t>Dallas</t>
        </is>
      </c>
      <c r="N1213" t="inlineStr">
        <is>
          <t>Olivia Martin</t>
        </is>
      </c>
      <c r="O1213" t="n">
        <v>2</v>
      </c>
      <c r="P1213" s="3" t="n">
        <v>72.27</v>
      </c>
      <c r="Q1213" s="4" t="n">
        <v>0.031</v>
      </c>
      <c r="R1213" s="3" t="n">
        <v>140.06</v>
      </c>
      <c r="S1213" s="3" t="n">
        <v>70.64</v>
      </c>
      <c r="T1213" s="3" t="n">
        <v>61.82</v>
      </c>
      <c r="U1213" s="4" t="n">
        <v>0.4414</v>
      </c>
      <c r="V1213" s="3" t="n">
        <v>7.6</v>
      </c>
      <c r="W1213" t="inlineStr">
        <is>
          <t>Credit Card</t>
        </is>
      </c>
      <c r="X1213" t="inlineStr">
        <is>
          <t>Medium</t>
        </is>
      </c>
      <c r="Y1213" t="n">
        <v>2024</v>
      </c>
      <c r="Z1213" t="n">
        <v>11</v>
      </c>
      <c r="AA1213" t="inlineStr">
        <is>
          <t>Nov</t>
        </is>
      </c>
      <c r="AB1213" t="inlineStr">
        <is>
          <t>Saturday</t>
        </is>
      </c>
      <c r="AC1213" t="n">
        <v>3</v>
      </c>
      <c r="AD1213" t="inlineStr">
        <is>
          <t>Profitable</t>
        </is>
      </c>
      <c r="AE1213" t="inlineStr">
        <is>
          <t>Medium</t>
        </is>
      </c>
      <c r="AF1213" t="inlineStr">
        <is>
          <t>Small</t>
        </is>
      </c>
    </row>
    <row r="1214">
      <c r="A1214" t="inlineStr">
        <is>
          <t>ORD-01226</t>
        </is>
      </c>
      <c r="B1214" s="2" t="n">
        <v>45589</v>
      </c>
      <c r="C1214" s="2" t="n">
        <v>45592</v>
      </c>
      <c r="D1214" t="inlineStr">
        <is>
          <t>CUST-01226</t>
        </is>
      </c>
      <c r="E1214" t="inlineStr">
        <is>
          <t>Customer 1226</t>
        </is>
      </c>
      <c r="F1214" t="inlineStr">
        <is>
          <t>Consumer</t>
        </is>
      </c>
      <c r="G1214" t="inlineStr">
        <is>
          <t>P1015</t>
        </is>
      </c>
      <c r="H1214" t="inlineStr">
        <is>
          <t>Northstar Lantern</t>
        </is>
      </c>
      <c r="I1214" t="inlineStr">
        <is>
          <t>Home Decor</t>
        </is>
      </c>
      <c r="J1214" t="inlineStr">
        <is>
          <t>Chairs</t>
        </is>
      </c>
      <c r="K1214" t="inlineStr">
        <is>
          <t>Central</t>
        </is>
      </c>
      <c r="L1214" t="inlineStr">
        <is>
          <t>Kansas</t>
        </is>
      </c>
      <c r="M1214" t="inlineStr">
        <is>
          <t>Minneapolis</t>
        </is>
      </c>
      <c r="N1214" t="inlineStr">
        <is>
          <t>Ethan Brooks</t>
        </is>
      </c>
      <c r="O1214" t="n">
        <v>5</v>
      </c>
      <c r="P1214" s="3" t="n">
        <v>69.3</v>
      </c>
      <c r="Q1214" s="4" t="n">
        <v>0.018</v>
      </c>
      <c r="R1214" s="3" t="n">
        <v>340.26</v>
      </c>
      <c r="S1214" s="3" t="n">
        <v>150.77</v>
      </c>
      <c r="T1214" s="3" t="n">
        <v>179.49</v>
      </c>
      <c r="U1214" s="4" t="n">
        <v>0.5275</v>
      </c>
      <c r="V1214" s="3" t="n">
        <v>10</v>
      </c>
      <c r="W1214" t="inlineStr">
        <is>
          <t>Cash on Delivery</t>
        </is>
      </c>
      <c r="X1214" t="inlineStr">
        <is>
          <t>Medium</t>
        </is>
      </c>
      <c r="Y1214" t="n">
        <v>2024</v>
      </c>
      <c r="Z1214" t="n">
        <v>10</v>
      </c>
      <c r="AA1214" t="inlineStr">
        <is>
          <t>Oct</t>
        </is>
      </c>
      <c r="AB1214" t="inlineStr">
        <is>
          <t>Thursday</t>
        </is>
      </c>
      <c r="AC1214" t="n">
        <v>3</v>
      </c>
      <c r="AD1214" t="inlineStr">
        <is>
          <t>Profitable</t>
        </is>
      </c>
      <c r="AE1214" t="inlineStr">
        <is>
          <t>Low</t>
        </is>
      </c>
      <c r="AF1214" t="inlineStr">
        <is>
          <t>Small</t>
        </is>
      </c>
    </row>
    <row r="1215">
      <c r="A1215" t="inlineStr">
        <is>
          <t>ORD-01227</t>
        </is>
      </c>
      <c r="B1215" s="2" t="n">
        <v>45446</v>
      </c>
      <c r="C1215" s="2" t="n">
        <v>45448</v>
      </c>
      <c r="D1215" t="inlineStr">
        <is>
          <t>CUST-01227</t>
        </is>
      </c>
      <c r="E1215" t="inlineStr">
        <is>
          <t>Customer 1227</t>
        </is>
      </c>
      <c r="F1215" t="inlineStr">
        <is>
          <t>Corporate</t>
        </is>
      </c>
      <c r="G1215" t="inlineStr">
        <is>
          <t>P1012</t>
        </is>
      </c>
      <c r="H1215" t="inlineStr">
        <is>
          <t>Echo Web Camera</t>
        </is>
      </c>
      <c r="I1215" t="inlineStr">
        <is>
          <t>Outdoor</t>
        </is>
      </c>
      <c r="J1215" t="inlineStr">
        <is>
          <t>Decor</t>
        </is>
      </c>
      <c r="K1215" t="inlineStr">
        <is>
          <t>South</t>
        </is>
      </c>
      <c r="L1215" t="inlineStr">
        <is>
          <t>Texas</t>
        </is>
      </c>
      <c r="M1215" t="inlineStr">
        <is>
          <t>Dallas</t>
        </is>
      </c>
      <c r="N1215" t="inlineStr">
        <is>
          <t>Liam Chen</t>
        </is>
      </c>
      <c r="O1215" t="n">
        <v>2</v>
      </c>
      <c r="P1215" s="3" t="n">
        <v>134.02</v>
      </c>
      <c r="Q1215" s="4" t="n">
        <v>0.032</v>
      </c>
      <c r="R1215" s="3" t="n">
        <v>259.46</v>
      </c>
      <c r="S1215" s="3" t="n">
        <v>135</v>
      </c>
      <c r="T1215" s="3" t="n">
        <v>116.86</v>
      </c>
      <c r="U1215" s="4" t="n">
        <v>0.4504</v>
      </c>
      <c r="V1215" s="3" t="n">
        <v>7.6</v>
      </c>
      <c r="W1215" t="inlineStr">
        <is>
          <t>Credit Card</t>
        </is>
      </c>
      <c r="X1215" t="inlineStr">
        <is>
          <t>Critical</t>
        </is>
      </c>
      <c r="Y1215" t="n">
        <v>2024</v>
      </c>
      <c r="Z1215" t="n">
        <v>6</v>
      </c>
      <c r="AA1215" t="inlineStr">
        <is>
          <t>Jun</t>
        </is>
      </c>
      <c r="AB1215" t="inlineStr">
        <is>
          <t>Monday</t>
        </is>
      </c>
      <c r="AC1215" t="n">
        <v>2</v>
      </c>
      <c r="AD1215" t="inlineStr">
        <is>
          <t>Profitable</t>
        </is>
      </c>
      <c r="AE1215" t="inlineStr">
        <is>
          <t>Medium</t>
        </is>
      </c>
      <c r="AF1215" t="inlineStr">
        <is>
          <t>Small</t>
        </is>
      </c>
    </row>
    <row r="1216">
      <c r="A1216" t="inlineStr">
        <is>
          <t>ORD-01228</t>
        </is>
      </c>
      <c r="B1216" s="2" t="n">
        <v>45022</v>
      </c>
      <c r="C1216" s="2" t="n">
        <v>45029</v>
      </c>
      <c r="D1216" t="inlineStr">
        <is>
          <t>CUST-01228</t>
        </is>
      </c>
      <c r="E1216" t="inlineStr">
        <is>
          <t>Customer 1228</t>
        </is>
      </c>
      <c r="F1216" t="inlineStr">
        <is>
          <t>Corporate</t>
        </is>
      </c>
      <c r="G1216" t="inlineStr">
        <is>
          <t>P1009</t>
        </is>
      </c>
      <c r="H1216" t="inlineStr">
        <is>
          <t>Orbit Wireless Mouse</t>
        </is>
      </c>
      <c r="I1216" t="inlineStr">
        <is>
          <t>Outdoor</t>
        </is>
      </c>
      <c r="J1216" t="inlineStr">
        <is>
          <t>Peripherals</t>
        </is>
      </c>
      <c r="K1216" t="inlineStr">
        <is>
          <t>South</t>
        </is>
      </c>
      <c r="L1216" t="inlineStr">
        <is>
          <t>Florida</t>
        </is>
      </c>
      <c r="M1216" t="inlineStr">
        <is>
          <t>Houston</t>
        </is>
      </c>
      <c r="N1216" t="inlineStr">
        <is>
          <t>Ethan Brooks</t>
        </is>
      </c>
      <c r="O1216" t="n">
        <v>2</v>
      </c>
      <c r="P1216" s="3" t="n">
        <v>88.28</v>
      </c>
      <c r="Q1216" s="4" t="n">
        <v>0.038</v>
      </c>
      <c r="R1216" s="3" t="n">
        <v>169.85</v>
      </c>
      <c r="S1216" s="3" t="n">
        <v>84.37</v>
      </c>
      <c r="T1216" s="3" t="n">
        <v>77.88</v>
      </c>
      <c r="U1216" s="4" t="n">
        <v>0.4585</v>
      </c>
      <c r="V1216" s="3" t="n">
        <v>7.6</v>
      </c>
      <c r="W1216" t="inlineStr">
        <is>
          <t>PayPal</t>
        </is>
      </c>
      <c r="X1216" t="inlineStr">
        <is>
          <t>High</t>
        </is>
      </c>
      <c r="Y1216" t="n">
        <v>2023</v>
      </c>
      <c r="Z1216" t="n">
        <v>4</v>
      </c>
      <c r="AA1216" t="inlineStr">
        <is>
          <t>Apr</t>
        </is>
      </c>
      <c r="AB1216" t="inlineStr">
        <is>
          <t>Thursday</t>
        </is>
      </c>
      <c r="AC1216" t="n">
        <v>7</v>
      </c>
      <c r="AD1216" t="inlineStr">
        <is>
          <t>Profitable</t>
        </is>
      </c>
      <c r="AE1216" t="inlineStr">
        <is>
          <t>Medium</t>
        </is>
      </c>
      <c r="AF1216" t="inlineStr">
        <is>
          <t>Small</t>
        </is>
      </c>
    </row>
    <row r="1217">
      <c r="A1217" t="inlineStr">
        <is>
          <t>ORD-01230</t>
        </is>
      </c>
      <c r="B1217" s="2" t="n">
        <v>45429</v>
      </c>
      <c r="C1217" s="2" t="n">
        <v>45434</v>
      </c>
      <c r="D1217" t="inlineStr">
        <is>
          <t>CUST-01230</t>
        </is>
      </c>
      <c r="E1217" t="inlineStr">
        <is>
          <t>Customer 1230</t>
        </is>
      </c>
      <c r="F1217" t="inlineStr">
        <is>
          <t>Corporate</t>
        </is>
      </c>
      <c r="G1217" t="inlineStr">
        <is>
          <t>P1019</t>
        </is>
      </c>
      <c r="H1217" t="inlineStr">
        <is>
          <t>Echo Web Camera</t>
        </is>
      </c>
      <c r="I1217" t="inlineStr">
        <is>
          <t>Technology</t>
        </is>
      </c>
      <c r="J1217" t="inlineStr">
        <is>
          <t>Desks</t>
        </is>
      </c>
      <c r="K1217" t="inlineStr">
        <is>
          <t>South</t>
        </is>
      </c>
      <c r="L1217" t="inlineStr">
        <is>
          <t>Florida</t>
        </is>
      </c>
      <c r="M1217" t="inlineStr">
        <is>
          <t>Houston</t>
        </is>
      </c>
      <c r="N1217" t="inlineStr">
        <is>
          <t>Mia Rodriguez</t>
        </is>
      </c>
      <c r="O1217" t="n">
        <v>2</v>
      </c>
      <c r="P1217" s="3" t="n">
        <v>55.48</v>
      </c>
      <c r="Q1217" s="4" t="n">
        <v>0.016</v>
      </c>
      <c r="R1217" s="3" t="n">
        <v>109.18</v>
      </c>
      <c r="S1217" s="3" t="n">
        <v>54.33</v>
      </c>
      <c r="T1217" s="3" t="n">
        <v>47.25</v>
      </c>
      <c r="U1217" s="4" t="n">
        <v>0.4328</v>
      </c>
      <c r="V1217" s="3" t="n">
        <v>7.6</v>
      </c>
      <c r="W1217" t="inlineStr">
        <is>
          <t>Credit Card</t>
        </is>
      </c>
      <c r="X1217" t="inlineStr">
        <is>
          <t>Medium</t>
        </is>
      </c>
      <c r="Y1217" t="n">
        <v>2024</v>
      </c>
      <c r="Z1217" t="n">
        <v>5</v>
      </c>
      <c r="AA1217" t="inlineStr">
        <is>
          <t>May</t>
        </is>
      </c>
      <c r="AB1217" t="inlineStr">
        <is>
          <t>Friday</t>
        </is>
      </c>
      <c r="AC1217" t="n">
        <v>5</v>
      </c>
      <c r="AD1217" t="inlineStr">
        <is>
          <t>Profitable</t>
        </is>
      </c>
      <c r="AE1217" t="inlineStr">
        <is>
          <t>Low</t>
        </is>
      </c>
      <c r="AF1217" t="inlineStr">
        <is>
          <t>Small</t>
        </is>
      </c>
    </row>
    <row r="1218">
      <c r="A1218" t="inlineStr">
        <is>
          <t>ORD-01231</t>
        </is>
      </c>
      <c r="B1218" s="2" t="n">
        <v>45719</v>
      </c>
      <c r="C1218" s="2" t="n">
        <v>45723</v>
      </c>
      <c r="D1218" t="inlineStr">
        <is>
          <t>CUST-01231</t>
        </is>
      </c>
      <c r="E1218" t="inlineStr">
        <is>
          <t>Customer 1231</t>
        </is>
      </c>
      <c r="F1218" t="inlineStr">
        <is>
          <t>Corporate</t>
        </is>
      </c>
      <c r="G1218" t="inlineStr">
        <is>
          <t>P1012</t>
        </is>
      </c>
      <c r="H1218" t="inlineStr">
        <is>
          <t>Trail Tote</t>
        </is>
      </c>
      <c r="I1218" t="inlineStr">
        <is>
          <t>Home Decor</t>
        </is>
      </c>
      <c r="J1218" t="inlineStr">
        <is>
          <t>Peripherals</t>
        </is>
      </c>
      <c r="K1218" t="inlineStr">
        <is>
          <t>North</t>
        </is>
      </c>
      <c r="L1218" t="inlineStr">
        <is>
          <t>Quebec</t>
        </is>
      </c>
      <c r="M1218" t="inlineStr">
        <is>
          <t>Vancouver</t>
        </is>
      </c>
      <c r="N1218" t="inlineStr">
        <is>
          <t>Ethan Brooks</t>
        </is>
      </c>
      <c r="O1218" t="n">
        <v>3</v>
      </c>
      <c r="P1218" s="3" t="n">
        <v>131.36</v>
      </c>
      <c r="Q1218" s="4" t="n">
        <v>0.02</v>
      </c>
      <c r="R1218" s="3" t="n">
        <v>386.2</v>
      </c>
      <c r="S1218" s="3" t="n">
        <v>201.1</v>
      </c>
      <c r="T1218" s="3" t="n">
        <v>176.7</v>
      </c>
      <c r="U1218" s="4" t="n">
        <v>0.4575</v>
      </c>
      <c r="V1218" s="3" t="n">
        <v>8.4</v>
      </c>
      <c r="W1218" t="inlineStr">
        <is>
          <t>Credit Card</t>
        </is>
      </c>
      <c r="X1218" t="inlineStr">
        <is>
          <t>Medium</t>
        </is>
      </c>
      <c r="Y1218" t="n">
        <v>2025</v>
      </c>
      <c r="Z1218" t="n">
        <v>3</v>
      </c>
      <c r="AA1218" t="inlineStr">
        <is>
          <t>Mar</t>
        </is>
      </c>
      <c r="AB1218" t="inlineStr">
        <is>
          <t>Monday</t>
        </is>
      </c>
      <c r="AC1218" t="n">
        <v>4</v>
      </c>
      <c r="AD1218" t="inlineStr">
        <is>
          <t>Profitable</t>
        </is>
      </c>
      <c r="AE1218" t="inlineStr">
        <is>
          <t>Medium</t>
        </is>
      </c>
      <c r="AF1218" t="inlineStr">
        <is>
          <t>Small</t>
        </is>
      </c>
    </row>
    <row r="1219">
      <c r="A1219" t="inlineStr">
        <is>
          <t>ORD-01232</t>
        </is>
      </c>
      <c r="B1219" s="2" t="n">
        <v>45201</v>
      </c>
      <c r="C1219" s="2" t="n">
        <v>45205</v>
      </c>
      <c r="D1219" t="inlineStr">
        <is>
          <t>CUST-01232</t>
        </is>
      </c>
      <c r="E1219" t="inlineStr">
        <is>
          <t>Customer 1232</t>
        </is>
      </c>
      <c r="F1219" t="inlineStr">
        <is>
          <t>Consumer</t>
        </is>
      </c>
      <c r="G1219" t="inlineStr">
        <is>
          <t>P1011</t>
        </is>
      </c>
      <c r="H1219" t="inlineStr">
        <is>
          <t>Aero Standing Desk</t>
        </is>
      </c>
      <c r="I1219" t="inlineStr">
        <is>
          <t>Furniture</t>
        </is>
      </c>
      <c r="J1219" t="inlineStr">
        <is>
          <t>Accessories</t>
        </is>
      </c>
      <c r="K1219" t="inlineStr">
        <is>
          <t>South</t>
        </is>
      </c>
      <c r="L1219" t="inlineStr">
        <is>
          <t>Texas</t>
        </is>
      </c>
      <c r="M1219" t="inlineStr">
        <is>
          <t>Dallas</t>
        </is>
      </c>
      <c r="N1219" t="inlineStr">
        <is>
          <t>James Carter</t>
        </is>
      </c>
      <c r="O1219" t="n">
        <v>3</v>
      </c>
      <c r="P1219" s="3" t="n">
        <v>94.28</v>
      </c>
      <c r="Q1219" s="4" t="n">
        <v>0.026</v>
      </c>
      <c r="R1219" s="3" t="n">
        <v>275.49</v>
      </c>
      <c r="S1219" s="3" t="n">
        <v>137.32</v>
      </c>
      <c r="T1219" s="3" t="n">
        <v>129.77</v>
      </c>
      <c r="U1219" s="4" t="n">
        <v>0.4711</v>
      </c>
      <c r="V1219" s="3" t="n">
        <v>8.4</v>
      </c>
      <c r="W1219" t="inlineStr">
        <is>
          <t>Cash on Delivery</t>
        </is>
      </c>
      <c r="X1219" t="inlineStr">
        <is>
          <t>Medium</t>
        </is>
      </c>
      <c r="Y1219" t="n">
        <v>2023</v>
      </c>
      <c r="Z1219" t="n">
        <v>10</v>
      </c>
      <c r="AA1219" t="inlineStr">
        <is>
          <t>Oct</t>
        </is>
      </c>
      <c r="AB1219" t="inlineStr">
        <is>
          <t>Monday</t>
        </is>
      </c>
      <c r="AC1219" t="n">
        <v>4</v>
      </c>
      <c r="AD1219" t="inlineStr">
        <is>
          <t>Profitable</t>
        </is>
      </c>
      <c r="AE1219" t="inlineStr">
        <is>
          <t>Medium</t>
        </is>
      </c>
      <c r="AF1219" t="inlineStr">
        <is>
          <t>Small</t>
        </is>
      </c>
    </row>
    <row r="1220">
      <c r="A1220" t="inlineStr">
        <is>
          <t>ORD-01233</t>
        </is>
      </c>
      <c r="B1220" s="2" t="n">
        <v>45028</v>
      </c>
      <c r="C1220" s="2" t="n">
        <v>45034</v>
      </c>
      <c r="D1220" t="inlineStr">
        <is>
          <t>CUST-01233</t>
        </is>
      </c>
      <c r="E1220" t="inlineStr">
        <is>
          <t>Customer 1233</t>
        </is>
      </c>
      <c r="F1220" t="inlineStr">
        <is>
          <t>Consumer</t>
        </is>
      </c>
      <c r="G1220" t="inlineStr">
        <is>
          <t>P1006</t>
        </is>
      </c>
      <c r="H1220" t="inlineStr">
        <is>
          <t>Northstar Lantern</t>
        </is>
      </c>
      <c r="I1220" t="inlineStr">
        <is>
          <t>Home Decor</t>
        </is>
      </c>
      <c r="J1220" t="inlineStr">
        <is>
          <t>Textiles</t>
        </is>
      </c>
      <c r="K1220" t="inlineStr">
        <is>
          <t>North</t>
        </is>
      </c>
      <c r="L1220" t="inlineStr">
        <is>
          <t>Ontario</t>
        </is>
      </c>
      <c r="M1220" t="inlineStr">
        <is>
          <t>Calgary</t>
        </is>
      </c>
      <c r="N1220" t="inlineStr">
        <is>
          <t>Liam Chen</t>
        </is>
      </c>
      <c r="O1220" t="n">
        <v>4</v>
      </c>
      <c r="P1220" s="3" t="n">
        <v>17.73</v>
      </c>
      <c r="Q1220" s="4" t="n">
        <v>0.008999999999999999</v>
      </c>
      <c r="R1220" s="3" t="n">
        <v>70.28</v>
      </c>
      <c r="S1220" s="3" t="n">
        <v>27.52</v>
      </c>
      <c r="T1220" s="3" t="n">
        <v>33.56</v>
      </c>
      <c r="U1220" s="4" t="n">
        <v>0.4775</v>
      </c>
      <c r="V1220" s="3" t="n">
        <v>9.199999999999999</v>
      </c>
      <c r="W1220" t="inlineStr">
        <is>
          <t>Bank Transfer</t>
        </is>
      </c>
      <c r="X1220" t="inlineStr">
        <is>
          <t>Medium</t>
        </is>
      </c>
      <c r="Y1220" t="n">
        <v>2023</v>
      </c>
      <c r="Z1220" t="n">
        <v>4</v>
      </c>
      <c r="AA1220" t="inlineStr">
        <is>
          <t>Apr</t>
        </is>
      </c>
      <c r="AB1220" t="inlineStr">
        <is>
          <t>Wednesday</t>
        </is>
      </c>
      <c r="AC1220" t="n">
        <v>6</v>
      </c>
      <c r="AD1220" t="inlineStr">
        <is>
          <t>Profitable</t>
        </is>
      </c>
      <c r="AE1220" t="inlineStr">
        <is>
          <t>Low</t>
        </is>
      </c>
      <c r="AF1220" t="inlineStr">
        <is>
          <t>Small</t>
        </is>
      </c>
    </row>
    <row r="1221">
      <c r="A1221" t="inlineStr">
        <is>
          <t>ORD-01234</t>
        </is>
      </c>
      <c r="B1221" s="2" t="n">
        <v>45131</v>
      </c>
      <c r="C1221" s="2" t="n">
        <v>45134</v>
      </c>
      <c r="D1221" t="inlineStr">
        <is>
          <t>CUST-01234</t>
        </is>
      </c>
      <c r="E1221" t="inlineStr">
        <is>
          <t>Customer 1234</t>
        </is>
      </c>
      <c r="F1221" t="inlineStr">
        <is>
          <t>Consumer</t>
        </is>
      </c>
      <c r="G1221" t="inlineStr">
        <is>
          <t>P1008</t>
        </is>
      </c>
      <c r="H1221" t="inlineStr">
        <is>
          <t>SmartInk Pen Set</t>
        </is>
      </c>
      <c r="I1221" t="inlineStr">
        <is>
          <t>Outdoor</t>
        </is>
      </c>
      <c r="J1221" t="inlineStr">
        <is>
          <t>Coolers</t>
        </is>
      </c>
      <c r="K1221" t="inlineStr">
        <is>
          <t>West</t>
        </is>
      </c>
      <c r="L1221" t="inlineStr">
        <is>
          <t>Colorado</t>
        </is>
      </c>
      <c r="M1221" t="inlineStr">
        <is>
          <t>San Francisco</t>
        </is>
      </c>
      <c r="N1221" t="inlineStr">
        <is>
          <t>Liam Chen</t>
        </is>
      </c>
      <c r="O1221" t="n">
        <v>3</v>
      </c>
      <c r="P1221" s="3" t="n">
        <v>36.53</v>
      </c>
      <c r="Q1221" s="4" t="n">
        <v>0.013</v>
      </c>
      <c r="R1221" s="3" t="n">
        <v>108.17</v>
      </c>
      <c r="S1221" s="3" t="n">
        <v>48.65</v>
      </c>
      <c r="T1221" s="3" t="n">
        <v>50.12</v>
      </c>
      <c r="U1221" s="4" t="n">
        <v>0.4633</v>
      </c>
      <c r="V1221" s="3" t="n">
        <v>9.4</v>
      </c>
      <c r="W1221" t="inlineStr">
        <is>
          <t>PayPal</t>
        </is>
      </c>
      <c r="X1221" t="inlineStr">
        <is>
          <t>Medium</t>
        </is>
      </c>
      <c r="Y1221" t="n">
        <v>2023</v>
      </c>
      <c r="Z1221" t="n">
        <v>7</v>
      </c>
      <c r="AA1221" t="inlineStr">
        <is>
          <t>Jul</t>
        </is>
      </c>
      <c r="AB1221" t="inlineStr">
        <is>
          <t>Monday</t>
        </is>
      </c>
      <c r="AC1221" t="n">
        <v>3</v>
      </c>
      <c r="AD1221" t="inlineStr">
        <is>
          <t>Profitable</t>
        </is>
      </c>
      <c r="AE1221" t="inlineStr">
        <is>
          <t>Low</t>
        </is>
      </c>
      <c r="AF1221" t="inlineStr">
        <is>
          <t>Small</t>
        </is>
      </c>
    </row>
    <row r="1222">
      <c r="A1222" t="inlineStr">
        <is>
          <t>ORD-01240</t>
        </is>
      </c>
      <c r="B1222" s="2" t="n">
        <v>45154</v>
      </c>
      <c r="C1222" s="2" t="n">
        <v>45159</v>
      </c>
      <c r="D1222" t="inlineStr">
        <is>
          <t>CUST-01240</t>
        </is>
      </c>
      <c r="E1222" t="inlineStr">
        <is>
          <t>Customer 1240</t>
        </is>
      </c>
      <c r="F1222" t="inlineStr">
        <is>
          <t>Consumer</t>
        </is>
      </c>
      <c r="G1222" t="inlineStr">
        <is>
          <t>P1009</t>
        </is>
      </c>
      <c r="H1222" t="inlineStr">
        <is>
          <t>Aero Standing Desk</t>
        </is>
      </c>
      <c r="I1222" t="inlineStr">
        <is>
          <t>Office Supplies</t>
        </is>
      </c>
      <c r="J1222" t="inlineStr">
        <is>
          <t>Paper</t>
        </is>
      </c>
      <c r="K1222" t="inlineStr">
        <is>
          <t>South</t>
        </is>
      </c>
      <c r="L1222" t="inlineStr">
        <is>
          <t>Georgia</t>
        </is>
      </c>
      <c r="M1222" t="inlineStr">
        <is>
          <t>Atlanta</t>
        </is>
      </c>
      <c r="N1222" t="inlineStr">
        <is>
          <t>Liam Chen</t>
        </is>
      </c>
      <c r="O1222" t="n">
        <v>4</v>
      </c>
      <c r="P1222" s="3" t="n">
        <v>90.56999999999999</v>
      </c>
      <c r="Q1222" s="4" t="n">
        <v>0.004</v>
      </c>
      <c r="R1222" s="3" t="n">
        <v>360.83</v>
      </c>
      <c r="S1222" s="3" t="n">
        <v>177.92</v>
      </c>
      <c r="T1222" s="3" t="n">
        <v>173.71</v>
      </c>
      <c r="U1222" s="4" t="n">
        <v>0.4814</v>
      </c>
      <c r="V1222" s="3" t="n">
        <v>9.199999999999999</v>
      </c>
      <c r="W1222" t="inlineStr">
        <is>
          <t>Credit Card</t>
        </is>
      </c>
      <c r="X1222" t="inlineStr">
        <is>
          <t>Low</t>
        </is>
      </c>
      <c r="Y1222" t="n">
        <v>2023</v>
      </c>
      <c r="Z1222" t="n">
        <v>8</v>
      </c>
      <c r="AA1222" t="inlineStr">
        <is>
          <t>Aug</t>
        </is>
      </c>
      <c r="AB1222" t="inlineStr">
        <is>
          <t>Wednesday</t>
        </is>
      </c>
      <c r="AC1222" t="n">
        <v>5</v>
      </c>
      <c r="AD1222" t="inlineStr">
        <is>
          <t>Profitable</t>
        </is>
      </c>
      <c r="AE1222" t="inlineStr">
        <is>
          <t>Low</t>
        </is>
      </c>
      <c r="AF1222" t="inlineStr">
        <is>
          <t>Small</t>
        </is>
      </c>
    </row>
    <row r="1223">
      <c r="A1223" t="inlineStr">
        <is>
          <t>ORD-01241</t>
        </is>
      </c>
      <c r="B1223" s="2" t="n">
        <v>45893</v>
      </c>
      <c r="C1223" s="2" t="n">
        <v>45896</v>
      </c>
      <c r="D1223" t="inlineStr">
        <is>
          <t>CUST-01241</t>
        </is>
      </c>
      <c r="E1223" t="inlineStr">
        <is>
          <t>Customer 1241</t>
        </is>
      </c>
      <c r="F1223" t="inlineStr">
        <is>
          <t>Corporate</t>
        </is>
      </c>
      <c r="G1223" t="inlineStr">
        <is>
          <t>P1006</t>
        </is>
      </c>
      <c r="H1223" t="inlineStr">
        <is>
          <t>Aero Standing Desk</t>
        </is>
      </c>
      <c r="I1223" t="inlineStr">
        <is>
          <t>Office Supplies</t>
        </is>
      </c>
      <c r="J1223" t="inlineStr">
        <is>
          <t>Storage</t>
        </is>
      </c>
      <c r="K1223" t="inlineStr">
        <is>
          <t>North</t>
        </is>
      </c>
      <c r="L1223" t="inlineStr">
        <is>
          <t>Ontario</t>
        </is>
      </c>
      <c r="M1223" t="inlineStr">
        <is>
          <t>Toronto</t>
        </is>
      </c>
      <c r="N1223" t="inlineStr">
        <is>
          <t>Mia Rodriguez</t>
        </is>
      </c>
      <c r="O1223" t="n">
        <v>2</v>
      </c>
      <c r="P1223" s="3" t="n">
        <v>18.74</v>
      </c>
      <c r="Q1223" s="4" t="n">
        <v>0.06999999999999999</v>
      </c>
      <c r="R1223" s="3" t="n">
        <v>34.86</v>
      </c>
      <c r="S1223" s="3" t="n">
        <v>21.59</v>
      </c>
      <c r="T1223" s="3" t="n">
        <v>5.67</v>
      </c>
      <c r="U1223" s="4" t="n">
        <v>0.1627</v>
      </c>
      <c r="V1223" s="3" t="n">
        <v>7.6</v>
      </c>
      <c r="W1223" t="inlineStr">
        <is>
          <t>PayPal</t>
        </is>
      </c>
      <c r="X1223" t="inlineStr">
        <is>
          <t>High</t>
        </is>
      </c>
      <c r="Y1223" t="n">
        <v>2025</v>
      </c>
      <c r="Z1223" t="n">
        <v>8</v>
      </c>
      <c r="AA1223" t="inlineStr">
        <is>
          <t>Aug</t>
        </is>
      </c>
      <c r="AB1223" t="inlineStr">
        <is>
          <t>Sunday</t>
        </is>
      </c>
      <c r="AC1223" t="n">
        <v>3</v>
      </c>
      <c r="AD1223" t="inlineStr">
        <is>
          <t>Profitable</t>
        </is>
      </c>
      <c r="AE1223" t="inlineStr">
        <is>
          <t>High</t>
        </is>
      </c>
      <c r="AF1223" t="inlineStr">
        <is>
          <t>Small</t>
        </is>
      </c>
    </row>
    <row r="1224">
      <c r="A1224" t="inlineStr">
        <is>
          <t>ORD-01244</t>
        </is>
      </c>
      <c r="B1224" s="2" t="n">
        <v>45679</v>
      </c>
      <c r="C1224" s="2" t="n">
        <v>45683</v>
      </c>
      <c r="D1224" t="inlineStr">
        <is>
          <t>CUST-01244</t>
        </is>
      </c>
      <c r="E1224" t="inlineStr">
        <is>
          <t>Customer 1244</t>
        </is>
      </c>
      <c r="F1224" t="inlineStr">
        <is>
          <t>Consumer</t>
        </is>
      </c>
      <c r="G1224" t="inlineStr">
        <is>
          <t>P1003</t>
        </is>
      </c>
      <c r="H1224" t="inlineStr">
        <is>
          <t>Orbit Wireless Mouse</t>
        </is>
      </c>
      <c r="I1224" t="inlineStr">
        <is>
          <t>Outdoor</t>
        </is>
      </c>
      <c r="J1224" t="inlineStr">
        <is>
          <t>Coolers</t>
        </is>
      </c>
      <c r="K1224" t="inlineStr">
        <is>
          <t>North</t>
        </is>
      </c>
      <c r="L1224" t="inlineStr">
        <is>
          <t>Quebec</t>
        </is>
      </c>
      <c r="M1224" t="inlineStr">
        <is>
          <t>Calgary</t>
        </is>
      </c>
      <c r="N1224" t="inlineStr">
        <is>
          <t>James Carter</t>
        </is>
      </c>
      <c r="O1224" t="n">
        <v>1</v>
      </c>
      <c r="P1224" s="3" t="n">
        <v>153.35</v>
      </c>
      <c r="Q1224" s="4" t="n">
        <v>0.014</v>
      </c>
      <c r="R1224" s="3" t="n">
        <v>151.2</v>
      </c>
      <c r="S1224" s="3" t="n">
        <v>89.08</v>
      </c>
      <c r="T1224" s="3" t="n">
        <v>55.32</v>
      </c>
      <c r="U1224" s="4" t="n">
        <v>0.3659</v>
      </c>
      <c r="V1224" s="3" t="n">
        <v>6.8</v>
      </c>
      <c r="W1224" t="inlineStr">
        <is>
          <t>Credit Card</t>
        </is>
      </c>
      <c r="X1224" t="inlineStr">
        <is>
          <t>Medium</t>
        </is>
      </c>
      <c r="Y1224" t="n">
        <v>2025</v>
      </c>
      <c r="Z1224" t="n">
        <v>1</v>
      </c>
      <c r="AA1224" t="inlineStr">
        <is>
          <t>Jan</t>
        </is>
      </c>
      <c r="AB1224" t="inlineStr">
        <is>
          <t>Wednesday</t>
        </is>
      </c>
      <c r="AC1224" t="n">
        <v>4</v>
      </c>
      <c r="AD1224" t="inlineStr">
        <is>
          <t>Profitable</t>
        </is>
      </c>
      <c r="AE1224" t="inlineStr">
        <is>
          <t>Low</t>
        </is>
      </c>
      <c r="AF1224" t="inlineStr">
        <is>
          <t>Small</t>
        </is>
      </c>
    </row>
    <row r="1225">
      <c r="A1225" t="inlineStr">
        <is>
          <t>ORD-01245</t>
        </is>
      </c>
      <c r="B1225" s="2" t="n">
        <v>45861</v>
      </c>
      <c r="C1225" s="2" t="n">
        <v>45863</v>
      </c>
      <c r="D1225" t="inlineStr">
        <is>
          <t>CUST-01245</t>
        </is>
      </c>
      <c r="E1225" t="inlineStr">
        <is>
          <t>Customer 1245</t>
        </is>
      </c>
      <c r="F1225" t="inlineStr">
        <is>
          <t>Home Office</t>
        </is>
      </c>
      <c r="G1225" t="inlineStr">
        <is>
          <t>P1003</t>
        </is>
      </c>
      <c r="H1225" t="inlineStr">
        <is>
          <t>Aero Standing Desk</t>
        </is>
      </c>
      <c r="I1225" t="inlineStr">
        <is>
          <t>Office Supplies</t>
        </is>
      </c>
      <c r="J1225" t="inlineStr">
        <is>
          <t>Plants</t>
        </is>
      </c>
      <c r="K1225" t="inlineStr">
        <is>
          <t>Central</t>
        </is>
      </c>
      <c r="L1225" t="inlineStr">
        <is>
          <t>Minnesota</t>
        </is>
      </c>
      <c r="M1225" t="inlineStr">
        <is>
          <t>Kansas City</t>
        </is>
      </c>
      <c r="N1225" t="inlineStr">
        <is>
          <t>Ava Patel</t>
        </is>
      </c>
      <c r="O1225" t="n">
        <v>4</v>
      </c>
      <c r="P1225" s="3" t="n">
        <v>151.28</v>
      </c>
      <c r="Q1225" s="4" t="n">
        <v>0.01</v>
      </c>
      <c r="R1225" s="3" t="n">
        <v>599.0700000000001</v>
      </c>
      <c r="S1225" s="3" t="n">
        <v>315.25</v>
      </c>
      <c r="T1225" s="3" t="n">
        <v>274.62</v>
      </c>
      <c r="U1225" s="4" t="n">
        <v>0.4584</v>
      </c>
      <c r="V1225" s="3" t="n">
        <v>9.199999999999999</v>
      </c>
      <c r="W1225" t="inlineStr">
        <is>
          <t>Debit Card</t>
        </is>
      </c>
      <c r="X1225" t="inlineStr">
        <is>
          <t>Medium</t>
        </is>
      </c>
      <c r="Y1225" t="n">
        <v>2025</v>
      </c>
      <c r="Z1225" t="n">
        <v>7</v>
      </c>
      <c r="AA1225" t="inlineStr">
        <is>
          <t>Jul</t>
        </is>
      </c>
      <c r="AB1225" t="inlineStr">
        <is>
          <t>Wednesday</t>
        </is>
      </c>
      <c r="AC1225" t="n">
        <v>2</v>
      </c>
      <c r="AD1225" t="inlineStr">
        <is>
          <t>Profitable</t>
        </is>
      </c>
      <c r="AE1225" t="inlineStr">
        <is>
          <t>Low</t>
        </is>
      </c>
      <c r="AF1225" t="inlineStr">
        <is>
          <t>Medium</t>
        </is>
      </c>
    </row>
    <row r="1226">
      <c r="A1226" t="inlineStr">
        <is>
          <t>ORD-01246</t>
        </is>
      </c>
      <c r="B1226" s="2" t="n">
        <v>45497</v>
      </c>
      <c r="C1226" s="2" t="n">
        <v>45502</v>
      </c>
      <c r="D1226" t="inlineStr">
        <is>
          <t>CUST-01246</t>
        </is>
      </c>
      <c r="E1226" t="inlineStr">
        <is>
          <t>Customer 1246</t>
        </is>
      </c>
      <c r="F1226" t="inlineStr">
        <is>
          <t>Home Office</t>
        </is>
      </c>
      <c r="G1226" t="inlineStr">
        <is>
          <t>P1012</t>
        </is>
      </c>
      <c r="H1226" t="inlineStr">
        <is>
          <t>SmartInk Pen Set</t>
        </is>
      </c>
      <c r="I1226" t="inlineStr">
        <is>
          <t>Office Supplies</t>
        </is>
      </c>
      <c r="J1226" t="inlineStr">
        <is>
          <t>Chairs</t>
        </is>
      </c>
      <c r="K1226" t="inlineStr">
        <is>
          <t>Central</t>
        </is>
      </c>
      <c r="L1226" t="inlineStr">
        <is>
          <t>Kansas</t>
        </is>
      </c>
      <c r="M1226" t="inlineStr">
        <is>
          <t>Kansas City</t>
        </is>
      </c>
      <c r="N1226" t="inlineStr">
        <is>
          <t>James Carter</t>
        </is>
      </c>
      <c r="O1226" t="n">
        <v>4</v>
      </c>
      <c r="P1226" s="3" t="n">
        <v>136.42</v>
      </c>
      <c r="Q1226" s="4" t="n">
        <v>0.021</v>
      </c>
      <c r="R1226" s="3" t="n">
        <v>534.22</v>
      </c>
      <c r="S1226" s="3" t="n">
        <v>273.01</v>
      </c>
      <c r="T1226" s="3" t="n">
        <v>252.01</v>
      </c>
      <c r="U1226" s="4" t="n">
        <v>0.4717</v>
      </c>
      <c r="V1226" s="3" t="n">
        <v>9.199999999999999</v>
      </c>
      <c r="W1226" t="inlineStr">
        <is>
          <t>Debit Card</t>
        </is>
      </c>
      <c r="X1226" t="inlineStr">
        <is>
          <t>Medium</t>
        </is>
      </c>
      <c r="Y1226" t="n">
        <v>2024</v>
      </c>
      <c r="Z1226" t="n">
        <v>7</v>
      </c>
      <c r="AA1226" t="inlineStr">
        <is>
          <t>Jul</t>
        </is>
      </c>
      <c r="AB1226" t="inlineStr">
        <is>
          <t>Wednesday</t>
        </is>
      </c>
      <c r="AC1226" t="n">
        <v>5</v>
      </c>
      <c r="AD1226" t="inlineStr">
        <is>
          <t>Profitable</t>
        </is>
      </c>
      <c r="AE1226" t="inlineStr">
        <is>
          <t>Medium</t>
        </is>
      </c>
      <c r="AF1226" t="inlineStr">
        <is>
          <t>Medium</t>
        </is>
      </c>
    </row>
    <row r="1227">
      <c r="A1227" t="inlineStr">
        <is>
          <t>ORD-01248</t>
        </is>
      </c>
      <c r="B1227" s="2" t="n">
        <v>44978</v>
      </c>
      <c r="C1227" s="2" t="n">
        <v>44982</v>
      </c>
      <c r="D1227" t="inlineStr">
        <is>
          <t>CUST-01248</t>
        </is>
      </c>
      <c r="E1227" t="inlineStr">
        <is>
          <t>Customer 1248</t>
        </is>
      </c>
      <c r="F1227" t="inlineStr">
        <is>
          <t>Home Office</t>
        </is>
      </c>
      <c r="G1227" t="inlineStr">
        <is>
          <t>P1016</t>
        </is>
      </c>
      <c r="H1227" t="inlineStr">
        <is>
          <t>Harbor Rug</t>
        </is>
      </c>
      <c r="I1227" t="inlineStr">
        <is>
          <t>Technology</t>
        </is>
      </c>
      <c r="J1227" t="inlineStr">
        <is>
          <t>Lighting</t>
        </is>
      </c>
      <c r="K1227" t="inlineStr">
        <is>
          <t>South</t>
        </is>
      </c>
      <c r="L1227" t="inlineStr">
        <is>
          <t>Georgia</t>
        </is>
      </c>
      <c r="M1227" t="inlineStr">
        <is>
          <t>Houston</t>
        </is>
      </c>
      <c r="N1227" t="inlineStr">
        <is>
          <t>Ava Patel</t>
        </is>
      </c>
      <c r="O1227" t="n">
        <v>3</v>
      </c>
      <c r="P1227" s="3" t="n">
        <v>38.85</v>
      </c>
      <c r="Q1227" s="4" t="n">
        <v>0.019</v>
      </c>
      <c r="R1227" s="3" t="n">
        <v>114.34</v>
      </c>
      <c r="S1227" s="3" t="n">
        <v>52.38</v>
      </c>
      <c r="T1227" s="3" t="n">
        <v>53.56</v>
      </c>
      <c r="U1227" s="4" t="n">
        <v>0.4684</v>
      </c>
      <c r="V1227" s="3" t="n">
        <v>8.4</v>
      </c>
      <c r="W1227" t="inlineStr">
        <is>
          <t>PayPal</t>
        </is>
      </c>
      <c r="X1227" t="inlineStr">
        <is>
          <t>Medium</t>
        </is>
      </c>
      <c r="Y1227" t="n">
        <v>2023</v>
      </c>
      <c r="Z1227" t="n">
        <v>2</v>
      </c>
      <c r="AA1227" t="inlineStr">
        <is>
          <t>Feb</t>
        </is>
      </c>
      <c r="AB1227" t="inlineStr">
        <is>
          <t>Tuesday</t>
        </is>
      </c>
      <c r="AC1227" t="n">
        <v>4</v>
      </c>
      <c r="AD1227" t="inlineStr">
        <is>
          <t>Profitable</t>
        </is>
      </c>
      <c r="AE1227" t="inlineStr">
        <is>
          <t>Low</t>
        </is>
      </c>
      <c r="AF1227" t="inlineStr">
        <is>
          <t>Small</t>
        </is>
      </c>
    </row>
    <row r="1228">
      <c r="A1228" t="inlineStr">
        <is>
          <t>ORD-01250</t>
        </is>
      </c>
      <c r="B1228" s="2" t="n">
        <v>45341</v>
      </c>
      <c r="C1228" s="2" t="n">
        <v>45345</v>
      </c>
      <c r="D1228" t="inlineStr">
        <is>
          <t>CUST-01250</t>
        </is>
      </c>
      <c r="E1228" t="inlineStr">
        <is>
          <t>Customer 1250</t>
        </is>
      </c>
      <c r="F1228" t="inlineStr">
        <is>
          <t>Home Office</t>
        </is>
      </c>
      <c r="G1228" t="inlineStr">
        <is>
          <t>P1008</t>
        </is>
      </c>
      <c r="H1228" t="inlineStr">
        <is>
          <t>Aero Standing Desk</t>
        </is>
      </c>
      <c r="I1228" t="inlineStr">
        <is>
          <t>Furniture</t>
        </is>
      </c>
      <c r="J1228" t="inlineStr">
        <is>
          <t>Storage</t>
        </is>
      </c>
      <c r="K1228" t="inlineStr">
        <is>
          <t>South</t>
        </is>
      </c>
      <c r="L1228" t="inlineStr">
        <is>
          <t>North Carolina</t>
        </is>
      </c>
      <c r="M1228" t="inlineStr">
        <is>
          <t>Dallas</t>
        </is>
      </c>
      <c r="N1228" t="inlineStr">
        <is>
          <t>Noah Kim</t>
        </is>
      </c>
      <c r="O1228" t="n">
        <v>1</v>
      </c>
      <c r="P1228" s="3" t="n">
        <v>33.18</v>
      </c>
      <c r="Q1228" s="4" t="n">
        <v>0.068</v>
      </c>
      <c r="R1228" s="3" t="n">
        <v>30.92</v>
      </c>
      <c r="S1228" s="3" t="n">
        <v>22.65</v>
      </c>
      <c r="T1228" s="3" t="n">
        <v>1.47</v>
      </c>
      <c r="U1228" s="4" t="n">
        <v>0.0475</v>
      </c>
      <c r="V1228" s="3" t="n">
        <v>6.8</v>
      </c>
      <c r="W1228" t="inlineStr">
        <is>
          <t>Debit Card</t>
        </is>
      </c>
      <c r="X1228" t="inlineStr">
        <is>
          <t>Critical</t>
        </is>
      </c>
      <c r="Y1228" t="n">
        <v>2024</v>
      </c>
      <c r="Z1228" t="n">
        <v>2</v>
      </c>
      <c r="AA1228" t="inlineStr">
        <is>
          <t>Feb</t>
        </is>
      </c>
      <c r="AB1228" t="inlineStr">
        <is>
          <t>Monday</t>
        </is>
      </c>
      <c r="AC1228" t="n">
        <v>4</v>
      </c>
      <c r="AD1228" t="inlineStr">
        <is>
          <t>Profitable</t>
        </is>
      </c>
      <c r="AE1228" t="inlineStr">
        <is>
          <t>High</t>
        </is>
      </c>
      <c r="AF1228" t="inlineStr">
        <is>
          <t>Small</t>
        </is>
      </c>
    </row>
    <row r="1229">
      <c r="A1229" t="inlineStr">
        <is>
          <t>ORD-01252</t>
        </is>
      </c>
      <c r="B1229" s="2" t="n">
        <v>45406</v>
      </c>
      <c r="C1229" s="2" t="n">
        <v>45408</v>
      </c>
      <c r="D1229" t="inlineStr">
        <is>
          <t>CUST-01252</t>
        </is>
      </c>
      <c r="E1229" t="inlineStr">
        <is>
          <t>Customer 1252</t>
        </is>
      </c>
      <c r="F1229" t="inlineStr">
        <is>
          <t>Home Office</t>
        </is>
      </c>
      <c r="G1229" t="inlineStr">
        <is>
          <t>P1014</t>
        </is>
      </c>
      <c r="H1229" t="inlineStr">
        <is>
          <t>Summit Patio Set</t>
        </is>
      </c>
      <c r="I1229" t="inlineStr">
        <is>
          <t>Office Supplies</t>
        </is>
      </c>
      <c r="J1229" t="inlineStr">
        <is>
          <t>Paper</t>
        </is>
      </c>
      <c r="K1229" t="inlineStr">
        <is>
          <t>South</t>
        </is>
      </c>
      <c r="L1229" t="inlineStr">
        <is>
          <t>Texas</t>
        </is>
      </c>
      <c r="M1229" t="inlineStr">
        <is>
          <t>Dallas</t>
        </is>
      </c>
      <c r="N1229" t="inlineStr">
        <is>
          <t>Sophia Singh</t>
        </is>
      </c>
      <c r="O1229" t="n">
        <v>4</v>
      </c>
      <c r="P1229" s="3" t="n">
        <v>42.21</v>
      </c>
      <c r="Q1229" s="4" t="n">
        <v>0.028</v>
      </c>
      <c r="R1229" s="3" t="n">
        <v>164.11</v>
      </c>
      <c r="S1229" s="3" t="n">
        <v>68.09</v>
      </c>
      <c r="T1229" s="3" t="n">
        <v>86.81999999999999</v>
      </c>
      <c r="U1229" s="4" t="n">
        <v>0.529</v>
      </c>
      <c r="V1229" s="3" t="n">
        <v>9.199999999999999</v>
      </c>
      <c r="W1229" t="inlineStr">
        <is>
          <t>PayPal</t>
        </is>
      </c>
      <c r="X1229" t="inlineStr">
        <is>
          <t>Medium</t>
        </is>
      </c>
      <c r="Y1229" t="n">
        <v>2024</v>
      </c>
      <c r="Z1229" t="n">
        <v>4</v>
      </c>
      <c r="AA1229" t="inlineStr">
        <is>
          <t>Apr</t>
        </is>
      </c>
      <c r="AB1229" t="inlineStr">
        <is>
          <t>Wednesday</t>
        </is>
      </c>
      <c r="AC1229" t="n">
        <v>2</v>
      </c>
      <c r="AD1229" t="inlineStr">
        <is>
          <t>Profitable</t>
        </is>
      </c>
      <c r="AE1229" t="inlineStr">
        <is>
          <t>Medium</t>
        </is>
      </c>
      <c r="AF1229" t="inlineStr">
        <is>
          <t>Small</t>
        </is>
      </c>
    </row>
    <row r="1230">
      <c r="A1230" t="inlineStr">
        <is>
          <t>ORD-01254</t>
        </is>
      </c>
      <c r="B1230" s="2" t="n">
        <v>45011</v>
      </c>
      <c r="C1230" s="2" t="n">
        <v>45015</v>
      </c>
      <c r="D1230" t="inlineStr">
        <is>
          <t>CUST-01254</t>
        </is>
      </c>
      <c r="E1230" t="inlineStr">
        <is>
          <t>Customer 1254</t>
        </is>
      </c>
      <c r="F1230" t="inlineStr">
        <is>
          <t>Corporate</t>
        </is>
      </c>
      <c r="G1230" t="inlineStr">
        <is>
          <t>P1019</t>
        </is>
      </c>
      <c r="H1230" t="inlineStr">
        <is>
          <t>Lumen Desk Lamp</t>
        </is>
      </c>
      <c r="I1230" t="inlineStr">
        <is>
          <t>Home Decor</t>
        </is>
      </c>
      <c r="J1230" t="inlineStr">
        <is>
          <t>Peripherals</t>
        </is>
      </c>
      <c r="K1230" t="inlineStr">
        <is>
          <t>North</t>
        </is>
      </c>
      <c r="L1230" t="inlineStr">
        <is>
          <t>British Columbia</t>
        </is>
      </c>
      <c r="M1230" t="inlineStr">
        <is>
          <t>Vancouver</t>
        </is>
      </c>
      <c r="N1230" t="inlineStr">
        <is>
          <t>Mia Rodriguez</t>
        </is>
      </c>
      <c r="O1230" t="n">
        <v>3</v>
      </c>
      <c r="P1230" s="3" t="n">
        <v>57.38</v>
      </c>
      <c r="Q1230" s="4" t="n">
        <v>0.018</v>
      </c>
      <c r="R1230" s="3" t="n">
        <v>169.04</v>
      </c>
      <c r="S1230" s="3" t="n">
        <v>74.62</v>
      </c>
      <c r="T1230" s="3" t="n">
        <v>86.02</v>
      </c>
      <c r="U1230" s="4" t="n">
        <v>0.5089</v>
      </c>
      <c r="V1230" s="3" t="n">
        <v>8.4</v>
      </c>
      <c r="W1230" t="inlineStr">
        <is>
          <t>Bank Transfer</t>
        </is>
      </c>
      <c r="X1230" t="inlineStr">
        <is>
          <t>Medium</t>
        </is>
      </c>
      <c r="Y1230" t="n">
        <v>2023</v>
      </c>
      <c r="Z1230" t="n">
        <v>3</v>
      </c>
      <c r="AA1230" t="inlineStr">
        <is>
          <t>Mar</t>
        </is>
      </c>
      <c r="AB1230" t="inlineStr">
        <is>
          <t>Sunday</t>
        </is>
      </c>
      <c r="AC1230" t="n">
        <v>4</v>
      </c>
      <c r="AD1230" t="inlineStr">
        <is>
          <t>Profitable</t>
        </is>
      </c>
      <c r="AE1230" t="inlineStr">
        <is>
          <t>Low</t>
        </is>
      </c>
      <c r="AF1230" t="inlineStr">
        <is>
          <t>Small</t>
        </is>
      </c>
    </row>
    <row r="1231">
      <c r="A1231" t="inlineStr">
        <is>
          <t>ORD-01257</t>
        </is>
      </c>
      <c r="B1231" s="2" t="n">
        <v>45034</v>
      </c>
      <c r="C1231" s="2" t="n">
        <v>45041</v>
      </c>
      <c r="D1231" t="inlineStr">
        <is>
          <t>CUST-01257</t>
        </is>
      </c>
      <c r="E1231" t="inlineStr">
        <is>
          <t>Customer 1257</t>
        </is>
      </c>
      <c r="F1231" t="inlineStr">
        <is>
          <t>Consumer</t>
        </is>
      </c>
      <c r="G1231" t="inlineStr">
        <is>
          <t>P1009</t>
        </is>
      </c>
      <c r="H1231" t="inlineStr">
        <is>
          <t>Tide Cooler</t>
        </is>
      </c>
      <c r="I1231" t="inlineStr">
        <is>
          <t>Furniture</t>
        </is>
      </c>
      <c r="J1231" t="inlineStr">
        <is>
          <t>Furniture</t>
        </is>
      </c>
      <c r="K1231" t="inlineStr">
        <is>
          <t>Central</t>
        </is>
      </c>
      <c r="L1231" t="inlineStr">
        <is>
          <t>Missouri</t>
        </is>
      </c>
      <c r="M1231" t="inlineStr">
        <is>
          <t>St. Louis</t>
        </is>
      </c>
      <c r="N1231" t="inlineStr">
        <is>
          <t>Ava Patel</t>
        </is>
      </c>
      <c r="O1231" t="n">
        <v>3</v>
      </c>
      <c r="P1231" s="3" t="n">
        <v>92.76000000000001</v>
      </c>
      <c r="Q1231" s="4" t="n">
        <v>0.044</v>
      </c>
      <c r="R1231" s="3" t="n">
        <v>266.04</v>
      </c>
      <c r="S1231" s="3" t="n">
        <v>132.79</v>
      </c>
      <c r="T1231" s="3" t="n">
        <v>124.85</v>
      </c>
      <c r="U1231" s="4" t="n">
        <v>0.4693</v>
      </c>
      <c r="V1231" s="3" t="n">
        <v>8.4</v>
      </c>
      <c r="W1231" t="inlineStr">
        <is>
          <t>Bank Transfer</t>
        </is>
      </c>
      <c r="X1231" t="inlineStr">
        <is>
          <t>Critical</t>
        </is>
      </c>
      <c r="Y1231" t="n">
        <v>2023</v>
      </c>
      <c r="Z1231" t="n">
        <v>4</v>
      </c>
      <c r="AA1231" t="inlineStr">
        <is>
          <t>Apr</t>
        </is>
      </c>
      <c r="AB1231" t="inlineStr">
        <is>
          <t>Tuesday</t>
        </is>
      </c>
      <c r="AC1231" t="n">
        <v>7</v>
      </c>
      <c r="AD1231" t="inlineStr">
        <is>
          <t>Profitable</t>
        </is>
      </c>
      <c r="AE1231" t="inlineStr">
        <is>
          <t>Medium</t>
        </is>
      </c>
      <c r="AF1231" t="inlineStr">
        <is>
          <t>Small</t>
        </is>
      </c>
    </row>
    <row r="1232">
      <c r="A1232" t="inlineStr">
        <is>
          <t>ORD-01258</t>
        </is>
      </c>
      <c r="B1232" s="2" t="n">
        <v>45415</v>
      </c>
      <c r="C1232" s="2" t="n">
        <v>45419</v>
      </c>
      <c r="D1232" t="inlineStr">
        <is>
          <t>CUST-01258</t>
        </is>
      </c>
      <c r="E1232" t="inlineStr">
        <is>
          <t>Customer 1258</t>
        </is>
      </c>
      <c r="F1232" t="inlineStr">
        <is>
          <t>Home Office</t>
        </is>
      </c>
      <c r="G1232" t="inlineStr">
        <is>
          <t>P1003</t>
        </is>
      </c>
      <c r="H1232" t="inlineStr">
        <is>
          <t>Halo Planter</t>
        </is>
      </c>
      <c r="I1232" t="inlineStr">
        <is>
          <t>Technology</t>
        </is>
      </c>
      <c r="J1232" t="inlineStr">
        <is>
          <t>Peripherals</t>
        </is>
      </c>
      <c r="K1232" t="inlineStr">
        <is>
          <t>Central</t>
        </is>
      </c>
      <c r="L1232" t="inlineStr">
        <is>
          <t>Missouri</t>
        </is>
      </c>
      <c r="M1232" t="inlineStr">
        <is>
          <t>Minneapolis</t>
        </is>
      </c>
      <c r="N1232" t="inlineStr">
        <is>
          <t>Noah Kim</t>
        </is>
      </c>
      <c r="O1232" t="n">
        <v>4</v>
      </c>
      <c r="P1232" s="3" t="n">
        <v>142.42</v>
      </c>
      <c r="Q1232" s="4" t="n">
        <v>0.02</v>
      </c>
      <c r="R1232" s="3" t="n">
        <v>558.29</v>
      </c>
      <c r="S1232" s="3" t="n">
        <v>293.07</v>
      </c>
      <c r="T1232" s="3" t="n">
        <v>256.02</v>
      </c>
      <c r="U1232" s="4" t="n">
        <v>0.4586</v>
      </c>
      <c r="V1232" s="3" t="n">
        <v>9.199999999999999</v>
      </c>
      <c r="W1232" t="inlineStr">
        <is>
          <t>Credit Card</t>
        </is>
      </c>
      <c r="X1232" t="inlineStr">
        <is>
          <t>Medium</t>
        </is>
      </c>
      <c r="Y1232" t="n">
        <v>2024</v>
      </c>
      <c r="Z1232" t="n">
        <v>5</v>
      </c>
      <c r="AA1232" t="inlineStr">
        <is>
          <t>May</t>
        </is>
      </c>
      <c r="AB1232" t="inlineStr">
        <is>
          <t>Friday</t>
        </is>
      </c>
      <c r="AC1232" t="n">
        <v>4</v>
      </c>
      <c r="AD1232" t="inlineStr">
        <is>
          <t>Profitable</t>
        </is>
      </c>
      <c r="AE1232" t="inlineStr">
        <is>
          <t>Medium</t>
        </is>
      </c>
      <c r="AF1232" t="inlineStr">
        <is>
          <t>Medium</t>
        </is>
      </c>
    </row>
    <row r="1233">
      <c r="A1233" t="inlineStr">
        <is>
          <t>ORD-01264</t>
        </is>
      </c>
      <c r="B1233" s="2" t="n">
        <v>45645</v>
      </c>
      <c r="C1233" s="2" t="n">
        <v>45649</v>
      </c>
      <c r="D1233" t="inlineStr">
        <is>
          <t>CUST-01264</t>
        </is>
      </c>
      <c r="E1233" t="inlineStr">
        <is>
          <t>Customer 1264</t>
        </is>
      </c>
      <c r="F1233" t="inlineStr">
        <is>
          <t>Home Office</t>
        </is>
      </c>
      <c r="G1233" t="inlineStr">
        <is>
          <t>P1009</t>
        </is>
      </c>
      <c r="H1233" t="inlineStr">
        <is>
          <t>Aero Standing Desk</t>
        </is>
      </c>
      <c r="I1233" t="inlineStr">
        <is>
          <t>Furniture</t>
        </is>
      </c>
      <c r="J1233" t="inlineStr">
        <is>
          <t>Peripherals</t>
        </is>
      </c>
      <c r="K1233" t="inlineStr">
        <is>
          <t>Central</t>
        </is>
      </c>
      <c r="L1233" t="inlineStr">
        <is>
          <t>Missouri</t>
        </is>
      </c>
      <c r="M1233" t="inlineStr">
        <is>
          <t>St. Louis</t>
        </is>
      </c>
      <c r="N1233" t="inlineStr">
        <is>
          <t>Noah Kim</t>
        </is>
      </c>
      <c r="O1233" t="n">
        <v>4</v>
      </c>
      <c r="P1233" s="3" t="n">
        <v>96.2</v>
      </c>
      <c r="Q1233" s="4" t="n">
        <v>0.002</v>
      </c>
      <c r="R1233" s="3" t="n">
        <v>384.03</v>
      </c>
      <c r="S1233" s="3" t="n">
        <v>189.7</v>
      </c>
      <c r="T1233" s="3" t="n">
        <v>185.13</v>
      </c>
      <c r="U1233" s="4" t="n">
        <v>0.4821</v>
      </c>
      <c r="V1233" s="3" t="n">
        <v>9.199999999999999</v>
      </c>
      <c r="W1233" t="inlineStr">
        <is>
          <t>Debit Card</t>
        </is>
      </c>
      <c r="X1233" t="inlineStr">
        <is>
          <t>Medium</t>
        </is>
      </c>
      <c r="Y1233" t="n">
        <v>2024</v>
      </c>
      <c r="Z1233" t="n">
        <v>12</v>
      </c>
      <c r="AA1233" t="inlineStr">
        <is>
          <t>Dec</t>
        </is>
      </c>
      <c r="AB1233" t="inlineStr">
        <is>
          <t>Thursday</t>
        </is>
      </c>
      <c r="AC1233" t="n">
        <v>4</v>
      </c>
      <c r="AD1233" t="inlineStr">
        <is>
          <t>Profitable</t>
        </is>
      </c>
      <c r="AE1233" t="inlineStr">
        <is>
          <t>Low</t>
        </is>
      </c>
      <c r="AF1233" t="inlineStr">
        <is>
          <t>Small</t>
        </is>
      </c>
    </row>
    <row r="1234">
      <c r="A1234" t="inlineStr">
        <is>
          <t>ORD-01265</t>
        </is>
      </c>
      <c r="B1234" s="2" t="n">
        <v>44996</v>
      </c>
      <c r="C1234" s="2" t="n">
        <v>44999</v>
      </c>
      <c r="D1234" t="inlineStr">
        <is>
          <t>CUST-01265</t>
        </is>
      </c>
      <c r="E1234" t="inlineStr">
        <is>
          <t>Customer 1265</t>
        </is>
      </c>
      <c r="F1234" t="inlineStr">
        <is>
          <t>Corporate</t>
        </is>
      </c>
      <c r="G1234" t="inlineStr">
        <is>
          <t>P1018</t>
        </is>
      </c>
      <c r="H1234" t="inlineStr">
        <is>
          <t>Cove Wall Clock</t>
        </is>
      </c>
      <c r="I1234" t="inlineStr">
        <is>
          <t>Outdoor</t>
        </is>
      </c>
      <c r="J1234" t="inlineStr">
        <is>
          <t>Video</t>
        </is>
      </c>
      <c r="K1234" t="inlineStr">
        <is>
          <t>South</t>
        </is>
      </c>
      <c r="L1234" t="inlineStr">
        <is>
          <t>Texas</t>
        </is>
      </c>
      <c r="M1234" t="inlineStr">
        <is>
          <t>Miami</t>
        </is>
      </c>
      <c r="N1234" t="inlineStr">
        <is>
          <t>Ethan Brooks</t>
        </is>
      </c>
      <c r="O1234" t="n">
        <v>3</v>
      </c>
      <c r="P1234" s="3" t="n">
        <v>88.16</v>
      </c>
      <c r="Q1234" s="4" t="n">
        <v>0.02</v>
      </c>
      <c r="R1234" s="3" t="n">
        <v>259.19</v>
      </c>
      <c r="S1234" s="3" t="n">
        <v>120.71</v>
      </c>
      <c r="T1234" s="3" t="n">
        <v>130.08</v>
      </c>
      <c r="U1234" s="4" t="n">
        <v>0.5019</v>
      </c>
      <c r="V1234" s="3" t="n">
        <v>8.4</v>
      </c>
      <c r="W1234" t="inlineStr">
        <is>
          <t>Bank Transfer</t>
        </is>
      </c>
      <c r="X1234" t="inlineStr">
        <is>
          <t>Medium</t>
        </is>
      </c>
      <c r="Y1234" t="n">
        <v>2023</v>
      </c>
      <c r="Z1234" t="n">
        <v>3</v>
      </c>
      <c r="AA1234" t="inlineStr">
        <is>
          <t>Mar</t>
        </is>
      </c>
      <c r="AB1234" t="inlineStr">
        <is>
          <t>Saturday</t>
        </is>
      </c>
      <c r="AC1234" t="n">
        <v>3</v>
      </c>
      <c r="AD1234" t="inlineStr">
        <is>
          <t>Profitable</t>
        </is>
      </c>
      <c r="AE1234" t="inlineStr">
        <is>
          <t>Medium</t>
        </is>
      </c>
      <c r="AF1234" t="inlineStr">
        <is>
          <t>Small</t>
        </is>
      </c>
    </row>
    <row r="1235">
      <c r="A1235" t="inlineStr">
        <is>
          <t>ORD-01266</t>
        </is>
      </c>
      <c r="B1235" s="2" t="n">
        <v>45257</v>
      </c>
      <c r="C1235" s="2" t="n">
        <v>45263</v>
      </c>
      <c r="D1235" t="inlineStr">
        <is>
          <t>CUST-01266</t>
        </is>
      </c>
      <c r="E1235" t="inlineStr">
        <is>
          <t>Customer 1266</t>
        </is>
      </c>
      <c r="F1235" t="inlineStr">
        <is>
          <t>Consumer</t>
        </is>
      </c>
      <c r="G1235" t="inlineStr">
        <is>
          <t>P1014</t>
        </is>
      </c>
      <c r="H1235" t="inlineStr">
        <is>
          <t>Summit Patio Set</t>
        </is>
      </c>
      <c r="I1235" t="inlineStr">
        <is>
          <t>Home Decor</t>
        </is>
      </c>
      <c r="J1235" t="inlineStr">
        <is>
          <t>Peripherals</t>
        </is>
      </c>
      <c r="K1235" t="inlineStr">
        <is>
          <t>North</t>
        </is>
      </c>
      <c r="L1235" t="inlineStr">
        <is>
          <t>British Columbia</t>
        </is>
      </c>
      <c r="M1235" t="inlineStr">
        <is>
          <t>Vancouver</t>
        </is>
      </c>
      <c r="N1235" t="inlineStr">
        <is>
          <t>James Carter</t>
        </is>
      </c>
      <c r="O1235" t="n">
        <v>5</v>
      </c>
      <c r="P1235" s="3" t="n">
        <v>46.58</v>
      </c>
      <c r="Q1235" s="4" t="n">
        <v>0.08</v>
      </c>
      <c r="R1235" s="3" t="n">
        <v>214.27</v>
      </c>
      <c r="S1235" s="3" t="n">
        <v>92.44</v>
      </c>
      <c r="T1235" s="3" t="n">
        <v>111.83</v>
      </c>
      <c r="U1235" s="4" t="n">
        <v>0.5219</v>
      </c>
      <c r="V1235" s="3" t="n">
        <v>10</v>
      </c>
      <c r="W1235" t="inlineStr">
        <is>
          <t>Cash on Delivery</t>
        </is>
      </c>
      <c r="X1235" t="inlineStr">
        <is>
          <t>Critical</t>
        </is>
      </c>
      <c r="Y1235" t="n">
        <v>2023</v>
      </c>
      <c r="Z1235" t="n">
        <v>11</v>
      </c>
      <c r="AA1235" t="inlineStr">
        <is>
          <t>Nov</t>
        </is>
      </c>
      <c r="AB1235" t="inlineStr">
        <is>
          <t>Monday</t>
        </is>
      </c>
      <c r="AC1235" t="n">
        <v>6</v>
      </c>
      <c r="AD1235" t="inlineStr">
        <is>
          <t>Profitable</t>
        </is>
      </c>
      <c r="AE1235" t="inlineStr">
        <is>
          <t>High</t>
        </is>
      </c>
      <c r="AF1235" t="inlineStr">
        <is>
          <t>Small</t>
        </is>
      </c>
    </row>
    <row r="1236">
      <c r="A1236" t="inlineStr">
        <is>
          <t>ORD-01269</t>
        </is>
      </c>
      <c r="B1236" s="2" t="n">
        <v>45463</v>
      </c>
      <c r="C1236" s="2" t="n">
        <v>45464</v>
      </c>
      <c r="D1236" t="inlineStr">
        <is>
          <t>CUST-01269</t>
        </is>
      </c>
      <c r="E1236" t="inlineStr">
        <is>
          <t>Customer 1269</t>
        </is>
      </c>
      <c r="F1236" t="inlineStr">
        <is>
          <t>Consumer</t>
        </is>
      </c>
      <c r="G1236" t="inlineStr">
        <is>
          <t>P1004</t>
        </is>
      </c>
      <c r="H1236" t="inlineStr">
        <is>
          <t>Tide Cooler</t>
        </is>
      </c>
      <c r="I1236" t="inlineStr">
        <is>
          <t>Technology</t>
        </is>
      </c>
      <c r="J1236" t="inlineStr">
        <is>
          <t>Chairs</t>
        </is>
      </c>
      <c r="K1236" t="inlineStr">
        <is>
          <t>Central</t>
        </is>
      </c>
      <c r="L1236" t="inlineStr">
        <is>
          <t>Minnesota</t>
        </is>
      </c>
      <c r="M1236" t="inlineStr">
        <is>
          <t>Minneapolis</t>
        </is>
      </c>
      <c r="N1236" t="inlineStr">
        <is>
          <t>Mia Rodriguez</t>
        </is>
      </c>
      <c r="O1236" t="n">
        <v>5</v>
      </c>
      <c r="P1236" s="3" t="n">
        <v>606.52</v>
      </c>
      <c r="Q1236" s="4" t="n">
        <v>0.024</v>
      </c>
      <c r="R1236" s="3" t="n">
        <v>2959.82</v>
      </c>
      <c r="S1236" s="3" t="n">
        <v>1875.02</v>
      </c>
      <c r="T1236" s="3" t="n">
        <v>1074.8</v>
      </c>
      <c r="U1236" s="4" t="n">
        <v>0.3631</v>
      </c>
      <c r="V1236" s="3" t="n">
        <v>10</v>
      </c>
      <c r="W1236" t="inlineStr">
        <is>
          <t>Debit Card</t>
        </is>
      </c>
      <c r="X1236" t="inlineStr">
        <is>
          <t>Medium</t>
        </is>
      </c>
      <c r="Y1236" t="n">
        <v>2024</v>
      </c>
      <c r="Z1236" t="n">
        <v>6</v>
      </c>
      <c r="AA1236" t="inlineStr">
        <is>
          <t>Jun</t>
        </is>
      </c>
      <c r="AB1236" t="inlineStr">
        <is>
          <t>Thursday</t>
        </is>
      </c>
      <c r="AC1236" t="n">
        <v>1</v>
      </c>
      <c r="AD1236" t="inlineStr">
        <is>
          <t>Profitable</t>
        </is>
      </c>
      <c r="AE1236" t="inlineStr">
        <is>
          <t>Medium</t>
        </is>
      </c>
      <c r="AF1236" t="inlineStr">
        <is>
          <t>Large</t>
        </is>
      </c>
    </row>
    <row r="1237">
      <c r="A1237" t="inlineStr">
        <is>
          <t>ORD-01275</t>
        </is>
      </c>
      <c r="B1237" s="2" t="n">
        <v>45630</v>
      </c>
      <c r="C1237" s="2" t="n">
        <v>45637</v>
      </c>
      <c r="D1237" t="inlineStr">
        <is>
          <t>CUST-01275</t>
        </is>
      </c>
      <c r="E1237" t="inlineStr">
        <is>
          <t>Customer 1275</t>
        </is>
      </c>
      <c r="F1237" t="inlineStr">
        <is>
          <t>Consumer</t>
        </is>
      </c>
      <c r="G1237" t="inlineStr">
        <is>
          <t>P1017</t>
        </is>
      </c>
      <c r="H1237" t="inlineStr">
        <is>
          <t>Summit Patio Set</t>
        </is>
      </c>
      <c r="I1237" t="inlineStr">
        <is>
          <t>Technology</t>
        </is>
      </c>
      <c r="J1237" t="inlineStr">
        <is>
          <t>Decor</t>
        </is>
      </c>
      <c r="K1237" t="inlineStr">
        <is>
          <t>South</t>
        </is>
      </c>
      <c r="L1237" t="inlineStr">
        <is>
          <t>Georgia</t>
        </is>
      </c>
      <c r="M1237" t="inlineStr">
        <is>
          <t>Atlanta</t>
        </is>
      </c>
      <c r="N1237" t="inlineStr">
        <is>
          <t>Liam Chen</t>
        </is>
      </c>
      <c r="O1237" t="n">
        <v>3</v>
      </c>
      <c r="P1237" s="3" t="n">
        <v>571.9299999999999</v>
      </c>
      <c r="Q1237" s="4" t="n">
        <v>0.001</v>
      </c>
      <c r="R1237" s="3" t="n">
        <v>1714.07</v>
      </c>
      <c r="S1237" s="3" t="n">
        <v>1136.61</v>
      </c>
      <c r="T1237" s="3" t="n">
        <v>569.0599999999999</v>
      </c>
      <c r="U1237" s="4" t="n">
        <v>0.332</v>
      </c>
      <c r="V1237" s="3" t="n">
        <v>8.4</v>
      </c>
      <c r="W1237" t="inlineStr">
        <is>
          <t>Credit Card</t>
        </is>
      </c>
      <c r="X1237" t="inlineStr">
        <is>
          <t>Low</t>
        </is>
      </c>
      <c r="Y1237" t="n">
        <v>2024</v>
      </c>
      <c r="Z1237" t="n">
        <v>12</v>
      </c>
      <c r="AA1237" t="inlineStr">
        <is>
          <t>Dec</t>
        </is>
      </c>
      <c r="AB1237" t="inlineStr">
        <is>
          <t>Wednesday</t>
        </is>
      </c>
      <c r="AC1237" t="n">
        <v>7</v>
      </c>
      <c r="AD1237" t="inlineStr">
        <is>
          <t>Profitable</t>
        </is>
      </c>
      <c r="AE1237" t="inlineStr">
        <is>
          <t>Low</t>
        </is>
      </c>
      <c r="AF1237" t="inlineStr">
        <is>
          <t>Large</t>
        </is>
      </c>
    </row>
    <row r="1238">
      <c r="A1238" t="inlineStr">
        <is>
          <t>ORD-01278</t>
        </is>
      </c>
      <c r="B1238" s="2" t="n">
        <v>45755</v>
      </c>
      <c r="C1238" s="2" t="n">
        <v>45756</v>
      </c>
      <c r="D1238" t="inlineStr">
        <is>
          <t>CUST-01278</t>
        </is>
      </c>
      <c r="E1238" t="inlineStr">
        <is>
          <t>Customer 1278</t>
        </is>
      </c>
      <c r="F1238" t="inlineStr">
        <is>
          <t>Corporate</t>
        </is>
      </c>
      <c r="G1238" t="inlineStr">
        <is>
          <t>P1009</t>
        </is>
      </c>
      <c r="H1238" t="inlineStr">
        <is>
          <t>Cove Wall Clock</t>
        </is>
      </c>
      <c r="I1238" t="inlineStr">
        <is>
          <t>Technology</t>
        </is>
      </c>
      <c r="J1238" t="inlineStr">
        <is>
          <t>Video</t>
        </is>
      </c>
      <c r="K1238" t="inlineStr">
        <is>
          <t>North</t>
        </is>
      </c>
      <c r="L1238" t="inlineStr">
        <is>
          <t>Alberta</t>
        </is>
      </c>
      <c r="M1238" t="inlineStr">
        <is>
          <t>Toronto</t>
        </is>
      </c>
      <c r="N1238" t="inlineStr">
        <is>
          <t>James Carter</t>
        </is>
      </c>
      <c r="O1238" t="n">
        <v>1</v>
      </c>
      <c r="P1238" s="3" t="n">
        <v>90.09</v>
      </c>
      <c r="Q1238" s="4" t="n">
        <v>0.012</v>
      </c>
      <c r="R1238" s="3" t="n">
        <v>89.01000000000001</v>
      </c>
      <c r="S1238" s="3" t="n">
        <v>52.07</v>
      </c>
      <c r="T1238" s="3" t="n">
        <v>30.14</v>
      </c>
      <c r="U1238" s="4" t="n">
        <v>0.3386</v>
      </c>
      <c r="V1238" s="3" t="n">
        <v>6.8</v>
      </c>
      <c r="W1238" t="inlineStr">
        <is>
          <t>Cash on Delivery</t>
        </is>
      </c>
      <c r="X1238" t="inlineStr">
        <is>
          <t>Low</t>
        </is>
      </c>
      <c r="Y1238" t="n">
        <v>2025</v>
      </c>
      <c r="Z1238" t="n">
        <v>4</v>
      </c>
      <c r="AA1238" t="inlineStr">
        <is>
          <t>Apr</t>
        </is>
      </c>
      <c r="AB1238" t="inlineStr">
        <is>
          <t>Tuesday</t>
        </is>
      </c>
      <c r="AC1238" t="n">
        <v>1</v>
      </c>
      <c r="AD1238" t="inlineStr">
        <is>
          <t>Profitable</t>
        </is>
      </c>
      <c r="AE1238" t="inlineStr">
        <is>
          <t>Low</t>
        </is>
      </c>
      <c r="AF1238" t="inlineStr">
        <is>
          <t>Small</t>
        </is>
      </c>
    </row>
    <row r="1239">
      <c r="A1239" t="inlineStr">
        <is>
          <t>ORD-01280</t>
        </is>
      </c>
      <c r="B1239" s="2" t="n">
        <v>45429</v>
      </c>
      <c r="C1239" s="2" t="n">
        <v>45430</v>
      </c>
      <c r="D1239" t="inlineStr">
        <is>
          <t>CUST-01280</t>
        </is>
      </c>
      <c r="E1239" t="inlineStr">
        <is>
          <t>Customer 1280</t>
        </is>
      </c>
      <c r="F1239" t="inlineStr">
        <is>
          <t>Corporate</t>
        </is>
      </c>
      <c r="G1239" t="inlineStr">
        <is>
          <t>P1015</t>
        </is>
      </c>
      <c r="H1239" t="inlineStr">
        <is>
          <t>Halo Planter</t>
        </is>
      </c>
      <c r="I1239" t="inlineStr">
        <is>
          <t>Office Supplies</t>
        </is>
      </c>
      <c r="J1239" t="inlineStr">
        <is>
          <t>Lighting</t>
        </is>
      </c>
      <c r="K1239" t="inlineStr">
        <is>
          <t>Central</t>
        </is>
      </c>
      <c r="L1239" t="inlineStr">
        <is>
          <t>Illinois</t>
        </is>
      </c>
      <c r="M1239" t="inlineStr">
        <is>
          <t>St. Louis</t>
        </is>
      </c>
      <c r="N1239" t="inlineStr">
        <is>
          <t>Liam Chen</t>
        </is>
      </c>
      <c r="O1239" t="n">
        <v>1</v>
      </c>
      <c r="P1239" s="3" t="n">
        <v>66.88</v>
      </c>
      <c r="Q1239" s="4" t="n">
        <v>0.028</v>
      </c>
      <c r="R1239" s="3" t="n">
        <v>65.01000000000001</v>
      </c>
      <c r="S1239" s="3" t="n">
        <v>33.1</v>
      </c>
      <c r="T1239" s="3" t="n">
        <v>25.11</v>
      </c>
      <c r="U1239" s="4" t="n">
        <v>0.3862</v>
      </c>
      <c r="V1239" s="3" t="n">
        <v>6.8</v>
      </c>
      <c r="W1239" t="inlineStr">
        <is>
          <t>Bank Transfer</t>
        </is>
      </c>
      <c r="X1239" t="inlineStr">
        <is>
          <t>Medium</t>
        </is>
      </c>
      <c r="Y1239" t="n">
        <v>2024</v>
      </c>
      <c r="Z1239" t="n">
        <v>5</v>
      </c>
      <c r="AA1239" t="inlineStr">
        <is>
          <t>May</t>
        </is>
      </c>
      <c r="AB1239" t="inlineStr">
        <is>
          <t>Friday</t>
        </is>
      </c>
      <c r="AC1239" t="n">
        <v>1</v>
      </c>
      <c r="AD1239" t="inlineStr">
        <is>
          <t>Profitable</t>
        </is>
      </c>
      <c r="AE1239" t="inlineStr">
        <is>
          <t>Medium</t>
        </is>
      </c>
      <c r="AF1239" t="inlineStr">
        <is>
          <t>Small</t>
        </is>
      </c>
    </row>
    <row r="1240">
      <c r="A1240" t="inlineStr">
        <is>
          <t>ORD-01281</t>
        </is>
      </c>
      <c r="B1240" s="2" t="n">
        <v>45353</v>
      </c>
      <c r="C1240" s="2" t="n">
        <v>45356</v>
      </c>
      <c r="D1240" t="inlineStr">
        <is>
          <t>CUST-01281</t>
        </is>
      </c>
      <c r="E1240" t="inlineStr">
        <is>
          <t>Customer 1281</t>
        </is>
      </c>
      <c r="F1240" t="inlineStr">
        <is>
          <t>Home Office</t>
        </is>
      </c>
      <c r="G1240" t="inlineStr">
        <is>
          <t>P1020</t>
        </is>
      </c>
      <c r="H1240" t="inlineStr">
        <is>
          <t>Northstar Lantern</t>
        </is>
      </c>
      <c r="I1240" t="inlineStr">
        <is>
          <t>Outdoor</t>
        </is>
      </c>
      <c r="J1240" t="inlineStr">
        <is>
          <t>Desks</t>
        </is>
      </c>
      <c r="K1240" t="inlineStr">
        <is>
          <t>South</t>
        </is>
      </c>
      <c r="L1240" t="inlineStr">
        <is>
          <t>Texas</t>
        </is>
      </c>
      <c r="M1240" t="inlineStr">
        <is>
          <t>Atlanta</t>
        </is>
      </c>
      <c r="N1240" t="inlineStr">
        <is>
          <t>Olivia Martin</t>
        </is>
      </c>
      <c r="O1240" t="n">
        <v>3</v>
      </c>
      <c r="P1240" s="3" t="n">
        <v>70.45999999999999</v>
      </c>
      <c r="Q1240" s="4" t="n">
        <v>0.012</v>
      </c>
      <c r="R1240" s="3" t="n">
        <v>208.84</v>
      </c>
      <c r="S1240" s="3" t="n">
        <v>101.76</v>
      </c>
      <c r="T1240" s="3" t="n">
        <v>98.68000000000001</v>
      </c>
      <c r="U1240" s="4" t="n">
        <v>0.4725</v>
      </c>
      <c r="V1240" s="3" t="n">
        <v>8.4</v>
      </c>
      <c r="W1240" t="inlineStr">
        <is>
          <t>PayPal</t>
        </is>
      </c>
      <c r="X1240" t="inlineStr">
        <is>
          <t>Low</t>
        </is>
      </c>
      <c r="Y1240" t="n">
        <v>2024</v>
      </c>
      <c r="Z1240" t="n">
        <v>3</v>
      </c>
      <c r="AA1240" t="inlineStr">
        <is>
          <t>Mar</t>
        </is>
      </c>
      <c r="AB1240" t="inlineStr">
        <is>
          <t>Saturday</t>
        </is>
      </c>
      <c r="AC1240" t="n">
        <v>3</v>
      </c>
      <c r="AD1240" t="inlineStr">
        <is>
          <t>Profitable</t>
        </is>
      </c>
      <c r="AE1240" t="inlineStr">
        <is>
          <t>Low</t>
        </is>
      </c>
      <c r="AF1240" t="inlineStr">
        <is>
          <t>Small</t>
        </is>
      </c>
    </row>
    <row r="1241">
      <c r="A1241" t="inlineStr">
        <is>
          <t>ORD-01283</t>
        </is>
      </c>
      <c r="B1241" s="2" t="n">
        <v>45428</v>
      </c>
      <c r="C1241" s="2" t="n">
        <v>45431</v>
      </c>
      <c r="D1241" t="inlineStr">
        <is>
          <t>CUST-01283</t>
        </is>
      </c>
      <c r="E1241" t="inlineStr">
        <is>
          <t>Customer 1283</t>
        </is>
      </c>
      <c r="F1241" t="inlineStr">
        <is>
          <t>Corporate</t>
        </is>
      </c>
      <c r="G1241" t="inlineStr">
        <is>
          <t>P1012</t>
        </is>
      </c>
      <c r="H1241" t="inlineStr">
        <is>
          <t>Trail Tote</t>
        </is>
      </c>
      <c r="I1241" t="inlineStr">
        <is>
          <t>Furniture</t>
        </is>
      </c>
      <c r="J1241" t="inlineStr">
        <is>
          <t>Decor</t>
        </is>
      </c>
      <c r="K1241" t="inlineStr">
        <is>
          <t>Central</t>
        </is>
      </c>
      <c r="L1241" t="inlineStr">
        <is>
          <t>Kansas</t>
        </is>
      </c>
      <c r="M1241" t="inlineStr">
        <is>
          <t>Chicago</t>
        </is>
      </c>
      <c r="N1241" t="inlineStr">
        <is>
          <t>Ava Patel</t>
        </is>
      </c>
      <c r="O1241" t="n">
        <v>2</v>
      </c>
      <c r="P1241" s="3" t="n">
        <v>131.25</v>
      </c>
      <c r="Q1241" s="4" t="n">
        <v>0.04</v>
      </c>
      <c r="R1241" s="3" t="n">
        <v>252</v>
      </c>
      <c r="S1241" s="3" t="n">
        <v>133.13</v>
      </c>
      <c r="T1241" s="3" t="n">
        <v>111.27</v>
      </c>
      <c r="U1241" s="4" t="n">
        <v>0.4415</v>
      </c>
      <c r="V1241" s="3" t="n">
        <v>7.6</v>
      </c>
      <c r="W1241" t="inlineStr">
        <is>
          <t>Cash on Delivery</t>
        </is>
      </c>
      <c r="X1241" t="inlineStr">
        <is>
          <t>Medium</t>
        </is>
      </c>
      <c r="Y1241" t="n">
        <v>2024</v>
      </c>
      <c r="Z1241" t="n">
        <v>5</v>
      </c>
      <c r="AA1241" t="inlineStr">
        <is>
          <t>May</t>
        </is>
      </c>
      <c r="AB1241" t="inlineStr">
        <is>
          <t>Thursday</t>
        </is>
      </c>
      <c r="AC1241" t="n">
        <v>3</v>
      </c>
      <c r="AD1241" t="inlineStr">
        <is>
          <t>Profitable</t>
        </is>
      </c>
      <c r="AE1241" t="inlineStr">
        <is>
          <t>Medium</t>
        </is>
      </c>
      <c r="AF1241" t="inlineStr">
        <is>
          <t>Small</t>
        </is>
      </c>
    </row>
    <row r="1242">
      <c r="A1242" t="inlineStr">
        <is>
          <t>ORD-01284</t>
        </is>
      </c>
      <c r="B1242" s="2" t="n">
        <v>45179</v>
      </c>
      <c r="C1242" s="2" t="n">
        <v>45185</v>
      </c>
      <c r="D1242" t="inlineStr">
        <is>
          <t>CUST-01284</t>
        </is>
      </c>
      <c r="E1242" t="inlineStr">
        <is>
          <t>Customer 1284</t>
        </is>
      </c>
      <c r="F1242" t="inlineStr">
        <is>
          <t>Consumer</t>
        </is>
      </c>
      <c r="G1242" t="inlineStr">
        <is>
          <t>P1018</t>
        </is>
      </c>
      <c r="H1242" t="inlineStr">
        <is>
          <t>Trail Tote</t>
        </is>
      </c>
      <c r="I1242" t="inlineStr">
        <is>
          <t>Furniture</t>
        </is>
      </c>
      <c r="J1242" t="inlineStr">
        <is>
          <t>Storage</t>
        </is>
      </c>
      <c r="K1242" t="inlineStr">
        <is>
          <t>South</t>
        </is>
      </c>
      <c r="L1242" t="inlineStr">
        <is>
          <t>Georgia</t>
        </is>
      </c>
      <c r="M1242" t="inlineStr">
        <is>
          <t>Atlanta</t>
        </is>
      </c>
      <c r="N1242" t="inlineStr">
        <is>
          <t>Olivia Martin</t>
        </is>
      </c>
      <c r="O1242" t="n">
        <v>4</v>
      </c>
      <c r="P1242" s="3" t="n">
        <v>88.3</v>
      </c>
      <c r="Q1242" s="4" t="n">
        <v>0.018</v>
      </c>
      <c r="R1242" s="3" t="n">
        <v>346.84</v>
      </c>
      <c r="S1242" s="3" t="n">
        <v>158.79</v>
      </c>
      <c r="T1242" s="3" t="n">
        <v>178.85</v>
      </c>
      <c r="U1242" s="4" t="n">
        <v>0.5157</v>
      </c>
      <c r="V1242" s="3" t="n">
        <v>9.199999999999999</v>
      </c>
      <c r="W1242" t="inlineStr">
        <is>
          <t>PayPal</t>
        </is>
      </c>
      <c r="X1242" t="inlineStr">
        <is>
          <t>Medium</t>
        </is>
      </c>
      <c r="Y1242" t="n">
        <v>2023</v>
      </c>
      <c r="Z1242" t="n">
        <v>9</v>
      </c>
      <c r="AA1242" t="inlineStr">
        <is>
          <t>Sep</t>
        </is>
      </c>
      <c r="AB1242" t="inlineStr">
        <is>
          <t>Sunday</t>
        </is>
      </c>
      <c r="AC1242" t="n">
        <v>6</v>
      </c>
      <c r="AD1242" t="inlineStr">
        <is>
          <t>Profitable</t>
        </is>
      </c>
      <c r="AE1242" t="inlineStr">
        <is>
          <t>Low</t>
        </is>
      </c>
      <c r="AF1242" t="inlineStr">
        <is>
          <t>Small</t>
        </is>
      </c>
    </row>
    <row r="1243">
      <c r="A1243" t="inlineStr">
        <is>
          <t>ORD-01285</t>
        </is>
      </c>
      <c r="B1243" s="2" t="n">
        <v>45506</v>
      </c>
      <c r="C1243" s="2" t="n">
        <v>45510</v>
      </c>
      <c r="D1243" t="inlineStr">
        <is>
          <t>CUST-01285</t>
        </is>
      </c>
      <c r="E1243" t="inlineStr">
        <is>
          <t>Customer 1285</t>
        </is>
      </c>
      <c r="F1243" t="inlineStr">
        <is>
          <t>Corporate</t>
        </is>
      </c>
      <c r="G1243" t="inlineStr">
        <is>
          <t>P1007</t>
        </is>
      </c>
      <c r="H1243" t="inlineStr">
        <is>
          <t>Atlas Throw Pillow</t>
        </is>
      </c>
      <c r="I1243" t="inlineStr">
        <is>
          <t>Office Supplies</t>
        </is>
      </c>
      <c r="J1243" t="inlineStr">
        <is>
          <t>Desks</t>
        </is>
      </c>
      <c r="K1243" t="inlineStr">
        <is>
          <t>South</t>
        </is>
      </c>
      <c r="L1243" t="inlineStr">
        <is>
          <t>Florida</t>
        </is>
      </c>
      <c r="M1243" t="inlineStr">
        <is>
          <t>Dallas</t>
        </is>
      </c>
      <c r="N1243" t="inlineStr">
        <is>
          <t>James Carter</t>
        </is>
      </c>
      <c r="O1243" t="n">
        <v>4</v>
      </c>
      <c r="P1243" s="3" t="n">
        <v>25.28</v>
      </c>
      <c r="Q1243" s="4" t="n">
        <v>0.026</v>
      </c>
      <c r="R1243" s="3" t="n">
        <v>98.48999999999999</v>
      </c>
      <c r="S1243" s="3" t="n">
        <v>39.54</v>
      </c>
      <c r="T1243" s="3" t="n">
        <v>49.75</v>
      </c>
      <c r="U1243" s="4" t="n">
        <v>0.5051</v>
      </c>
      <c r="V1243" s="3" t="n">
        <v>9.199999999999999</v>
      </c>
      <c r="W1243" t="inlineStr">
        <is>
          <t>Credit Card</t>
        </is>
      </c>
      <c r="X1243" t="inlineStr">
        <is>
          <t>High</t>
        </is>
      </c>
      <c r="Y1243" t="n">
        <v>2024</v>
      </c>
      <c r="Z1243" t="n">
        <v>8</v>
      </c>
      <c r="AA1243" t="inlineStr">
        <is>
          <t>Aug</t>
        </is>
      </c>
      <c r="AB1243" t="inlineStr">
        <is>
          <t>Friday</t>
        </is>
      </c>
      <c r="AC1243" t="n">
        <v>4</v>
      </c>
      <c r="AD1243" t="inlineStr">
        <is>
          <t>Profitable</t>
        </is>
      </c>
      <c r="AE1243" t="inlineStr">
        <is>
          <t>Medium</t>
        </is>
      </c>
      <c r="AF1243" t="inlineStr">
        <is>
          <t>Small</t>
        </is>
      </c>
    </row>
    <row r="1244">
      <c r="A1244" t="inlineStr">
        <is>
          <t>ORD-01288</t>
        </is>
      </c>
      <c r="B1244" s="2" t="n">
        <v>45584</v>
      </c>
      <c r="C1244" s="2" t="n">
        <v>45588</v>
      </c>
      <c r="D1244" t="inlineStr">
        <is>
          <t>CUST-01288</t>
        </is>
      </c>
      <c r="E1244" t="inlineStr">
        <is>
          <t>Customer 1288</t>
        </is>
      </c>
      <c r="F1244" t="inlineStr">
        <is>
          <t>Home Office</t>
        </is>
      </c>
      <c r="G1244" t="inlineStr">
        <is>
          <t>P1006</t>
        </is>
      </c>
      <c r="H1244" t="inlineStr">
        <is>
          <t>CloudDrive File Box</t>
        </is>
      </c>
      <c r="I1244" t="inlineStr">
        <is>
          <t>Home Decor</t>
        </is>
      </c>
      <c r="J1244" t="inlineStr">
        <is>
          <t>Coolers</t>
        </is>
      </c>
      <c r="K1244" t="inlineStr">
        <is>
          <t>Central</t>
        </is>
      </c>
      <c r="L1244" t="inlineStr">
        <is>
          <t>Illinois</t>
        </is>
      </c>
      <c r="M1244" t="inlineStr">
        <is>
          <t>Chicago</t>
        </is>
      </c>
      <c r="N1244" t="inlineStr">
        <is>
          <t>Sophia Singh</t>
        </is>
      </c>
      <c r="O1244" t="n">
        <v>3</v>
      </c>
      <c r="P1244" s="3" t="n">
        <v>18.47</v>
      </c>
      <c r="Q1244" s="4" t="n">
        <v>0.028</v>
      </c>
      <c r="R1244" s="3" t="n">
        <v>53.86</v>
      </c>
      <c r="S1244" s="3" t="n">
        <v>21.77</v>
      </c>
      <c r="T1244" s="3" t="n">
        <v>23.69</v>
      </c>
      <c r="U1244" s="4" t="n">
        <v>0.4398</v>
      </c>
      <c r="V1244" s="3" t="n">
        <v>8.4</v>
      </c>
      <c r="W1244" t="inlineStr">
        <is>
          <t>Credit Card</t>
        </is>
      </c>
      <c r="X1244" t="inlineStr">
        <is>
          <t>Medium</t>
        </is>
      </c>
      <c r="Y1244" t="n">
        <v>2024</v>
      </c>
      <c r="Z1244" t="n">
        <v>10</v>
      </c>
      <c r="AA1244" t="inlineStr">
        <is>
          <t>Oct</t>
        </is>
      </c>
      <c r="AB1244" t="inlineStr">
        <is>
          <t>Saturday</t>
        </is>
      </c>
      <c r="AC1244" t="n">
        <v>4</v>
      </c>
      <c r="AD1244" t="inlineStr">
        <is>
          <t>Profitable</t>
        </is>
      </c>
      <c r="AE1244" t="inlineStr">
        <is>
          <t>Medium</t>
        </is>
      </c>
      <c r="AF1244" t="inlineStr">
        <is>
          <t>Small</t>
        </is>
      </c>
    </row>
    <row r="1245">
      <c r="A1245" t="inlineStr">
        <is>
          <t>ORD-01289</t>
        </is>
      </c>
      <c r="B1245" s="2" t="n">
        <v>44982</v>
      </c>
      <c r="C1245" s="2" t="n">
        <v>44988</v>
      </c>
      <c r="D1245" t="inlineStr">
        <is>
          <t>CUST-01289</t>
        </is>
      </c>
      <c r="E1245" t="inlineStr">
        <is>
          <t>Customer 1289</t>
        </is>
      </c>
      <c r="F1245" t="inlineStr">
        <is>
          <t>Consumer</t>
        </is>
      </c>
      <c r="G1245" t="inlineStr">
        <is>
          <t>P1006</t>
        </is>
      </c>
      <c r="H1245" t="inlineStr">
        <is>
          <t>Cove Wall Clock</t>
        </is>
      </c>
      <c r="I1245" t="inlineStr">
        <is>
          <t>Outdoor</t>
        </is>
      </c>
      <c r="J1245" t="inlineStr">
        <is>
          <t>Video</t>
        </is>
      </c>
      <c r="K1245" t="inlineStr">
        <is>
          <t>Central</t>
        </is>
      </c>
      <c r="L1245" t="inlineStr">
        <is>
          <t>Kansas</t>
        </is>
      </c>
      <c r="M1245" t="inlineStr">
        <is>
          <t>Kansas City</t>
        </is>
      </c>
      <c r="N1245" t="inlineStr">
        <is>
          <t>James Carter</t>
        </is>
      </c>
      <c r="O1245" t="n">
        <v>1</v>
      </c>
      <c r="P1245" s="3" t="n">
        <v>18.1</v>
      </c>
      <c r="Q1245" s="4" t="n">
        <v>0.007</v>
      </c>
      <c r="R1245" s="3" t="n">
        <v>17.97</v>
      </c>
      <c r="S1245" s="3" t="n">
        <v>16.89</v>
      </c>
      <c r="T1245" s="3" t="n">
        <v>-5.72</v>
      </c>
      <c r="U1245" s="4" t="n">
        <v>-0.3183</v>
      </c>
      <c r="V1245" s="3" t="n">
        <v>6.8</v>
      </c>
      <c r="W1245" t="inlineStr">
        <is>
          <t>PayPal</t>
        </is>
      </c>
      <c r="X1245" t="inlineStr">
        <is>
          <t>Medium</t>
        </is>
      </c>
      <c r="Y1245" t="n">
        <v>2023</v>
      </c>
      <c r="Z1245" t="n">
        <v>2</v>
      </c>
      <c r="AA1245" t="inlineStr">
        <is>
          <t>Feb</t>
        </is>
      </c>
      <c r="AB1245" t="inlineStr">
        <is>
          <t>Saturday</t>
        </is>
      </c>
      <c r="AC1245" t="n">
        <v>6</v>
      </c>
      <c r="AD1245" t="inlineStr">
        <is>
          <t>Unprofitable</t>
        </is>
      </c>
      <c r="AE1245" t="inlineStr">
        <is>
          <t>Low</t>
        </is>
      </c>
      <c r="AF1245" t="inlineStr">
        <is>
          <t>Small</t>
        </is>
      </c>
    </row>
    <row r="1246">
      <c r="A1246" t="inlineStr">
        <is>
          <t>ORD-01290</t>
        </is>
      </c>
      <c r="B1246" s="2" t="n">
        <v>45194</v>
      </c>
      <c r="C1246" s="2" t="n">
        <v>45196</v>
      </c>
      <c r="D1246" t="inlineStr">
        <is>
          <t>CUST-01290</t>
        </is>
      </c>
      <c r="E1246" t="inlineStr">
        <is>
          <t>Customer 1290</t>
        </is>
      </c>
      <c r="F1246" t="inlineStr">
        <is>
          <t>Consumer</t>
        </is>
      </c>
      <c r="G1246" t="inlineStr">
        <is>
          <t>P1006</t>
        </is>
      </c>
      <c r="H1246" t="inlineStr">
        <is>
          <t>Tide Cooler</t>
        </is>
      </c>
      <c r="I1246" t="inlineStr">
        <is>
          <t>Furniture</t>
        </is>
      </c>
      <c r="J1246" t="inlineStr">
        <is>
          <t>Coolers</t>
        </is>
      </c>
      <c r="K1246" t="inlineStr">
        <is>
          <t>Central</t>
        </is>
      </c>
      <c r="L1246" t="inlineStr">
        <is>
          <t>Missouri</t>
        </is>
      </c>
      <c r="M1246" t="inlineStr">
        <is>
          <t>Minneapolis</t>
        </is>
      </c>
      <c r="N1246" t="inlineStr">
        <is>
          <t>Ethan Brooks</t>
        </is>
      </c>
      <c r="O1246" t="n">
        <v>1</v>
      </c>
      <c r="P1246" s="3" t="n">
        <v>17.7</v>
      </c>
      <c r="Q1246" s="4" t="n">
        <v>0.029</v>
      </c>
      <c r="R1246" s="3" t="n">
        <v>17.19</v>
      </c>
      <c r="S1246" s="3" t="n">
        <v>16.92</v>
      </c>
      <c r="T1246" s="3" t="n">
        <v>-6.53</v>
      </c>
      <c r="U1246" s="4" t="n">
        <v>-0.3799</v>
      </c>
      <c r="V1246" s="3" t="n">
        <v>6.8</v>
      </c>
      <c r="W1246" t="inlineStr">
        <is>
          <t>Cash on Delivery</t>
        </is>
      </c>
      <c r="X1246" t="inlineStr">
        <is>
          <t>Medium</t>
        </is>
      </c>
      <c r="Y1246" t="n">
        <v>2023</v>
      </c>
      <c r="Z1246" t="n">
        <v>9</v>
      </c>
      <c r="AA1246" t="inlineStr">
        <is>
          <t>Sep</t>
        </is>
      </c>
      <c r="AB1246" t="inlineStr">
        <is>
          <t>Monday</t>
        </is>
      </c>
      <c r="AC1246" t="n">
        <v>2</v>
      </c>
      <c r="AD1246" t="inlineStr">
        <is>
          <t>Unprofitable</t>
        </is>
      </c>
      <c r="AE1246" t="inlineStr">
        <is>
          <t>Medium</t>
        </is>
      </c>
      <c r="AF1246" t="inlineStr">
        <is>
          <t>Small</t>
        </is>
      </c>
    </row>
    <row r="1247">
      <c r="A1247" t="inlineStr">
        <is>
          <t>ORD-01293</t>
        </is>
      </c>
      <c r="B1247" s="2" t="n">
        <v>45360</v>
      </c>
      <c r="C1247" s="2" t="n">
        <v>45365</v>
      </c>
      <c r="D1247" t="inlineStr">
        <is>
          <t>CUST-01293</t>
        </is>
      </c>
      <c r="E1247" t="inlineStr">
        <is>
          <t>Customer 1293</t>
        </is>
      </c>
      <c r="F1247" t="inlineStr">
        <is>
          <t>Consumer</t>
        </is>
      </c>
      <c r="G1247" t="inlineStr">
        <is>
          <t>P1009</t>
        </is>
      </c>
      <c r="H1247" t="inlineStr">
        <is>
          <t>ProClip Binder</t>
        </is>
      </c>
      <c r="I1247" t="inlineStr">
        <is>
          <t>Home Decor</t>
        </is>
      </c>
      <c r="J1247" t="inlineStr">
        <is>
          <t>Coolers</t>
        </is>
      </c>
      <c r="K1247" t="inlineStr">
        <is>
          <t>North</t>
        </is>
      </c>
      <c r="L1247" t="inlineStr">
        <is>
          <t>Alberta</t>
        </is>
      </c>
      <c r="M1247" t="inlineStr">
        <is>
          <t>Toronto</t>
        </is>
      </c>
      <c r="N1247" t="inlineStr">
        <is>
          <t>James Carter</t>
        </is>
      </c>
      <c r="O1247" t="n">
        <v>1</v>
      </c>
      <c r="P1247" s="3" t="n">
        <v>93.22</v>
      </c>
      <c r="Q1247" s="4" t="n">
        <v>0.007</v>
      </c>
      <c r="R1247" s="3" t="n">
        <v>92.56999999999999</v>
      </c>
      <c r="S1247" s="3" t="n">
        <v>55.12</v>
      </c>
      <c r="T1247" s="3" t="n">
        <v>30.65</v>
      </c>
      <c r="U1247" s="4" t="n">
        <v>0.3311</v>
      </c>
      <c r="V1247" s="3" t="n">
        <v>6.8</v>
      </c>
      <c r="W1247" t="inlineStr">
        <is>
          <t>Credit Card</t>
        </is>
      </c>
      <c r="X1247" t="inlineStr">
        <is>
          <t>Low</t>
        </is>
      </c>
      <c r="Y1247" t="n">
        <v>2024</v>
      </c>
      <c r="Z1247" t="n">
        <v>3</v>
      </c>
      <c r="AA1247" t="inlineStr">
        <is>
          <t>Mar</t>
        </is>
      </c>
      <c r="AB1247" t="inlineStr">
        <is>
          <t>Saturday</t>
        </is>
      </c>
      <c r="AC1247" t="n">
        <v>5</v>
      </c>
      <c r="AD1247" t="inlineStr">
        <is>
          <t>Profitable</t>
        </is>
      </c>
      <c r="AE1247" t="inlineStr">
        <is>
          <t>Low</t>
        </is>
      </c>
      <c r="AF1247" t="inlineStr">
        <is>
          <t>Small</t>
        </is>
      </c>
    </row>
    <row r="1248">
      <c r="A1248" t="inlineStr">
        <is>
          <t>ORD-01296</t>
        </is>
      </c>
      <c r="B1248" s="2" t="n">
        <v>45097</v>
      </c>
      <c r="C1248" s="2" t="n">
        <v>45103</v>
      </c>
      <c r="D1248" t="inlineStr">
        <is>
          <t>CUST-01296</t>
        </is>
      </c>
      <c r="E1248" t="inlineStr">
        <is>
          <t>Customer 1296</t>
        </is>
      </c>
      <c r="F1248" t="inlineStr">
        <is>
          <t>Consumer</t>
        </is>
      </c>
      <c r="G1248" t="inlineStr">
        <is>
          <t>P1016</t>
        </is>
      </c>
      <c r="H1248" t="inlineStr">
        <is>
          <t>Northstar Lantern</t>
        </is>
      </c>
      <c r="I1248" t="inlineStr">
        <is>
          <t>Technology</t>
        </is>
      </c>
      <c r="J1248" t="inlineStr">
        <is>
          <t>Accessories</t>
        </is>
      </c>
      <c r="K1248" t="inlineStr">
        <is>
          <t>Central</t>
        </is>
      </c>
      <c r="L1248" t="inlineStr">
        <is>
          <t>Missouri</t>
        </is>
      </c>
      <c r="M1248" t="inlineStr">
        <is>
          <t>Chicago</t>
        </is>
      </c>
      <c r="N1248" t="inlineStr">
        <is>
          <t>Sophia Singh</t>
        </is>
      </c>
      <c r="O1248" t="n">
        <v>4</v>
      </c>
      <c r="P1248" s="3" t="n">
        <v>39.19</v>
      </c>
      <c r="Q1248" s="4" t="n">
        <v>0.059</v>
      </c>
      <c r="R1248" s="3" t="n">
        <v>147.51</v>
      </c>
      <c r="S1248" s="3" t="n">
        <v>60.28</v>
      </c>
      <c r="T1248" s="3" t="n">
        <v>78.03</v>
      </c>
      <c r="U1248" s="4" t="n">
        <v>0.529</v>
      </c>
      <c r="V1248" s="3" t="n">
        <v>9.199999999999999</v>
      </c>
      <c r="W1248" t="inlineStr">
        <is>
          <t>Bank Transfer</t>
        </is>
      </c>
      <c r="X1248" t="inlineStr">
        <is>
          <t>High</t>
        </is>
      </c>
      <c r="Y1248" t="n">
        <v>2023</v>
      </c>
      <c r="Z1248" t="n">
        <v>6</v>
      </c>
      <c r="AA1248" t="inlineStr">
        <is>
          <t>Jun</t>
        </is>
      </c>
      <c r="AB1248" t="inlineStr">
        <is>
          <t>Tuesday</t>
        </is>
      </c>
      <c r="AC1248" t="n">
        <v>6</v>
      </c>
      <c r="AD1248" t="inlineStr">
        <is>
          <t>Profitable</t>
        </is>
      </c>
      <c r="AE1248" t="inlineStr">
        <is>
          <t>High</t>
        </is>
      </c>
      <c r="AF1248" t="inlineStr">
        <is>
          <t>Small</t>
        </is>
      </c>
    </row>
    <row r="1249">
      <c r="A1249" t="inlineStr">
        <is>
          <t>ORD-01305</t>
        </is>
      </c>
      <c r="B1249" s="2" t="n">
        <v>45932</v>
      </c>
      <c r="C1249" s="2" t="n">
        <v>45933</v>
      </c>
      <c r="D1249" t="inlineStr">
        <is>
          <t>CUST-01305</t>
        </is>
      </c>
      <c r="E1249" t="inlineStr">
        <is>
          <t>Customer 1305</t>
        </is>
      </c>
      <c r="F1249" t="inlineStr">
        <is>
          <t>Home Office</t>
        </is>
      </c>
      <c r="G1249" t="inlineStr">
        <is>
          <t>P1003</t>
        </is>
      </c>
      <c r="H1249" t="inlineStr">
        <is>
          <t>Cove Wall Clock</t>
        </is>
      </c>
      <c r="I1249" t="inlineStr">
        <is>
          <t>Furniture</t>
        </is>
      </c>
      <c r="J1249" t="inlineStr">
        <is>
          <t>Accessories</t>
        </is>
      </c>
      <c r="K1249" t="inlineStr">
        <is>
          <t>North</t>
        </is>
      </c>
      <c r="L1249" t="inlineStr">
        <is>
          <t>British Columbia</t>
        </is>
      </c>
      <c r="M1249" t="inlineStr">
        <is>
          <t>Vancouver</t>
        </is>
      </c>
      <c r="N1249" t="inlineStr">
        <is>
          <t>Mia Rodriguez</t>
        </is>
      </c>
      <c r="O1249" t="n">
        <v>3</v>
      </c>
      <c r="P1249" s="3" t="n">
        <v>165.48</v>
      </c>
      <c r="Q1249" s="4" t="n">
        <v>0.015</v>
      </c>
      <c r="R1249" s="3" t="n">
        <v>488.99</v>
      </c>
      <c r="S1249" s="3" t="n">
        <v>255.69</v>
      </c>
      <c r="T1249" s="3" t="n">
        <v>224.9</v>
      </c>
      <c r="U1249" s="4" t="n">
        <v>0.4599</v>
      </c>
      <c r="V1249" s="3" t="n">
        <v>8.4</v>
      </c>
      <c r="W1249" t="inlineStr">
        <is>
          <t>Debit Card</t>
        </is>
      </c>
      <c r="X1249" t="inlineStr">
        <is>
          <t>Low</t>
        </is>
      </c>
      <c r="Y1249" t="n">
        <v>2025</v>
      </c>
      <c r="Z1249" t="n">
        <v>10</v>
      </c>
      <c r="AA1249" t="inlineStr">
        <is>
          <t>Oct</t>
        </is>
      </c>
      <c r="AB1249" t="inlineStr">
        <is>
          <t>Thursday</t>
        </is>
      </c>
      <c r="AC1249" t="n">
        <v>1</v>
      </c>
      <c r="AD1249" t="inlineStr">
        <is>
          <t>Profitable</t>
        </is>
      </c>
      <c r="AE1249" t="inlineStr">
        <is>
          <t>Low</t>
        </is>
      </c>
      <c r="AF1249" t="inlineStr">
        <is>
          <t>Small</t>
        </is>
      </c>
    </row>
    <row r="1250">
      <c r="A1250" t="inlineStr">
        <is>
          <t>ORD-01306</t>
        </is>
      </c>
      <c r="B1250" s="2" t="n">
        <v>45975</v>
      </c>
      <c r="C1250" s="2" t="n">
        <v>45977</v>
      </c>
      <c r="D1250" t="inlineStr">
        <is>
          <t>CUST-01306</t>
        </is>
      </c>
      <c r="E1250" t="inlineStr">
        <is>
          <t>Customer 1306</t>
        </is>
      </c>
      <c r="F1250" t="inlineStr">
        <is>
          <t>Consumer</t>
        </is>
      </c>
      <c r="G1250" t="inlineStr">
        <is>
          <t>P1002</t>
        </is>
      </c>
      <c r="H1250" t="inlineStr">
        <is>
          <t>ErgoMesh Chair</t>
        </is>
      </c>
      <c r="I1250" t="inlineStr">
        <is>
          <t>Office Supplies</t>
        </is>
      </c>
      <c r="J1250" t="inlineStr">
        <is>
          <t>Plants</t>
        </is>
      </c>
      <c r="K1250" t="inlineStr">
        <is>
          <t>Central</t>
        </is>
      </c>
      <c r="L1250" t="inlineStr">
        <is>
          <t>Minnesota</t>
        </is>
      </c>
      <c r="M1250" t="inlineStr">
        <is>
          <t>St. Louis</t>
        </is>
      </c>
      <c r="N1250" t="inlineStr">
        <is>
          <t>Ava Patel</t>
        </is>
      </c>
      <c r="O1250" t="n">
        <v>2</v>
      </c>
      <c r="P1250" s="3" t="n">
        <v>84</v>
      </c>
      <c r="Q1250" s="4" t="n">
        <v>0.059</v>
      </c>
      <c r="R1250" s="3" t="n">
        <v>158.09</v>
      </c>
      <c r="S1250" s="3" t="n">
        <v>80.34999999999999</v>
      </c>
      <c r="T1250" s="3" t="n">
        <v>70.14</v>
      </c>
      <c r="U1250" s="4" t="n">
        <v>0.4437</v>
      </c>
      <c r="V1250" s="3" t="n">
        <v>7.6</v>
      </c>
      <c r="W1250" t="inlineStr">
        <is>
          <t>Debit Card</t>
        </is>
      </c>
      <c r="X1250" t="inlineStr">
        <is>
          <t>High</t>
        </is>
      </c>
      <c r="Y1250" t="n">
        <v>2025</v>
      </c>
      <c r="Z1250" t="n">
        <v>11</v>
      </c>
      <c r="AA1250" t="inlineStr">
        <is>
          <t>Nov</t>
        </is>
      </c>
      <c r="AB1250" t="inlineStr">
        <is>
          <t>Friday</t>
        </is>
      </c>
      <c r="AC1250" t="n">
        <v>2</v>
      </c>
      <c r="AD1250" t="inlineStr">
        <is>
          <t>Profitable</t>
        </is>
      </c>
      <c r="AE1250" t="inlineStr">
        <is>
          <t>High</t>
        </is>
      </c>
      <c r="AF1250" t="inlineStr">
        <is>
          <t>Small</t>
        </is>
      </c>
    </row>
    <row r="1251">
      <c r="A1251" t="inlineStr">
        <is>
          <t>ORD-01307</t>
        </is>
      </c>
      <c r="B1251" s="2" t="n">
        <v>45816</v>
      </c>
      <c r="C1251" s="2" t="n">
        <v>45818</v>
      </c>
      <c r="D1251" t="inlineStr">
        <is>
          <t>CUST-01307</t>
        </is>
      </c>
      <c r="E1251" t="inlineStr">
        <is>
          <t>Customer 1307</t>
        </is>
      </c>
      <c r="F1251" t="inlineStr">
        <is>
          <t>Consumer</t>
        </is>
      </c>
      <c r="G1251" t="inlineStr">
        <is>
          <t>P1018</t>
        </is>
      </c>
      <c r="H1251" t="inlineStr">
        <is>
          <t>Summit Patio Set</t>
        </is>
      </c>
      <c r="I1251" t="inlineStr">
        <is>
          <t>Outdoor</t>
        </is>
      </c>
      <c r="J1251" t="inlineStr">
        <is>
          <t>Textiles</t>
        </is>
      </c>
      <c r="K1251" t="inlineStr">
        <is>
          <t>Central</t>
        </is>
      </c>
      <c r="L1251" t="inlineStr">
        <is>
          <t>Missouri</t>
        </is>
      </c>
      <c r="M1251" t="inlineStr">
        <is>
          <t>Kansas City</t>
        </is>
      </c>
      <c r="N1251" t="inlineStr">
        <is>
          <t>Sophia Singh</t>
        </is>
      </c>
      <c r="O1251" t="n">
        <v>2</v>
      </c>
      <c r="P1251" s="3" t="n">
        <v>91.65000000000001</v>
      </c>
      <c r="Q1251" s="4" t="n">
        <v>0.03</v>
      </c>
      <c r="R1251" s="3" t="n">
        <v>177.8</v>
      </c>
      <c r="S1251" s="3" t="n">
        <v>82.63</v>
      </c>
      <c r="T1251" s="3" t="n">
        <v>87.56999999999999</v>
      </c>
      <c r="U1251" s="4" t="n">
        <v>0.4925</v>
      </c>
      <c r="V1251" s="3" t="n">
        <v>7.6</v>
      </c>
      <c r="W1251" t="inlineStr">
        <is>
          <t>Credit Card</t>
        </is>
      </c>
      <c r="X1251" t="inlineStr">
        <is>
          <t>Medium</t>
        </is>
      </c>
      <c r="Y1251" t="n">
        <v>2025</v>
      </c>
      <c r="Z1251" t="n">
        <v>6</v>
      </c>
      <c r="AA1251" t="inlineStr">
        <is>
          <t>Jun</t>
        </is>
      </c>
      <c r="AB1251" t="inlineStr">
        <is>
          <t>Sunday</t>
        </is>
      </c>
      <c r="AC1251" t="n">
        <v>2</v>
      </c>
      <c r="AD1251" t="inlineStr">
        <is>
          <t>Profitable</t>
        </is>
      </c>
      <c r="AE1251" t="inlineStr">
        <is>
          <t>Medium</t>
        </is>
      </c>
      <c r="AF1251" t="inlineStr">
        <is>
          <t>Small</t>
        </is>
      </c>
    </row>
    <row r="1252">
      <c r="A1252" t="inlineStr">
        <is>
          <t>ORD-01308</t>
        </is>
      </c>
      <c r="B1252" s="2" t="n">
        <v>45953</v>
      </c>
      <c r="C1252" s="2" t="n">
        <v>45956</v>
      </c>
      <c r="D1252" t="inlineStr">
        <is>
          <t>CUST-01308</t>
        </is>
      </c>
      <c r="E1252" t="inlineStr">
        <is>
          <t>Customer 1308</t>
        </is>
      </c>
      <c r="F1252" t="inlineStr">
        <is>
          <t>Corporate</t>
        </is>
      </c>
      <c r="G1252" t="inlineStr">
        <is>
          <t>P1014</t>
        </is>
      </c>
      <c r="H1252" t="inlineStr">
        <is>
          <t>Atlas Throw Pillow</t>
        </is>
      </c>
      <c r="I1252" t="inlineStr">
        <is>
          <t>Furniture</t>
        </is>
      </c>
      <c r="J1252" t="inlineStr">
        <is>
          <t>Accessories</t>
        </is>
      </c>
      <c r="K1252" t="inlineStr">
        <is>
          <t>Central</t>
        </is>
      </c>
      <c r="L1252" t="inlineStr">
        <is>
          <t>Missouri</t>
        </is>
      </c>
      <c r="M1252" t="inlineStr">
        <is>
          <t>Kansas City</t>
        </is>
      </c>
      <c r="N1252" t="inlineStr">
        <is>
          <t>Olivia Martin</t>
        </is>
      </c>
      <c r="O1252" t="n">
        <v>4</v>
      </c>
      <c r="P1252" s="3" t="n">
        <v>47.36</v>
      </c>
      <c r="Q1252" s="4" t="n">
        <v>0.043</v>
      </c>
      <c r="R1252" s="3" t="n">
        <v>181.29</v>
      </c>
      <c r="S1252" s="3" t="n">
        <v>76.68000000000001</v>
      </c>
      <c r="T1252" s="3" t="n">
        <v>95.41</v>
      </c>
      <c r="U1252" s="4" t="n">
        <v>0.5263</v>
      </c>
      <c r="V1252" s="3" t="n">
        <v>9.199999999999999</v>
      </c>
      <c r="W1252" t="inlineStr">
        <is>
          <t>Credit Card</t>
        </is>
      </c>
      <c r="X1252" t="inlineStr">
        <is>
          <t>High</t>
        </is>
      </c>
      <c r="Y1252" t="n">
        <v>2025</v>
      </c>
      <c r="Z1252" t="n">
        <v>10</v>
      </c>
      <c r="AA1252" t="inlineStr">
        <is>
          <t>Oct</t>
        </is>
      </c>
      <c r="AB1252" t="inlineStr">
        <is>
          <t>Thursday</t>
        </is>
      </c>
      <c r="AC1252" t="n">
        <v>3</v>
      </c>
      <c r="AD1252" t="inlineStr">
        <is>
          <t>Profitable</t>
        </is>
      </c>
      <c r="AE1252" t="inlineStr">
        <is>
          <t>Medium</t>
        </is>
      </c>
      <c r="AF1252" t="inlineStr">
        <is>
          <t>Small</t>
        </is>
      </c>
    </row>
    <row r="1253">
      <c r="A1253" t="inlineStr">
        <is>
          <t>ORD-01309</t>
        </is>
      </c>
      <c r="B1253" s="2" t="n">
        <v>45318</v>
      </c>
      <c r="C1253" s="2" t="n">
        <v>45324</v>
      </c>
      <c r="D1253" t="inlineStr">
        <is>
          <t>CUST-01309</t>
        </is>
      </c>
      <c r="E1253" t="inlineStr">
        <is>
          <t>Customer 1309</t>
        </is>
      </c>
      <c r="F1253" t="inlineStr">
        <is>
          <t>Consumer</t>
        </is>
      </c>
      <c r="G1253" t="inlineStr">
        <is>
          <t>P1005</t>
        </is>
      </c>
      <c r="H1253" t="inlineStr">
        <is>
          <t>FlexNote Notebook</t>
        </is>
      </c>
      <c r="I1253" t="inlineStr">
        <is>
          <t>Technology</t>
        </is>
      </c>
      <c r="J1253" t="inlineStr">
        <is>
          <t>Paper</t>
        </is>
      </c>
      <c r="K1253" t="inlineStr">
        <is>
          <t>South</t>
        </is>
      </c>
      <c r="L1253" t="inlineStr">
        <is>
          <t>North Carolina</t>
        </is>
      </c>
      <c r="M1253" t="inlineStr">
        <is>
          <t>Dallas</t>
        </is>
      </c>
      <c r="N1253" t="inlineStr">
        <is>
          <t>Liam Chen</t>
        </is>
      </c>
      <c r="O1253" t="n">
        <v>4</v>
      </c>
      <c r="P1253" s="3" t="n">
        <v>11.73</v>
      </c>
      <c r="Q1253" s="4" t="n">
        <v>0.004</v>
      </c>
      <c r="R1253" s="3" t="n">
        <v>46.73</v>
      </c>
      <c r="S1253" s="3" t="n">
        <v>22.58</v>
      </c>
      <c r="T1253" s="3" t="n">
        <v>14.95</v>
      </c>
      <c r="U1253" s="4" t="n">
        <v>0.3199</v>
      </c>
      <c r="V1253" s="3" t="n">
        <v>9.199999999999999</v>
      </c>
      <c r="W1253" t="inlineStr">
        <is>
          <t>PayPal</t>
        </is>
      </c>
      <c r="X1253" t="inlineStr">
        <is>
          <t>Low</t>
        </is>
      </c>
      <c r="Y1253" t="n">
        <v>2024</v>
      </c>
      <c r="Z1253" t="n">
        <v>1</v>
      </c>
      <c r="AA1253" t="inlineStr">
        <is>
          <t>Jan</t>
        </is>
      </c>
      <c r="AB1253" t="inlineStr">
        <is>
          <t>Saturday</t>
        </is>
      </c>
      <c r="AC1253" t="n">
        <v>6</v>
      </c>
      <c r="AD1253" t="inlineStr">
        <is>
          <t>Profitable</t>
        </is>
      </c>
      <c r="AE1253" t="inlineStr">
        <is>
          <t>Low</t>
        </is>
      </c>
      <c r="AF1253" t="inlineStr">
        <is>
          <t>Small</t>
        </is>
      </c>
    </row>
    <row r="1254">
      <c r="A1254" t="inlineStr">
        <is>
          <t>ORD-01313</t>
        </is>
      </c>
      <c r="B1254" s="2" t="n">
        <v>45611</v>
      </c>
      <c r="C1254" s="2" t="n">
        <v>45618</v>
      </c>
      <c r="D1254" t="inlineStr">
        <is>
          <t>CUST-01313</t>
        </is>
      </c>
      <c r="E1254" t="inlineStr">
        <is>
          <t>Customer 1313</t>
        </is>
      </c>
      <c r="F1254" t="inlineStr">
        <is>
          <t>Consumer</t>
        </is>
      </c>
      <c r="G1254" t="inlineStr">
        <is>
          <t>P1008</t>
        </is>
      </c>
      <c r="H1254" t="inlineStr">
        <is>
          <t>Lumen Desk Lamp</t>
        </is>
      </c>
      <c r="I1254" t="inlineStr">
        <is>
          <t>Furniture</t>
        </is>
      </c>
      <c r="J1254" t="inlineStr">
        <is>
          <t>Lighting</t>
        </is>
      </c>
      <c r="K1254" t="inlineStr">
        <is>
          <t>North</t>
        </is>
      </c>
      <c r="L1254" t="inlineStr">
        <is>
          <t>Quebec</t>
        </is>
      </c>
      <c r="M1254" t="inlineStr">
        <is>
          <t>Calgary</t>
        </is>
      </c>
      <c r="N1254" t="inlineStr">
        <is>
          <t>Olivia Martin</t>
        </is>
      </c>
      <c r="O1254" t="n">
        <v>1</v>
      </c>
      <c r="P1254" s="3" t="n">
        <v>39.33</v>
      </c>
      <c r="Q1254" s="4" t="n">
        <v>0.004</v>
      </c>
      <c r="R1254" s="3" t="n">
        <v>39.17</v>
      </c>
      <c r="S1254" s="3" t="n">
        <v>26.64</v>
      </c>
      <c r="T1254" s="3" t="n">
        <v>5.73</v>
      </c>
      <c r="U1254" s="4" t="n">
        <v>0.1463</v>
      </c>
      <c r="V1254" s="3" t="n">
        <v>6.8</v>
      </c>
      <c r="W1254" t="inlineStr">
        <is>
          <t>Bank Transfer</t>
        </is>
      </c>
      <c r="X1254" t="inlineStr">
        <is>
          <t>Medium</t>
        </is>
      </c>
      <c r="Y1254" t="n">
        <v>2024</v>
      </c>
      <c r="Z1254" t="n">
        <v>11</v>
      </c>
      <c r="AA1254" t="inlineStr">
        <is>
          <t>Nov</t>
        </is>
      </c>
      <c r="AB1254" t="inlineStr">
        <is>
          <t>Friday</t>
        </is>
      </c>
      <c r="AC1254" t="n">
        <v>7</v>
      </c>
      <c r="AD1254" t="inlineStr">
        <is>
          <t>Profitable</t>
        </is>
      </c>
      <c r="AE1254" t="inlineStr">
        <is>
          <t>Low</t>
        </is>
      </c>
      <c r="AF1254" t="inlineStr">
        <is>
          <t>Small</t>
        </is>
      </c>
    </row>
    <row r="1255">
      <c r="A1255" t="inlineStr">
        <is>
          <t>ORD-01314</t>
        </is>
      </c>
      <c r="B1255" s="2" t="n">
        <v>45782</v>
      </c>
      <c r="C1255" s="2" t="n">
        <v>45783</v>
      </c>
      <c r="D1255" t="inlineStr">
        <is>
          <t>CUST-01314</t>
        </is>
      </c>
      <c r="E1255" t="inlineStr">
        <is>
          <t>Customer 1314</t>
        </is>
      </c>
      <c r="F1255" t="inlineStr">
        <is>
          <t>Consumer</t>
        </is>
      </c>
      <c r="G1255" t="inlineStr">
        <is>
          <t>P1007</t>
        </is>
      </c>
      <c r="H1255" t="inlineStr">
        <is>
          <t>Cove Wall Clock</t>
        </is>
      </c>
      <c r="I1255" t="inlineStr">
        <is>
          <t>Furniture</t>
        </is>
      </c>
      <c r="J1255" t="inlineStr">
        <is>
          <t>Decor</t>
        </is>
      </c>
      <c r="K1255" t="inlineStr">
        <is>
          <t>South</t>
        </is>
      </c>
      <c r="L1255" t="inlineStr">
        <is>
          <t>North Carolina</t>
        </is>
      </c>
      <c r="M1255" t="inlineStr">
        <is>
          <t>Miami</t>
        </is>
      </c>
      <c r="N1255" t="inlineStr">
        <is>
          <t>Ethan Brooks</t>
        </is>
      </c>
      <c r="O1255" t="n">
        <v>4</v>
      </c>
      <c r="P1255" s="3" t="n">
        <v>24.35</v>
      </c>
      <c r="Q1255" s="4" t="n">
        <v>0.019</v>
      </c>
      <c r="R1255" s="3" t="n">
        <v>95.55</v>
      </c>
      <c r="S1255" s="3" t="n">
        <v>40.09</v>
      </c>
      <c r="T1255" s="3" t="n">
        <v>46.26</v>
      </c>
      <c r="U1255" s="4" t="n">
        <v>0.4841</v>
      </c>
      <c r="V1255" s="3" t="n">
        <v>9.199999999999999</v>
      </c>
      <c r="W1255" t="inlineStr">
        <is>
          <t>Cash on Delivery</t>
        </is>
      </c>
      <c r="X1255" t="inlineStr">
        <is>
          <t>Medium</t>
        </is>
      </c>
      <c r="Y1255" t="n">
        <v>2025</v>
      </c>
      <c r="Z1255" t="n">
        <v>5</v>
      </c>
      <c r="AA1255" t="inlineStr">
        <is>
          <t>May</t>
        </is>
      </c>
      <c r="AB1255" t="inlineStr">
        <is>
          <t>Monday</t>
        </is>
      </c>
      <c r="AC1255" t="n">
        <v>1</v>
      </c>
      <c r="AD1255" t="inlineStr">
        <is>
          <t>Profitable</t>
        </is>
      </c>
      <c r="AE1255" t="inlineStr">
        <is>
          <t>Low</t>
        </is>
      </c>
      <c r="AF1255" t="inlineStr">
        <is>
          <t>Small</t>
        </is>
      </c>
    </row>
    <row r="1256">
      <c r="A1256" t="inlineStr">
        <is>
          <t>ORD-01315</t>
        </is>
      </c>
      <c r="B1256" s="2" t="n">
        <v>45557</v>
      </c>
      <c r="C1256" s="2" t="n">
        <v>45564</v>
      </c>
      <c r="D1256" t="inlineStr">
        <is>
          <t>CUST-01315</t>
        </is>
      </c>
      <c r="E1256" t="inlineStr">
        <is>
          <t>Customer 1315</t>
        </is>
      </c>
      <c r="F1256" t="inlineStr">
        <is>
          <t>Corporate</t>
        </is>
      </c>
      <c r="G1256" t="inlineStr">
        <is>
          <t>P1007</t>
        </is>
      </c>
      <c r="H1256" t="inlineStr">
        <is>
          <t>Northstar Lantern</t>
        </is>
      </c>
      <c r="I1256" t="inlineStr">
        <is>
          <t>Technology</t>
        </is>
      </c>
      <c r="J1256" t="inlineStr">
        <is>
          <t>Plants</t>
        </is>
      </c>
      <c r="K1256" t="inlineStr">
        <is>
          <t>North</t>
        </is>
      </c>
      <c r="L1256" t="inlineStr">
        <is>
          <t>Ontario</t>
        </is>
      </c>
      <c r="M1256" t="inlineStr">
        <is>
          <t>Toronto</t>
        </is>
      </c>
      <c r="N1256" t="inlineStr">
        <is>
          <t>Ava Patel</t>
        </is>
      </c>
      <c r="O1256" t="n">
        <v>1</v>
      </c>
      <c r="P1256" s="3" t="n">
        <v>23.52</v>
      </c>
      <c r="Q1256" s="4" t="n">
        <v>0.038</v>
      </c>
      <c r="R1256" s="3" t="n">
        <v>22.63</v>
      </c>
      <c r="S1256" s="3" t="n">
        <v>17.31</v>
      </c>
      <c r="T1256" s="3" t="n">
        <v>-1.48</v>
      </c>
      <c r="U1256" s="4" t="n">
        <v>-0.0654</v>
      </c>
      <c r="V1256" s="3" t="n">
        <v>6.8</v>
      </c>
      <c r="W1256" t="inlineStr">
        <is>
          <t>PayPal</t>
        </is>
      </c>
      <c r="X1256" t="inlineStr">
        <is>
          <t>Medium</t>
        </is>
      </c>
      <c r="Y1256" t="n">
        <v>2024</v>
      </c>
      <c r="Z1256" t="n">
        <v>9</v>
      </c>
      <c r="AA1256" t="inlineStr">
        <is>
          <t>Sep</t>
        </is>
      </c>
      <c r="AB1256" t="inlineStr">
        <is>
          <t>Sunday</t>
        </is>
      </c>
      <c r="AC1256" t="n">
        <v>7</v>
      </c>
      <c r="AD1256" t="inlineStr">
        <is>
          <t>Unprofitable</t>
        </is>
      </c>
      <c r="AE1256" t="inlineStr">
        <is>
          <t>Medium</t>
        </is>
      </c>
      <c r="AF1256" t="inlineStr">
        <is>
          <t>Small</t>
        </is>
      </c>
    </row>
    <row r="1257">
      <c r="A1257" t="inlineStr">
        <is>
          <t>ORD-01317</t>
        </is>
      </c>
      <c r="B1257" s="2" t="n">
        <v>45522</v>
      </c>
      <c r="C1257" s="2" t="n">
        <v>45529</v>
      </c>
      <c r="D1257" t="inlineStr">
        <is>
          <t>CUST-01317</t>
        </is>
      </c>
      <c r="E1257" t="inlineStr">
        <is>
          <t>Customer 1317</t>
        </is>
      </c>
      <c r="F1257" t="inlineStr">
        <is>
          <t>Consumer</t>
        </is>
      </c>
      <c r="G1257" t="inlineStr">
        <is>
          <t>P1007</t>
        </is>
      </c>
      <c r="H1257" t="inlineStr">
        <is>
          <t>Harbor Rug</t>
        </is>
      </c>
      <c r="I1257" t="inlineStr">
        <is>
          <t>Office Supplies</t>
        </is>
      </c>
      <c r="J1257" t="inlineStr">
        <is>
          <t>Desks</t>
        </is>
      </c>
      <c r="K1257" t="inlineStr">
        <is>
          <t>South</t>
        </is>
      </c>
      <c r="L1257" t="inlineStr">
        <is>
          <t>Texas</t>
        </is>
      </c>
      <c r="M1257" t="inlineStr">
        <is>
          <t>Miami</t>
        </is>
      </c>
      <c r="N1257" t="inlineStr">
        <is>
          <t>Sophia Singh</t>
        </is>
      </c>
      <c r="O1257" t="n">
        <v>4</v>
      </c>
      <c r="P1257" s="3" t="n">
        <v>25.05</v>
      </c>
      <c r="Q1257" s="4" t="n">
        <v>0.007</v>
      </c>
      <c r="R1257" s="3" t="n">
        <v>99.5</v>
      </c>
      <c r="S1257" s="3" t="n">
        <v>39.24</v>
      </c>
      <c r="T1257" s="3" t="n">
        <v>51.06</v>
      </c>
      <c r="U1257" s="4" t="n">
        <v>0.5132</v>
      </c>
      <c r="V1257" s="3" t="n">
        <v>9.199999999999999</v>
      </c>
      <c r="W1257" t="inlineStr">
        <is>
          <t>Credit Card</t>
        </is>
      </c>
      <c r="X1257" t="inlineStr">
        <is>
          <t>Medium</t>
        </is>
      </c>
      <c r="Y1257" t="n">
        <v>2024</v>
      </c>
      <c r="Z1257" t="n">
        <v>8</v>
      </c>
      <c r="AA1257" t="inlineStr">
        <is>
          <t>Aug</t>
        </is>
      </c>
      <c r="AB1257" t="inlineStr">
        <is>
          <t>Sunday</t>
        </is>
      </c>
      <c r="AC1257" t="n">
        <v>7</v>
      </c>
      <c r="AD1257" t="inlineStr">
        <is>
          <t>Profitable</t>
        </is>
      </c>
      <c r="AE1257" t="inlineStr">
        <is>
          <t>Low</t>
        </is>
      </c>
      <c r="AF1257" t="inlineStr">
        <is>
          <t>Small</t>
        </is>
      </c>
    </row>
    <row r="1258">
      <c r="A1258" t="inlineStr">
        <is>
          <t>ORD-01318</t>
        </is>
      </c>
      <c r="B1258" s="2" t="n">
        <v>45810</v>
      </c>
      <c r="C1258" s="2" t="n">
        <v>45816</v>
      </c>
      <c r="D1258" t="inlineStr">
        <is>
          <t>CUST-01318</t>
        </is>
      </c>
      <c r="E1258" t="inlineStr">
        <is>
          <t>Customer 1318</t>
        </is>
      </c>
      <c r="F1258" t="inlineStr">
        <is>
          <t>Home Office</t>
        </is>
      </c>
      <c r="G1258" t="inlineStr">
        <is>
          <t>P1012</t>
        </is>
      </c>
      <c r="H1258" t="inlineStr">
        <is>
          <t>ProClip Binder</t>
        </is>
      </c>
      <c r="I1258" t="inlineStr">
        <is>
          <t>Furniture</t>
        </is>
      </c>
      <c r="J1258" t="inlineStr">
        <is>
          <t>Furniture</t>
        </is>
      </c>
      <c r="K1258" t="inlineStr">
        <is>
          <t>Central</t>
        </is>
      </c>
      <c r="L1258" t="inlineStr">
        <is>
          <t>Illinois</t>
        </is>
      </c>
      <c r="M1258" t="inlineStr">
        <is>
          <t>Chicago</t>
        </is>
      </c>
      <c r="N1258" t="inlineStr">
        <is>
          <t>Olivia Martin</t>
        </is>
      </c>
      <c r="O1258" t="n">
        <v>2</v>
      </c>
      <c r="P1258" s="3" t="n">
        <v>136.32</v>
      </c>
      <c r="Q1258" s="4" t="n">
        <v>0.021</v>
      </c>
      <c r="R1258" s="3" t="n">
        <v>266.91</v>
      </c>
      <c r="S1258" s="3" t="n">
        <v>138.81</v>
      </c>
      <c r="T1258" s="3" t="n">
        <v>120.5</v>
      </c>
      <c r="U1258" s="4" t="n">
        <v>0.4515</v>
      </c>
      <c r="V1258" s="3" t="n">
        <v>7.6</v>
      </c>
      <c r="W1258" t="inlineStr">
        <is>
          <t>PayPal</t>
        </is>
      </c>
      <c r="X1258" t="inlineStr">
        <is>
          <t>Medium</t>
        </is>
      </c>
      <c r="Y1258" t="n">
        <v>2025</v>
      </c>
      <c r="Z1258" t="n">
        <v>6</v>
      </c>
      <c r="AA1258" t="inlineStr">
        <is>
          <t>Jun</t>
        </is>
      </c>
      <c r="AB1258" t="inlineStr">
        <is>
          <t>Monday</t>
        </is>
      </c>
      <c r="AC1258" t="n">
        <v>6</v>
      </c>
      <c r="AD1258" t="inlineStr">
        <is>
          <t>Profitable</t>
        </is>
      </c>
      <c r="AE1258" t="inlineStr">
        <is>
          <t>Medium</t>
        </is>
      </c>
      <c r="AF1258" t="inlineStr">
        <is>
          <t>Small</t>
        </is>
      </c>
    </row>
    <row r="1259">
      <c r="A1259" t="inlineStr">
        <is>
          <t>ORD-01320</t>
        </is>
      </c>
      <c r="B1259" s="2" t="n">
        <v>45060</v>
      </c>
      <c r="C1259" s="2" t="n">
        <v>45061</v>
      </c>
      <c r="D1259" t="inlineStr">
        <is>
          <t>CUST-01320</t>
        </is>
      </c>
      <c r="E1259" t="inlineStr">
        <is>
          <t>Customer 1320</t>
        </is>
      </c>
      <c r="F1259" t="inlineStr">
        <is>
          <t>Home Office</t>
        </is>
      </c>
      <c r="G1259" t="inlineStr">
        <is>
          <t>P1007</t>
        </is>
      </c>
      <c r="H1259" t="inlineStr">
        <is>
          <t>Trail Tote</t>
        </is>
      </c>
      <c r="I1259" t="inlineStr">
        <is>
          <t>Office Supplies</t>
        </is>
      </c>
      <c r="J1259" t="inlineStr">
        <is>
          <t>Writing</t>
        </is>
      </c>
      <c r="K1259" t="inlineStr">
        <is>
          <t>South</t>
        </is>
      </c>
      <c r="L1259" t="inlineStr">
        <is>
          <t>Georgia</t>
        </is>
      </c>
      <c r="M1259" t="inlineStr">
        <is>
          <t>Dallas</t>
        </is>
      </c>
      <c r="N1259" t="inlineStr">
        <is>
          <t>Sophia Singh</t>
        </is>
      </c>
      <c r="O1259" t="n">
        <v>2</v>
      </c>
      <c r="P1259" s="3" t="n">
        <v>22.4</v>
      </c>
      <c r="Q1259" s="4" t="n">
        <v>0.023</v>
      </c>
      <c r="R1259" s="3" t="n">
        <v>43.77</v>
      </c>
      <c r="S1259" s="3" t="n">
        <v>19.11</v>
      </c>
      <c r="T1259" s="3" t="n">
        <v>17.06</v>
      </c>
      <c r="U1259" s="4" t="n">
        <v>0.3898</v>
      </c>
      <c r="V1259" s="3" t="n">
        <v>7.6</v>
      </c>
      <c r="W1259" t="inlineStr">
        <is>
          <t>Debit Card</t>
        </is>
      </c>
      <c r="X1259" t="inlineStr">
        <is>
          <t>High</t>
        </is>
      </c>
      <c r="Y1259" t="n">
        <v>2023</v>
      </c>
      <c r="Z1259" t="n">
        <v>5</v>
      </c>
      <c r="AA1259" t="inlineStr">
        <is>
          <t>May</t>
        </is>
      </c>
      <c r="AB1259" t="inlineStr">
        <is>
          <t>Sunday</t>
        </is>
      </c>
      <c r="AC1259" t="n">
        <v>1</v>
      </c>
      <c r="AD1259" t="inlineStr">
        <is>
          <t>Profitable</t>
        </is>
      </c>
      <c r="AE1259" t="inlineStr">
        <is>
          <t>Medium</t>
        </is>
      </c>
      <c r="AF1259" t="inlineStr">
        <is>
          <t>Small</t>
        </is>
      </c>
    </row>
    <row r="1260">
      <c r="A1260" t="inlineStr">
        <is>
          <t>ORD-01323</t>
        </is>
      </c>
      <c r="B1260" s="2" t="n">
        <v>45731</v>
      </c>
      <c r="C1260" s="2" t="n">
        <v>45736</v>
      </c>
      <c r="D1260" t="inlineStr">
        <is>
          <t>CUST-01323</t>
        </is>
      </c>
      <c r="E1260" t="inlineStr">
        <is>
          <t>Customer 1323</t>
        </is>
      </c>
      <c r="F1260" t="inlineStr">
        <is>
          <t>Consumer</t>
        </is>
      </c>
      <c r="G1260" t="inlineStr">
        <is>
          <t>P1013</t>
        </is>
      </c>
      <c r="H1260" t="inlineStr">
        <is>
          <t>Nimbus Monitor Arm</t>
        </is>
      </c>
      <c r="I1260" t="inlineStr">
        <is>
          <t>Furniture</t>
        </is>
      </c>
      <c r="J1260" t="inlineStr">
        <is>
          <t>Textiles</t>
        </is>
      </c>
      <c r="K1260" t="inlineStr">
        <is>
          <t>Central</t>
        </is>
      </c>
      <c r="L1260" t="inlineStr">
        <is>
          <t>Missouri</t>
        </is>
      </c>
      <c r="M1260" t="inlineStr">
        <is>
          <t>Minneapolis</t>
        </is>
      </c>
      <c r="N1260" t="inlineStr">
        <is>
          <t>Noah Kim</t>
        </is>
      </c>
      <c r="O1260" t="n">
        <v>3</v>
      </c>
      <c r="P1260" s="3" t="n">
        <v>158.21</v>
      </c>
      <c r="Q1260" s="4" t="n">
        <v>0.044</v>
      </c>
      <c r="R1260" s="3" t="n">
        <v>453.75</v>
      </c>
      <c r="S1260" s="3" t="n">
        <v>259.81</v>
      </c>
      <c r="T1260" s="3" t="n">
        <v>185.54</v>
      </c>
      <c r="U1260" s="4" t="n">
        <v>0.4089</v>
      </c>
      <c r="V1260" s="3" t="n">
        <v>8.4</v>
      </c>
      <c r="W1260" t="inlineStr">
        <is>
          <t>Bank Transfer</t>
        </is>
      </c>
      <c r="X1260" t="inlineStr">
        <is>
          <t>Critical</t>
        </is>
      </c>
      <c r="Y1260" t="n">
        <v>2025</v>
      </c>
      <c r="Z1260" t="n">
        <v>3</v>
      </c>
      <c r="AA1260" t="inlineStr">
        <is>
          <t>Mar</t>
        </is>
      </c>
      <c r="AB1260" t="inlineStr">
        <is>
          <t>Saturday</t>
        </is>
      </c>
      <c r="AC1260" t="n">
        <v>5</v>
      </c>
      <c r="AD1260" t="inlineStr">
        <is>
          <t>Profitable</t>
        </is>
      </c>
      <c r="AE1260" t="inlineStr">
        <is>
          <t>Medium</t>
        </is>
      </c>
      <c r="AF1260" t="inlineStr">
        <is>
          <t>Small</t>
        </is>
      </c>
    </row>
    <row r="1261">
      <c r="A1261" t="inlineStr">
        <is>
          <t>ORD-01325</t>
        </is>
      </c>
      <c r="B1261" s="2" t="n">
        <v>45976</v>
      </c>
      <c r="C1261" s="2" t="n">
        <v>45978</v>
      </c>
      <c r="D1261" t="inlineStr">
        <is>
          <t>CUST-01325</t>
        </is>
      </c>
      <c r="E1261" t="inlineStr">
        <is>
          <t>Customer 1325</t>
        </is>
      </c>
      <c r="F1261" t="inlineStr">
        <is>
          <t>Home Office</t>
        </is>
      </c>
      <c r="G1261" t="inlineStr">
        <is>
          <t>P1001</t>
        </is>
      </c>
      <c r="H1261" t="inlineStr">
        <is>
          <t>Atlas Throw Pillow</t>
        </is>
      </c>
      <c r="I1261" t="inlineStr">
        <is>
          <t>Outdoor</t>
        </is>
      </c>
      <c r="J1261" t="inlineStr">
        <is>
          <t>Furniture</t>
        </is>
      </c>
      <c r="K1261" t="inlineStr">
        <is>
          <t>North</t>
        </is>
      </c>
      <c r="L1261" t="inlineStr">
        <is>
          <t>Quebec</t>
        </is>
      </c>
      <c r="M1261" t="inlineStr">
        <is>
          <t>Vancouver</t>
        </is>
      </c>
      <c r="N1261" t="inlineStr">
        <is>
          <t>Sophia Singh</t>
        </is>
      </c>
      <c r="O1261" t="n">
        <v>3</v>
      </c>
      <c r="P1261" s="3" t="n">
        <v>312.15</v>
      </c>
      <c r="Q1261" s="4" t="n">
        <v>0.005</v>
      </c>
      <c r="R1261" s="3" t="n">
        <v>931.77</v>
      </c>
      <c r="S1261" s="3" t="n">
        <v>550.53</v>
      </c>
      <c r="T1261" s="3" t="n">
        <v>372.84</v>
      </c>
      <c r="U1261" s="4" t="n">
        <v>0.4001</v>
      </c>
      <c r="V1261" s="3" t="n">
        <v>8.4</v>
      </c>
      <c r="W1261" t="inlineStr">
        <is>
          <t>Credit Card</t>
        </is>
      </c>
      <c r="X1261" t="inlineStr">
        <is>
          <t>Low</t>
        </is>
      </c>
      <c r="Y1261" t="n">
        <v>2025</v>
      </c>
      <c r="Z1261" t="n">
        <v>11</v>
      </c>
      <c r="AA1261" t="inlineStr">
        <is>
          <t>Nov</t>
        </is>
      </c>
      <c r="AB1261" t="inlineStr">
        <is>
          <t>Saturday</t>
        </is>
      </c>
      <c r="AC1261" t="n">
        <v>2</v>
      </c>
      <c r="AD1261" t="inlineStr">
        <is>
          <t>Profitable</t>
        </is>
      </c>
      <c r="AE1261" t="inlineStr">
        <is>
          <t>Low</t>
        </is>
      </c>
      <c r="AF1261" t="inlineStr">
        <is>
          <t>Medium</t>
        </is>
      </c>
    </row>
    <row r="1262">
      <c r="A1262" t="inlineStr">
        <is>
          <t>ORD-01329</t>
        </is>
      </c>
      <c r="B1262" s="2" t="n">
        <v>45817</v>
      </c>
      <c r="C1262" s="2" t="n">
        <v>45824</v>
      </c>
      <c r="D1262" t="inlineStr">
        <is>
          <t>CUST-01329</t>
        </is>
      </c>
      <c r="E1262" t="inlineStr">
        <is>
          <t>Customer 1329</t>
        </is>
      </c>
      <c r="F1262" t="inlineStr">
        <is>
          <t>Corporate</t>
        </is>
      </c>
      <c r="G1262" t="inlineStr">
        <is>
          <t>P1015</t>
        </is>
      </c>
      <c r="H1262" t="inlineStr">
        <is>
          <t>Nimbus Monitor Arm</t>
        </is>
      </c>
      <c r="I1262" t="inlineStr">
        <is>
          <t>Outdoor</t>
        </is>
      </c>
      <c r="J1262" t="inlineStr">
        <is>
          <t>Paper</t>
        </is>
      </c>
      <c r="K1262" t="inlineStr">
        <is>
          <t>Central</t>
        </is>
      </c>
      <c r="L1262" t="inlineStr">
        <is>
          <t>Missouri</t>
        </is>
      </c>
      <c r="M1262" t="inlineStr">
        <is>
          <t>Kansas City</t>
        </is>
      </c>
      <c r="N1262" t="inlineStr">
        <is>
          <t>James Carter</t>
        </is>
      </c>
      <c r="O1262" t="n">
        <v>4</v>
      </c>
      <c r="P1262" s="3" t="n">
        <v>70.33</v>
      </c>
      <c r="Q1262" s="4" t="n">
        <v>0.032</v>
      </c>
      <c r="R1262" s="3" t="n">
        <v>272.32</v>
      </c>
      <c r="S1262" s="3" t="n">
        <v>124.26</v>
      </c>
      <c r="T1262" s="3" t="n">
        <v>138.86</v>
      </c>
      <c r="U1262" s="4" t="n">
        <v>0.5099</v>
      </c>
      <c r="V1262" s="3" t="n">
        <v>9.199999999999999</v>
      </c>
      <c r="W1262" t="inlineStr">
        <is>
          <t>Bank Transfer</t>
        </is>
      </c>
      <c r="X1262" t="inlineStr">
        <is>
          <t>High</t>
        </is>
      </c>
      <c r="Y1262" t="n">
        <v>2025</v>
      </c>
      <c r="Z1262" t="n">
        <v>6</v>
      </c>
      <c r="AA1262" t="inlineStr">
        <is>
          <t>Jun</t>
        </is>
      </c>
      <c r="AB1262" t="inlineStr">
        <is>
          <t>Monday</t>
        </is>
      </c>
      <c r="AC1262" t="n">
        <v>7</v>
      </c>
      <c r="AD1262" t="inlineStr">
        <is>
          <t>Profitable</t>
        </is>
      </c>
      <c r="AE1262" t="inlineStr">
        <is>
          <t>Medium</t>
        </is>
      </c>
      <c r="AF1262" t="inlineStr">
        <is>
          <t>Small</t>
        </is>
      </c>
    </row>
    <row r="1263">
      <c r="A1263" t="inlineStr">
        <is>
          <t>ORD-01330</t>
        </is>
      </c>
      <c r="B1263" s="2" t="n">
        <v>45402</v>
      </c>
      <c r="C1263" s="2" t="n">
        <v>45405</v>
      </c>
      <c r="D1263" t="inlineStr">
        <is>
          <t>CUST-01330</t>
        </is>
      </c>
      <c r="E1263" t="inlineStr">
        <is>
          <t>Customer 1330</t>
        </is>
      </c>
      <c r="F1263" t="inlineStr">
        <is>
          <t>Consumer</t>
        </is>
      </c>
      <c r="G1263" t="inlineStr">
        <is>
          <t>P1019</t>
        </is>
      </c>
      <c r="H1263" t="inlineStr">
        <is>
          <t>Tide Cooler</t>
        </is>
      </c>
      <c r="I1263" t="inlineStr">
        <is>
          <t>Outdoor</t>
        </is>
      </c>
      <c r="J1263" t="inlineStr">
        <is>
          <t>Bags</t>
        </is>
      </c>
      <c r="K1263" t="inlineStr">
        <is>
          <t>Central</t>
        </is>
      </c>
      <c r="L1263" t="inlineStr">
        <is>
          <t>Minnesota</t>
        </is>
      </c>
      <c r="M1263" t="inlineStr">
        <is>
          <t>St. Louis</t>
        </is>
      </c>
      <c r="N1263" t="inlineStr">
        <is>
          <t>Sophia Singh</t>
        </is>
      </c>
      <c r="O1263" t="n">
        <v>1</v>
      </c>
      <c r="P1263" s="3" t="n">
        <v>54.85</v>
      </c>
      <c r="Q1263" s="4" t="n">
        <v>0.031</v>
      </c>
      <c r="R1263" s="3" t="n">
        <v>53.15</v>
      </c>
      <c r="S1263" s="3" t="n">
        <v>26.2</v>
      </c>
      <c r="T1263" s="3" t="n">
        <v>20.15</v>
      </c>
      <c r="U1263" s="4" t="n">
        <v>0.3791</v>
      </c>
      <c r="V1263" s="3" t="n">
        <v>6.8</v>
      </c>
      <c r="W1263" t="inlineStr">
        <is>
          <t>Bank Transfer</t>
        </is>
      </c>
      <c r="X1263" t="inlineStr">
        <is>
          <t>High</t>
        </is>
      </c>
      <c r="Y1263" t="n">
        <v>2024</v>
      </c>
      <c r="Z1263" t="n">
        <v>4</v>
      </c>
      <c r="AA1263" t="inlineStr">
        <is>
          <t>Apr</t>
        </is>
      </c>
      <c r="AB1263" t="inlineStr">
        <is>
          <t>Saturday</t>
        </is>
      </c>
      <c r="AC1263" t="n">
        <v>3</v>
      </c>
      <c r="AD1263" t="inlineStr">
        <is>
          <t>Profitable</t>
        </is>
      </c>
      <c r="AE1263" t="inlineStr">
        <is>
          <t>Medium</t>
        </is>
      </c>
      <c r="AF1263" t="inlineStr">
        <is>
          <t>Small</t>
        </is>
      </c>
    </row>
    <row r="1264">
      <c r="A1264" t="inlineStr">
        <is>
          <t>ORD-01332</t>
        </is>
      </c>
      <c r="B1264" s="2" t="n">
        <v>45834</v>
      </c>
      <c r="C1264" s="2" t="n">
        <v>45840</v>
      </c>
      <c r="D1264" t="inlineStr">
        <is>
          <t>CUST-01332</t>
        </is>
      </c>
      <c r="E1264" t="inlineStr">
        <is>
          <t>Customer 1332</t>
        </is>
      </c>
      <c r="F1264" t="inlineStr">
        <is>
          <t>Consumer</t>
        </is>
      </c>
      <c r="G1264" t="inlineStr">
        <is>
          <t>P1017</t>
        </is>
      </c>
      <c r="H1264" t="inlineStr">
        <is>
          <t>FlexNote Notebook</t>
        </is>
      </c>
      <c r="I1264" t="inlineStr">
        <is>
          <t>Office Supplies</t>
        </is>
      </c>
      <c r="J1264" t="inlineStr">
        <is>
          <t>Peripherals</t>
        </is>
      </c>
      <c r="K1264" t="inlineStr">
        <is>
          <t>Central</t>
        </is>
      </c>
      <c r="L1264" t="inlineStr">
        <is>
          <t>Kansas</t>
        </is>
      </c>
      <c r="M1264" t="inlineStr">
        <is>
          <t>Minneapolis</t>
        </is>
      </c>
      <c r="N1264" t="inlineStr">
        <is>
          <t>Olivia Martin</t>
        </is>
      </c>
      <c r="O1264" t="n">
        <v>3</v>
      </c>
      <c r="P1264" s="3" t="n">
        <v>591.35</v>
      </c>
      <c r="Q1264" s="4" t="n">
        <v>0.012</v>
      </c>
      <c r="R1264" s="3" t="n">
        <v>1752.76</v>
      </c>
      <c r="S1264" s="3" t="n">
        <v>1163.18</v>
      </c>
      <c r="T1264" s="3" t="n">
        <v>581.1799999999999</v>
      </c>
      <c r="U1264" s="4" t="n">
        <v>0.3316</v>
      </c>
      <c r="V1264" s="3" t="n">
        <v>8.4</v>
      </c>
      <c r="W1264" t="inlineStr">
        <is>
          <t>Bank Transfer</t>
        </is>
      </c>
      <c r="X1264" t="inlineStr">
        <is>
          <t>Medium</t>
        </is>
      </c>
      <c r="Y1264" t="n">
        <v>2025</v>
      </c>
      <c r="Z1264" t="n">
        <v>6</v>
      </c>
      <c r="AA1264" t="inlineStr">
        <is>
          <t>Jun</t>
        </is>
      </c>
      <c r="AB1264" t="inlineStr">
        <is>
          <t>Thursday</t>
        </is>
      </c>
      <c r="AC1264" t="n">
        <v>6</v>
      </c>
      <c r="AD1264" t="inlineStr">
        <is>
          <t>Profitable</t>
        </is>
      </c>
      <c r="AE1264" t="inlineStr">
        <is>
          <t>Low</t>
        </is>
      </c>
      <c r="AF1264" t="inlineStr">
        <is>
          <t>Large</t>
        </is>
      </c>
    </row>
    <row r="1265">
      <c r="A1265" t="inlineStr">
        <is>
          <t>ORD-01335</t>
        </is>
      </c>
      <c r="B1265" s="2" t="n">
        <v>46008</v>
      </c>
      <c r="C1265" s="2" t="n">
        <v>46010</v>
      </c>
      <c r="D1265" t="inlineStr">
        <is>
          <t>CUST-01335</t>
        </is>
      </c>
      <c r="E1265" t="inlineStr">
        <is>
          <t>Customer 1335</t>
        </is>
      </c>
      <c r="F1265" t="inlineStr">
        <is>
          <t>Consumer</t>
        </is>
      </c>
      <c r="G1265" t="inlineStr">
        <is>
          <t>P1017</t>
        </is>
      </c>
      <c r="H1265" t="inlineStr">
        <is>
          <t>CloudDrive File Box</t>
        </is>
      </c>
      <c r="I1265" t="inlineStr">
        <is>
          <t>Office Supplies</t>
        </is>
      </c>
      <c r="J1265" t="inlineStr">
        <is>
          <t>Storage</t>
        </is>
      </c>
      <c r="K1265" t="inlineStr">
        <is>
          <t>Central</t>
        </is>
      </c>
      <c r="L1265" t="inlineStr">
        <is>
          <t>Kansas</t>
        </is>
      </c>
      <c r="M1265" t="inlineStr">
        <is>
          <t>Kansas City</t>
        </is>
      </c>
      <c r="N1265" t="inlineStr">
        <is>
          <t>James Carter</t>
        </is>
      </c>
      <c r="O1265" t="n">
        <v>4</v>
      </c>
      <c r="P1265" s="3" t="n">
        <v>600.7</v>
      </c>
      <c r="Q1265" s="4" t="n">
        <v>0.016</v>
      </c>
      <c r="R1265" s="3" t="n">
        <v>2364.36</v>
      </c>
      <c r="S1265" s="3" t="n">
        <v>1565.27</v>
      </c>
      <c r="T1265" s="3" t="n">
        <v>789.89</v>
      </c>
      <c r="U1265" s="4" t="n">
        <v>0.3341</v>
      </c>
      <c r="V1265" s="3" t="n">
        <v>9.199999999999999</v>
      </c>
      <c r="W1265" t="inlineStr">
        <is>
          <t>Credit Card</t>
        </is>
      </c>
      <c r="X1265" t="inlineStr">
        <is>
          <t>Medium</t>
        </is>
      </c>
      <c r="Y1265" t="n">
        <v>2025</v>
      </c>
      <c r="Z1265" t="n">
        <v>12</v>
      </c>
      <c r="AA1265" t="inlineStr">
        <is>
          <t>Dec</t>
        </is>
      </c>
      <c r="AB1265" t="inlineStr">
        <is>
          <t>Wednesday</t>
        </is>
      </c>
      <c r="AC1265" t="n">
        <v>2</v>
      </c>
      <c r="AD1265" t="inlineStr">
        <is>
          <t>Profitable</t>
        </is>
      </c>
      <c r="AE1265" t="inlineStr">
        <is>
          <t>Low</t>
        </is>
      </c>
      <c r="AF1265" t="inlineStr">
        <is>
          <t>Large</t>
        </is>
      </c>
    </row>
    <row r="1266">
      <c r="A1266" t="inlineStr">
        <is>
          <t>ORD-01336</t>
        </is>
      </c>
      <c r="B1266" s="2" t="n">
        <v>45682</v>
      </c>
      <c r="C1266" s="2" t="n">
        <v>45683</v>
      </c>
      <c r="D1266" t="inlineStr">
        <is>
          <t>CUST-01336</t>
        </is>
      </c>
      <c r="E1266" t="inlineStr">
        <is>
          <t>Customer 1336</t>
        </is>
      </c>
      <c r="F1266" t="inlineStr">
        <is>
          <t>Consumer</t>
        </is>
      </c>
      <c r="G1266" t="inlineStr">
        <is>
          <t>P1020</t>
        </is>
      </c>
      <c r="H1266" t="inlineStr">
        <is>
          <t>Orbit Wireless Mouse</t>
        </is>
      </c>
      <c r="I1266" t="inlineStr">
        <is>
          <t>Technology</t>
        </is>
      </c>
      <c r="J1266" t="inlineStr">
        <is>
          <t>Bags</t>
        </is>
      </c>
      <c r="K1266" t="inlineStr">
        <is>
          <t>Central</t>
        </is>
      </c>
      <c r="L1266" t="inlineStr">
        <is>
          <t>Kansas</t>
        </is>
      </c>
      <c r="M1266" t="inlineStr">
        <is>
          <t>Kansas City</t>
        </is>
      </c>
      <c r="N1266" t="inlineStr">
        <is>
          <t>Liam Chen</t>
        </is>
      </c>
      <c r="O1266" t="n">
        <v>2</v>
      </c>
      <c r="P1266" s="3" t="n">
        <v>75.53</v>
      </c>
      <c r="Q1266" s="4" t="n">
        <v>0.013</v>
      </c>
      <c r="R1266" s="3" t="n">
        <v>149.1</v>
      </c>
      <c r="S1266" s="3" t="n">
        <v>74</v>
      </c>
      <c r="T1266" s="3" t="n">
        <v>67.5</v>
      </c>
      <c r="U1266" s="4" t="n">
        <v>0.4527</v>
      </c>
      <c r="V1266" s="3" t="n">
        <v>7.6</v>
      </c>
      <c r="W1266" t="inlineStr">
        <is>
          <t>PayPal</t>
        </is>
      </c>
      <c r="X1266" t="inlineStr">
        <is>
          <t>Low</t>
        </is>
      </c>
      <c r="Y1266" t="n">
        <v>2025</v>
      </c>
      <c r="Z1266" t="n">
        <v>1</v>
      </c>
      <c r="AA1266" t="inlineStr">
        <is>
          <t>Jan</t>
        </is>
      </c>
      <c r="AB1266" t="inlineStr">
        <is>
          <t>Saturday</t>
        </is>
      </c>
      <c r="AC1266" t="n">
        <v>1</v>
      </c>
      <c r="AD1266" t="inlineStr">
        <is>
          <t>Profitable</t>
        </is>
      </c>
      <c r="AE1266" t="inlineStr">
        <is>
          <t>Low</t>
        </is>
      </c>
      <c r="AF1266" t="inlineStr">
        <is>
          <t>Small</t>
        </is>
      </c>
    </row>
    <row r="1267">
      <c r="A1267" t="inlineStr">
        <is>
          <t>ORD-01339</t>
        </is>
      </c>
      <c r="B1267" s="2" t="n">
        <v>45271</v>
      </c>
      <c r="C1267" s="2" t="n">
        <v>45278</v>
      </c>
      <c r="D1267" t="inlineStr">
        <is>
          <t>CUST-01339</t>
        </is>
      </c>
      <c r="E1267" t="inlineStr">
        <is>
          <t>Customer 1339</t>
        </is>
      </c>
      <c r="F1267" t="inlineStr">
        <is>
          <t>Corporate</t>
        </is>
      </c>
      <c r="G1267" t="inlineStr">
        <is>
          <t>P1013</t>
        </is>
      </c>
      <c r="H1267" t="inlineStr">
        <is>
          <t>Lumen Desk Lamp</t>
        </is>
      </c>
      <c r="I1267" t="inlineStr">
        <is>
          <t>Technology</t>
        </is>
      </c>
      <c r="J1267" t="inlineStr">
        <is>
          <t>Paper</t>
        </is>
      </c>
      <c r="K1267" t="inlineStr">
        <is>
          <t>Central</t>
        </is>
      </c>
      <c r="L1267" t="inlineStr">
        <is>
          <t>Minnesota</t>
        </is>
      </c>
      <c r="M1267" t="inlineStr">
        <is>
          <t>St. Louis</t>
        </is>
      </c>
      <c r="N1267" t="inlineStr">
        <is>
          <t>Mia Rodriguez</t>
        </is>
      </c>
      <c r="O1267" t="n">
        <v>1</v>
      </c>
      <c r="P1267" s="3" t="n">
        <v>164.71</v>
      </c>
      <c r="Q1267" s="4" t="n">
        <v>0.075</v>
      </c>
      <c r="R1267" s="3" t="n">
        <v>152.36</v>
      </c>
      <c r="S1267" s="3" t="n">
        <v>90.78</v>
      </c>
      <c r="T1267" s="3" t="n">
        <v>54.78</v>
      </c>
      <c r="U1267" s="4" t="n">
        <v>0.3595</v>
      </c>
      <c r="V1267" s="3" t="n">
        <v>6.8</v>
      </c>
      <c r="W1267" t="inlineStr">
        <is>
          <t>Credit Card</t>
        </is>
      </c>
      <c r="X1267" t="inlineStr">
        <is>
          <t>Critical</t>
        </is>
      </c>
      <c r="Y1267" t="n">
        <v>2023</v>
      </c>
      <c r="Z1267" t="n">
        <v>12</v>
      </c>
      <c r="AA1267" t="inlineStr">
        <is>
          <t>Dec</t>
        </is>
      </c>
      <c r="AB1267" t="inlineStr">
        <is>
          <t>Monday</t>
        </is>
      </c>
      <c r="AC1267" t="n">
        <v>7</v>
      </c>
      <c r="AD1267" t="inlineStr">
        <is>
          <t>Profitable</t>
        </is>
      </c>
      <c r="AE1267" t="inlineStr">
        <is>
          <t>High</t>
        </is>
      </c>
      <c r="AF1267" t="inlineStr">
        <is>
          <t>Small</t>
        </is>
      </c>
    </row>
    <row r="1268">
      <c r="A1268" t="inlineStr">
        <is>
          <t>ORD-01341</t>
        </is>
      </c>
      <c r="B1268" s="2" t="n">
        <v>45146</v>
      </c>
      <c r="C1268" s="2" t="n">
        <v>45152</v>
      </c>
      <c r="D1268" t="inlineStr">
        <is>
          <t>CUST-01341</t>
        </is>
      </c>
      <c r="E1268" t="inlineStr">
        <is>
          <t>Customer 1341</t>
        </is>
      </c>
      <c r="F1268" t="inlineStr">
        <is>
          <t>Consumer</t>
        </is>
      </c>
      <c r="G1268" t="inlineStr">
        <is>
          <t>P1019</t>
        </is>
      </c>
      <c r="H1268" t="inlineStr">
        <is>
          <t>Tide Cooler</t>
        </is>
      </c>
      <c r="I1268" t="inlineStr">
        <is>
          <t>Home Decor</t>
        </is>
      </c>
      <c r="J1268" t="inlineStr">
        <is>
          <t>Paper</t>
        </is>
      </c>
      <c r="K1268" t="inlineStr">
        <is>
          <t>Central</t>
        </is>
      </c>
      <c r="L1268" t="inlineStr">
        <is>
          <t>Illinois</t>
        </is>
      </c>
      <c r="M1268" t="inlineStr">
        <is>
          <t>Chicago</t>
        </is>
      </c>
      <c r="N1268" t="inlineStr">
        <is>
          <t>Ava Patel</t>
        </is>
      </c>
      <c r="O1268" t="n">
        <v>1</v>
      </c>
      <c r="P1268" s="3" t="n">
        <v>61.06</v>
      </c>
      <c r="Q1268" s="4" t="n">
        <v>0.014</v>
      </c>
      <c r="R1268" s="3" t="n">
        <v>60.21</v>
      </c>
      <c r="S1268" s="3" t="n">
        <v>32.78</v>
      </c>
      <c r="T1268" s="3" t="n">
        <v>20.63</v>
      </c>
      <c r="U1268" s="4" t="n">
        <v>0.3426</v>
      </c>
      <c r="V1268" s="3" t="n">
        <v>6.8</v>
      </c>
      <c r="W1268" t="inlineStr">
        <is>
          <t>Cash on Delivery</t>
        </is>
      </c>
      <c r="X1268" t="inlineStr">
        <is>
          <t>Medium</t>
        </is>
      </c>
      <c r="Y1268" t="n">
        <v>2023</v>
      </c>
      <c r="Z1268" t="n">
        <v>8</v>
      </c>
      <c r="AA1268" t="inlineStr">
        <is>
          <t>Aug</t>
        </is>
      </c>
      <c r="AB1268" t="inlineStr">
        <is>
          <t>Tuesday</t>
        </is>
      </c>
      <c r="AC1268" t="n">
        <v>6</v>
      </c>
      <c r="AD1268" t="inlineStr">
        <is>
          <t>Profitable</t>
        </is>
      </c>
      <c r="AE1268" t="inlineStr">
        <is>
          <t>Low</t>
        </is>
      </c>
      <c r="AF1268" t="inlineStr">
        <is>
          <t>Small</t>
        </is>
      </c>
    </row>
    <row r="1269">
      <c r="A1269" t="inlineStr">
        <is>
          <t>ORD-01342</t>
        </is>
      </c>
      <c r="B1269" s="2" t="n">
        <v>45599</v>
      </c>
      <c r="C1269" s="2" t="n">
        <v>45601</v>
      </c>
      <c r="D1269" t="inlineStr">
        <is>
          <t>CUST-01342</t>
        </is>
      </c>
      <c r="E1269" t="inlineStr">
        <is>
          <t>Customer 1342</t>
        </is>
      </c>
      <c r="F1269" t="inlineStr">
        <is>
          <t>Corporate</t>
        </is>
      </c>
      <c r="G1269" t="inlineStr">
        <is>
          <t>P1011</t>
        </is>
      </c>
      <c r="H1269" t="inlineStr">
        <is>
          <t>Aero Standing Desk</t>
        </is>
      </c>
      <c r="I1269" t="inlineStr">
        <is>
          <t>Technology</t>
        </is>
      </c>
      <c r="J1269" t="inlineStr">
        <is>
          <t>Peripherals</t>
        </is>
      </c>
      <c r="K1269" t="inlineStr">
        <is>
          <t>South</t>
        </is>
      </c>
      <c r="L1269" t="inlineStr">
        <is>
          <t>Texas</t>
        </is>
      </c>
      <c r="M1269" t="inlineStr">
        <is>
          <t>Dallas</t>
        </is>
      </c>
      <c r="N1269" t="inlineStr">
        <is>
          <t>Mia Rodriguez</t>
        </is>
      </c>
      <c r="O1269" t="n">
        <v>2</v>
      </c>
      <c r="P1269" s="3" t="n">
        <v>89.98</v>
      </c>
      <c r="Q1269" s="4" t="n">
        <v>0.019</v>
      </c>
      <c r="R1269" s="3" t="n">
        <v>176.54</v>
      </c>
      <c r="S1269" s="3" t="n">
        <v>87</v>
      </c>
      <c r="T1269" s="3" t="n">
        <v>81.94</v>
      </c>
      <c r="U1269" s="4" t="n">
        <v>0.4641</v>
      </c>
      <c r="V1269" s="3" t="n">
        <v>7.6</v>
      </c>
      <c r="W1269" t="inlineStr">
        <is>
          <t>Credit Card</t>
        </is>
      </c>
      <c r="X1269" t="inlineStr">
        <is>
          <t>Medium</t>
        </is>
      </c>
      <c r="Y1269" t="n">
        <v>2024</v>
      </c>
      <c r="Z1269" t="n">
        <v>11</v>
      </c>
      <c r="AA1269" t="inlineStr">
        <is>
          <t>Nov</t>
        </is>
      </c>
      <c r="AB1269" t="inlineStr">
        <is>
          <t>Sunday</t>
        </is>
      </c>
      <c r="AC1269" t="n">
        <v>2</v>
      </c>
      <c r="AD1269" t="inlineStr">
        <is>
          <t>Profitable</t>
        </is>
      </c>
      <c r="AE1269" t="inlineStr">
        <is>
          <t>Low</t>
        </is>
      </c>
      <c r="AF1269" t="inlineStr">
        <is>
          <t>Small</t>
        </is>
      </c>
    </row>
    <row r="1270">
      <c r="A1270" t="inlineStr">
        <is>
          <t>ORD-01343</t>
        </is>
      </c>
      <c r="B1270" s="2" t="n">
        <v>45766</v>
      </c>
      <c r="C1270" s="2" t="n">
        <v>45771</v>
      </c>
      <c r="D1270" t="inlineStr">
        <is>
          <t>CUST-01343</t>
        </is>
      </c>
      <c r="E1270" t="inlineStr">
        <is>
          <t>Customer 1343</t>
        </is>
      </c>
      <c r="F1270" t="inlineStr">
        <is>
          <t>Consumer</t>
        </is>
      </c>
      <c r="G1270" t="inlineStr">
        <is>
          <t>P1008</t>
        </is>
      </c>
      <c r="H1270" t="inlineStr">
        <is>
          <t>Nimbus Monitor Arm</t>
        </is>
      </c>
      <c r="I1270" t="inlineStr">
        <is>
          <t>Outdoor</t>
        </is>
      </c>
      <c r="J1270" t="inlineStr">
        <is>
          <t>Binders</t>
        </is>
      </c>
      <c r="K1270" t="inlineStr">
        <is>
          <t>South</t>
        </is>
      </c>
      <c r="L1270" t="inlineStr">
        <is>
          <t>Texas</t>
        </is>
      </c>
      <c r="M1270" t="inlineStr">
        <is>
          <t>Atlanta</t>
        </is>
      </c>
      <c r="N1270" t="inlineStr">
        <is>
          <t>Mia Rodriguez</t>
        </is>
      </c>
      <c r="O1270" t="n">
        <v>1</v>
      </c>
      <c r="P1270" s="3" t="n">
        <v>34.24</v>
      </c>
      <c r="Q1270" s="4" t="n">
        <v>0.026</v>
      </c>
      <c r="R1270" s="3" t="n">
        <v>33.35</v>
      </c>
      <c r="S1270" s="3" t="n">
        <v>21.83</v>
      </c>
      <c r="T1270" s="3" t="n">
        <v>4.72</v>
      </c>
      <c r="U1270" s="4" t="n">
        <v>0.1415</v>
      </c>
      <c r="V1270" s="3" t="n">
        <v>6.8</v>
      </c>
      <c r="W1270" t="inlineStr">
        <is>
          <t>Credit Card</t>
        </is>
      </c>
      <c r="X1270" t="inlineStr">
        <is>
          <t>Medium</t>
        </is>
      </c>
      <c r="Y1270" t="n">
        <v>2025</v>
      </c>
      <c r="Z1270" t="n">
        <v>4</v>
      </c>
      <c r="AA1270" t="inlineStr">
        <is>
          <t>Apr</t>
        </is>
      </c>
      <c r="AB1270" t="inlineStr">
        <is>
          <t>Saturday</t>
        </is>
      </c>
      <c r="AC1270" t="n">
        <v>5</v>
      </c>
      <c r="AD1270" t="inlineStr">
        <is>
          <t>Profitable</t>
        </is>
      </c>
      <c r="AE1270" t="inlineStr">
        <is>
          <t>Medium</t>
        </is>
      </c>
      <c r="AF1270" t="inlineStr">
        <is>
          <t>Small</t>
        </is>
      </c>
    </row>
    <row r="1271">
      <c r="A1271" t="inlineStr">
        <is>
          <t>ORD-01344</t>
        </is>
      </c>
      <c r="B1271" s="2" t="n">
        <v>45975</v>
      </c>
      <c r="C1271" s="2" t="n">
        <v>45976</v>
      </c>
      <c r="D1271" t="inlineStr">
        <is>
          <t>CUST-01344</t>
        </is>
      </c>
      <c r="E1271" t="inlineStr">
        <is>
          <t>Customer 1344</t>
        </is>
      </c>
      <c r="F1271" t="inlineStr">
        <is>
          <t>Consumer</t>
        </is>
      </c>
      <c r="G1271" t="inlineStr">
        <is>
          <t>P1017</t>
        </is>
      </c>
      <c r="H1271" t="inlineStr">
        <is>
          <t>Summit Patio Set</t>
        </is>
      </c>
      <c r="I1271" t="inlineStr">
        <is>
          <t>Furniture</t>
        </is>
      </c>
      <c r="J1271" t="inlineStr">
        <is>
          <t>Writing</t>
        </is>
      </c>
      <c r="K1271" t="inlineStr">
        <is>
          <t>South</t>
        </is>
      </c>
      <c r="L1271" t="inlineStr">
        <is>
          <t>Texas</t>
        </is>
      </c>
      <c r="M1271" t="inlineStr">
        <is>
          <t>Dallas</t>
        </is>
      </c>
      <c r="N1271" t="inlineStr">
        <is>
          <t>Liam Chen</t>
        </is>
      </c>
      <c r="O1271" t="n">
        <v>6</v>
      </c>
      <c r="P1271" s="3" t="n">
        <v>580.35</v>
      </c>
      <c r="Q1271" s="4" t="n">
        <v>0.038</v>
      </c>
      <c r="R1271" s="3" t="n">
        <v>3349.78</v>
      </c>
      <c r="S1271" s="3" t="n">
        <v>2215.41</v>
      </c>
      <c r="T1271" s="3" t="n">
        <v>1123.57</v>
      </c>
      <c r="U1271" s="4" t="n">
        <v>0.3354</v>
      </c>
      <c r="V1271" s="3" t="n">
        <v>10.8</v>
      </c>
      <c r="W1271" t="inlineStr">
        <is>
          <t>Debit Card</t>
        </is>
      </c>
      <c r="X1271" t="inlineStr">
        <is>
          <t>High</t>
        </is>
      </c>
      <c r="Y1271" t="n">
        <v>2025</v>
      </c>
      <c r="Z1271" t="n">
        <v>11</v>
      </c>
      <c r="AA1271" t="inlineStr">
        <is>
          <t>Nov</t>
        </is>
      </c>
      <c r="AB1271" t="inlineStr">
        <is>
          <t>Friday</t>
        </is>
      </c>
      <c r="AC1271" t="n">
        <v>1</v>
      </c>
      <c r="AD1271" t="inlineStr">
        <is>
          <t>Profitable</t>
        </is>
      </c>
      <c r="AE1271" t="inlineStr">
        <is>
          <t>Medium</t>
        </is>
      </c>
      <c r="AF1271" t="inlineStr">
        <is>
          <t>Large</t>
        </is>
      </c>
    </row>
    <row r="1272">
      <c r="A1272" t="inlineStr">
        <is>
          <t>ORD-01345</t>
        </is>
      </c>
      <c r="B1272" s="2" t="n">
        <v>45666</v>
      </c>
      <c r="C1272" s="2" t="n">
        <v>45667</v>
      </c>
      <c r="D1272" t="inlineStr">
        <is>
          <t>CUST-01345</t>
        </is>
      </c>
      <c r="E1272" t="inlineStr">
        <is>
          <t>Customer 1345</t>
        </is>
      </c>
      <c r="F1272" t="inlineStr">
        <is>
          <t>Corporate</t>
        </is>
      </c>
      <c r="G1272" t="inlineStr">
        <is>
          <t>P1004</t>
        </is>
      </c>
      <c r="H1272" t="inlineStr">
        <is>
          <t>Summit Patio Set</t>
        </is>
      </c>
      <c r="I1272" t="inlineStr">
        <is>
          <t>Outdoor</t>
        </is>
      </c>
      <c r="J1272" t="inlineStr">
        <is>
          <t>Accessories</t>
        </is>
      </c>
      <c r="K1272" t="inlineStr">
        <is>
          <t>South</t>
        </is>
      </c>
      <c r="L1272" t="inlineStr">
        <is>
          <t>North Carolina</t>
        </is>
      </c>
      <c r="M1272" t="inlineStr">
        <is>
          <t>Miami</t>
        </is>
      </c>
      <c r="N1272" t="inlineStr">
        <is>
          <t>Liam Chen</t>
        </is>
      </c>
      <c r="O1272" t="n">
        <v>4</v>
      </c>
      <c r="P1272" s="3" t="n">
        <v>606.46</v>
      </c>
      <c r="Q1272" s="4" t="n">
        <v>0.04</v>
      </c>
      <c r="R1272" s="3" t="n">
        <v>2328.81</v>
      </c>
      <c r="S1272" s="3" t="n">
        <v>1477.41</v>
      </c>
      <c r="T1272" s="3" t="n">
        <v>842.2</v>
      </c>
      <c r="U1272" s="4" t="n">
        <v>0.3616</v>
      </c>
      <c r="V1272" s="3" t="n">
        <v>9.199999999999999</v>
      </c>
      <c r="W1272" t="inlineStr">
        <is>
          <t>Credit Card</t>
        </is>
      </c>
      <c r="X1272" t="inlineStr">
        <is>
          <t>Medium</t>
        </is>
      </c>
      <c r="Y1272" t="n">
        <v>2025</v>
      </c>
      <c r="Z1272" t="n">
        <v>1</v>
      </c>
      <c r="AA1272" t="inlineStr">
        <is>
          <t>Jan</t>
        </is>
      </c>
      <c r="AB1272" t="inlineStr">
        <is>
          <t>Thursday</t>
        </is>
      </c>
      <c r="AC1272" t="n">
        <v>1</v>
      </c>
      <c r="AD1272" t="inlineStr">
        <is>
          <t>Profitable</t>
        </is>
      </c>
      <c r="AE1272" t="inlineStr">
        <is>
          <t>Medium</t>
        </is>
      </c>
      <c r="AF1272" t="inlineStr">
        <is>
          <t>Large</t>
        </is>
      </c>
    </row>
    <row r="1273">
      <c r="A1273" t="inlineStr">
        <is>
          <t>ORD-01348</t>
        </is>
      </c>
      <c r="B1273" s="2" t="n">
        <v>45560</v>
      </c>
      <c r="C1273" s="2" t="n">
        <v>45562</v>
      </c>
      <c r="D1273" t="inlineStr">
        <is>
          <t>CUST-01348</t>
        </is>
      </c>
      <c r="E1273" t="inlineStr">
        <is>
          <t>Customer 1348</t>
        </is>
      </c>
      <c r="F1273" t="inlineStr">
        <is>
          <t>Consumer</t>
        </is>
      </c>
      <c r="G1273" t="inlineStr">
        <is>
          <t>P1017</t>
        </is>
      </c>
      <c r="H1273" t="inlineStr">
        <is>
          <t>Harbor Rug</t>
        </is>
      </c>
      <c r="I1273" t="inlineStr">
        <is>
          <t>Technology</t>
        </is>
      </c>
      <c r="J1273" t="inlineStr">
        <is>
          <t>Lighting</t>
        </is>
      </c>
      <c r="K1273" t="inlineStr">
        <is>
          <t>South</t>
        </is>
      </c>
      <c r="L1273" t="inlineStr">
        <is>
          <t>Florida</t>
        </is>
      </c>
      <c r="M1273" t="inlineStr">
        <is>
          <t>Atlanta</t>
        </is>
      </c>
      <c r="N1273" t="inlineStr">
        <is>
          <t>Sophia Singh</t>
        </is>
      </c>
      <c r="O1273" t="n">
        <v>3</v>
      </c>
      <c r="P1273" s="3" t="n">
        <v>519.03</v>
      </c>
      <c r="Q1273" s="4" t="n">
        <v>0.008</v>
      </c>
      <c r="R1273" s="3" t="n">
        <v>1544.63</v>
      </c>
      <c r="S1273" s="3" t="n">
        <v>1025.1</v>
      </c>
      <c r="T1273" s="3" t="n">
        <v>511.13</v>
      </c>
      <c r="U1273" s="4" t="n">
        <v>0.3309</v>
      </c>
      <c r="V1273" s="3" t="n">
        <v>8.4</v>
      </c>
      <c r="W1273" t="inlineStr">
        <is>
          <t>PayPal</t>
        </is>
      </c>
      <c r="X1273" t="inlineStr">
        <is>
          <t>Low</t>
        </is>
      </c>
      <c r="Y1273" t="n">
        <v>2024</v>
      </c>
      <c r="Z1273" t="n">
        <v>9</v>
      </c>
      <c r="AA1273" t="inlineStr">
        <is>
          <t>Sep</t>
        </is>
      </c>
      <c r="AB1273" t="inlineStr">
        <is>
          <t>Wednesday</t>
        </is>
      </c>
      <c r="AC1273" t="n">
        <v>2</v>
      </c>
      <c r="AD1273" t="inlineStr">
        <is>
          <t>Profitable</t>
        </is>
      </c>
      <c r="AE1273" t="inlineStr">
        <is>
          <t>Low</t>
        </is>
      </c>
      <c r="AF1273" t="inlineStr">
        <is>
          <t>Large</t>
        </is>
      </c>
    </row>
    <row r="1274">
      <c r="A1274" t="inlineStr">
        <is>
          <t>ORD-01350</t>
        </is>
      </c>
      <c r="B1274" s="2" t="n">
        <v>44930</v>
      </c>
      <c r="C1274" s="2" t="n">
        <v>44936</v>
      </c>
      <c r="D1274" t="inlineStr">
        <is>
          <t>CUST-01350</t>
        </is>
      </c>
      <c r="E1274" t="inlineStr">
        <is>
          <t>Customer 1350</t>
        </is>
      </c>
      <c r="F1274" t="inlineStr">
        <is>
          <t>Corporate</t>
        </is>
      </c>
      <c r="G1274" t="inlineStr">
        <is>
          <t>P1009</t>
        </is>
      </c>
      <c r="H1274" t="inlineStr">
        <is>
          <t>ErgoMesh Chair</t>
        </is>
      </c>
      <c r="I1274" t="inlineStr">
        <is>
          <t>Outdoor</t>
        </is>
      </c>
      <c r="J1274" t="inlineStr">
        <is>
          <t>Binders</t>
        </is>
      </c>
      <c r="K1274" t="inlineStr">
        <is>
          <t>South</t>
        </is>
      </c>
      <c r="L1274" t="inlineStr">
        <is>
          <t>Texas</t>
        </is>
      </c>
      <c r="M1274" t="inlineStr">
        <is>
          <t>Atlanta</t>
        </is>
      </c>
      <c r="N1274" t="inlineStr">
        <is>
          <t>Noah Kim</t>
        </is>
      </c>
      <c r="O1274" t="n">
        <v>4</v>
      </c>
      <c r="P1274" s="3" t="n">
        <v>88.12</v>
      </c>
      <c r="Q1274" s="4" t="n">
        <v>0.018</v>
      </c>
      <c r="R1274" s="3" t="n">
        <v>346.14</v>
      </c>
      <c r="S1274" s="3" t="n">
        <v>169.88</v>
      </c>
      <c r="T1274" s="3" t="n">
        <v>167.06</v>
      </c>
      <c r="U1274" s="4" t="n">
        <v>0.4826</v>
      </c>
      <c r="V1274" s="3" t="n">
        <v>9.199999999999999</v>
      </c>
      <c r="W1274" t="inlineStr">
        <is>
          <t>Credit Card</t>
        </is>
      </c>
      <c r="X1274" t="inlineStr">
        <is>
          <t>Medium</t>
        </is>
      </c>
      <c r="Y1274" t="n">
        <v>2023</v>
      </c>
      <c r="Z1274" t="n">
        <v>1</v>
      </c>
      <c r="AA1274" t="inlineStr">
        <is>
          <t>Jan</t>
        </is>
      </c>
      <c r="AB1274" t="inlineStr">
        <is>
          <t>Wednesday</t>
        </is>
      </c>
      <c r="AC1274" t="n">
        <v>6</v>
      </c>
      <c r="AD1274" t="inlineStr">
        <is>
          <t>Profitable</t>
        </is>
      </c>
      <c r="AE1274" t="inlineStr">
        <is>
          <t>Low</t>
        </is>
      </c>
      <c r="AF1274" t="inlineStr">
        <is>
          <t>Small</t>
        </is>
      </c>
    </row>
    <row r="1275">
      <c r="A1275" t="inlineStr">
        <is>
          <t>ORD-01355</t>
        </is>
      </c>
      <c r="B1275" s="2" t="n">
        <v>45495</v>
      </c>
      <c r="C1275" s="2" t="n">
        <v>45499</v>
      </c>
      <c r="D1275" t="inlineStr">
        <is>
          <t>CUST-01355</t>
        </is>
      </c>
      <c r="E1275" t="inlineStr">
        <is>
          <t>Customer 1355</t>
        </is>
      </c>
      <c r="F1275" t="inlineStr">
        <is>
          <t>Home Office</t>
        </is>
      </c>
      <c r="G1275" t="inlineStr">
        <is>
          <t>P1009</t>
        </is>
      </c>
      <c r="H1275" t="inlineStr">
        <is>
          <t>Halo Planter</t>
        </is>
      </c>
      <c r="I1275" t="inlineStr">
        <is>
          <t>Furniture</t>
        </is>
      </c>
      <c r="J1275" t="inlineStr">
        <is>
          <t>Desks</t>
        </is>
      </c>
      <c r="K1275" t="inlineStr">
        <is>
          <t>North</t>
        </is>
      </c>
      <c r="L1275" t="inlineStr">
        <is>
          <t>Alberta</t>
        </is>
      </c>
      <c r="M1275" t="inlineStr">
        <is>
          <t>Calgary</t>
        </is>
      </c>
      <c r="N1275" t="inlineStr">
        <is>
          <t>Mia Rodriguez</t>
        </is>
      </c>
      <c r="O1275" t="n">
        <v>2</v>
      </c>
      <c r="P1275" s="3" t="n">
        <v>95.26000000000001</v>
      </c>
      <c r="Q1275" s="4" t="n">
        <v>0.02</v>
      </c>
      <c r="R1275" s="3" t="n">
        <v>186.71</v>
      </c>
      <c r="S1275" s="3" t="n">
        <v>97.88</v>
      </c>
      <c r="T1275" s="3" t="n">
        <v>81.23</v>
      </c>
      <c r="U1275" s="4" t="n">
        <v>0.4351</v>
      </c>
      <c r="V1275" s="3" t="n">
        <v>7.6</v>
      </c>
      <c r="W1275" t="inlineStr">
        <is>
          <t>Bank Transfer</t>
        </is>
      </c>
      <c r="X1275" t="inlineStr">
        <is>
          <t>Medium</t>
        </is>
      </c>
      <c r="Y1275" t="n">
        <v>2024</v>
      </c>
      <c r="Z1275" t="n">
        <v>7</v>
      </c>
      <c r="AA1275" t="inlineStr">
        <is>
          <t>Jul</t>
        </is>
      </c>
      <c r="AB1275" t="inlineStr">
        <is>
          <t>Monday</t>
        </is>
      </c>
      <c r="AC1275" t="n">
        <v>4</v>
      </c>
      <c r="AD1275" t="inlineStr">
        <is>
          <t>Profitable</t>
        </is>
      </c>
      <c r="AE1275" t="inlineStr">
        <is>
          <t>Medium</t>
        </is>
      </c>
      <c r="AF1275" t="inlineStr">
        <is>
          <t>Small</t>
        </is>
      </c>
    </row>
    <row r="1276">
      <c r="A1276" t="inlineStr">
        <is>
          <t>ORD-01356</t>
        </is>
      </c>
      <c r="B1276" s="2" t="n">
        <v>45733</v>
      </c>
      <c r="C1276" s="2" t="n">
        <v>45734</v>
      </c>
      <c r="D1276" t="inlineStr">
        <is>
          <t>CUST-01356</t>
        </is>
      </c>
      <c r="E1276" t="inlineStr">
        <is>
          <t>Customer 1356</t>
        </is>
      </c>
      <c r="F1276" t="inlineStr">
        <is>
          <t>Consumer</t>
        </is>
      </c>
      <c r="G1276" t="inlineStr">
        <is>
          <t>P1002</t>
        </is>
      </c>
      <c r="H1276" t="inlineStr">
        <is>
          <t>Lumen Desk Lamp</t>
        </is>
      </c>
      <c r="I1276" t="inlineStr">
        <is>
          <t>Technology</t>
        </is>
      </c>
      <c r="J1276" t="inlineStr">
        <is>
          <t>Video</t>
        </is>
      </c>
      <c r="K1276" t="inlineStr">
        <is>
          <t>Central</t>
        </is>
      </c>
      <c r="L1276" t="inlineStr">
        <is>
          <t>Illinois</t>
        </is>
      </c>
      <c r="M1276" t="inlineStr">
        <is>
          <t>Kansas City</t>
        </is>
      </c>
      <c r="N1276" t="inlineStr">
        <is>
          <t>James Carter</t>
        </is>
      </c>
      <c r="O1276" t="n">
        <v>6</v>
      </c>
      <c r="P1276" s="3" t="n">
        <v>77.09</v>
      </c>
      <c r="Q1276" s="4" t="n">
        <v>0.012</v>
      </c>
      <c r="R1276" s="3" t="n">
        <v>456.99</v>
      </c>
      <c r="S1276" s="3" t="n">
        <v>206.82</v>
      </c>
      <c r="T1276" s="3" t="n">
        <v>239.37</v>
      </c>
      <c r="U1276" s="4" t="n">
        <v>0.5238</v>
      </c>
      <c r="V1276" s="3" t="n">
        <v>10.8</v>
      </c>
      <c r="W1276" t="inlineStr">
        <is>
          <t>Debit Card</t>
        </is>
      </c>
      <c r="X1276" t="inlineStr">
        <is>
          <t>Low</t>
        </is>
      </c>
      <c r="Y1276" t="n">
        <v>2025</v>
      </c>
      <c r="Z1276" t="n">
        <v>3</v>
      </c>
      <c r="AA1276" t="inlineStr">
        <is>
          <t>Mar</t>
        </is>
      </c>
      <c r="AB1276" t="inlineStr">
        <is>
          <t>Monday</t>
        </is>
      </c>
      <c r="AC1276" t="n">
        <v>1</v>
      </c>
      <c r="AD1276" t="inlineStr">
        <is>
          <t>Profitable</t>
        </is>
      </c>
      <c r="AE1276" t="inlineStr">
        <is>
          <t>Low</t>
        </is>
      </c>
      <c r="AF1276" t="inlineStr">
        <is>
          <t>Small</t>
        </is>
      </c>
    </row>
    <row r="1277">
      <c r="A1277" t="inlineStr">
        <is>
          <t>ORD-01358</t>
        </is>
      </c>
      <c r="B1277" s="2" t="n">
        <v>45346</v>
      </c>
      <c r="C1277" s="2" t="n">
        <v>45352</v>
      </c>
      <c r="D1277" t="inlineStr">
        <is>
          <t>CUST-01358</t>
        </is>
      </c>
      <c r="E1277" t="inlineStr">
        <is>
          <t>Customer 1358</t>
        </is>
      </c>
      <c r="F1277" t="inlineStr">
        <is>
          <t>Consumer</t>
        </is>
      </c>
      <c r="G1277" t="inlineStr">
        <is>
          <t>P1016</t>
        </is>
      </c>
      <c r="H1277" t="inlineStr">
        <is>
          <t>SmartInk Pen Set</t>
        </is>
      </c>
      <c r="I1277" t="inlineStr">
        <is>
          <t>Outdoor</t>
        </is>
      </c>
      <c r="J1277" t="inlineStr">
        <is>
          <t>Accessories</t>
        </is>
      </c>
      <c r="K1277" t="inlineStr">
        <is>
          <t>South</t>
        </is>
      </c>
      <c r="L1277" t="inlineStr">
        <is>
          <t>Texas</t>
        </is>
      </c>
      <c r="M1277" t="inlineStr">
        <is>
          <t>Houston</t>
        </is>
      </c>
      <c r="N1277" t="inlineStr">
        <is>
          <t>James Carter</t>
        </is>
      </c>
      <c r="O1277" t="n">
        <v>4</v>
      </c>
      <c r="P1277" s="3" t="n">
        <v>38.05</v>
      </c>
      <c r="Q1277" s="4" t="n">
        <v>0.001</v>
      </c>
      <c r="R1277" s="3" t="n">
        <v>152.05</v>
      </c>
      <c r="S1277" s="3" t="n">
        <v>61.66</v>
      </c>
      <c r="T1277" s="3" t="n">
        <v>81.19</v>
      </c>
      <c r="U1277" s="4" t="n">
        <v>0.534</v>
      </c>
      <c r="V1277" s="3" t="n">
        <v>9.199999999999999</v>
      </c>
      <c r="W1277" t="inlineStr">
        <is>
          <t>Bank Transfer</t>
        </is>
      </c>
      <c r="X1277" t="inlineStr">
        <is>
          <t>Low</t>
        </is>
      </c>
      <c r="Y1277" t="n">
        <v>2024</v>
      </c>
      <c r="Z1277" t="n">
        <v>2</v>
      </c>
      <c r="AA1277" t="inlineStr">
        <is>
          <t>Feb</t>
        </is>
      </c>
      <c r="AB1277" t="inlineStr">
        <is>
          <t>Saturday</t>
        </is>
      </c>
      <c r="AC1277" t="n">
        <v>6</v>
      </c>
      <c r="AD1277" t="inlineStr">
        <is>
          <t>Profitable</t>
        </is>
      </c>
      <c r="AE1277" t="inlineStr">
        <is>
          <t>Low</t>
        </is>
      </c>
      <c r="AF1277" t="inlineStr">
        <is>
          <t>Small</t>
        </is>
      </c>
    </row>
    <row r="1278">
      <c r="A1278" t="inlineStr">
        <is>
          <t>ORD-01359</t>
        </is>
      </c>
      <c r="B1278" s="2" t="n">
        <v>45155</v>
      </c>
      <c r="C1278" s="2" t="n">
        <v>45157</v>
      </c>
      <c r="D1278" t="inlineStr">
        <is>
          <t>CUST-01359</t>
        </is>
      </c>
      <c r="E1278" t="inlineStr">
        <is>
          <t>Customer 1359</t>
        </is>
      </c>
      <c r="F1278" t="inlineStr">
        <is>
          <t>Corporate</t>
        </is>
      </c>
      <c r="G1278" t="inlineStr">
        <is>
          <t>P1007</t>
        </is>
      </c>
      <c r="H1278" t="inlineStr">
        <is>
          <t>CloudDrive File Box</t>
        </is>
      </c>
      <c r="I1278" t="inlineStr">
        <is>
          <t>Office Supplies</t>
        </is>
      </c>
      <c r="J1278" t="inlineStr">
        <is>
          <t>Peripherals</t>
        </is>
      </c>
      <c r="K1278" t="inlineStr">
        <is>
          <t>South</t>
        </is>
      </c>
      <c r="L1278" t="inlineStr">
        <is>
          <t>Texas</t>
        </is>
      </c>
      <c r="M1278" t="inlineStr">
        <is>
          <t>Dallas</t>
        </is>
      </c>
      <c r="N1278" t="inlineStr">
        <is>
          <t>Noah Kim</t>
        </is>
      </c>
      <c r="O1278" t="n">
        <v>1</v>
      </c>
      <c r="P1278" s="3" t="n">
        <v>25.31</v>
      </c>
      <c r="Q1278" s="4" t="n">
        <v>0.023</v>
      </c>
      <c r="R1278" s="3" t="n">
        <v>24.73</v>
      </c>
      <c r="S1278" s="3" t="n">
        <v>16.08</v>
      </c>
      <c r="T1278" s="3" t="n">
        <v>1.85</v>
      </c>
      <c r="U1278" s="4" t="n">
        <v>0.07480000000000001</v>
      </c>
      <c r="V1278" s="3" t="n">
        <v>6.8</v>
      </c>
      <c r="W1278" t="inlineStr">
        <is>
          <t>Debit Card</t>
        </is>
      </c>
      <c r="X1278" t="inlineStr">
        <is>
          <t>Medium</t>
        </is>
      </c>
      <c r="Y1278" t="n">
        <v>2023</v>
      </c>
      <c r="Z1278" t="n">
        <v>8</v>
      </c>
      <c r="AA1278" t="inlineStr">
        <is>
          <t>Aug</t>
        </is>
      </c>
      <c r="AB1278" t="inlineStr">
        <is>
          <t>Thursday</t>
        </is>
      </c>
      <c r="AC1278" t="n">
        <v>2</v>
      </c>
      <c r="AD1278" t="inlineStr">
        <is>
          <t>Profitable</t>
        </is>
      </c>
      <c r="AE1278" t="inlineStr">
        <is>
          <t>Medium</t>
        </is>
      </c>
      <c r="AF1278" t="inlineStr">
        <is>
          <t>Small</t>
        </is>
      </c>
    </row>
    <row r="1279">
      <c r="A1279" t="inlineStr">
        <is>
          <t>ORD-01360</t>
        </is>
      </c>
      <c r="B1279" s="2" t="n">
        <v>45551</v>
      </c>
      <c r="C1279" s="2" t="n">
        <v>45557</v>
      </c>
      <c r="D1279" t="inlineStr">
        <is>
          <t>CUST-01360</t>
        </is>
      </c>
      <c r="E1279" t="inlineStr">
        <is>
          <t>Customer 1360</t>
        </is>
      </c>
      <c r="F1279" t="inlineStr">
        <is>
          <t>Consumer</t>
        </is>
      </c>
      <c r="G1279" t="inlineStr">
        <is>
          <t>P1001</t>
        </is>
      </c>
      <c r="H1279" t="inlineStr">
        <is>
          <t>ErgoMesh Chair</t>
        </is>
      </c>
      <c r="I1279" t="inlineStr">
        <is>
          <t>Home Decor</t>
        </is>
      </c>
      <c r="J1279" t="inlineStr">
        <is>
          <t>Lighting</t>
        </is>
      </c>
      <c r="K1279" t="inlineStr">
        <is>
          <t>Central</t>
        </is>
      </c>
      <c r="L1279" t="inlineStr">
        <is>
          <t>Missouri</t>
        </is>
      </c>
      <c r="M1279" t="inlineStr">
        <is>
          <t>Kansas City</t>
        </is>
      </c>
      <c r="N1279" t="inlineStr">
        <is>
          <t>Noah Kim</t>
        </is>
      </c>
      <c r="O1279" t="n">
        <v>3</v>
      </c>
      <c r="P1279" s="3" t="n">
        <v>287.7</v>
      </c>
      <c r="Q1279" s="4" t="n">
        <v>0.034</v>
      </c>
      <c r="R1279" s="3" t="n">
        <v>833.75</v>
      </c>
      <c r="S1279" s="3" t="n">
        <v>487.74</v>
      </c>
      <c r="T1279" s="3" t="n">
        <v>337.61</v>
      </c>
      <c r="U1279" s="4" t="n">
        <v>0.4049</v>
      </c>
      <c r="V1279" s="3" t="n">
        <v>8.4</v>
      </c>
      <c r="W1279" t="inlineStr">
        <is>
          <t>Credit Card</t>
        </is>
      </c>
      <c r="X1279" t="inlineStr">
        <is>
          <t>Critical</t>
        </is>
      </c>
      <c r="Y1279" t="n">
        <v>2024</v>
      </c>
      <c r="Z1279" t="n">
        <v>9</v>
      </c>
      <c r="AA1279" t="inlineStr">
        <is>
          <t>Sep</t>
        </is>
      </c>
      <c r="AB1279" t="inlineStr">
        <is>
          <t>Monday</t>
        </is>
      </c>
      <c r="AC1279" t="n">
        <v>6</v>
      </c>
      <c r="AD1279" t="inlineStr">
        <is>
          <t>Profitable</t>
        </is>
      </c>
      <c r="AE1279" t="inlineStr">
        <is>
          <t>Medium</t>
        </is>
      </c>
      <c r="AF1279" t="inlineStr">
        <is>
          <t>Medium</t>
        </is>
      </c>
    </row>
    <row r="1280">
      <c r="A1280" t="inlineStr">
        <is>
          <t>ORD-01361</t>
        </is>
      </c>
      <c r="B1280" s="2" t="n">
        <v>45858</v>
      </c>
      <c r="C1280" s="2" t="n">
        <v>45864</v>
      </c>
      <c r="D1280" t="inlineStr">
        <is>
          <t>CUST-01361</t>
        </is>
      </c>
      <c r="E1280" t="inlineStr">
        <is>
          <t>Customer 1361</t>
        </is>
      </c>
      <c r="F1280" t="inlineStr">
        <is>
          <t>Consumer</t>
        </is>
      </c>
      <c r="G1280" t="inlineStr">
        <is>
          <t>P1007</t>
        </is>
      </c>
      <c r="H1280" t="inlineStr">
        <is>
          <t>ErgoMesh Chair</t>
        </is>
      </c>
      <c r="I1280" t="inlineStr">
        <is>
          <t>Home Decor</t>
        </is>
      </c>
      <c r="J1280" t="inlineStr">
        <is>
          <t>Accessories</t>
        </is>
      </c>
      <c r="K1280" t="inlineStr">
        <is>
          <t>Central</t>
        </is>
      </c>
      <c r="L1280" t="inlineStr">
        <is>
          <t>Kansas</t>
        </is>
      </c>
      <c r="M1280" t="inlineStr">
        <is>
          <t>Chicago</t>
        </is>
      </c>
      <c r="N1280" t="inlineStr">
        <is>
          <t>Sophia Singh</t>
        </is>
      </c>
      <c r="O1280" t="n">
        <v>3</v>
      </c>
      <c r="P1280" s="3" t="n">
        <v>23.85</v>
      </c>
      <c r="Q1280" s="4" t="n">
        <v>0.022</v>
      </c>
      <c r="R1280" s="3" t="n">
        <v>69.98</v>
      </c>
      <c r="S1280" s="3" t="n">
        <v>32.55</v>
      </c>
      <c r="T1280" s="3" t="n">
        <v>29.03</v>
      </c>
      <c r="U1280" s="4" t="n">
        <v>0.4148</v>
      </c>
      <c r="V1280" s="3" t="n">
        <v>8.4</v>
      </c>
      <c r="W1280" t="inlineStr">
        <is>
          <t>Debit Card</t>
        </is>
      </c>
      <c r="X1280" t="inlineStr">
        <is>
          <t>High</t>
        </is>
      </c>
      <c r="Y1280" t="n">
        <v>2025</v>
      </c>
      <c r="Z1280" t="n">
        <v>7</v>
      </c>
      <c r="AA1280" t="inlineStr">
        <is>
          <t>Jul</t>
        </is>
      </c>
      <c r="AB1280" t="inlineStr">
        <is>
          <t>Sunday</t>
        </is>
      </c>
      <c r="AC1280" t="n">
        <v>6</v>
      </c>
      <c r="AD1280" t="inlineStr">
        <is>
          <t>Profitable</t>
        </is>
      </c>
      <c r="AE1280" t="inlineStr">
        <is>
          <t>Medium</t>
        </is>
      </c>
      <c r="AF1280" t="inlineStr">
        <is>
          <t>Small</t>
        </is>
      </c>
    </row>
    <row r="1281">
      <c r="A1281" t="inlineStr">
        <is>
          <t>ORD-01370</t>
        </is>
      </c>
      <c r="B1281" s="2" t="n">
        <v>45082</v>
      </c>
      <c r="C1281" s="2" t="n">
        <v>45085</v>
      </c>
      <c r="D1281" t="inlineStr">
        <is>
          <t>CUST-01370</t>
        </is>
      </c>
      <c r="E1281" t="inlineStr">
        <is>
          <t>Customer 1370</t>
        </is>
      </c>
      <c r="F1281" t="inlineStr">
        <is>
          <t>Consumer</t>
        </is>
      </c>
      <c r="G1281" t="inlineStr">
        <is>
          <t>P1001</t>
        </is>
      </c>
      <c r="H1281" t="inlineStr">
        <is>
          <t>Nova Laptop Stand</t>
        </is>
      </c>
      <c r="I1281" t="inlineStr">
        <is>
          <t>Technology</t>
        </is>
      </c>
      <c r="J1281" t="inlineStr">
        <is>
          <t>Peripherals</t>
        </is>
      </c>
      <c r="K1281" t="inlineStr">
        <is>
          <t>North</t>
        </is>
      </c>
      <c r="L1281" t="inlineStr">
        <is>
          <t>British Columbia</t>
        </is>
      </c>
      <c r="M1281" t="inlineStr">
        <is>
          <t>Vancouver</t>
        </is>
      </c>
      <c r="N1281" t="inlineStr">
        <is>
          <t>Mia Rodriguez</t>
        </is>
      </c>
      <c r="O1281" t="n">
        <v>4</v>
      </c>
      <c r="P1281" s="3" t="n">
        <v>292.85</v>
      </c>
      <c r="Q1281" s="4" t="n">
        <v>0.021</v>
      </c>
      <c r="R1281" s="3" t="n">
        <v>1146.8</v>
      </c>
      <c r="S1281" s="3" t="n">
        <v>669.89</v>
      </c>
      <c r="T1281" s="3" t="n">
        <v>467.71</v>
      </c>
      <c r="U1281" s="4" t="n">
        <v>0.4078</v>
      </c>
      <c r="V1281" s="3" t="n">
        <v>9.199999999999999</v>
      </c>
      <c r="W1281" t="inlineStr">
        <is>
          <t>Cash on Delivery</t>
        </is>
      </c>
      <c r="X1281" t="inlineStr">
        <is>
          <t>Medium</t>
        </is>
      </c>
      <c r="Y1281" t="n">
        <v>2023</v>
      </c>
      <c r="Z1281" t="n">
        <v>6</v>
      </c>
      <c r="AA1281" t="inlineStr">
        <is>
          <t>Jun</t>
        </is>
      </c>
      <c r="AB1281" t="inlineStr">
        <is>
          <t>Monday</t>
        </is>
      </c>
      <c r="AC1281" t="n">
        <v>3</v>
      </c>
      <c r="AD1281" t="inlineStr">
        <is>
          <t>Profitable</t>
        </is>
      </c>
      <c r="AE1281" t="inlineStr">
        <is>
          <t>Medium</t>
        </is>
      </c>
      <c r="AF1281" t="inlineStr">
        <is>
          <t>Medium</t>
        </is>
      </c>
    </row>
    <row r="1282">
      <c r="A1282" t="inlineStr">
        <is>
          <t>ORD-01375</t>
        </is>
      </c>
      <c r="B1282" s="2" t="n">
        <v>45275</v>
      </c>
      <c r="C1282" s="2" t="n">
        <v>45279</v>
      </c>
      <c r="D1282" t="inlineStr">
        <is>
          <t>CUST-01375</t>
        </is>
      </c>
      <c r="E1282" t="inlineStr">
        <is>
          <t>Customer 1375</t>
        </is>
      </c>
      <c r="F1282" t="inlineStr">
        <is>
          <t>Consumer</t>
        </is>
      </c>
      <c r="G1282" t="inlineStr">
        <is>
          <t>P1010</t>
        </is>
      </c>
      <c r="H1282" t="inlineStr">
        <is>
          <t>Cove Wall Clock</t>
        </is>
      </c>
      <c r="I1282" t="inlineStr">
        <is>
          <t>Home Decor</t>
        </is>
      </c>
      <c r="J1282" t="inlineStr">
        <is>
          <t>Paper</t>
        </is>
      </c>
      <c r="K1282" t="inlineStr">
        <is>
          <t>North</t>
        </is>
      </c>
      <c r="L1282" t="inlineStr">
        <is>
          <t>Ontario</t>
        </is>
      </c>
      <c r="M1282" t="inlineStr">
        <is>
          <t>Calgary</t>
        </is>
      </c>
      <c r="N1282" t="inlineStr">
        <is>
          <t>Olivia Martin</t>
        </is>
      </c>
      <c r="O1282" t="n">
        <v>4</v>
      </c>
      <c r="P1282" s="3" t="n">
        <v>57.98</v>
      </c>
      <c r="Q1282" s="4" t="n">
        <v>0.033</v>
      </c>
      <c r="R1282" s="3" t="n">
        <v>224.27</v>
      </c>
      <c r="S1282" s="3" t="n">
        <v>98.84999999999999</v>
      </c>
      <c r="T1282" s="3" t="n">
        <v>116.22</v>
      </c>
      <c r="U1282" s="4" t="n">
        <v>0.5182</v>
      </c>
      <c r="V1282" s="3" t="n">
        <v>9.199999999999999</v>
      </c>
      <c r="W1282" t="inlineStr">
        <is>
          <t>Bank Transfer</t>
        </is>
      </c>
      <c r="X1282" t="inlineStr">
        <is>
          <t>High</t>
        </is>
      </c>
      <c r="Y1282" t="n">
        <v>2023</v>
      </c>
      <c r="Z1282" t="n">
        <v>12</v>
      </c>
      <c r="AA1282" t="inlineStr">
        <is>
          <t>Dec</t>
        </is>
      </c>
      <c r="AB1282" t="inlineStr">
        <is>
          <t>Friday</t>
        </is>
      </c>
      <c r="AC1282" t="n">
        <v>4</v>
      </c>
      <c r="AD1282" t="inlineStr">
        <is>
          <t>Profitable</t>
        </is>
      </c>
      <c r="AE1282" t="inlineStr">
        <is>
          <t>Medium</t>
        </is>
      </c>
      <c r="AF1282" t="inlineStr">
        <is>
          <t>Small</t>
        </is>
      </c>
    </row>
    <row r="1283">
      <c r="A1283" t="inlineStr">
        <is>
          <t>ORD-01377</t>
        </is>
      </c>
      <c r="B1283" s="2" t="n">
        <v>45323</v>
      </c>
      <c r="C1283" s="2" t="n">
        <v>45325</v>
      </c>
      <c r="D1283" t="inlineStr">
        <is>
          <t>CUST-01377</t>
        </is>
      </c>
      <c r="E1283" t="inlineStr">
        <is>
          <t>Customer 1377</t>
        </is>
      </c>
      <c r="F1283" t="inlineStr">
        <is>
          <t>Corporate</t>
        </is>
      </c>
      <c r="G1283" t="inlineStr">
        <is>
          <t>P1004</t>
        </is>
      </c>
      <c r="H1283" t="inlineStr">
        <is>
          <t>Aero Standing Desk</t>
        </is>
      </c>
      <c r="I1283" t="inlineStr">
        <is>
          <t>Office Supplies</t>
        </is>
      </c>
      <c r="J1283" t="inlineStr">
        <is>
          <t>Bags</t>
        </is>
      </c>
      <c r="K1283" t="inlineStr">
        <is>
          <t>South</t>
        </is>
      </c>
      <c r="L1283" t="inlineStr">
        <is>
          <t>Texas</t>
        </is>
      </c>
      <c r="M1283" t="inlineStr">
        <is>
          <t>Miami</t>
        </is>
      </c>
      <c r="N1283" t="inlineStr">
        <is>
          <t>James Carter</t>
        </is>
      </c>
      <c r="O1283" t="n">
        <v>2</v>
      </c>
      <c r="P1283" s="3" t="n">
        <v>574.48</v>
      </c>
      <c r="Q1283" s="4" t="n">
        <v>0.029</v>
      </c>
      <c r="R1283" s="3" t="n">
        <v>1115.64</v>
      </c>
      <c r="S1283" s="3" t="n">
        <v>710.42</v>
      </c>
      <c r="T1283" s="3" t="n">
        <v>397.62</v>
      </c>
      <c r="U1283" s="4" t="n">
        <v>0.3564</v>
      </c>
      <c r="V1283" s="3" t="n">
        <v>7.6</v>
      </c>
      <c r="W1283" t="inlineStr">
        <is>
          <t>Credit Card</t>
        </is>
      </c>
      <c r="X1283" t="inlineStr">
        <is>
          <t>Low</t>
        </is>
      </c>
      <c r="Y1283" t="n">
        <v>2024</v>
      </c>
      <c r="Z1283" t="n">
        <v>2</v>
      </c>
      <c r="AA1283" t="inlineStr">
        <is>
          <t>Feb</t>
        </is>
      </c>
      <c r="AB1283" t="inlineStr">
        <is>
          <t>Thursday</t>
        </is>
      </c>
      <c r="AC1283" t="n">
        <v>2</v>
      </c>
      <c r="AD1283" t="inlineStr">
        <is>
          <t>Profitable</t>
        </is>
      </c>
      <c r="AE1283" t="inlineStr">
        <is>
          <t>Medium</t>
        </is>
      </c>
      <c r="AF1283" t="inlineStr">
        <is>
          <t>Medium</t>
        </is>
      </c>
    </row>
    <row r="1284">
      <c r="A1284" t="inlineStr">
        <is>
          <t>ORD-01378</t>
        </is>
      </c>
      <c r="B1284" s="2" t="n">
        <v>45437</v>
      </c>
      <c r="C1284" s="2" t="n">
        <v>45440</v>
      </c>
      <c r="D1284" t="inlineStr">
        <is>
          <t>CUST-01378</t>
        </is>
      </c>
      <c r="E1284" t="inlineStr">
        <is>
          <t>Customer 1378</t>
        </is>
      </c>
      <c r="F1284" t="inlineStr">
        <is>
          <t>Consumer</t>
        </is>
      </c>
      <c r="G1284" t="inlineStr">
        <is>
          <t>P1015</t>
        </is>
      </c>
      <c r="H1284" t="inlineStr">
        <is>
          <t>Nova Laptop Stand</t>
        </is>
      </c>
      <c r="I1284" t="inlineStr">
        <is>
          <t>Technology</t>
        </is>
      </c>
      <c r="J1284" t="inlineStr">
        <is>
          <t>Plants</t>
        </is>
      </c>
      <c r="K1284" t="inlineStr">
        <is>
          <t>South</t>
        </is>
      </c>
      <c r="L1284" t="inlineStr">
        <is>
          <t>North Carolina</t>
        </is>
      </c>
      <c r="M1284" t="inlineStr">
        <is>
          <t>Atlanta</t>
        </is>
      </c>
      <c r="N1284" t="inlineStr">
        <is>
          <t>Ava Patel</t>
        </is>
      </c>
      <c r="O1284" t="n">
        <v>3</v>
      </c>
      <c r="P1284" s="3" t="n">
        <v>67.89</v>
      </c>
      <c r="Q1284" s="4" t="n">
        <v>0.015</v>
      </c>
      <c r="R1284" s="3" t="n">
        <v>200.61</v>
      </c>
      <c r="S1284" s="3" t="n">
        <v>95.62</v>
      </c>
      <c r="T1284" s="3" t="n">
        <v>96.59</v>
      </c>
      <c r="U1284" s="4" t="n">
        <v>0.4815</v>
      </c>
      <c r="V1284" s="3" t="n">
        <v>8.4</v>
      </c>
      <c r="W1284" t="inlineStr">
        <is>
          <t>Cash on Delivery</t>
        </is>
      </c>
      <c r="X1284" t="inlineStr">
        <is>
          <t>Low</t>
        </is>
      </c>
      <c r="Y1284" t="n">
        <v>2024</v>
      </c>
      <c r="Z1284" t="n">
        <v>5</v>
      </c>
      <c r="AA1284" t="inlineStr">
        <is>
          <t>May</t>
        </is>
      </c>
      <c r="AB1284" t="inlineStr">
        <is>
          <t>Saturday</t>
        </is>
      </c>
      <c r="AC1284" t="n">
        <v>3</v>
      </c>
      <c r="AD1284" t="inlineStr">
        <is>
          <t>Profitable</t>
        </is>
      </c>
      <c r="AE1284" t="inlineStr">
        <is>
          <t>Low</t>
        </is>
      </c>
      <c r="AF1284" t="inlineStr">
        <is>
          <t>Small</t>
        </is>
      </c>
    </row>
    <row r="1285">
      <c r="A1285" t="inlineStr">
        <is>
          <t>ORD-01379</t>
        </is>
      </c>
      <c r="B1285" s="2" t="n">
        <v>45467</v>
      </c>
      <c r="C1285" s="2" t="n">
        <v>45470</v>
      </c>
      <c r="D1285" t="inlineStr">
        <is>
          <t>CUST-01379</t>
        </is>
      </c>
      <c r="E1285" t="inlineStr">
        <is>
          <t>Customer 1379</t>
        </is>
      </c>
      <c r="F1285" t="inlineStr">
        <is>
          <t>Corporate</t>
        </is>
      </c>
      <c r="G1285" t="inlineStr">
        <is>
          <t>P1020</t>
        </is>
      </c>
      <c r="H1285" t="inlineStr">
        <is>
          <t>Lumen Desk Lamp</t>
        </is>
      </c>
      <c r="I1285" t="inlineStr">
        <is>
          <t>Office Supplies</t>
        </is>
      </c>
      <c r="J1285" t="inlineStr">
        <is>
          <t>Furniture</t>
        </is>
      </c>
      <c r="K1285" t="inlineStr">
        <is>
          <t>South</t>
        </is>
      </c>
      <c r="L1285" t="inlineStr">
        <is>
          <t>Florida</t>
        </is>
      </c>
      <c r="M1285" t="inlineStr">
        <is>
          <t>Miami</t>
        </is>
      </c>
      <c r="N1285" t="inlineStr">
        <is>
          <t>Olivia Martin</t>
        </is>
      </c>
      <c r="O1285" t="n">
        <v>1</v>
      </c>
      <c r="P1285" s="3" t="n">
        <v>72.26000000000001</v>
      </c>
      <c r="Q1285" s="4" t="n">
        <v>0.035</v>
      </c>
      <c r="R1285" s="3" t="n">
        <v>69.73</v>
      </c>
      <c r="S1285" s="3" t="n">
        <v>40.86</v>
      </c>
      <c r="T1285" s="3" t="n">
        <v>22.07</v>
      </c>
      <c r="U1285" s="4" t="n">
        <v>0.3165</v>
      </c>
      <c r="V1285" s="3" t="n">
        <v>6.8</v>
      </c>
      <c r="W1285" t="inlineStr">
        <is>
          <t>Credit Card</t>
        </is>
      </c>
      <c r="X1285" t="inlineStr">
        <is>
          <t>High</t>
        </is>
      </c>
      <c r="Y1285" t="n">
        <v>2024</v>
      </c>
      <c r="Z1285" t="n">
        <v>6</v>
      </c>
      <c r="AA1285" t="inlineStr">
        <is>
          <t>Jun</t>
        </is>
      </c>
      <c r="AB1285" t="inlineStr">
        <is>
          <t>Monday</t>
        </is>
      </c>
      <c r="AC1285" t="n">
        <v>3</v>
      </c>
      <c r="AD1285" t="inlineStr">
        <is>
          <t>Profitable</t>
        </is>
      </c>
      <c r="AE1285" t="inlineStr">
        <is>
          <t>Medium</t>
        </is>
      </c>
      <c r="AF1285" t="inlineStr">
        <is>
          <t>Small</t>
        </is>
      </c>
    </row>
    <row r="1286">
      <c r="A1286" t="inlineStr">
        <is>
          <t>ORD-01381</t>
        </is>
      </c>
      <c r="B1286" s="2" t="n">
        <v>45147</v>
      </c>
      <c r="C1286" s="2" t="n">
        <v>45151</v>
      </c>
      <c r="D1286" t="inlineStr">
        <is>
          <t>CUST-01381</t>
        </is>
      </c>
      <c r="E1286" t="inlineStr">
        <is>
          <t>Customer 1381</t>
        </is>
      </c>
      <c r="F1286" t="inlineStr">
        <is>
          <t>Consumer</t>
        </is>
      </c>
      <c r="G1286" t="inlineStr">
        <is>
          <t>P1020</t>
        </is>
      </c>
      <c r="H1286" t="inlineStr">
        <is>
          <t>Tide Cooler</t>
        </is>
      </c>
      <c r="I1286" t="inlineStr">
        <is>
          <t>Furniture</t>
        </is>
      </c>
      <c r="J1286" t="inlineStr">
        <is>
          <t>Flooring</t>
        </is>
      </c>
      <c r="K1286" t="inlineStr">
        <is>
          <t>South</t>
        </is>
      </c>
      <c r="L1286" t="inlineStr">
        <is>
          <t>North Carolina</t>
        </is>
      </c>
      <c r="M1286" t="inlineStr">
        <is>
          <t>Atlanta</t>
        </is>
      </c>
      <c r="N1286" t="inlineStr">
        <is>
          <t>Noah Kim</t>
        </is>
      </c>
      <c r="O1286" t="n">
        <v>2</v>
      </c>
      <c r="P1286" s="3" t="n">
        <v>74.63</v>
      </c>
      <c r="Q1286" s="4" t="n">
        <v>0.006</v>
      </c>
      <c r="R1286" s="3" t="n">
        <v>148.36</v>
      </c>
      <c r="S1286" s="3" t="n">
        <v>73.04000000000001</v>
      </c>
      <c r="T1286" s="3" t="n">
        <v>67.72</v>
      </c>
      <c r="U1286" s="4" t="n">
        <v>0.4565</v>
      </c>
      <c r="V1286" s="3" t="n">
        <v>7.6</v>
      </c>
      <c r="W1286" t="inlineStr">
        <is>
          <t>PayPal</t>
        </is>
      </c>
      <c r="X1286" t="inlineStr">
        <is>
          <t>Low</t>
        </is>
      </c>
      <c r="Y1286" t="n">
        <v>2023</v>
      </c>
      <c r="Z1286" t="n">
        <v>8</v>
      </c>
      <c r="AA1286" t="inlineStr">
        <is>
          <t>Aug</t>
        </is>
      </c>
      <c r="AB1286" t="inlineStr">
        <is>
          <t>Wednesday</t>
        </is>
      </c>
      <c r="AC1286" t="n">
        <v>4</v>
      </c>
      <c r="AD1286" t="inlineStr">
        <is>
          <t>Profitable</t>
        </is>
      </c>
      <c r="AE1286" t="inlineStr">
        <is>
          <t>Low</t>
        </is>
      </c>
      <c r="AF1286" t="inlineStr">
        <is>
          <t>Small</t>
        </is>
      </c>
    </row>
    <row r="1287">
      <c r="A1287" t="inlineStr">
        <is>
          <t>ORD-01382</t>
        </is>
      </c>
      <c r="B1287" s="2" t="n">
        <v>45476</v>
      </c>
      <c r="C1287" s="2" t="n">
        <v>45483</v>
      </c>
      <c r="D1287" t="inlineStr">
        <is>
          <t>CUST-01382</t>
        </is>
      </c>
      <c r="E1287" t="inlineStr">
        <is>
          <t>Customer 1382</t>
        </is>
      </c>
      <c r="F1287" t="inlineStr">
        <is>
          <t>Consumer</t>
        </is>
      </c>
      <c r="G1287" t="inlineStr">
        <is>
          <t>P1020</t>
        </is>
      </c>
      <c r="H1287" t="inlineStr">
        <is>
          <t>SmartInk Pen Set</t>
        </is>
      </c>
      <c r="I1287" t="inlineStr">
        <is>
          <t>Outdoor</t>
        </is>
      </c>
      <c r="J1287" t="inlineStr">
        <is>
          <t>Bags</t>
        </is>
      </c>
      <c r="K1287" t="inlineStr">
        <is>
          <t>Central</t>
        </is>
      </c>
      <c r="L1287" t="inlineStr">
        <is>
          <t>Illinois</t>
        </is>
      </c>
      <c r="M1287" t="inlineStr">
        <is>
          <t>Minneapolis</t>
        </is>
      </c>
      <c r="N1287" t="inlineStr">
        <is>
          <t>Ava Patel</t>
        </is>
      </c>
      <c r="O1287" t="n">
        <v>5</v>
      </c>
      <c r="P1287" s="3" t="n">
        <v>74.93000000000001</v>
      </c>
      <c r="Q1287" s="4" t="n">
        <v>0.028</v>
      </c>
      <c r="R1287" s="3" t="n">
        <v>364.16</v>
      </c>
      <c r="S1287" s="3" t="n">
        <v>175.46</v>
      </c>
      <c r="T1287" s="3" t="n">
        <v>178.7</v>
      </c>
      <c r="U1287" s="4" t="n">
        <v>0.4907</v>
      </c>
      <c r="V1287" s="3" t="n">
        <v>10</v>
      </c>
      <c r="W1287" t="inlineStr">
        <is>
          <t>PayPal</t>
        </is>
      </c>
      <c r="X1287" t="inlineStr">
        <is>
          <t>Medium</t>
        </is>
      </c>
      <c r="Y1287" t="n">
        <v>2024</v>
      </c>
      <c r="Z1287" t="n">
        <v>7</v>
      </c>
      <c r="AA1287" t="inlineStr">
        <is>
          <t>Jul</t>
        </is>
      </c>
      <c r="AB1287" t="inlineStr">
        <is>
          <t>Wednesday</t>
        </is>
      </c>
      <c r="AC1287" t="n">
        <v>7</v>
      </c>
      <c r="AD1287" t="inlineStr">
        <is>
          <t>Profitable</t>
        </is>
      </c>
      <c r="AE1287" t="inlineStr">
        <is>
          <t>Medium</t>
        </is>
      </c>
      <c r="AF1287" t="inlineStr">
        <is>
          <t>Small</t>
        </is>
      </c>
    </row>
    <row r="1288">
      <c r="A1288" t="inlineStr">
        <is>
          <t>ORD-01383</t>
        </is>
      </c>
      <c r="B1288" s="2" t="n">
        <v>45683</v>
      </c>
      <c r="C1288" s="2" t="n">
        <v>45688</v>
      </c>
      <c r="D1288" t="inlineStr">
        <is>
          <t>CUST-01383</t>
        </is>
      </c>
      <c r="E1288" t="inlineStr">
        <is>
          <t>Customer 1383</t>
        </is>
      </c>
      <c r="F1288" t="inlineStr">
        <is>
          <t>Consumer</t>
        </is>
      </c>
      <c r="G1288" t="inlineStr">
        <is>
          <t>P1016</t>
        </is>
      </c>
      <c r="H1288" t="inlineStr">
        <is>
          <t>Cove Wall Clock</t>
        </is>
      </c>
      <c r="I1288" t="inlineStr">
        <is>
          <t>Home Decor</t>
        </is>
      </c>
      <c r="J1288" t="inlineStr">
        <is>
          <t>Textiles</t>
        </is>
      </c>
      <c r="K1288" t="inlineStr">
        <is>
          <t>North</t>
        </is>
      </c>
      <c r="L1288" t="inlineStr">
        <is>
          <t>Alberta</t>
        </is>
      </c>
      <c r="M1288" t="inlineStr">
        <is>
          <t>Toronto</t>
        </is>
      </c>
      <c r="N1288" t="inlineStr">
        <is>
          <t>Noah Kim</t>
        </is>
      </c>
      <c r="O1288" t="n">
        <v>3</v>
      </c>
      <c r="P1288" s="3" t="n">
        <v>39.79</v>
      </c>
      <c r="Q1288" s="4" t="n">
        <v>0.035</v>
      </c>
      <c r="R1288" s="3" t="n">
        <v>115.19</v>
      </c>
      <c r="S1288" s="3" t="n">
        <v>49.4</v>
      </c>
      <c r="T1288" s="3" t="n">
        <v>57.39</v>
      </c>
      <c r="U1288" s="4" t="n">
        <v>0.4982</v>
      </c>
      <c r="V1288" s="3" t="n">
        <v>8.4</v>
      </c>
      <c r="W1288" t="inlineStr">
        <is>
          <t>Debit Card</t>
        </is>
      </c>
      <c r="X1288" t="inlineStr">
        <is>
          <t>High</t>
        </is>
      </c>
      <c r="Y1288" t="n">
        <v>2025</v>
      </c>
      <c r="Z1288" t="n">
        <v>1</v>
      </c>
      <c r="AA1288" t="inlineStr">
        <is>
          <t>Jan</t>
        </is>
      </c>
      <c r="AB1288" t="inlineStr">
        <is>
          <t>Sunday</t>
        </is>
      </c>
      <c r="AC1288" t="n">
        <v>5</v>
      </c>
      <c r="AD1288" t="inlineStr">
        <is>
          <t>Profitable</t>
        </is>
      </c>
      <c r="AE1288" t="inlineStr">
        <is>
          <t>Medium</t>
        </is>
      </c>
      <c r="AF1288" t="inlineStr">
        <is>
          <t>Small</t>
        </is>
      </c>
    </row>
    <row r="1289">
      <c r="A1289" t="inlineStr">
        <is>
          <t>ORD-01384</t>
        </is>
      </c>
      <c r="B1289" s="2" t="n">
        <v>45050</v>
      </c>
      <c r="C1289" s="2" t="n">
        <v>45052</v>
      </c>
      <c r="D1289" t="inlineStr">
        <is>
          <t>CUST-01384</t>
        </is>
      </c>
      <c r="E1289" t="inlineStr">
        <is>
          <t>Customer 1384</t>
        </is>
      </c>
      <c r="F1289" t="inlineStr">
        <is>
          <t>Home Office</t>
        </is>
      </c>
      <c r="G1289" t="inlineStr">
        <is>
          <t>P1002</t>
        </is>
      </c>
      <c r="H1289" t="inlineStr">
        <is>
          <t>Halo Planter</t>
        </is>
      </c>
      <c r="I1289" t="inlineStr">
        <is>
          <t>Home Decor</t>
        </is>
      </c>
      <c r="J1289" t="inlineStr">
        <is>
          <t>Plants</t>
        </is>
      </c>
      <c r="K1289" t="inlineStr">
        <is>
          <t>South</t>
        </is>
      </c>
      <c r="L1289" t="inlineStr">
        <is>
          <t>Georgia</t>
        </is>
      </c>
      <c r="M1289" t="inlineStr">
        <is>
          <t>Dallas</t>
        </is>
      </c>
      <c r="N1289" t="inlineStr">
        <is>
          <t>Ava Patel</t>
        </is>
      </c>
      <c r="O1289" t="n">
        <v>5</v>
      </c>
      <c r="P1289" s="3" t="n">
        <v>79.31999999999999</v>
      </c>
      <c r="Q1289" s="4" t="n">
        <v>0.019</v>
      </c>
      <c r="R1289" s="3" t="n">
        <v>389.06</v>
      </c>
      <c r="S1289" s="3" t="n">
        <v>178.12</v>
      </c>
      <c r="T1289" s="3" t="n">
        <v>200.94</v>
      </c>
      <c r="U1289" s="4" t="n">
        <v>0.5165</v>
      </c>
      <c r="V1289" s="3" t="n">
        <v>10</v>
      </c>
      <c r="W1289" t="inlineStr">
        <is>
          <t>Bank Transfer</t>
        </is>
      </c>
      <c r="X1289" t="inlineStr">
        <is>
          <t>Medium</t>
        </is>
      </c>
      <c r="Y1289" t="n">
        <v>2023</v>
      </c>
      <c r="Z1289" t="n">
        <v>5</v>
      </c>
      <c r="AA1289" t="inlineStr">
        <is>
          <t>May</t>
        </is>
      </c>
      <c r="AB1289" t="inlineStr">
        <is>
          <t>Thursday</t>
        </is>
      </c>
      <c r="AC1289" t="n">
        <v>2</v>
      </c>
      <c r="AD1289" t="inlineStr">
        <is>
          <t>Profitable</t>
        </is>
      </c>
      <c r="AE1289" t="inlineStr">
        <is>
          <t>Low</t>
        </is>
      </c>
      <c r="AF1289" t="inlineStr">
        <is>
          <t>Small</t>
        </is>
      </c>
    </row>
    <row r="1290">
      <c r="A1290" t="inlineStr">
        <is>
          <t>ORD-01387</t>
        </is>
      </c>
      <c r="B1290" s="2" t="n">
        <v>45952</v>
      </c>
      <c r="C1290" s="2" t="n">
        <v>45953</v>
      </c>
      <c r="D1290" t="inlineStr">
        <is>
          <t>CUST-01387</t>
        </is>
      </c>
      <c r="E1290" t="inlineStr">
        <is>
          <t>Customer 1387</t>
        </is>
      </c>
      <c r="F1290" t="inlineStr">
        <is>
          <t>Consumer</t>
        </is>
      </c>
      <c r="G1290" t="inlineStr">
        <is>
          <t>P1013</t>
        </is>
      </c>
      <c r="H1290" t="inlineStr">
        <is>
          <t>CloudDrive File Box</t>
        </is>
      </c>
      <c r="I1290" t="inlineStr">
        <is>
          <t>Technology</t>
        </is>
      </c>
      <c r="J1290" t="inlineStr">
        <is>
          <t>Coolers</t>
        </is>
      </c>
      <c r="K1290" t="inlineStr">
        <is>
          <t>Central</t>
        </is>
      </c>
      <c r="L1290" t="inlineStr">
        <is>
          <t>Kansas</t>
        </is>
      </c>
      <c r="M1290" t="inlineStr">
        <is>
          <t>Kansas City</t>
        </is>
      </c>
      <c r="N1290" t="inlineStr">
        <is>
          <t>Mia Rodriguez</t>
        </is>
      </c>
      <c r="O1290" t="n">
        <v>4</v>
      </c>
      <c r="P1290" s="3" t="n">
        <v>173.5</v>
      </c>
      <c r="Q1290" s="4" t="n">
        <v>0.016</v>
      </c>
      <c r="R1290" s="3" t="n">
        <v>682.9</v>
      </c>
      <c r="S1290" s="3" t="n">
        <v>387.54</v>
      </c>
      <c r="T1290" s="3" t="n">
        <v>286.16</v>
      </c>
      <c r="U1290" s="4" t="n">
        <v>0.419</v>
      </c>
      <c r="V1290" s="3" t="n">
        <v>9.199999999999999</v>
      </c>
      <c r="W1290" t="inlineStr">
        <is>
          <t>Credit Card</t>
        </is>
      </c>
      <c r="X1290" t="inlineStr">
        <is>
          <t>Medium</t>
        </is>
      </c>
      <c r="Y1290" t="n">
        <v>2025</v>
      </c>
      <c r="Z1290" t="n">
        <v>10</v>
      </c>
      <c r="AA1290" t="inlineStr">
        <is>
          <t>Oct</t>
        </is>
      </c>
      <c r="AB1290" t="inlineStr">
        <is>
          <t>Wednesday</t>
        </is>
      </c>
      <c r="AC1290" t="n">
        <v>1</v>
      </c>
      <c r="AD1290" t="inlineStr">
        <is>
          <t>Profitable</t>
        </is>
      </c>
      <c r="AE1290" t="inlineStr">
        <is>
          <t>Low</t>
        </is>
      </c>
      <c r="AF1290" t="inlineStr">
        <is>
          <t>Medium</t>
        </is>
      </c>
    </row>
    <row r="1291">
      <c r="A1291" t="inlineStr">
        <is>
          <t>ORD-01388</t>
        </is>
      </c>
      <c r="B1291" s="2" t="n">
        <v>45213</v>
      </c>
      <c r="C1291" s="2" t="n">
        <v>45218</v>
      </c>
      <c r="D1291" t="inlineStr">
        <is>
          <t>CUST-01388</t>
        </is>
      </c>
      <c r="E1291" t="inlineStr">
        <is>
          <t>Customer 1388</t>
        </is>
      </c>
      <c r="F1291" t="inlineStr">
        <is>
          <t>Consumer</t>
        </is>
      </c>
      <c r="G1291" t="inlineStr">
        <is>
          <t>P1020</t>
        </is>
      </c>
      <c r="H1291" t="inlineStr">
        <is>
          <t>FlexNote Notebook</t>
        </is>
      </c>
      <c r="I1291" t="inlineStr">
        <is>
          <t>Outdoor</t>
        </is>
      </c>
      <c r="J1291" t="inlineStr">
        <is>
          <t>Flooring</t>
        </is>
      </c>
      <c r="K1291" t="inlineStr">
        <is>
          <t>South</t>
        </is>
      </c>
      <c r="L1291" t="inlineStr">
        <is>
          <t>Texas</t>
        </is>
      </c>
      <c r="M1291" t="inlineStr">
        <is>
          <t>Atlanta</t>
        </is>
      </c>
      <c r="N1291" t="inlineStr">
        <is>
          <t>Ethan Brooks</t>
        </is>
      </c>
      <c r="O1291" t="n">
        <v>5</v>
      </c>
      <c r="P1291" s="3" t="n">
        <v>77.66</v>
      </c>
      <c r="Q1291" s="4" t="n">
        <v>0.011</v>
      </c>
      <c r="R1291" s="3" t="n">
        <v>384.03</v>
      </c>
      <c r="S1291" s="3" t="n">
        <v>179.59</v>
      </c>
      <c r="T1291" s="3" t="n">
        <v>194.44</v>
      </c>
      <c r="U1291" s="4" t="n">
        <v>0.5063</v>
      </c>
      <c r="V1291" s="3" t="n">
        <v>10</v>
      </c>
      <c r="W1291" t="inlineStr">
        <is>
          <t>PayPal</t>
        </is>
      </c>
      <c r="X1291" t="inlineStr">
        <is>
          <t>Medium</t>
        </is>
      </c>
      <c r="Y1291" t="n">
        <v>2023</v>
      </c>
      <c r="Z1291" t="n">
        <v>10</v>
      </c>
      <c r="AA1291" t="inlineStr">
        <is>
          <t>Oct</t>
        </is>
      </c>
      <c r="AB1291" t="inlineStr">
        <is>
          <t>Saturday</t>
        </is>
      </c>
      <c r="AC1291" t="n">
        <v>5</v>
      </c>
      <c r="AD1291" t="inlineStr">
        <is>
          <t>Profitable</t>
        </is>
      </c>
      <c r="AE1291" t="inlineStr">
        <is>
          <t>Low</t>
        </is>
      </c>
      <c r="AF1291" t="inlineStr">
        <is>
          <t>Small</t>
        </is>
      </c>
    </row>
    <row r="1292">
      <c r="A1292" t="inlineStr">
        <is>
          <t>ORD-01391</t>
        </is>
      </c>
      <c r="B1292" s="2" t="n">
        <v>45062</v>
      </c>
      <c r="C1292" s="2" t="n">
        <v>45067</v>
      </c>
      <c r="D1292" t="inlineStr">
        <is>
          <t>CUST-01391</t>
        </is>
      </c>
      <c r="E1292" t="inlineStr">
        <is>
          <t>Customer 1391</t>
        </is>
      </c>
      <c r="F1292" t="inlineStr">
        <is>
          <t>Corporate</t>
        </is>
      </c>
      <c r="G1292" t="inlineStr">
        <is>
          <t>P1005</t>
        </is>
      </c>
      <c r="H1292" t="inlineStr">
        <is>
          <t>ErgoMesh Chair</t>
        </is>
      </c>
      <c r="I1292" t="inlineStr">
        <is>
          <t>Furniture</t>
        </is>
      </c>
      <c r="J1292" t="inlineStr">
        <is>
          <t>Plants</t>
        </is>
      </c>
      <c r="K1292" t="inlineStr">
        <is>
          <t>North</t>
        </is>
      </c>
      <c r="L1292" t="inlineStr">
        <is>
          <t>Alberta</t>
        </is>
      </c>
      <c r="M1292" t="inlineStr">
        <is>
          <t>Montreal</t>
        </is>
      </c>
      <c r="N1292" t="inlineStr">
        <is>
          <t>James Carter</t>
        </is>
      </c>
      <c r="O1292" t="n">
        <v>3</v>
      </c>
      <c r="P1292" s="3" t="n">
        <v>12.36</v>
      </c>
      <c r="Q1292" s="4" t="n">
        <v>0.025</v>
      </c>
      <c r="R1292" s="3" t="n">
        <v>36.15</v>
      </c>
      <c r="S1292" s="3" t="n">
        <v>23.45</v>
      </c>
      <c r="T1292" s="3" t="n">
        <v>4.3</v>
      </c>
      <c r="U1292" s="4" t="n">
        <v>0.1189</v>
      </c>
      <c r="V1292" s="3" t="n">
        <v>8.4</v>
      </c>
      <c r="W1292" t="inlineStr">
        <is>
          <t>Credit Card</t>
        </is>
      </c>
      <c r="X1292" t="inlineStr">
        <is>
          <t>Low</t>
        </is>
      </c>
      <c r="Y1292" t="n">
        <v>2023</v>
      </c>
      <c r="Z1292" t="n">
        <v>5</v>
      </c>
      <c r="AA1292" t="inlineStr">
        <is>
          <t>May</t>
        </is>
      </c>
      <c r="AB1292" t="inlineStr">
        <is>
          <t>Tuesday</t>
        </is>
      </c>
      <c r="AC1292" t="n">
        <v>5</v>
      </c>
      <c r="AD1292" t="inlineStr">
        <is>
          <t>Profitable</t>
        </is>
      </c>
      <c r="AE1292" t="inlineStr">
        <is>
          <t>Medium</t>
        </is>
      </c>
      <c r="AF1292" t="inlineStr">
        <is>
          <t>Small</t>
        </is>
      </c>
    </row>
    <row r="1293">
      <c r="A1293" t="inlineStr">
        <is>
          <t>ORD-01392</t>
        </is>
      </c>
      <c r="B1293" s="2" t="n">
        <v>45246</v>
      </c>
      <c r="C1293" s="2" t="n">
        <v>45249</v>
      </c>
      <c r="D1293" t="inlineStr">
        <is>
          <t>CUST-01392</t>
        </is>
      </c>
      <c r="E1293" t="inlineStr">
        <is>
          <t>Customer 1392</t>
        </is>
      </c>
      <c r="F1293" t="inlineStr">
        <is>
          <t>Home Office</t>
        </is>
      </c>
      <c r="G1293" t="inlineStr">
        <is>
          <t>P1006</t>
        </is>
      </c>
      <c r="H1293" t="inlineStr">
        <is>
          <t>FlexNote Notebook</t>
        </is>
      </c>
      <c r="I1293" t="inlineStr">
        <is>
          <t>Home Decor</t>
        </is>
      </c>
      <c r="J1293" t="inlineStr">
        <is>
          <t>Writing</t>
        </is>
      </c>
      <c r="K1293" t="inlineStr">
        <is>
          <t>Central</t>
        </is>
      </c>
      <c r="L1293" t="inlineStr">
        <is>
          <t>Illinois</t>
        </is>
      </c>
      <c r="M1293" t="inlineStr">
        <is>
          <t>Minneapolis</t>
        </is>
      </c>
      <c r="N1293" t="inlineStr">
        <is>
          <t>Mia Rodriguez</t>
        </is>
      </c>
      <c r="O1293" t="n">
        <v>1</v>
      </c>
      <c r="P1293" s="3" t="n">
        <v>19.07</v>
      </c>
      <c r="Q1293" s="4" t="n">
        <v>0.016</v>
      </c>
      <c r="R1293" s="3" t="n">
        <v>18.76</v>
      </c>
      <c r="S1293" s="3" t="n">
        <v>15.23</v>
      </c>
      <c r="T1293" s="3" t="n">
        <v>-3.27</v>
      </c>
      <c r="U1293" s="4" t="n">
        <v>-0.1743</v>
      </c>
      <c r="V1293" s="3" t="n">
        <v>6.8</v>
      </c>
      <c r="W1293" t="inlineStr">
        <is>
          <t>Cash on Delivery</t>
        </is>
      </c>
      <c r="X1293" t="inlineStr">
        <is>
          <t>High</t>
        </is>
      </c>
      <c r="Y1293" t="n">
        <v>2023</v>
      </c>
      <c r="Z1293" t="n">
        <v>11</v>
      </c>
      <c r="AA1293" t="inlineStr">
        <is>
          <t>Nov</t>
        </is>
      </c>
      <c r="AB1293" t="inlineStr">
        <is>
          <t>Thursday</t>
        </is>
      </c>
      <c r="AC1293" t="n">
        <v>3</v>
      </c>
      <c r="AD1293" t="inlineStr">
        <is>
          <t>Unprofitable</t>
        </is>
      </c>
      <c r="AE1293" t="inlineStr">
        <is>
          <t>Low</t>
        </is>
      </c>
      <c r="AF1293" t="inlineStr">
        <is>
          <t>Small</t>
        </is>
      </c>
    </row>
    <row r="1294">
      <c r="A1294" t="inlineStr">
        <is>
          <t>ORD-01395</t>
        </is>
      </c>
      <c r="B1294" s="2" t="n">
        <v>45298</v>
      </c>
      <c r="C1294" s="2" t="n">
        <v>45302</v>
      </c>
      <c r="D1294" t="inlineStr">
        <is>
          <t>CUST-01395</t>
        </is>
      </c>
      <c r="E1294" t="inlineStr">
        <is>
          <t>Customer 1395</t>
        </is>
      </c>
      <c r="F1294" t="inlineStr">
        <is>
          <t>Consumer</t>
        </is>
      </c>
      <c r="G1294" t="inlineStr">
        <is>
          <t>P1003</t>
        </is>
      </c>
      <c r="H1294" t="inlineStr">
        <is>
          <t>Halo Planter</t>
        </is>
      </c>
      <c r="I1294" t="inlineStr">
        <is>
          <t>Furniture</t>
        </is>
      </c>
      <c r="J1294" t="inlineStr">
        <is>
          <t>Binders</t>
        </is>
      </c>
      <c r="K1294" t="inlineStr">
        <is>
          <t>Central</t>
        </is>
      </c>
      <c r="L1294" t="inlineStr">
        <is>
          <t>Missouri</t>
        </is>
      </c>
      <c r="M1294" t="inlineStr">
        <is>
          <t>Chicago</t>
        </is>
      </c>
      <c r="N1294" t="inlineStr">
        <is>
          <t>Noah Kim</t>
        </is>
      </c>
      <c r="O1294" t="n">
        <v>1</v>
      </c>
      <c r="P1294" s="3" t="n">
        <v>141.85</v>
      </c>
      <c r="Q1294" s="4" t="n">
        <v>0.001</v>
      </c>
      <c r="R1294" s="3" t="n">
        <v>141.71</v>
      </c>
      <c r="S1294" s="3" t="n">
        <v>77.37</v>
      </c>
      <c r="T1294" s="3" t="n">
        <v>57.54</v>
      </c>
      <c r="U1294" s="4" t="n">
        <v>0.406</v>
      </c>
      <c r="V1294" s="3" t="n">
        <v>6.8</v>
      </c>
      <c r="W1294" t="inlineStr">
        <is>
          <t>Debit Card</t>
        </is>
      </c>
      <c r="X1294" t="inlineStr">
        <is>
          <t>Medium</t>
        </is>
      </c>
      <c r="Y1294" t="n">
        <v>2024</v>
      </c>
      <c r="Z1294" t="n">
        <v>1</v>
      </c>
      <c r="AA1294" t="inlineStr">
        <is>
          <t>Jan</t>
        </is>
      </c>
      <c r="AB1294" t="inlineStr">
        <is>
          <t>Sunday</t>
        </is>
      </c>
      <c r="AC1294" t="n">
        <v>4</v>
      </c>
      <c r="AD1294" t="inlineStr">
        <is>
          <t>Profitable</t>
        </is>
      </c>
      <c r="AE1294" t="inlineStr">
        <is>
          <t>Low</t>
        </is>
      </c>
      <c r="AF1294" t="inlineStr">
        <is>
          <t>Small</t>
        </is>
      </c>
    </row>
    <row r="1295">
      <c r="A1295" t="inlineStr">
        <is>
          <t>ORD-01396</t>
        </is>
      </c>
      <c r="B1295" s="2" t="n">
        <v>45741</v>
      </c>
      <c r="C1295" s="2" t="n">
        <v>45743</v>
      </c>
      <c r="D1295" t="inlineStr">
        <is>
          <t>CUST-01396</t>
        </is>
      </c>
      <c r="E1295" t="inlineStr">
        <is>
          <t>Customer 1396</t>
        </is>
      </c>
      <c r="F1295" t="inlineStr">
        <is>
          <t>Home Office</t>
        </is>
      </c>
      <c r="G1295" t="inlineStr">
        <is>
          <t>P1013</t>
        </is>
      </c>
      <c r="H1295" t="inlineStr">
        <is>
          <t>Nimbus Monitor Arm</t>
        </is>
      </c>
      <c r="I1295" t="inlineStr">
        <is>
          <t>Home Decor</t>
        </is>
      </c>
      <c r="J1295" t="inlineStr">
        <is>
          <t>Accessories</t>
        </is>
      </c>
      <c r="K1295" t="inlineStr">
        <is>
          <t>South</t>
        </is>
      </c>
      <c r="L1295" t="inlineStr">
        <is>
          <t>Texas</t>
        </is>
      </c>
      <c r="M1295" t="inlineStr">
        <is>
          <t>Dallas</t>
        </is>
      </c>
      <c r="N1295" t="inlineStr">
        <is>
          <t>James Carter</t>
        </is>
      </c>
      <c r="O1295" t="n">
        <v>3</v>
      </c>
      <c r="P1295" s="3" t="n">
        <v>163.44</v>
      </c>
      <c r="Q1295" s="4" t="n">
        <v>0.035</v>
      </c>
      <c r="R1295" s="3" t="n">
        <v>473.16</v>
      </c>
      <c r="S1295" s="3" t="n">
        <v>272.63</v>
      </c>
      <c r="T1295" s="3" t="n">
        <v>192.13</v>
      </c>
      <c r="U1295" s="4" t="n">
        <v>0.4061</v>
      </c>
      <c r="V1295" s="3" t="n">
        <v>8.4</v>
      </c>
      <c r="W1295" t="inlineStr">
        <is>
          <t>Debit Card</t>
        </is>
      </c>
      <c r="X1295" t="inlineStr">
        <is>
          <t>Critical</t>
        </is>
      </c>
      <c r="Y1295" t="n">
        <v>2025</v>
      </c>
      <c r="Z1295" t="n">
        <v>3</v>
      </c>
      <c r="AA1295" t="inlineStr">
        <is>
          <t>Mar</t>
        </is>
      </c>
      <c r="AB1295" t="inlineStr">
        <is>
          <t>Tuesday</t>
        </is>
      </c>
      <c r="AC1295" t="n">
        <v>2</v>
      </c>
      <c r="AD1295" t="inlineStr">
        <is>
          <t>Profitable</t>
        </is>
      </c>
      <c r="AE1295" t="inlineStr">
        <is>
          <t>Medium</t>
        </is>
      </c>
      <c r="AF1295" t="inlineStr">
        <is>
          <t>Small</t>
        </is>
      </c>
    </row>
    <row r="1296">
      <c r="A1296" t="inlineStr">
        <is>
          <t>ORD-01401</t>
        </is>
      </c>
      <c r="B1296" s="2" t="n">
        <v>45084</v>
      </c>
      <c r="C1296" s="2" t="n">
        <v>45088</v>
      </c>
      <c r="D1296" t="inlineStr">
        <is>
          <t>CUST-01401</t>
        </is>
      </c>
      <c r="E1296" t="inlineStr">
        <is>
          <t>Customer 1401</t>
        </is>
      </c>
      <c r="F1296" t="inlineStr">
        <is>
          <t>Consumer</t>
        </is>
      </c>
      <c r="G1296" t="inlineStr">
        <is>
          <t>P1013</t>
        </is>
      </c>
      <c r="H1296" t="inlineStr">
        <is>
          <t>Orbit Wireless Mouse</t>
        </is>
      </c>
      <c r="I1296" t="inlineStr">
        <is>
          <t>Office Supplies</t>
        </is>
      </c>
      <c r="J1296" t="inlineStr">
        <is>
          <t>Textiles</t>
        </is>
      </c>
      <c r="K1296" t="inlineStr">
        <is>
          <t>South</t>
        </is>
      </c>
      <c r="L1296" t="inlineStr">
        <is>
          <t>Georgia</t>
        </is>
      </c>
      <c r="M1296" t="inlineStr">
        <is>
          <t>Miami</t>
        </is>
      </c>
      <c r="N1296" t="inlineStr">
        <is>
          <t>Noah Kim</t>
        </is>
      </c>
      <c r="O1296" t="n">
        <v>4</v>
      </c>
      <c r="P1296" s="3" t="n">
        <v>161.01</v>
      </c>
      <c r="Q1296" s="4" t="n">
        <v>0.015</v>
      </c>
      <c r="R1296" s="3" t="n">
        <v>634.38</v>
      </c>
      <c r="S1296" s="3" t="n">
        <v>364.89</v>
      </c>
      <c r="T1296" s="3" t="n">
        <v>260.29</v>
      </c>
      <c r="U1296" s="4" t="n">
        <v>0.4103</v>
      </c>
      <c r="V1296" s="3" t="n">
        <v>9.199999999999999</v>
      </c>
      <c r="W1296" t="inlineStr">
        <is>
          <t>Credit Card</t>
        </is>
      </c>
      <c r="X1296" t="inlineStr">
        <is>
          <t>Medium</t>
        </is>
      </c>
      <c r="Y1296" t="n">
        <v>2023</v>
      </c>
      <c r="Z1296" t="n">
        <v>6</v>
      </c>
      <c r="AA1296" t="inlineStr">
        <is>
          <t>Jun</t>
        </is>
      </c>
      <c r="AB1296" t="inlineStr">
        <is>
          <t>Wednesday</t>
        </is>
      </c>
      <c r="AC1296" t="n">
        <v>4</v>
      </c>
      <c r="AD1296" t="inlineStr">
        <is>
          <t>Profitable</t>
        </is>
      </c>
      <c r="AE1296" t="inlineStr">
        <is>
          <t>Low</t>
        </is>
      </c>
      <c r="AF1296" t="inlineStr">
        <is>
          <t>Medium</t>
        </is>
      </c>
    </row>
    <row r="1297">
      <c r="A1297" t="inlineStr">
        <is>
          <t>ORD-01402</t>
        </is>
      </c>
      <c r="B1297" s="2" t="n">
        <v>45287</v>
      </c>
      <c r="C1297" s="2" t="n">
        <v>45292</v>
      </c>
      <c r="D1297" t="inlineStr">
        <is>
          <t>CUST-01402</t>
        </is>
      </c>
      <c r="E1297" t="inlineStr">
        <is>
          <t>Customer 1402</t>
        </is>
      </c>
      <c r="F1297" t="inlineStr">
        <is>
          <t>Consumer</t>
        </is>
      </c>
      <c r="G1297" t="inlineStr">
        <is>
          <t>P1010</t>
        </is>
      </c>
      <c r="H1297" t="inlineStr">
        <is>
          <t>Trail Tote</t>
        </is>
      </c>
      <c r="I1297" t="inlineStr">
        <is>
          <t>Office Supplies</t>
        </is>
      </c>
      <c r="J1297" t="inlineStr">
        <is>
          <t>Desks</t>
        </is>
      </c>
      <c r="K1297" t="inlineStr">
        <is>
          <t>Central</t>
        </is>
      </c>
      <c r="L1297" t="inlineStr">
        <is>
          <t>Kansas</t>
        </is>
      </c>
      <c r="M1297" t="inlineStr">
        <is>
          <t>St. Louis</t>
        </is>
      </c>
      <c r="N1297" t="inlineStr">
        <is>
          <t>Ethan Brooks</t>
        </is>
      </c>
      <c r="O1297" t="n">
        <v>3</v>
      </c>
      <c r="P1297" s="3" t="n">
        <v>56.16</v>
      </c>
      <c r="Q1297" s="4" t="n">
        <v>0.014</v>
      </c>
      <c r="R1297" s="3" t="n">
        <v>166.12</v>
      </c>
      <c r="S1297" s="3" t="n">
        <v>79.98999999999999</v>
      </c>
      <c r="T1297" s="3" t="n">
        <v>77.73</v>
      </c>
      <c r="U1297" s="4" t="n">
        <v>0.4679</v>
      </c>
      <c r="V1297" s="3" t="n">
        <v>8.4</v>
      </c>
      <c r="W1297" t="inlineStr">
        <is>
          <t>Bank Transfer</t>
        </is>
      </c>
      <c r="X1297" t="inlineStr">
        <is>
          <t>Medium</t>
        </is>
      </c>
      <c r="Y1297" t="n">
        <v>2023</v>
      </c>
      <c r="Z1297" t="n">
        <v>12</v>
      </c>
      <c r="AA1297" t="inlineStr">
        <is>
          <t>Dec</t>
        </is>
      </c>
      <c r="AB1297" t="inlineStr">
        <is>
          <t>Wednesday</t>
        </is>
      </c>
      <c r="AC1297" t="n">
        <v>5</v>
      </c>
      <c r="AD1297" t="inlineStr">
        <is>
          <t>Profitable</t>
        </is>
      </c>
      <c r="AE1297" t="inlineStr">
        <is>
          <t>Low</t>
        </is>
      </c>
      <c r="AF1297" t="inlineStr">
        <is>
          <t>Small</t>
        </is>
      </c>
    </row>
    <row r="1298">
      <c r="A1298" t="inlineStr">
        <is>
          <t>ORD-01403</t>
        </is>
      </c>
      <c r="B1298" s="2" t="n">
        <v>45254</v>
      </c>
      <c r="C1298" s="2" t="n">
        <v>45257</v>
      </c>
      <c r="D1298" t="inlineStr">
        <is>
          <t>CUST-01403</t>
        </is>
      </c>
      <c r="E1298" t="inlineStr">
        <is>
          <t>Customer 1403</t>
        </is>
      </c>
      <c r="F1298" t="inlineStr">
        <is>
          <t>Consumer</t>
        </is>
      </c>
      <c r="G1298" t="inlineStr">
        <is>
          <t>P1019</t>
        </is>
      </c>
      <c r="H1298" t="inlineStr">
        <is>
          <t>Cove Wall Clock</t>
        </is>
      </c>
      <c r="I1298" t="inlineStr">
        <is>
          <t>Outdoor</t>
        </is>
      </c>
      <c r="J1298" t="inlineStr">
        <is>
          <t>Bags</t>
        </is>
      </c>
      <c r="K1298" t="inlineStr">
        <is>
          <t>South</t>
        </is>
      </c>
      <c r="L1298" t="inlineStr">
        <is>
          <t>Georgia</t>
        </is>
      </c>
      <c r="M1298" t="inlineStr">
        <is>
          <t>Miami</t>
        </is>
      </c>
      <c r="N1298" t="inlineStr">
        <is>
          <t>Sophia Singh</t>
        </is>
      </c>
      <c r="O1298" t="n">
        <v>3</v>
      </c>
      <c r="P1298" s="3" t="n">
        <v>61.34</v>
      </c>
      <c r="Q1298" s="4" t="n">
        <v>0.054</v>
      </c>
      <c r="R1298" s="3" t="n">
        <v>174.08</v>
      </c>
      <c r="S1298" s="3" t="n">
        <v>74.2</v>
      </c>
      <c r="T1298" s="3" t="n">
        <v>91.48</v>
      </c>
      <c r="U1298" s="4" t="n">
        <v>0.5255</v>
      </c>
      <c r="V1298" s="3" t="n">
        <v>8.4</v>
      </c>
      <c r="W1298" t="inlineStr">
        <is>
          <t>PayPal</t>
        </is>
      </c>
      <c r="X1298" t="inlineStr">
        <is>
          <t>High</t>
        </is>
      </c>
      <c r="Y1298" t="n">
        <v>2023</v>
      </c>
      <c r="Z1298" t="n">
        <v>11</v>
      </c>
      <c r="AA1298" t="inlineStr">
        <is>
          <t>Nov</t>
        </is>
      </c>
      <c r="AB1298" t="inlineStr">
        <is>
          <t>Friday</t>
        </is>
      </c>
      <c r="AC1298" t="n">
        <v>3</v>
      </c>
      <c r="AD1298" t="inlineStr">
        <is>
          <t>Profitable</t>
        </is>
      </c>
      <c r="AE1298" t="inlineStr">
        <is>
          <t>High</t>
        </is>
      </c>
      <c r="AF1298" t="inlineStr">
        <is>
          <t>Small</t>
        </is>
      </c>
    </row>
    <row r="1299">
      <c r="A1299" t="inlineStr">
        <is>
          <t>ORD-01404</t>
        </is>
      </c>
      <c r="B1299" s="2" t="n">
        <v>45946</v>
      </c>
      <c r="C1299" s="2" t="n">
        <v>45952</v>
      </c>
      <c r="D1299" t="inlineStr">
        <is>
          <t>CUST-01404</t>
        </is>
      </c>
      <c r="E1299" t="inlineStr">
        <is>
          <t>Customer 1404</t>
        </is>
      </c>
      <c r="F1299" t="inlineStr">
        <is>
          <t>Consumer</t>
        </is>
      </c>
      <c r="G1299" t="inlineStr">
        <is>
          <t>P1019</t>
        </is>
      </c>
      <c r="H1299" t="inlineStr">
        <is>
          <t>Cove Wall Clock</t>
        </is>
      </c>
      <c r="I1299" t="inlineStr">
        <is>
          <t>Technology</t>
        </is>
      </c>
      <c r="J1299" t="inlineStr">
        <is>
          <t>Textiles</t>
        </is>
      </c>
      <c r="K1299" t="inlineStr">
        <is>
          <t>South</t>
        </is>
      </c>
      <c r="L1299" t="inlineStr">
        <is>
          <t>North Carolina</t>
        </is>
      </c>
      <c r="M1299" t="inlineStr">
        <is>
          <t>Miami</t>
        </is>
      </c>
      <c r="N1299" t="inlineStr">
        <is>
          <t>Ava Patel</t>
        </is>
      </c>
      <c r="O1299" t="n">
        <v>1</v>
      </c>
      <c r="P1299" s="3" t="n">
        <v>62.01</v>
      </c>
      <c r="Q1299" s="4" t="n">
        <v>0.017</v>
      </c>
      <c r="R1299" s="3" t="n">
        <v>60.96</v>
      </c>
      <c r="S1299" s="3" t="n">
        <v>29.89</v>
      </c>
      <c r="T1299" s="3" t="n">
        <v>24.27</v>
      </c>
      <c r="U1299" s="4" t="n">
        <v>0.3981</v>
      </c>
      <c r="V1299" s="3" t="n">
        <v>6.8</v>
      </c>
      <c r="W1299" t="inlineStr">
        <is>
          <t>Debit Card</t>
        </is>
      </c>
      <c r="X1299" t="inlineStr">
        <is>
          <t>High</t>
        </is>
      </c>
      <c r="Y1299" t="n">
        <v>2025</v>
      </c>
      <c r="Z1299" t="n">
        <v>10</v>
      </c>
      <c r="AA1299" t="inlineStr">
        <is>
          <t>Oct</t>
        </is>
      </c>
      <c r="AB1299" t="inlineStr">
        <is>
          <t>Thursday</t>
        </is>
      </c>
      <c r="AC1299" t="n">
        <v>6</v>
      </c>
      <c r="AD1299" t="inlineStr">
        <is>
          <t>Profitable</t>
        </is>
      </c>
      <c r="AE1299" t="inlineStr">
        <is>
          <t>Low</t>
        </is>
      </c>
      <c r="AF1299" t="inlineStr">
        <is>
          <t>Small</t>
        </is>
      </c>
    </row>
    <row r="1300">
      <c r="A1300" t="inlineStr">
        <is>
          <t>ORD-01405</t>
        </is>
      </c>
      <c r="B1300" s="2" t="n">
        <v>45926</v>
      </c>
      <c r="C1300" s="2" t="n">
        <v>45929</v>
      </c>
      <c r="D1300" t="inlineStr">
        <is>
          <t>CUST-01405</t>
        </is>
      </c>
      <c r="E1300" t="inlineStr">
        <is>
          <t>Customer 1405</t>
        </is>
      </c>
      <c r="F1300" t="inlineStr">
        <is>
          <t>Corporate</t>
        </is>
      </c>
      <c r="G1300" t="inlineStr">
        <is>
          <t>P1017</t>
        </is>
      </c>
      <c r="H1300" t="inlineStr">
        <is>
          <t>Harbor Rug</t>
        </is>
      </c>
      <c r="I1300" t="inlineStr">
        <is>
          <t>Technology</t>
        </is>
      </c>
      <c r="J1300" t="inlineStr">
        <is>
          <t>Writing</t>
        </is>
      </c>
      <c r="K1300" t="inlineStr">
        <is>
          <t>South</t>
        </is>
      </c>
      <c r="L1300" t="inlineStr">
        <is>
          <t>Texas</t>
        </is>
      </c>
      <c r="M1300" t="inlineStr">
        <is>
          <t>Atlanta</t>
        </is>
      </c>
      <c r="N1300" t="inlineStr">
        <is>
          <t>Mia Rodriguez</t>
        </is>
      </c>
      <c r="O1300" t="n">
        <v>3</v>
      </c>
      <c r="P1300" s="3" t="n">
        <v>518.28</v>
      </c>
      <c r="Q1300" s="4" t="n">
        <v>0.063</v>
      </c>
      <c r="R1300" s="3" t="n">
        <v>1456.89</v>
      </c>
      <c r="S1300" s="3" t="n">
        <v>971.65</v>
      </c>
      <c r="T1300" s="3" t="n">
        <v>476.84</v>
      </c>
      <c r="U1300" s="4" t="n">
        <v>0.3273</v>
      </c>
      <c r="V1300" s="3" t="n">
        <v>8.4</v>
      </c>
      <c r="W1300" t="inlineStr">
        <is>
          <t>PayPal</t>
        </is>
      </c>
      <c r="X1300" t="inlineStr">
        <is>
          <t>High</t>
        </is>
      </c>
      <c r="Y1300" t="n">
        <v>2025</v>
      </c>
      <c r="Z1300" t="n">
        <v>9</v>
      </c>
      <c r="AA1300" t="inlineStr">
        <is>
          <t>Sep</t>
        </is>
      </c>
      <c r="AB1300" t="inlineStr">
        <is>
          <t>Friday</t>
        </is>
      </c>
      <c r="AC1300" t="n">
        <v>3</v>
      </c>
      <c r="AD1300" t="inlineStr">
        <is>
          <t>Profitable</t>
        </is>
      </c>
      <c r="AE1300" t="inlineStr">
        <is>
          <t>High</t>
        </is>
      </c>
      <c r="AF1300" t="inlineStr">
        <is>
          <t>Medium</t>
        </is>
      </c>
    </row>
    <row r="1301">
      <c r="A1301" t="inlineStr">
        <is>
          <t>ORD-01409</t>
        </is>
      </c>
      <c r="B1301" s="2" t="n">
        <v>45512</v>
      </c>
      <c r="C1301" s="2" t="n">
        <v>45515</v>
      </c>
      <c r="D1301" t="inlineStr">
        <is>
          <t>CUST-01409</t>
        </is>
      </c>
      <c r="E1301" t="inlineStr">
        <is>
          <t>Customer 1409</t>
        </is>
      </c>
      <c r="F1301" t="inlineStr">
        <is>
          <t>Consumer</t>
        </is>
      </c>
      <c r="G1301" t="inlineStr">
        <is>
          <t>P1015</t>
        </is>
      </c>
      <c r="H1301" t="inlineStr">
        <is>
          <t>Orbit Wireless Mouse</t>
        </is>
      </c>
      <c r="I1301" t="inlineStr">
        <is>
          <t>Furniture</t>
        </is>
      </c>
      <c r="J1301" t="inlineStr">
        <is>
          <t>Peripherals</t>
        </is>
      </c>
      <c r="K1301" t="inlineStr">
        <is>
          <t>Central</t>
        </is>
      </c>
      <c r="L1301" t="inlineStr">
        <is>
          <t>Missouri</t>
        </is>
      </c>
      <c r="M1301" t="inlineStr">
        <is>
          <t>St. Louis</t>
        </is>
      </c>
      <c r="N1301" t="inlineStr">
        <is>
          <t>Noah Kim</t>
        </is>
      </c>
      <c r="O1301" t="n">
        <v>5</v>
      </c>
      <c r="P1301" s="3" t="n">
        <v>71.7</v>
      </c>
      <c r="Q1301" s="4" t="n">
        <v>0.026</v>
      </c>
      <c r="R1301" s="3" t="n">
        <v>349.18</v>
      </c>
      <c r="S1301" s="3" t="n">
        <v>158.01</v>
      </c>
      <c r="T1301" s="3" t="n">
        <v>181.17</v>
      </c>
      <c r="U1301" s="4" t="n">
        <v>0.5188</v>
      </c>
      <c r="V1301" s="3" t="n">
        <v>10</v>
      </c>
      <c r="W1301" t="inlineStr">
        <is>
          <t>PayPal</t>
        </is>
      </c>
      <c r="X1301" t="inlineStr">
        <is>
          <t>Medium</t>
        </is>
      </c>
      <c r="Y1301" t="n">
        <v>2024</v>
      </c>
      <c r="Z1301" t="n">
        <v>8</v>
      </c>
      <c r="AA1301" t="inlineStr">
        <is>
          <t>Aug</t>
        </is>
      </c>
      <c r="AB1301" t="inlineStr">
        <is>
          <t>Thursday</t>
        </is>
      </c>
      <c r="AC1301" t="n">
        <v>3</v>
      </c>
      <c r="AD1301" t="inlineStr">
        <is>
          <t>Profitable</t>
        </is>
      </c>
      <c r="AE1301" t="inlineStr">
        <is>
          <t>Medium</t>
        </is>
      </c>
      <c r="AF1301" t="inlineStr">
        <is>
          <t>Small</t>
        </is>
      </c>
    </row>
    <row r="1302">
      <c r="A1302" t="inlineStr">
        <is>
          <t>ORD-01413</t>
        </is>
      </c>
      <c r="B1302" s="2" t="n">
        <v>45256</v>
      </c>
      <c r="C1302" s="2" t="n">
        <v>45258</v>
      </c>
      <c r="D1302" t="inlineStr">
        <is>
          <t>CUST-01413</t>
        </is>
      </c>
      <c r="E1302" t="inlineStr">
        <is>
          <t>Customer 1413</t>
        </is>
      </c>
      <c r="F1302" t="inlineStr">
        <is>
          <t>Consumer</t>
        </is>
      </c>
      <c r="G1302" t="inlineStr">
        <is>
          <t>P1005</t>
        </is>
      </c>
      <c r="H1302" t="inlineStr">
        <is>
          <t>Aero Standing Desk</t>
        </is>
      </c>
      <c r="I1302" t="inlineStr">
        <is>
          <t>Technology</t>
        </is>
      </c>
      <c r="J1302" t="inlineStr">
        <is>
          <t>Accessories</t>
        </is>
      </c>
      <c r="K1302" t="inlineStr">
        <is>
          <t>North</t>
        </is>
      </c>
      <c r="L1302" t="inlineStr">
        <is>
          <t>Ontario</t>
        </is>
      </c>
      <c r="M1302" t="inlineStr">
        <is>
          <t>Vancouver</t>
        </is>
      </c>
      <c r="N1302" t="inlineStr">
        <is>
          <t>James Carter</t>
        </is>
      </c>
      <c r="O1302" t="n">
        <v>4</v>
      </c>
      <c r="P1302" s="3" t="n">
        <v>14.27</v>
      </c>
      <c r="Q1302" s="4" t="n">
        <v>0.007</v>
      </c>
      <c r="R1302" s="3" t="n">
        <v>56.68</v>
      </c>
      <c r="S1302" s="3" t="n">
        <v>30.18</v>
      </c>
      <c r="T1302" s="3" t="n">
        <v>17.3</v>
      </c>
      <c r="U1302" s="4" t="n">
        <v>0.3052</v>
      </c>
      <c r="V1302" s="3" t="n">
        <v>9.199999999999999</v>
      </c>
      <c r="W1302" t="inlineStr">
        <is>
          <t>Credit Card</t>
        </is>
      </c>
      <c r="X1302" t="inlineStr">
        <is>
          <t>Medium</t>
        </is>
      </c>
      <c r="Y1302" t="n">
        <v>2023</v>
      </c>
      <c r="Z1302" t="n">
        <v>11</v>
      </c>
      <c r="AA1302" t="inlineStr">
        <is>
          <t>Nov</t>
        </is>
      </c>
      <c r="AB1302" t="inlineStr">
        <is>
          <t>Sunday</t>
        </is>
      </c>
      <c r="AC1302" t="n">
        <v>2</v>
      </c>
      <c r="AD1302" t="inlineStr">
        <is>
          <t>Profitable</t>
        </is>
      </c>
      <c r="AE1302" t="inlineStr">
        <is>
          <t>Low</t>
        </is>
      </c>
      <c r="AF1302" t="inlineStr">
        <is>
          <t>Small</t>
        </is>
      </c>
    </row>
    <row r="1303">
      <c r="A1303" t="inlineStr">
        <is>
          <t>ORD-01414</t>
        </is>
      </c>
      <c r="B1303" s="2" t="n">
        <v>45043</v>
      </c>
      <c r="C1303" s="2" t="n">
        <v>45050</v>
      </c>
      <c r="D1303" t="inlineStr">
        <is>
          <t>CUST-01414</t>
        </is>
      </c>
      <c r="E1303" t="inlineStr">
        <is>
          <t>Customer 1414</t>
        </is>
      </c>
      <c r="F1303" t="inlineStr">
        <is>
          <t>Corporate</t>
        </is>
      </c>
      <c r="G1303" t="inlineStr">
        <is>
          <t>P1001</t>
        </is>
      </c>
      <c r="H1303" t="inlineStr">
        <is>
          <t>CloudDrive File Box</t>
        </is>
      </c>
      <c r="I1303" t="inlineStr">
        <is>
          <t>Furniture</t>
        </is>
      </c>
      <c r="J1303" t="inlineStr">
        <is>
          <t>Lighting</t>
        </is>
      </c>
      <c r="K1303" t="inlineStr">
        <is>
          <t>Central</t>
        </is>
      </c>
      <c r="L1303" t="inlineStr">
        <is>
          <t>Minnesota</t>
        </is>
      </c>
      <c r="M1303" t="inlineStr">
        <is>
          <t>Kansas City</t>
        </is>
      </c>
      <c r="N1303" t="inlineStr">
        <is>
          <t>Liam Chen</t>
        </is>
      </c>
      <c r="O1303" t="n">
        <v>1</v>
      </c>
      <c r="P1303" s="3" t="n">
        <v>283.4</v>
      </c>
      <c r="Q1303" s="4" t="n">
        <v>0.061</v>
      </c>
      <c r="R1303" s="3" t="n">
        <v>266.11</v>
      </c>
      <c r="S1303" s="3" t="n">
        <v>163.22</v>
      </c>
      <c r="T1303" s="3" t="n">
        <v>96.09</v>
      </c>
      <c r="U1303" s="4" t="n">
        <v>0.3611</v>
      </c>
      <c r="V1303" s="3" t="n">
        <v>6.8</v>
      </c>
      <c r="W1303" t="inlineStr">
        <is>
          <t>Bank Transfer</t>
        </is>
      </c>
      <c r="X1303" t="inlineStr">
        <is>
          <t>Critical</t>
        </is>
      </c>
      <c r="Y1303" t="n">
        <v>2023</v>
      </c>
      <c r="Z1303" t="n">
        <v>4</v>
      </c>
      <c r="AA1303" t="inlineStr">
        <is>
          <t>Apr</t>
        </is>
      </c>
      <c r="AB1303" t="inlineStr">
        <is>
          <t>Thursday</t>
        </is>
      </c>
      <c r="AC1303" t="n">
        <v>7</v>
      </c>
      <c r="AD1303" t="inlineStr">
        <is>
          <t>Profitable</t>
        </is>
      </c>
      <c r="AE1303" t="inlineStr">
        <is>
          <t>High</t>
        </is>
      </c>
      <c r="AF1303" t="inlineStr">
        <is>
          <t>Small</t>
        </is>
      </c>
    </row>
    <row r="1304">
      <c r="A1304" t="inlineStr">
        <is>
          <t>ORD-01415</t>
        </is>
      </c>
      <c r="B1304" s="2" t="n">
        <v>45347</v>
      </c>
      <c r="C1304" s="2" t="n">
        <v>45353</v>
      </c>
      <c r="D1304" t="inlineStr">
        <is>
          <t>CUST-01415</t>
        </is>
      </c>
      <c r="E1304" t="inlineStr">
        <is>
          <t>Customer 1415</t>
        </is>
      </c>
      <c r="F1304" t="inlineStr">
        <is>
          <t>Consumer</t>
        </is>
      </c>
      <c r="G1304" t="inlineStr">
        <is>
          <t>P1015</t>
        </is>
      </c>
      <c r="H1304" t="inlineStr">
        <is>
          <t>Summit Patio Set</t>
        </is>
      </c>
      <c r="I1304" t="inlineStr">
        <is>
          <t>Office Supplies</t>
        </is>
      </c>
      <c r="J1304" t="inlineStr">
        <is>
          <t>Coolers</t>
        </is>
      </c>
      <c r="K1304" t="inlineStr">
        <is>
          <t>Central</t>
        </is>
      </c>
      <c r="L1304" t="inlineStr">
        <is>
          <t>Kansas</t>
        </is>
      </c>
      <c r="M1304" t="inlineStr">
        <is>
          <t>St. Louis</t>
        </is>
      </c>
      <c r="N1304" t="inlineStr">
        <is>
          <t>Sophia Singh</t>
        </is>
      </c>
      <c r="O1304" t="n">
        <v>6</v>
      </c>
      <c r="P1304" s="3" t="n">
        <v>67.3</v>
      </c>
      <c r="Q1304" s="4" t="n">
        <v>0.02</v>
      </c>
      <c r="R1304" s="3" t="n">
        <v>395.72</v>
      </c>
      <c r="S1304" s="3" t="n">
        <v>172.77</v>
      </c>
      <c r="T1304" s="3" t="n">
        <v>212.15</v>
      </c>
      <c r="U1304" s="4" t="n">
        <v>0.5361</v>
      </c>
      <c r="V1304" s="3" t="n">
        <v>10.8</v>
      </c>
      <c r="W1304" t="inlineStr">
        <is>
          <t>Debit Card</t>
        </is>
      </c>
      <c r="X1304" t="inlineStr">
        <is>
          <t>Medium</t>
        </is>
      </c>
      <c r="Y1304" t="n">
        <v>2024</v>
      </c>
      <c r="Z1304" t="n">
        <v>2</v>
      </c>
      <c r="AA1304" t="inlineStr">
        <is>
          <t>Feb</t>
        </is>
      </c>
      <c r="AB1304" t="inlineStr">
        <is>
          <t>Sunday</t>
        </is>
      </c>
      <c r="AC1304" t="n">
        <v>6</v>
      </c>
      <c r="AD1304" t="inlineStr">
        <is>
          <t>Profitable</t>
        </is>
      </c>
      <c r="AE1304" t="inlineStr">
        <is>
          <t>Medium</t>
        </is>
      </c>
      <c r="AF1304" t="inlineStr">
        <is>
          <t>Small</t>
        </is>
      </c>
    </row>
    <row r="1305">
      <c r="A1305" t="inlineStr">
        <is>
          <t>ORD-01419</t>
        </is>
      </c>
      <c r="B1305" s="2" t="n">
        <v>45475</v>
      </c>
      <c r="C1305" s="2" t="n">
        <v>45478</v>
      </c>
      <c r="D1305" t="inlineStr">
        <is>
          <t>CUST-01419</t>
        </is>
      </c>
      <c r="E1305" t="inlineStr">
        <is>
          <t>Customer 1419</t>
        </is>
      </c>
      <c r="F1305" t="inlineStr">
        <is>
          <t>Consumer</t>
        </is>
      </c>
      <c r="G1305" t="inlineStr">
        <is>
          <t>P1013</t>
        </is>
      </c>
      <c r="H1305" t="inlineStr">
        <is>
          <t>Aero Standing Desk</t>
        </is>
      </c>
      <c r="I1305" t="inlineStr">
        <is>
          <t>Home Decor</t>
        </is>
      </c>
      <c r="J1305" t="inlineStr">
        <is>
          <t>Textiles</t>
        </is>
      </c>
      <c r="K1305" t="inlineStr">
        <is>
          <t>Central</t>
        </is>
      </c>
      <c r="L1305" t="inlineStr">
        <is>
          <t>Missouri</t>
        </is>
      </c>
      <c r="M1305" t="inlineStr">
        <is>
          <t>Kansas City</t>
        </is>
      </c>
      <c r="N1305" t="inlineStr">
        <is>
          <t>James Carter</t>
        </is>
      </c>
      <c r="O1305" t="n">
        <v>2</v>
      </c>
      <c r="P1305" s="3" t="n">
        <v>157.38</v>
      </c>
      <c r="Q1305" s="4" t="n">
        <v>0.017</v>
      </c>
      <c r="R1305" s="3" t="n">
        <v>309.41</v>
      </c>
      <c r="S1305" s="3" t="n">
        <v>182.91</v>
      </c>
      <c r="T1305" s="3" t="n">
        <v>118.9</v>
      </c>
      <c r="U1305" s="4" t="n">
        <v>0.3843</v>
      </c>
      <c r="V1305" s="3" t="n">
        <v>7.6</v>
      </c>
      <c r="W1305" t="inlineStr">
        <is>
          <t>Credit Card</t>
        </is>
      </c>
      <c r="X1305" t="inlineStr">
        <is>
          <t>Low</t>
        </is>
      </c>
      <c r="Y1305" t="n">
        <v>2024</v>
      </c>
      <c r="Z1305" t="n">
        <v>7</v>
      </c>
      <c r="AA1305" t="inlineStr">
        <is>
          <t>Jul</t>
        </is>
      </c>
      <c r="AB1305" t="inlineStr">
        <is>
          <t>Tuesday</t>
        </is>
      </c>
      <c r="AC1305" t="n">
        <v>3</v>
      </c>
      <c r="AD1305" t="inlineStr">
        <is>
          <t>Profitable</t>
        </is>
      </c>
      <c r="AE1305" t="inlineStr">
        <is>
          <t>Low</t>
        </is>
      </c>
      <c r="AF1305" t="inlineStr">
        <is>
          <t>Small</t>
        </is>
      </c>
    </row>
    <row r="1306">
      <c r="A1306" t="inlineStr">
        <is>
          <t>ORD-01421</t>
        </is>
      </c>
      <c r="B1306" s="2" t="n">
        <v>45490</v>
      </c>
      <c r="C1306" s="2" t="n">
        <v>45496</v>
      </c>
      <c r="D1306" t="inlineStr">
        <is>
          <t>CUST-01421</t>
        </is>
      </c>
      <c r="E1306" t="inlineStr">
        <is>
          <t>Customer 1421</t>
        </is>
      </c>
      <c r="F1306" t="inlineStr">
        <is>
          <t>Home Office</t>
        </is>
      </c>
      <c r="G1306" t="inlineStr">
        <is>
          <t>P1016</t>
        </is>
      </c>
      <c r="H1306" t="inlineStr">
        <is>
          <t>Atlas Throw Pillow</t>
        </is>
      </c>
      <c r="I1306" t="inlineStr">
        <is>
          <t>Furniture</t>
        </is>
      </c>
      <c r="J1306" t="inlineStr">
        <is>
          <t>Peripherals</t>
        </is>
      </c>
      <c r="K1306" t="inlineStr">
        <is>
          <t>Central</t>
        </is>
      </c>
      <c r="L1306" t="inlineStr">
        <is>
          <t>Missouri</t>
        </is>
      </c>
      <c r="M1306" t="inlineStr">
        <is>
          <t>Kansas City</t>
        </is>
      </c>
      <c r="N1306" t="inlineStr">
        <is>
          <t>Liam Chen</t>
        </is>
      </c>
      <c r="O1306" t="n">
        <v>5</v>
      </c>
      <c r="P1306" s="3" t="n">
        <v>39.88</v>
      </c>
      <c r="Q1306" s="4" t="n">
        <v>0.007</v>
      </c>
      <c r="R1306" s="3" t="n">
        <v>198</v>
      </c>
      <c r="S1306" s="3" t="n">
        <v>81.11</v>
      </c>
      <c r="T1306" s="3" t="n">
        <v>106.89</v>
      </c>
      <c r="U1306" s="4" t="n">
        <v>0.5397999999999999</v>
      </c>
      <c r="V1306" s="3" t="n">
        <v>10</v>
      </c>
      <c r="W1306" t="inlineStr">
        <is>
          <t>Cash on Delivery</t>
        </is>
      </c>
      <c r="X1306" t="inlineStr">
        <is>
          <t>Medium</t>
        </is>
      </c>
      <c r="Y1306" t="n">
        <v>2024</v>
      </c>
      <c r="Z1306" t="n">
        <v>7</v>
      </c>
      <c r="AA1306" t="inlineStr">
        <is>
          <t>Jul</t>
        </is>
      </c>
      <c r="AB1306" t="inlineStr">
        <is>
          <t>Wednesday</t>
        </is>
      </c>
      <c r="AC1306" t="n">
        <v>6</v>
      </c>
      <c r="AD1306" t="inlineStr">
        <is>
          <t>Profitable</t>
        </is>
      </c>
      <c r="AE1306" t="inlineStr">
        <is>
          <t>Low</t>
        </is>
      </c>
      <c r="AF1306" t="inlineStr">
        <is>
          <t>Small</t>
        </is>
      </c>
    </row>
    <row r="1307">
      <c r="A1307" t="inlineStr">
        <is>
          <t>ORD-01422</t>
        </is>
      </c>
      <c r="B1307" s="2" t="n">
        <v>45296</v>
      </c>
      <c r="C1307" s="2" t="n">
        <v>45302</v>
      </c>
      <c r="D1307" t="inlineStr">
        <is>
          <t>CUST-01422</t>
        </is>
      </c>
      <c r="E1307" t="inlineStr">
        <is>
          <t>Customer 1422</t>
        </is>
      </c>
      <c r="F1307" t="inlineStr">
        <is>
          <t>Consumer</t>
        </is>
      </c>
      <c r="G1307" t="inlineStr">
        <is>
          <t>P1019</t>
        </is>
      </c>
      <c r="H1307" t="inlineStr">
        <is>
          <t>Northstar Lantern</t>
        </is>
      </c>
      <c r="I1307" t="inlineStr">
        <is>
          <t>Outdoor</t>
        </is>
      </c>
      <c r="J1307" t="inlineStr">
        <is>
          <t>Writing</t>
        </is>
      </c>
      <c r="K1307" t="inlineStr">
        <is>
          <t>South</t>
        </is>
      </c>
      <c r="L1307" t="inlineStr">
        <is>
          <t>Florida</t>
        </is>
      </c>
      <c r="M1307" t="inlineStr">
        <is>
          <t>Dallas</t>
        </is>
      </c>
      <c r="N1307" t="inlineStr">
        <is>
          <t>Olivia Martin</t>
        </is>
      </c>
      <c r="O1307" t="n">
        <v>5</v>
      </c>
      <c r="P1307" s="3" t="n">
        <v>54.37</v>
      </c>
      <c r="Q1307" s="4" t="n">
        <v>0.024</v>
      </c>
      <c r="R1307" s="3" t="n">
        <v>265.33</v>
      </c>
      <c r="S1307" s="3" t="n">
        <v>113.01</v>
      </c>
      <c r="T1307" s="3" t="n">
        <v>142.32</v>
      </c>
      <c r="U1307" s="4" t="n">
        <v>0.5364</v>
      </c>
      <c r="V1307" s="3" t="n">
        <v>10</v>
      </c>
      <c r="W1307" t="inlineStr">
        <is>
          <t>Debit Card</t>
        </is>
      </c>
      <c r="X1307" t="inlineStr">
        <is>
          <t>High</t>
        </is>
      </c>
      <c r="Y1307" t="n">
        <v>2024</v>
      </c>
      <c r="Z1307" t="n">
        <v>1</v>
      </c>
      <c r="AA1307" t="inlineStr">
        <is>
          <t>Jan</t>
        </is>
      </c>
      <c r="AB1307" t="inlineStr">
        <is>
          <t>Friday</t>
        </is>
      </c>
      <c r="AC1307" t="n">
        <v>6</v>
      </c>
      <c r="AD1307" t="inlineStr">
        <is>
          <t>Profitable</t>
        </is>
      </c>
      <c r="AE1307" t="inlineStr">
        <is>
          <t>Medium</t>
        </is>
      </c>
      <c r="AF1307" t="inlineStr">
        <is>
          <t>Small</t>
        </is>
      </c>
    </row>
    <row r="1308">
      <c r="A1308" t="inlineStr">
        <is>
          <t>ORD-01423</t>
        </is>
      </c>
      <c r="B1308" s="2" t="n">
        <v>45189</v>
      </c>
      <c r="C1308" s="2" t="n">
        <v>45190</v>
      </c>
      <c r="D1308" t="inlineStr">
        <is>
          <t>CUST-01423</t>
        </is>
      </c>
      <c r="E1308" t="inlineStr">
        <is>
          <t>Customer 1423</t>
        </is>
      </c>
      <c r="F1308" t="inlineStr">
        <is>
          <t>Home Office</t>
        </is>
      </c>
      <c r="G1308" t="inlineStr">
        <is>
          <t>P1012</t>
        </is>
      </c>
      <c r="H1308" t="inlineStr">
        <is>
          <t>Northstar Lantern</t>
        </is>
      </c>
      <c r="I1308" t="inlineStr">
        <is>
          <t>Outdoor</t>
        </is>
      </c>
      <c r="J1308" t="inlineStr">
        <is>
          <t>Bags</t>
        </is>
      </c>
      <c r="K1308" t="inlineStr">
        <is>
          <t>Central</t>
        </is>
      </c>
      <c r="L1308" t="inlineStr">
        <is>
          <t>Minnesota</t>
        </is>
      </c>
      <c r="M1308" t="inlineStr">
        <is>
          <t>Minneapolis</t>
        </is>
      </c>
      <c r="N1308" t="inlineStr">
        <is>
          <t>Ethan Brooks</t>
        </is>
      </c>
      <c r="O1308" t="n">
        <v>5</v>
      </c>
      <c r="P1308" s="3" t="n">
        <v>127.21</v>
      </c>
      <c r="Q1308" s="4" t="n">
        <v>0</v>
      </c>
      <c r="R1308" s="3" t="n">
        <v>636.05</v>
      </c>
      <c r="S1308" s="3" t="n">
        <v>318.39</v>
      </c>
      <c r="T1308" s="3" t="n">
        <v>307.66</v>
      </c>
      <c r="U1308" s="4" t="n">
        <v>0.4837</v>
      </c>
      <c r="V1308" s="3" t="n">
        <v>10</v>
      </c>
      <c r="W1308" t="inlineStr">
        <is>
          <t>Cash on Delivery</t>
        </is>
      </c>
      <c r="X1308" t="inlineStr">
        <is>
          <t>Medium</t>
        </is>
      </c>
      <c r="Y1308" t="n">
        <v>2023</v>
      </c>
      <c r="Z1308" t="n">
        <v>9</v>
      </c>
      <c r="AA1308" t="inlineStr">
        <is>
          <t>Sep</t>
        </is>
      </c>
      <c r="AB1308" t="inlineStr">
        <is>
          <t>Wednesday</t>
        </is>
      </c>
      <c r="AC1308" t="n">
        <v>1</v>
      </c>
      <c r="AD1308" t="inlineStr">
        <is>
          <t>Profitable</t>
        </is>
      </c>
      <c r="AE1308" t="inlineStr">
        <is>
          <t>Low</t>
        </is>
      </c>
      <c r="AF1308" t="inlineStr">
        <is>
          <t>Medium</t>
        </is>
      </c>
    </row>
    <row r="1309">
      <c r="A1309" t="inlineStr">
        <is>
          <t>ORD-01425</t>
        </is>
      </c>
      <c r="B1309" s="2" t="n">
        <v>45726</v>
      </c>
      <c r="C1309" s="2" t="n">
        <v>45731</v>
      </c>
      <c r="D1309" t="inlineStr">
        <is>
          <t>CUST-01425</t>
        </is>
      </c>
      <c r="E1309" t="inlineStr">
        <is>
          <t>Customer 1425</t>
        </is>
      </c>
      <c r="F1309" t="inlineStr">
        <is>
          <t>Consumer</t>
        </is>
      </c>
      <c r="G1309" t="inlineStr">
        <is>
          <t>P1002</t>
        </is>
      </c>
      <c r="H1309" t="inlineStr">
        <is>
          <t>SmartInk Pen Set</t>
        </is>
      </c>
      <c r="I1309" t="inlineStr">
        <is>
          <t>Office Supplies</t>
        </is>
      </c>
      <c r="J1309" t="inlineStr">
        <is>
          <t>Peripherals</t>
        </is>
      </c>
      <c r="K1309" t="inlineStr">
        <is>
          <t>North</t>
        </is>
      </c>
      <c r="L1309" t="inlineStr">
        <is>
          <t>Quebec</t>
        </is>
      </c>
      <c r="M1309" t="inlineStr">
        <is>
          <t>Toronto</t>
        </is>
      </c>
      <c r="N1309" t="inlineStr">
        <is>
          <t>Olivia Martin</t>
        </is>
      </c>
      <c r="O1309" t="n">
        <v>1</v>
      </c>
      <c r="P1309" s="3" t="n">
        <v>80.41</v>
      </c>
      <c r="Q1309" s="4" t="n">
        <v>0.029</v>
      </c>
      <c r="R1309" s="3" t="n">
        <v>78.08</v>
      </c>
      <c r="S1309" s="3" t="n">
        <v>43.74</v>
      </c>
      <c r="T1309" s="3" t="n">
        <v>27.54</v>
      </c>
      <c r="U1309" s="4" t="n">
        <v>0.3527</v>
      </c>
      <c r="V1309" s="3" t="n">
        <v>6.8</v>
      </c>
      <c r="W1309" t="inlineStr">
        <is>
          <t>Bank Transfer</t>
        </is>
      </c>
      <c r="X1309" t="inlineStr">
        <is>
          <t>High</t>
        </is>
      </c>
      <c r="Y1309" t="n">
        <v>2025</v>
      </c>
      <c r="Z1309" t="n">
        <v>3</v>
      </c>
      <c r="AA1309" t="inlineStr">
        <is>
          <t>Mar</t>
        </is>
      </c>
      <c r="AB1309" t="inlineStr">
        <is>
          <t>Monday</t>
        </is>
      </c>
      <c r="AC1309" t="n">
        <v>5</v>
      </c>
      <c r="AD1309" t="inlineStr">
        <is>
          <t>Profitable</t>
        </is>
      </c>
      <c r="AE1309" t="inlineStr">
        <is>
          <t>Medium</t>
        </is>
      </c>
      <c r="AF1309" t="inlineStr">
        <is>
          <t>Small</t>
        </is>
      </c>
    </row>
    <row r="1310">
      <c r="A1310" t="inlineStr">
        <is>
          <t>ORD-01427</t>
        </is>
      </c>
      <c r="B1310" s="2" t="n">
        <v>45160</v>
      </c>
      <c r="C1310" s="2" t="n">
        <v>45167</v>
      </c>
      <c r="D1310" t="inlineStr">
        <is>
          <t>CUST-01427</t>
        </is>
      </c>
      <c r="E1310" t="inlineStr">
        <is>
          <t>Customer 1427</t>
        </is>
      </c>
      <c r="F1310" t="inlineStr">
        <is>
          <t>Corporate</t>
        </is>
      </c>
      <c r="G1310" t="inlineStr">
        <is>
          <t>P1004</t>
        </is>
      </c>
      <c r="H1310" t="inlineStr">
        <is>
          <t>Orbit Wireless Mouse</t>
        </is>
      </c>
      <c r="I1310" t="inlineStr">
        <is>
          <t>Outdoor</t>
        </is>
      </c>
      <c r="J1310" t="inlineStr">
        <is>
          <t>Accessories</t>
        </is>
      </c>
      <c r="K1310" t="inlineStr">
        <is>
          <t>South</t>
        </is>
      </c>
      <c r="L1310" t="inlineStr">
        <is>
          <t>North Carolina</t>
        </is>
      </c>
      <c r="M1310" t="inlineStr">
        <is>
          <t>Miami</t>
        </is>
      </c>
      <c r="N1310" t="inlineStr">
        <is>
          <t>Mia Rodriguez</t>
        </is>
      </c>
      <c r="O1310" t="n">
        <v>1</v>
      </c>
      <c r="P1310" s="3" t="n">
        <v>600.02</v>
      </c>
      <c r="Q1310" s="4" t="n">
        <v>0.036</v>
      </c>
      <c r="R1310" s="3" t="n">
        <v>578.42</v>
      </c>
      <c r="S1310" s="3" t="n">
        <v>373.11</v>
      </c>
      <c r="T1310" s="3" t="n">
        <v>198.51</v>
      </c>
      <c r="U1310" s="4" t="n">
        <v>0.3432</v>
      </c>
      <c r="V1310" s="3" t="n">
        <v>6.8</v>
      </c>
      <c r="W1310" t="inlineStr">
        <is>
          <t>Credit Card</t>
        </is>
      </c>
      <c r="X1310" t="inlineStr">
        <is>
          <t>High</t>
        </is>
      </c>
      <c r="Y1310" t="n">
        <v>2023</v>
      </c>
      <c r="Z1310" t="n">
        <v>8</v>
      </c>
      <c r="AA1310" t="inlineStr">
        <is>
          <t>Aug</t>
        </is>
      </c>
      <c r="AB1310" t="inlineStr">
        <is>
          <t>Tuesday</t>
        </is>
      </c>
      <c r="AC1310" t="n">
        <v>7</v>
      </c>
      <c r="AD1310" t="inlineStr">
        <is>
          <t>Profitable</t>
        </is>
      </c>
      <c r="AE1310" t="inlineStr">
        <is>
          <t>Medium</t>
        </is>
      </c>
      <c r="AF1310" t="inlineStr">
        <is>
          <t>Medium</t>
        </is>
      </c>
    </row>
    <row r="1311">
      <c r="A1311" t="inlineStr">
        <is>
          <t>ORD-01430</t>
        </is>
      </c>
      <c r="B1311" s="2" t="n">
        <v>45993</v>
      </c>
      <c r="C1311" s="2" t="n">
        <v>46000</v>
      </c>
      <c r="D1311" t="inlineStr">
        <is>
          <t>CUST-01430</t>
        </is>
      </c>
      <c r="E1311" t="inlineStr">
        <is>
          <t>Customer 1430</t>
        </is>
      </c>
      <c r="F1311" t="inlineStr">
        <is>
          <t>Consumer</t>
        </is>
      </c>
      <c r="G1311" t="inlineStr">
        <is>
          <t>P1011</t>
        </is>
      </c>
      <c r="H1311" t="inlineStr">
        <is>
          <t>Pulse Keyboard</t>
        </is>
      </c>
      <c r="I1311" t="inlineStr">
        <is>
          <t>Office Supplies</t>
        </is>
      </c>
      <c r="J1311" t="inlineStr">
        <is>
          <t>Furniture</t>
        </is>
      </c>
      <c r="K1311" t="inlineStr">
        <is>
          <t>North</t>
        </is>
      </c>
      <c r="L1311" t="inlineStr">
        <is>
          <t>Alberta</t>
        </is>
      </c>
      <c r="M1311" t="inlineStr">
        <is>
          <t>Montreal</t>
        </is>
      </c>
      <c r="N1311" t="inlineStr">
        <is>
          <t>Ethan Brooks</t>
        </is>
      </c>
      <c r="O1311" t="n">
        <v>1</v>
      </c>
      <c r="P1311" s="3" t="n">
        <v>94.65000000000001</v>
      </c>
      <c r="Q1311" s="4" t="n">
        <v>0.014</v>
      </c>
      <c r="R1311" s="3" t="n">
        <v>93.31999999999999</v>
      </c>
      <c r="S1311" s="3" t="n">
        <v>48.56</v>
      </c>
      <c r="T1311" s="3" t="n">
        <v>37.96</v>
      </c>
      <c r="U1311" s="4" t="n">
        <v>0.4068</v>
      </c>
      <c r="V1311" s="3" t="n">
        <v>6.8</v>
      </c>
      <c r="W1311" t="inlineStr">
        <is>
          <t>Cash on Delivery</t>
        </is>
      </c>
      <c r="X1311" t="inlineStr">
        <is>
          <t>Medium</t>
        </is>
      </c>
      <c r="Y1311" t="n">
        <v>2025</v>
      </c>
      <c r="Z1311" t="n">
        <v>12</v>
      </c>
      <c r="AA1311" t="inlineStr">
        <is>
          <t>Dec</t>
        </is>
      </c>
      <c r="AB1311" t="inlineStr">
        <is>
          <t>Tuesday</t>
        </is>
      </c>
      <c r="AC1311" t="n">
        <v>7</v>
      </c>
      <c r="AD1311" t="inlineStr">
        <is>
          <t>Profitable</t>
        </is>
      </c>
      <c r="AE1311" t="inlineStr">
        <is>
          <t>Low</t>
        </is>
      </c>
      <c r="AF1311" t="inlineStr">
        <is>
          <t>Small</t>
        </is>
      </c>
    </row>
    <row r="1312">
      <c r="A1312" t="inlineStr">
        <is>
          <t>ORD-01432</t>
        </is>
      </c>
      <c r="B1312" s="2" t="n">
        <v>45394</v>
      </c>
      <c r="C1312" s="2" t="n">
        <v>45400</v>
      </c>
      <c r="D1312" t="inlineStr">
        <is>
          <t>CUST-01432</t>
        </is>
      </c>
      <c r="E1312" t="inlineStr">
        <is>
          <t>Customer 1432</t>
        </is>
      </c>
      <c r="F1312" t="inlineStr">
        <is>
          <t>Corporate</t>
        </is>
      </c>
      <c r="G1312" t="inlineStr">
        <is>
          <t>P1017</t>
        </is>
      </c>
      <c r="H1312" t="inlineStr">
        <is>
          <t>Halo Planter</t>
        </is>
      </c>
      <c r="I1312" t="inlineStr">
        <is>
          <t>Office Supplies</t>
        </is>
      </c>
      <c r="J1312" t="inlineStr">
        <is>
          <t>Desks</t>
        </is>
      </c>
      <c r="K1312" t="inlineStr">
        <is>
          <t>South</t>
        </is>
      </c>
      <c r="L1312" t="inlineStr">
        <is>
          <t>North Carolina</t>
        </is>
      </c>
      <c r="M1312" t="inlineStr">
        <is>
          <t>Dallas</t>
        </is>
      </c>
      <c r="N1312" t="inlineStr">
        <is>
          <t>James Carter</t>
        </is>
      </c>
      <c r="O1312" t="n">
        <v>4</v>
      </c>
      <c r="P1312" s="3" t="n">
        <v>560.42</v>
      </c>
      <c r="Q1312" s="4" t="n">
        <v>0.011</v>
      </c>
      <c r="R1312" s="3" t="n">
        <v>2217.02</v>
      </c>
      <c r="S1312" s="3" t="n">
        <v>1472.14</v>
      </c>
      <c r="T1312" s="3" t="n">
        <v>735.6799999999999</v>
      </c>
      <c r="U1312" s="4" t="n">
        <v>0.3318</v>
      </c>
      <c r="V1312" s="3" t="n">
        <v>9.199999999999999</v>
      </c>
      <c r="W1312" t="inlineStr">
        <is>
          <t>Cash on Delivery</t>
        </is>
      </c>
      <c r="X1312" t="inlineStr">
        <is>
          <t>Medium</t>
        </is>
      </c>
      <c r="Y1312" t="n">
        <v>2024</v>
      </c>
      <c r="Z1312" t="n">
        <v>4</v>
      </c>
      <c r="AA1312" t="inlineStr">
        <is>
          <t>Apr</t>
        </is>
      </c>
      <c r="AB1312" t="inlineStr">
        <is>
          <t>Friday</t>
        </is>
      </c>
      <c r="AC1312" t="n">
        <v>6</v>
      </c>
      <c r="AD1312" t="inlineStr">
        <is>
          <t>Profitable</t>
        </is>
      </c>
      <c r="AE1312" t="inlineStr">
        <is>
          <t>Low</t>
        </is>
      </c>
      <c r="AF1312" t="inlineStr">
        <is>
          <t>Large</t>
        </is>
      </c>
    </row>
    <row r="1313">
      <c r="A1313" t="inlineStr">
        <is>
          <t>ORD-01433</t>
        </is>
      </c>
      <c r="B1313" s="2" t="n">
        <v>45363</v>
      </c>
      <c r="C1313" s="2" t="n">
        <v>45368</v>
      </c>
      <c r="D1313" t="inlineStr">
        <is>
          <t>CUST-01433</t>
        </is>
      </c>
      <c r="E1313" t="inlineStr">
        <is>
          <t>Customer 1433</t>
        </is>
      </c>
      <c r="F1313" t="inlineStr">
        <is>
          <t>Consumer</t>
        </is>
      </c>
      <c r="G1313" t="inlineStr">
        <is>
          <t>P1017</t>
        </is>
      </c>
      <c r="H1313" t="inlineStr">
        <is>
          <t>CloudDrive File Box</t>
        </is>
      </c>
      <c r="I1313" t="inlineStr">
        <is>
          <t>Outdoor</t>
        </is>
      </c>
      <c r="J1313" t="inlineStr">
        <is>
          <t>Storage</t>
        </is>
      </c>
      <c r="K1313" t="inlineStr">
        <is>
          <t>South</t>
        </is>
      </c>
      <c r="L1313" t="inlineStr">
        <is>
          <t>North Carolina</t>
        </is>
      </c>
      <c r="M1313" t="inlineStr">
        <is>
          <t>Dallas</t>
        </is>
      </c>
      <c r="N1313" t="inlineStr">
        <is>
          <t>Liam Chen</t>
        </is>
      </c>
      <c r="O1313" t="n">
        <v>3</v>
      </c>
      <c r="P1313" s="3" t="n">
        <v>523.8</v>
      </c>
      <c r="Q1313" s="4" t="n">
        <v>0.025</v>
      </c>
      <c r="R1313" s="3" t="n">
        <v>1532.11</v>
      </c>
      <c r="S1313" s="3" t="n">
        <v>1015.25</v>
      </c>
      <c r="T1313" s="3" t="n">
        <v>508.46</v>
      </c>
      <c r="U1313" s="4" t="n">
        <v>0.3319</v>
      </c>
      <c r="V1313" s="3" t="n">
        <v>8.4</v>
      </c>
      <c r="W1313" t="inlineStr">
        <is>
          <t>Debit Card</t>
        </is>
      </c>
      <c r="X1313" t="inlineStr">
        <is>
          <t>Medium</t>
        </is>
      </c>
      <c r="Y1313" t="n">
        <v>2024</v>
      </c>
      <c r="Z1313" t="n">
        <v>3</v>
      </c>
      <c r="AA1313" t="inlineStr">
        <is>
          <t>Mar</t>
        </is>
      </c>
      <c r="AB1313" t="inlineStr">
        <is>
          <t>Tuesday</t>
        </is>
      </c>
      <c r="AC1313" t="n">
        <v>5</v>
      </c>
      <c r="AD1313" t="inlineStr">
        <is>
          <t>Profitable</t>
        </is>
      </c>
      <c r="AE1313" t="inlineStr">
        <is>
          <t>Medium</t>
        </is>
      </c>
      <c r="AF1313" t="inlineStr">
        <is>
          <t>Large</t>
        </is>
      </c>
    </row>
    <row r="1314">
      <c r="A1314" t="inlineStr">
        <is>
          <t>ORD-01434</t>
        </is>
      </c>
      <c r="B1314" s="2" t="n">
        <v>45916</v>
      </c>
      <c r="C1314" s="2" t="n">
        <v>45921</v>
      </c>
      <c r="D1314" t="inlineStr">
        <is>
          <t>CUST-01434</t>
        </is>
      </c>
      <c r="E1314" t="inlineStr">
        <is>
          <t>Customer 1434</t>
        </is>
      </c>
      <c r="F1314" t="inlineStr">
        <is>
          <t>Home Office</t>
        </is>
      </c>
      <c r="G1314" t="inlineStr">
        <is>
          <t>P1009</t>
        </is>
      </c>
      <c r="H1314" t="inlineStr">
        <is>
          <t>Summit Patio Set</t>
        </is>
      </c>
      <c r="I1314" t="inlineStr">
        <is>
          <t>Technology</t>
        </is>
      </c>
      <c r="J1314" t="inlineStr">
        <is>
          <t>Accessories</t>
        </is>
      </c>
      <c r="K1314" t="inlineStr">
        <is>
          <t>North</t>
        </is>
      </c>
      <c r="L1314" t="inlineStr">
        <is>
          <t>British Columbia</t>
        </is>
      </c>
      <c r="M1314" t="inlineStr">
        <is>
          <t>Calgary</t>
        </is>
      </c>
      <c r="N1314" t="inlineStr">
        <is>
          <t>Ava Patel</t>
        </is>
      </c>
      <c r="O1314" t="n">
        <v>6</v>
      </c>
      <c r="P1314" s="3" t="n">
        <v>90.77</v>
      </c>
      <c r="Q1314" s="4" t="n">
        <v>0.01</v>
      </c>
      <c r="R1314" s="3" t="n">
        <v>539.17</v>
      </c>
      <c r="S1314" s="3" t="n">
        <v>263.33</v>
      </c>
      <c r="T1314" s="3" t="n">
        <v>265.04</v>
      </c>
      <c r="U1314" s="4" t="n">
        <v>0.4916</v>
      </c>
      <c r="V1314" s="3" t="n">
        <v>10.8</v>
      </c>
      <c r="W1314" t="inlineStr">
        <is>
          <t>Bank Transfer</t>
        </is>
      </c>
      <c r="X1314" t="inlineStr">
        <is>
          <t>Low</t>
        </is>
      </c>
      <c r="Y1314" t="n">
        <v>2025</v>
      </c>
      <c r="Z1314" t="n">
        <v>9</v>
      </c>
      <c r="AA1314" t="inlineStr">
        <is>
          <t>Sep</t>
        </is>
      </c>
      <c r="AB1314" t="inlineStr">
        <is>
          <t>Tuesday</t>
        </is>
      </c>
      <c r="AC1314" t="n">
        <v>5</v>
      </c>
      <c r="AD1314" t="inlineStr">
        <is>
          <t>Profitable</t>
        </is>
      </c>
      <c r="AE1314" t="inlineStr">
        <is>
          <t>Low</t>
        </is>
      </c>
      <c r="AF1314" t="inlineStr">
        <is>
          <t>Medium</t>
        </is>
      </c>
    </row>
    <row r="1315">
      <c r="A1315" t="inlineStr">
        <is>
          <t>ORD-01436</t>
        </is>
      </c>
      <c r="B1315" s="2" t="n">
        <v>45191</v>
      </c>
      <c r="C1315" s="2" t="n">
        <v>45193</v>
      </c>
      <c r="D1315" t="inlineStr">
        <is>
          <t>CUST-01436</t>
        </is>
      </c>
      <c r="E1315" t="inlineStr">
        <is>
          <t>Customer 1436</t>
        </is>
      </c>
      <c r="F1315" t="inlineStr">
        <is>
          <t>Consumer</t>
        </is>
      </c>
      <c r="G1315" t="inlineStr">
        <is>
          <t>P1006</t>
        </is>
      </c>
      <c r="H1315" t="inlineStr">
        <is>
          <t>Cove Wall Clock</t>
        </is>
      </c>
      <c r="I1315" t="inlineStr">
        <is>
          <t>Home Decor</t>
        </is>
      </c>
      <c r="J1315" t="inlineStr">
        <is>
          <t>Textiles</t>
        </is>
      </c>
      <c r="K1315" t="inlineStr">
        <is>
          <t>South</t>
        </is>
      </c>
      <c r="L1315" t="inlineStr">
        <is>
          <t>Florida</t>
        </is>
      </c>
      <c r="M1315" t="inlineStr">
        <is>
          <t>Houston</t>
        </is>
      </c>
      <c r="N1315" t="inlineStr">
        <is>
          <t>Noah Kim</t>
        </is>
      </c>
      <c r="O1315" t="n">
        <v>2</v>
      </c>
      <c r="P1315" s="3" t="n">
        <v>18.3</v>
      </c>
      <c r="Q1315" s="4" t="n">
        <v>0.053</v>
      </c>
      <c r="R1315" s="3" t="n">
        <v>34.66</v>
      </c>
      <c r="S1315" s="3" t="n">
        <v>17.41</v>
      </c>
      <c r="T1315" s="3" t="n">
        <v>9.65</v>
      </c>
      <c r="U1315" s="4" t="n">
        <v>0.2784</v>
      </c>
      <c r="V1315" s="3" t="n">
        <v>7.6</v>
      </c>
      <c r="W1315" t="inlineStr">
        <is>
          <t>Credit Card</t>
        </is>
      </c>
      <c r="X1315" t="inlineStr">
        <is>
          <t>High</t>
        </is>
      </c>
      <c r="Y1315" t="n">
        <v>2023</v>
      </c>
      <c r="Z1315" t="n">
        <v>9</v>
      </c>
      <c r="AA1315" t="inlineStr">
        <is>
          <t>Sep</t>
        </is>
      </c>
      <c r="AB1315" t="inlineStr">
        <is>
          <t>Friday</t>
        </is>
      </c>
      <c r="AC1315" t="n">
        <v>2</v>
      </c>
      <c r="AD1315" t="inlineStr">
        <is>
          <t>Profitable</t>
        </is>
      </c>
      <c r="AE1315" t="inlineStr">
        <is>
          <t>High</t>
        </is>
      </c>
      <c r="AF1315" t="inlineStr">
        <is>
          <t>Small</t>
        </is>
      </c>
    </row>
    <row r="1316">
      <c r="A1316" t="inlineStr">
        <is>
          <t>ORD-01437</t>
        </is>
      </c>
      <c r="B1316" s="2" t="n">
        <v>45349</v>
      </c>
      <c r="C1316" s="2" t="n">
        <v>45356</v>
      </c>
      <c r="D1316" t="inlineStr">
        <is>
          <t>CUST-01437</t>
        </is>
      </c>
      <c r="E1316" t="inlineStr">
        <is>
          <t>Customer 1437</t>
        </is>
      </c>
      <c r="F1316" t="inlineStr">
        <is>
          <t>Home Office</t>
        </is>
      </c>
      <c r="G1316" t="inlineStr">
        <is>
          <t>P1017</t>
        </is>
      </c>
      <c r="H1316" t="inlineStr">
        <is>
          <t>Nova Laptop Stand</t>
        </is>
      </c>
      <c r="I1316" t="inlineStr">
        <is>
          <t>Office Supplies</t>
        </is>
      </c>
      <c r="J1316" t="inlineStr">
        <is>
          <t>Storage</t>
        </is>
      </c>
      <c r="K1316" t="inlineStr">
        <is>
          <t>North</t>
        </is>
      </c>
      <c r="L1316" t="inlineStr">
        <is>
          <t>Ontario</t>
        </is>
      </c>
      <c r="M1316" t="inlineStr">
        <is>
          <t>Montreal</t>
        </is>
      </c>
      <c r="N1316" t="inlineStr">
        <is>
          <t>Ava Patel</t>
        </is>
      </c>
      <c r="O1316" t="n">
        <v>2</v>
      </c>
      <c r="P1316" s="3" t="n">
        <v>564.71</v>
      </c>
      <c r="Q1316" s="4" t="n">
        <v>0.046</v>
      </c>
      <c r="R1316" s="3" t="n">
        <v>1077.47</v>
      </c>
      <c r="S1316" s="3" t="n">
        <v>715.85</v>
      </c>
      <c r="T1316" s="3" t="n">
        <v>354.02</v>
      </c>
      <c r="U1316" s="4" t="n">
        <v>0.3286</v>
      </c>
      <c r="V1316" s="3" t="n">
        <v>7.6</v>
      </c>
      <c r="W1316" t="inlineStr">
        <is>
          <t>Credit Card</t>
        </is>
      </c>
      <c r="X1316" t="inlineStr">
        <is>
          <t>Critical</t>
        </is>
      </c>
      <c r="Y1316" t="n">
        <v>2024</v>
      </c>
      <c r="Z1316" t="n">
        <v>2</v>
      </c>
      <c r="AA1316" t="inlineStr">
        <is>
          <t>Feb</t>
        </is>
      </c>
      <c r="AB1316" t="inlineStr">
        <is>
          <t>Tuesday</t>
        </is>
      </c>
      <c r="AC1316" t="n">
        <v>7</v>
      </c>
      <c r="AD1316" t="inlineStr">
        <is>
          <t>Profitable</t>
        </is>
      </c>
      <c r="AE1316" t="inlineStr">
        <is>
          <t>Medium</t>
        </is>
      </c>
      <c r="AF1316" t="inlineStr">
        <is>
          <t>Medium</t>
        </is>
      </c>
    </row>
    <row r="1317">
      <c r="A1317" t="inlineStr">
        <is>
          <t>ORD-01438</t>
        </is>
      </c>
      <c r="B1317" s="2" t="n">
        <v>46015</v>
      </c>
      <c r="C1317" s="2" t="n">
        <v>46022</v>
      </c>
      <c r="D1317" t="inlineStr">
        <is>
          <t>CUST-01438</t>
        </is>
      </c>
      <c r="E1317" t="inlineStr">
        <is>
          <t>Customer 1438</t>
        </is>
      </c>
      <c r="F1317" t="inlineStr">
        <is>
          <t>Home Office</t>
        </is>
      </c>
      <c r="G1317" t="inlineStr">
        <is>
          <t>P1016</t>
        </is>
      </c>
      <c r="H1317" t="inlineStr">
        <is>
          <t>Nimbus Monitor Arm</t>
        </is>
      </c>
      <c r="I1317" t="inlineStr">
        <is>
          <t>Office Supplies</t>
        </is>
      </c>
      <c r="J1317" t="inlineStr">
        <is>
          <t>Plants</t>
        </is>
      </c>
      <c r="K1317" t="inlineStr">
        <is>
          <t>Central</t>
        </is>
      </c>
      <c r="L1317" t="inlineStr">
        <is>
          <t>Kansas</t>
        </is>
      </c>
      <c r="M1317" t="inlineStr">
        <is>
          <t>Minneapolis</t>
        </is>
      </c>
      <c r="N1317" t="inlineStr">
        <is>
          <t>James Carter</t>
        </is>
      </c>
      <c r="O1317" t="n">
        <v>3</v>
      </c>
      <c r="P1317" s="3" t="n">
        <v>41.66</v>
      </c>
      <c r="Q1317" s="4" t="n">
        <v>0.006</v>
      </c>
      <c r="R1317" s="3" t="n">
        <v>124.23</v>
      </c>
      <c r="S1317" s="3" t="n">
        <v>55.15</v>
      </c>
      <c r="T1317" s="3" t="n">
        <v>60.68</v>
      </c>
      <c r="U1317" s="4" t="n">
        <v>0.4884</v>
      </c>
      <c r="V1317" s="3" t="n">
        <v>8.4</v>
      </c>
      <c r="W1317" t="inlineStr">
        <is>
          <t>PayPal</t>
        </is>
      </c>
      <c r="X1317" t="inlineStr">
        <is>
          <t>Medium</t>
        </is>
      </c>
      <c r="Y1317" t="n">
        <v>2025</v>
      </c>
      <c r="Z1317" t="n">
        <v>12</v>
      </c>
      <c r="AA1317" t="inlineStr">
        <is>
          <t>Dec</t>
        </is>
      </c>
      <c r="AB1317" t="inlineStr">
        <is>
          <t>Wednesday</t>
        </is>
      </c>
      <c r="AC1317" t="n">
        <v>7</v>
      </c>
      <c r="AD1317" t="inlineStr">
        <is>
          <t>Profitable</t>
        </is>
      </c>
      <c r="AE1317" t="inlineStr">
        <is>
          <t>Low</t>
        </is>
      </c>
      <c r="AF1317" t="inlineStr">
        <is>
          <t>Small</t>
        </is>
      </c>
    </row>
    <row r="1318">
      <c r="A1318" t="inlineStr">
        <is>
          <t>ORD-01439</t>
        </is>
      </c>
      <c r="B1318" s="2" t="n">
        <v>45089</v>
      </c>
      <c r="C1318" s="2" t="n">
        <v>45093</v>
      </c>
      <c r="D1318" t="inlineStr">
        <is>
          <t>CUST-01439</t>
        </is>
      </c>
      <c r="E1318" t="inlineStr">
        <is>
          <t>Customer 1439</t>
        </is>
      </c>
      <c r="F1318" t="inlineStr">
        <is>
          <t>Corporate</t>
        </is>
      </c>
      <c r="G1318" t="inlineStr">
        <is>
          <t>P1007</t>
        </is>
      </c>
      <c r="H1318" t="inlineStr">
        <is>
          <t>Echo Web Camera</t>
        </is>
      </c>
      <c r="I1318" t="inlineStr">
        <is>
          <t>Outdoor</t>
        </is>
      </c>
      <c r="J1318" t="inlineStr">
        <is>
          <t>Furniture</t>
        </is>
      </c>
      <c r="K1318" t="inlineStr">
        <is>
          <t>Central</t>
        </is>
      </c>
      <c r="L1318" t="inlineStr">
        <is>
          <t>Minnesota</t>
        </is>
      </c>
      <c r="M1318" t="inlineStr">
        <is>
          <t>Chicago</t>
        </is>
      </c>
      <c r="N1318" t="inlineStr">
        <is>
          <t>Ethan Brooks</t>
        </is>
      </c>
      <c r="O1318" t="n">
        <v>2</v>
      </c>
      <c r="P1318" s="3" t="n">
        <v>24.33</v>
      </c>
      <c r="Q1318" s="4" t="n">
        <v>0.027</v>
      </c>
      <c r="R1318" s="3" t="n">
        <v>47.35</v>
      </c>
      <c r="S1318" s="3" t="n">
        <v>20.25</v>
      </c>
      <c r="T1318" s="3" t="n">
        <v>19.5</v>
      </c>
      <c r="U1318" s="4" t="n">
        <v>0.4118</v>
      </c>
      <c r="V1318" s="3" t="n">
        <v>7.6</v>
      </c>
      <c r="W1318" t="inlineStr">
        <is>
          <t>Credit Card</t>
        </is>
      </c>
      <c r="X1318" t="inlineStr">
        <is>
          <t>High</t>
        </is>
      </c>
      <c r="Y1318" t="n">
        <v>2023</v>
      </c>
      <c r="Z1318" t="n">
        <v>6</v>
      </c>
      <c r="AA1318" t="inlineStr">
        <is>
          <t>Jun</t>
        </is>
      </c>
      <c r="AB1318" t="inlineStr">
        <is>
          <t>Monday</t>
        </is>
      </c>
      <c r="AC1318" t="n">
        <v>4</v>
      </c>
      <c r="AD1318" t="inlineStr">
        <is>
          <t>Profitable</t>
        </is>
      </c>
      <c r="AE1318" t="inlineStr">
        <is>
          <t>Medium</t>
        </is>
      </c>
      <c r="AF1318" t="inlineStr">
        <is>
          <t>Small</t>
        </is>
      </c>
    </row>
    <row r="1319">
      <c r="A1319" t="inlineStr">
        <is>
          <t>ORD-01440</t>
        </is>
      </c>
      <c r="B1319" s="2" t="n">
        <v>45798</v>
      </c>
      <c r="C1319" s="2" t="n">
        <v>45802</v>
      </c>
      <c r="D1319" t="inlineStr">
        <is>
          <t>CUST-01440</t>
        </is>
      </c>
      <c r="E1319" t="inlineStr">
        <is>
          <t>Customer 1440</t>
        </is>
      </c>
      <c r="F1319" t="inlineStr">
        <is>
          <t>Consumer</t>
        </is>
      </c>
      <c r="G1319" t="inlineStr">
        <is>
          <t>P1019</t>
        </is>
      </c>
      <c r="H1319" t="inlineStr">
        <is>
          <t>Aero Standing Desk</t>
        </is>
      </c>
      <c r="I1319" t="inlineStr">
        <is>
          <t>Outdoor</t>
        </is>
      </c>
      <c r="J1319" t="inlineStr">
        <is>
          <t>Flooring</t>
        </is>
      </c>
      <c r="K1319" t="inlineStr">
        <is>
          <t>Central</t>
        </is>
      </c>
      <c r="L1319" t="inlineStr">
        <is>
          <t>Illinois</t>
        </is>
      </c>
      <c r="M1319" t="inlineStr">
        <is>
          <t>Chicago</t>
        </is>
      </c>
      <c r="N1319" t="inlineStr">
        <is>
          <t>James Carter</t>
        </is>
      </c>
      <c r="O1319" t="n">
        <v>4</v>
      </c>
      <c r="P1319" s="3" t="n">
        <v>54.99</v>
      </c>
      <c r="Q1319" s="4" t="n">
        <v>0.044</v>
      </c>
      <c r="R1319" s="3" t="n">
        <v>210.28</v>
      </c>
      <c r="S1319" s="3" t="n">
        <v>92.28</v>
      </c>
      <c r="T1319" s="3" t="n">
        <v>108.8</v>
      </c>
      <c r="U1319" s="4" t="n">
        <v>0.5174</v>
      </c>
      <c r="V1319" s="3" t="n">
        <v>9.199999999999999</v>
      </c>
      <c r="W1319" t="inlineStr">
        <is>
          <t>Bank Transfer</t>
        </is>
      </c>
      <c r="X1319" t="inlineStr">
        <is>
          <t>High</t>
        </is>
      </c>
      <c r="Y1319" t="n">
        <v>2025</v>
      </c>
      <c r="Z1319" t="n">
        <v>5</v>
      </c>
      <c r="AA1319" t="inlineStr">
        <is>
          <t>May</t>
        </is>
      </c>
      <c r="AB1319" t="inlineStr">
        <is>
          <t>Wednesday</t>
        </is>
      </c>
      <c r="AC1319" t="n">
        <v>4</v>
      </c>
      <c r="AD1319" t="inlineStr">
        <is>
          <t>Profitable</t>
        </is>
      </c>
      <c r="AE1319" t="inlineStr">
        <is>
          <t>Medium</t>
        </is>
      </c>
      <c r="AF1319" t="inlineStr">
        <is>
          <t>Small</t>
        </is>
      </c>
    </row>
    <row r="1320">
      <c r="A1320" t="inlineStr">
        <is>
          <t>ORD-01441</t>
        </is>
      </c>
      <c r="B1320" s="2" t="n">
        <v>45856</v>
      </c>
      <c r="C1320" s="2" t="n">
        <v>45858</v>
      </c>
      <c r="D1320" t="inlineStr">
        <is>
          <t>CUST-01441</t>
        </is>
      </c>
      <c r="E1320" t="inlineStr">
        <is>
          <t>Customer 1441</t>
        </is>
      </c>
      <c r="F1320" t="inlineStr">
        <is>
          <t>Home Office</t>
        </is>
      </c>
      <c r="G1320" t="inlineStr">
        <is>
          <t>P1004</t>
        </is>
      </c>
      <c r="H1320" t="inlineStr">
        <is>
          <t>Halo Planter</t>
        </is>
      </c>
      <c r="I1320" t="inlineStr">
        <is>
          <t>Technology</t>
        </is>
      </c>
      <c r="J1320" t="inlineStr">
        <is>
          <t>Decor</t>
        </is>
      </c>
      <c r="K1320" t="inlineStr">
        <is>
          <t>South</t>
        </is>
      </c>
      <c r="L1320" t="inlineStr">
        <is>
          <t>North Carolina</t>
        </is>
      </c>
      <c r="M1320" t="inlineStr">
        <is>
          <t>Miami</t>
        </is>
      </c>
      <c r="N1320" t="inlineStr">
        <is>
          <t>James Carter</t>
        </is>
      </c>
      <c r="O1320" t="n">
        <v>4</v>
      </c>
      <c r="P1320" s="3" t="n">
        <v>593.46</v>
      </c>
      <c r="Q1320" s="4" t="n">
        <v>0.012</v>
      </c>
      <c r="R1320" s="3" t="n">
        <v>2345.35</v>
      </c>
      <c r="S1320" s="3" t="n">
        <v>1488.64</v>
      </c>
      <c r="T1320" s="3" t="n">
        <v>847.51</v>
      </c>
      <c r="U1320" s="4" t="n">
        <v>0.3614</v>
      </c>
      <c r="V1320" s="3" t="n">
        <v>9.199999999999999</v>
      </c>
      <c r="W1320" t="inlineStr">
        <is>
          <t>Bank Transfer</t>
        </is>
      </c>
      <c r="X1320" t="inlineStr">
        <is>
          <t>Low</t>
        </is>
      </c>
      <c r="Y1320" t="n">
        <v>2025</v>
      </c>
      <c r="Z1320" t="n">
        <v>7</v>
      </c>
      <c r="AA1320" t="inlineStr">
        <is>
          <t>Jul</t>
        </is>
      </c>
      <c r="AB1320" t="inlineStr">
        <is>
          <t>Friday</t>
        </is>
      </c>
      <c r="AC1320" t="n">
        <v>2</v>
      </c>
      <c r="AD1320" t="inlineStr">
        <is>
          <t>Profitable</t>
        </is>
      </c>
      <c r="AE1320" t="inlineStr">
        <is>
          <t>Low</t>
        </is>
      </c>
      <c r="AF1320" t="inlineStr">
        <is>
          <t>Large</t>
        </is>
      </c>
    </row>
    <row r="1321">
      <c r="A1321" t="inlineStr">
        <is>
          <t>ORD-01449</t>
        </is>
      </c>
      <c r="B1321" s="2" t="n">
        <v>45769</v>
      </c>
      <c r="C1321" s="2" t="n">
        <v>45776</v>
      </c>
      <c r="D1321" t="inlineStr">
        <is>
          <t>CUST-01449</t>
        </is>
      </c>
      <c r="E1321" t="inlineStr">
        <is>
          <t>Customer 1449</t>
        </is>
      </c>
      <c r="F1321" t="inlineStr">
        <is>
          <t>Consumer</t>
        </is>
      </c>
      <c r="G1321" t="inlineStr">
        <is>
          <t>P1005</t>
        </is>
      </c>
      <c r="H1321" t="inlineStr">
        <is>
          <t>CloudDrive File Box</t>
        </is>
      </c>
      <c r="I1321" t="inlineStr">
        <is>
          <t>Home Decor</t>
        </is>
      </c>
      <c r="J1321" t="inlineStr">
        <is>
          <t>Desks</t>
        </is>
      </c>
      <c r="K1321" t="inlineStr">
        <is>
          <t>Central</t>
        </is>
      </c>
      <c r="L1321" t="inlineStr">
        <is>
          <t>Missouri</t>
        </is>
      </c>
      <c r="M1321" t="inlineStr">
        <is>
          <t>Minneapolis</t>
        </is>
      </c>
      <c r="N1321" t="inlineStr">
        <is>
          <t>Olivia Martin</t>
        </is>
      </c>
      <c r="O1321" t="n">
        <v>2</v>
      </c>
      <c r="P1321" s="3" t="n">
        <v>11.97</v>
      </c>
      <c r="Q1321" s="4" t="n">
        <v>0.005</v>
      </c>
      <c r="R1321" s="3" t="n">
        <v>23.82</v>
      </c>
      <c r="S1321" s="3" t="n">
        <v>12.83</v>
      </c>
      <c r="T1321" s="3" t="n">
        <v>3.39</v>
      </c>
      <c r="U1321" s="4" t="n">
        <v>0.1423</v>
      </c>
      <c r="V1321" s="3" t="n">
        <v>7.6</v>
      </c>
      <c r="W1321" t="inlineStr">
        <is>
          <t>Credit Card</t>
        </is>
      </c>
      <c r="X1321" t="inlineStr">
        <is>
          <t>Medium</t>
        </is>
      </c>
      <c r="Y1321" t="n">
        <v>2025</v>
      </c>
      <c r="Z1321" t="n">
        <v>4</v>
      </c>
      <c r="AA1321" t="inlineStr">
        <is>
          <t>Apr</t>
        </is>
      </c>
      <c r="AB1321" t="inlineStr">
        <is>
          <t>Tuesday</t>
        </is>
      </c>
      <c r="AC1321" t="n">
        <v>7</v>
      </c>
      <c r="AD1321" t="inlineStr">
        <is>
          <t>Profitable</t>
        </is>
      </c>
      <c r="AE1321" t="inlineStr">
        <is>
          <t>Low</t>
        </is>
      </c>
      <c r="AF1321" t="inlineStr">
        <is>
          <t>Small</t>
        </is>
      </c>
    </row>
    <row r="1322">
      <c r="A1322" t="inlineStr">
        <is>
          <t>ORD-01451</t>
        </is>
      </c>
      <c r="B1322" s="2" t="n">
        <v>45434</v>
      </c>
      <c r="C1322" s="2" t="n">
        <v>45441</v>
      </c>
      <c r="D1322" t="inlineStr">
        <is>
          <t>CUST-01451</t>
        </is>
      </c>
      <c r="E1322" t="inlineStr">
        <is>
          <t>Customer 1451</t>
        </is>
      </c>
      <c r="F1322" t="inlineStr">
        <is>
          <t>Corporate</t>
        </is>
      </c>
      <c r="G1322" t="inlineStr">
        <is>
          <t>P1006</t>
        </is>
      </c>
      <c r="H1322" t="inlineStr">
        <is>
          <t>Nova Laptop Stand</t>
        </is>
      </c>
      <c r="I1322" t="inlineStr">
        <is>
          <t>Technology</t>
        </is>
      </c>
      <c r="J1322" t="inlineStr">
        <is>
          <t>Chairs</t>
        </is>
      </c>
      <c r="K1322" t="inlineStr">
        <is>
          <t>Central</t>
        </is>
      </c>
      <c r="L1322" t="inlineStr">
        <is>
          <t>Missouri</t>
        </is>
      </c>
      <c r="M1322" t="inlineStr">
        <is>
          <t>Kansas City</t>
        </is>
      </c>
      <c r="N1322" t="inlineStr">
        <is>
          <t>Noah Kim</t>
        </is>
      </c>
      <c r="O1322" t="n">
        <v>2</v>
      </c>
      <c r="P1322" s="3" t="n">
        <v>17.42</v>
      </c>
      <c r="Q1322" s="4" t="n">
        <v>0.017</v>
      </c>
      <c r="R1322" s="3" t="n">
        <v>34.25</v>
      </c>
      <c r="S1322" s="3" t="n">
        <v>16.41</v>
      </c>
      <c r="T1322" s="3" t="n">
        <v>10.24</v>
      </c>
      <c r="U1322" s="4" t="n">
        <v>0.299</v>
      </c>
      <c r="V1322" s="3" t="n">
        <v>7.6</v>
      </c>
      <c r="W1322" t="inlineStr">
        <is>
          <t>Bank Transfer</t>
        </is>
      </c>
      <c r="X1322" t="inlineStr">
        <is>
          <t>Low</t>
        </is>
      </c>
      <c r="Y1322" t="n">
        <v>2024</v>
      </c>
      <c r="Z1322" t="n">
        <v>5</v>
      </c>
      <c r="AA1322" t="inlineStr">
        <is>
          <t>May</t>
        </is>
      </c>
      <c r="AB1322" t="inlineStr">
        <is>
          <t>Wednesday</t>
        </is>
      </c>
      <c r="AC1322" t="n">
        <v>7</v>
      </c>
      <c r="AD1322" t="inlineStr">
        <is>
          <t>Profitable</t>
        </is>
      </c>
      <c r="AE1322" t="inlineStr">
        <is>
          <t>Low</t>
        </is>
      </c>
      <c r="AF1322" t="inlineStr">
        <is>
          <t>Small</t>
        </is>
      </c>
    </row>
    <row r="1323">
      <c r="A1323" t="inlineStr">
        <is>
          <t>ORD-01452</t>
        </is>
      </c>
      <c r="B1323" s="2" t="n">
        <v>45612</v>
      </c>
      <c r="C1323" s="2" t="n">
        <v>45614</v>
      </c>
      <c r="D1323" t="inlineStr">
        <is>
          <t>CUST-01452</t>
        </is>
      </c>
      <c r="E1323" t="inlineStr">
        <is>
          <t>Customer 1452</t>
        </is>
      </c>
      <c r="F1323" t="inlineStr">
        <is>
          <t>Home Office</t>
        </is>
      </c>
      <c r="G1323" t="inlineStr">
        <is>
          <t>P1013</t>
        </is>
      </c>
      <c r="H1323" t="inlineStr">
        <is>
          <t>Summit Patio Set</t>
        </is>
      </c>
      <c r="I1323" t="inlineStr">
        <is>
          <t>Outdoor</t>
        </is>
      </c>
      <c r="J1323" t="inlineStr">
        <is>
          <t>Bags</t>
        </is>
      </c>
      <c r="K1323" t="inlineStr">
        <is>
          <t>Central</t>
        </is>
      </c>
      <c r="L1323" t="inlineStr">
        <is>
          <t>Kansas</t>
        </is>
      </c>
      <c r="M1323" t="inlineStr">
        <is>
          <t>St. Louis</t>
        </is>
      </c>
      <c r="N1323" t="inlineStr">
        <is>
          <t>Mia Rodriguez</t>
        </is>
      </c>
      <c r="O1323" t="n">
        <v>3</v>
      </c>
      <c r="P1323" s="3" t="n">
        <v>169.9</v>
      </c>
      <c r="Q1323" s="4" t="n">
        <v>0.016</v>
      </c>
      <c r="R1323" s="3" t="n">
        <v>501.54</v>
      </c>
      <c r="S1323" s="3" t="n">
        <v>291.07</v>
      </c>
      <c r="T1323" s="3" t="n">
        <v>202.07</v>
      </c>
      <c r="U1323" s="4" t="n">
        <v>0.4029</v>
      </c>
      <c r="V1323" s="3" t="n">
        <v>8.4</v>
      </c>
      <c r="W1323" t="inlineStr">
        <is>
          <t>Cash on Delivery</t>
        </is>
      </c>
      <c r="X1323" t="inlineStr">
        <is>
          <t>Medium</t>
        </is>
      </c>
      <c r="Y1323" t="n">
        <v>2024</v>
      </c>
      <c r="Z1323" t="n">
        <v>11</v>
      </c>
      <c r="AA1323" t="inlineStr">
        <is>
          <t>Nov</t>
        </is>
      </c>
      <c r="AB1323" t="inlineStr">
        <is>
          <t>Saturday</t>
        </is>
      </c>
      <c r="AC1323" t="n">
        <v>2</v>
      </c>
      <c r="AD1323" t="inlineStr">
        <is>
          <t>Profitable</t>
        </is>
      </c>
      <c r="AE1323" t="inlineStr">
        <is>
          <t>Low</t>
        </is>
      </c>
      <c r="AF1323" t="inlineStr">
        <is>
          <t>Medium</t>
        </is>
      </c>
    </row>
    <row r="1324">
      <c r="A1324" t="inlineStr">
        <is>
          <t>ORD-01453</t>
        </is>
      </c>
      <c r="B1324" s="2" t="n">
        <v>45658</v>
      </c>
      <c r="C1324" s="2" t="n">
        <v>45659</v>
      </c>
      <c r="D1324" t="inlineStr">
        <is>
          <t>CUST-01453</t>
        </is>
      </c>
      <c r="E1324" t="inlineStr">
        <is>
          <t>Customer 1453</t>
        </is>
      </c>
      <c r="F1324" t="inlineStr">
        <is>
          <t>Corporate</t>
        </is>
      </c>
      <c r="G1324" t="inlineStr">
        <is>
          <t>P1015</t>
        </is>
      </c>
      <c r="H1324" t="inlineStr">
        <is>
          <t>FlexNote Notebook</t>
        </is>
      </c>
      <c r="I1324" t="inlineStr">
        <is>
          <t>Furniture</t>
        </is>
      </c>
      <c r="J1324" t="inlineStr">
        <is>
          <t>Accessories</t>
        </is>
      </c>
      <c r="K1324" t="inlineStr">
        <is>
          <t>South</t>
        </is>
      </c>
      <c r="L1324" t="inlineStr">
        <is>
          <t>North Carolina</t>
        </is>
      </c>
      <c r="M1324" t="inlineStr">
        <is>
          <t>Dallas</t>
        </is>
      </c>
      <c r="N1324" t="inlineStr">
        <is>
          <t>Mia Rodriguez</t>
        </is>
      </c>
      <c r="O1324" t="n">
        <v>2</v>
      </c>
      <c r="P1324" s="3" t="n">
        <v>67.14</v>
      </c>
      <c r="Q1324" s="4" t="n">
        <v>0.048</v>
      </c>
      <c r="R1324" s="3" t="n">
        <v>127.83</v>
      </c>
      <c r="S1324" s="3" t="n">
        <v>63.39</v>
      </c>
      <c r="T1324" s="3" t="n">
        <v>56.84</v>
      </c>
      <c r="U1324" s="4" t="n">
        <v>0.4447</v>
      </c>
      <c r="V1324" s="3" t="n">
        <v>7.6</v>
      </c>
      <c r="W1324" t="inlineStr">
        <is>
          <t>Bank Transfer</t>
        </is>
      </c>
      <c r="X1324" t="inlineStr">
        <is>
          <t>High</t>
        </is>
      </c>
      <c r="Y1324" t="n">
        <v>2025</v>
      </c>
      <c r="Z1324" t="n">
        <v>1</v>
      </c>
      <c r="AA1324" t="inlineStr">
        <is>
          <t>Jan</t>
        </is>
      </c>
      <c r="AB1324" t="inlineStr">
        <is>
          <t>Wednesday</t>
        </is>
      </c>
      <c r="AC1324" t="n">
        <v>1</v>
      </c>
      <c r="AD1324" t="inlineStr">
        <is>
          <t>Profitable</t>
        </is>
      </c>
      <c r="AE1324" t="inlineStr">
        <is>
          <t>Medium</t>
        </is>
      </c>
      <c r="AF1324" t="inlineStr">
        <is>
          <t>Small</t>
        </is>
      </c>
    </row>
    <row r="1325">
      <c r="A1325" t="inlineStr">
        <is>
          <t>ORD-01458</t>
        </is>
      </c>
      <c r="B1325" s="2" t="n">
        <v>45975</v>
      </c>
      <c r="C1325" s="2" t="n">
        <v>45977</v>
      </c>
      <c r="D1325" t="inlineStr">
        <is>
          <t>CUST-01458</t>
        </is>
      </c>
      <c r="E1325" t="inlineStr">
        <is>
          <t>Customer 1458</t>
        </is>
      </c>
      <c r="F1325" t="inlineStr">
        <is>
          <t>Consumer</t>
        </is>
      </c>
      <c r="G1325" t="inlineStr">
        <is>
          <t>P1004</t>
        </is>
      </c>
      <c r="H1325" t="inlineStr">
        <is>
          <t>ErgoMesh Chair</t>
        </is>
      </c>
      <c r="I1325" t="inlineStr">
        <is>
          <t>Outdoor</t>
        </is>
      </c>
      <c r="J1325" t="inlineStr">
        <is>
          <t>Peripherals</t>
        </is>
      </c>
      <c r="K1325" t="inlineStr">
        <is>
          <t>South</t>
        </is>
      </c>
      <c r="L1325" t="inlineStr">
        <is>
          <t>North Carolina</t>
        </is>
      </c>
      <c r="M1325" t="inlineStr">
        <is>
          <t>Houston</t>
        </is>
      </c>
      <c r="N1325" t="inlineStr">
        <is>
          <t>Ethan Brooks</t>
        </is>
      </c>
      <c r="O1325" t="n">
        <v>2</v>
      </c>
      <c r="P1325" s="3" t="n">
        <v>622.0700000000001</v>
      </c>
      <c r="Q1325" s="4" t="n">
        <v>0.057</v>
      </c>
      <c r="R1325" s="3" t="n">
        <v>1173.22</v>
      </c>
      <c r="S1325" s="3" t="n">
        <v>746.54</v>
      </c>
      <c r="T1325" s="3" t="n">
        <v>419.08</v>
      </c>
      <c r="U1325" s="4" t="n">
        <v>0.3572</v>
      </c>
      <c r="V1325" s="3" t="n">
        <v>7.6</v>
      </c>
      <c r="W1325" t="inlineStr">
        <is>
          <t>Credit Card</t>
        </is>
      </c>
      <c r="X1325" t="inlineStr">
        <is>
          <t>High</t>
        </is>
      </c>
      <c r="Y1325" t="n">
        <v>2025</v>
      </c>
      <c r="Z1325" t="n">
        <v>11</v>
      </c>
      <c r="AA1325" t="inlineStr">
        <is>
          <t>Nov</t>
        </is>
      </c>
      <c r="AB1325" t="inlineStr">
        <is>
          <t>Friday</t>
        </is>
      </c>
      <c r="AC1325" t="n">
        <v>2</v>
      </c>
      <c r="AD1325" t="inlineStr">
        <is>
          <t>Profitable</t>
        </is>
      </c>
      <c r="AE1325" t="inlineStr">
        <is>
          <t>High</t>
        </is>
      </c>
      <c r="AF1325" t="inlineStr">
        <is>
          <t>Medium</t>
        </is>
      </c>
    </row>
    <row r="1326">
      <c r="A1326" t="inlineStr">
        <is>
          <t>ORD-01459</t>
        </is>
      </c>
      <c r="B1326" s="2" t="n">
        <v>45194</v>
      </c>
      <c r="C1326" s="2" t="n">
        <v>45200</v>
      </c>
      <c r="D1326" t="inlineStr">
        <is>
          <t>CUST-01459</t>
        </is>
      </c>
      <c r="E1326" t="inlineStr">
        <is>
          <t>Customer 1459</t>
        </is>
      </c>
      <c r="F1326" t="inlineStr">
        <is>
          <t>Home Office</t>
        </is>
      </c>
      <c r="G1326" t="inlineStr">
        <is>
          <t>P1007</t>
        </is>
      </c>
      <c r="H1326" t="inlineStr">
        <is>
          <t>CloudDrive File Box</t>
        </is>
      </c>
      <c r="I1326" t="inlineStr">
        <is>
          <t>Home Decor</t>
        </is>
      </c>
      <c r="J1326" t="inlineStr">
        <is>
          <t>Accessories</t>
        </is>
      </c>
      <c r="K1326" t="inlineStr">
        <is>
          <t>South</t>
        </is>
      </c>
      <c r="L1326" t="inlineStr">
        <is>
          <t>Texas</t>
        </is>
      </c>
      <c r="M1326" t="inlineStr">
        <is>
          <t>Houston</t>
        </is>
      </c>
      <c r="N1326" t="inlineStr">
        <is>
          <t>Liam Chen</t>
        </is>
      </c>
      <c r="O1326" t="n">
        <v>2</v>
      </c>
      <c r="P1326" s="3" t="n">
        <v>23.47</v>
      </c>
      <c r="Q1326" s="4" t="n">
        <v>0.047</v>
      </c>
      <c r="R1326" s="3" t="n">
        <v>44.73</v>
      </c>
      <c r="S1326" s="3" t="n">
        <v>19.95</v>
      </c>
      <c r="T1326" s="3" t="n">
        <v>17.18</v>
      </c>
      <c r="U1326" s="4" t="n">
        <v>0.3841</v>
      </c>
      <c r="V1326" s="3" t="n">
        <v>7.6</v>
      </c>
      <c r="W1326" t="inlineStr">
        <is>
          <t>Bank Transfer</t>
        </is>
      </c>
      <c r="X1326" t="inlineStr">
        <is>
          <t>High</t>
        </is>
      </c>
      <c r="Y1326" t="n">
        <v>2023</v>
      </c>
      <c r="Z1326" t="n">
        <v>9</v>
      </c>
      <c r="AA1326" t="inlineStr">
        <is>
          <t>Sep</t>
        </is>
      </c>
      <c r="AB1326" t="inlineStr">
        <is>
          <t>Monday</t>
        </is>
      </c>
      <c r="AC1326" t="n">
        <v>6</v>
      </c>
      <c r="AD1326" t="inlineStr">
        <is>
          <t>Profitable</t>
        </is>
      </c>
      <c r="AE1326" t="inlineStr">
        <is>
          <t>Medium</t>
        </is>
      </c>
      <c r="AF1326" t="inlineStr">
        <is>
          <t>Small</t>
        </is>
      </c>
    </row>
    <row r="1327">
      <c r="A1327" t="inlineStr">
        <is>
          <t>ORD-01463</t>
        </is>
      </c>
      <c r="B1327" s="2" t="n">
        <v>45135</v>
      </c>
      <c r="C1327" s="2" t="n">
        <v>45139</v>
      </c>
      <c r="D1327" t="inlineStr">
        <is>
          <t>CUST-01463</t>
        </is>
      </c>
      <c r="E1327" t="inlineStr">
        <is>
          <t>Customer 1463</t>
        </is>
      </c>
      <c r="F1327" t="inlineStr">
        <is>
          <t>Consumer</t>
        </is>
      </c>
      <c r="G1327" t="inlineStr">
        <is>
          <t>P1016</t>
        </is>
      </c>
      <c r="H1327" t="inlineStr">
        <is>
          <t>Summit Patio Set</t>
        </is>
      </c>
      <c r="I1327" t="inlineStr">
        <is>
          <t>Furniture</t>
        </is>
      </c>
      <c r="J1327" t="inlineStr">
        <is>
          <t>Desks</t>
        </is>
      </c>
      <c r="K1327" t="inlineStr">
        <is>
          <t>North</t>
        </is>
      </c>
      <c r="L1327" t="inlineStr">
        <is>
          <t>British Columbia</t>
        </is>
      </c>
      <c r="M1327" t="inlineStr">
        <is>
          <t>Toronto</t>
        </is>
      </c>
      <c r="N1327" t="inlineStr">
        <is>
          <t>Noah Kim</t>
        </is>
      </c>
      <c r="O1327" t="n">
        <v>3</v>
      </c>
      <c r="P1327" s="3" t="n">
        <v>40.39</v>
      </c>
      <c r="Q1327" s="4" t="n">
        <v>0.016</v>
      </c>
      <c r="R1327" s="3" t="n">
        <v>119.23</v>
      </c>
      <c r="S1327" s="3" t="n">
        <v>50.28</v>
      </c>
      <c r="T1327" s="3" t="n">
        <v>60.55</v>
      </c>
      <c r="U1327" s="4" t="n">
        <v>0.5078</v>
      </c>
      <c r="V1327" s="3" t="n">
        <v>8.4</v>
      </c>
      <c r="W1327" t="inlineStr">
        <is>
          <t>PayPal</t>
        </is>
      </c>
      <c r="X1327" t="inlineStr">
        <is>
          <t>High</t>
        </is>
      </c>
      <c r="Y1327" t="n">
        <v>2023</v>
      </c>
      <c r="Z1327" t="n">
        <v>7</v>
      </c>
      <c r="AA1327" t="inlineStr">
        <is>
          <t>Jul</t>
        </is>
      </c>
      <c r="AB1327" t="inlineStr">
        <is>
          <t>Friday</t>
        </is>
      </c>
      <c r="AC1327" t="n">
        <v>4</v>
      </c>
      <c r="AD1327" t="inlineStr">
        <is>
          <t>Profitable</t>
        </is>
      </c>
      <c r="AE1327" t="inlineStr">
        <is>
          <t>Low</t>
        </is>
      </c>
      <c r="AF1327" t="inlineStr">
        <is>
          <t>Small</t>
        </is>
      </c>
    </row>
    <row r="1328">
      <c r="A1328" t="inlineStr">
        <is>
          <t>ORD-01464</t>
        </is>
      </c>
      <c r="B1328" s="2" t="n">
        <v>45679</v>
      </c>
      <c r="C1328" s="2" t="n">
        <v>45681</v>
      </c>
      <c r="D1328" t="inlineStr">
        <is>
          <t>CUST-01464</t>
        </is>
      </c>
      <c r="E1328" t="inlineStr">
        <is>
          <t>Customer 1464</t>
        </is>
      </c>
      <c r="F1328" t="inlineStr">
        <is>
          <t>Corporate</t>
        </is>
      </c>
      <c r="G1328" t="inlineStr">
        <is>
          <t>P1009</t>
        </is>
      </c>
      <c r="H1328" t="inlineStr">
        <is>
          <t>Tide Cooler</t>
        </is>
      </c>
      <c r="I1328" t="inlineStr">
        <is>
          <t>Furniture</t>
        </is>
      </c>
      <c r="J1328" t="inlineStr">
        <is>
          <t>Coolers</t>
        </is>
      </c>
      <c r="K1328" t="inlineStr">
        <is>
          <t>North</t>
        </is>
      </c>
      <c r="L1328" t="inlineStr">
        <is>
          <t>Alberta</t>
        </is>
      </c>
      <c r="M1328" t="inlineStr">
        <is>
          <t>Vancouver</t>
        </is>
      </c>
      <c r="N1328" t="inlineStr">
        <is>
          <t>Liam Chen</t>
        </is>
      </c>
      <c r="O1328" t="n">
        <v>4</v>
      </c>
      <c r="P1328" s="3" t="n">
        <v>92.25</v>
      </c>
      <c r="Q1328" s="4" t="n">
        <v>0.032</v>
      </c>
      <c r="R1328" s="3" t="n">
        <v>357.19</v>
      </c>
      <c r="S1328" s="3" t="n">
        <v>173.28</v>
      </c>
      <c r="T1328" s="3" t="n">
        <v>174.71</v>
      </c>
      <c r="U1328" s="4" t="n">
        <v>0.4891</v>
      </c>
      <c r="V1328" s="3" t="n">
        <v>9.199999999999999</v>
      </c>
      <c r="W1328" t="inlineStr">
        <is>
          <t>PayPal</t>
        </is>
      </c>
      <c r="X1328" t="inlineStr">
        <is>
          <t>Medium</t>
        </is>
      </c>
      <c r="Y1328" t="n">
        <v>2025</v>
      </c>
      <c r="Z1328" t="n">
        <v>1</v>
      </c>
      <c r="AA1328" t="inlineStr">
        <is>
          <t>Jan</t>
        </is>
      </c>
      <c r="AB1328" t="inlineStr">
        <is>
          <t>Wednesday</t>
        </is>
      </c>
      <c r="AC1328" t="n">
        <v>2</v>
      </c>
      <c r="AD1328" t="inlineStr">
        <is>
          <t>Profitable</t>
        </is>
      </c>
      <c r="AE1328" t="inlineStr">
        <is>
          <t>Medium</t>
        </is>
      </c>
      <c r="AF1328" t="inlineStr">
        <is>
          <t>Small</t>
        </is>
      </c>
    </row>
    <row r="1329">
      <c r="A1329" t="inlineStr">
        <is>
          <t>ORD-01465</t>
        </is>
      </c>
      <c r="B1329" s="2" t="n">
        <v>45892</v>
      </c>
      <c r="C1329" s="2" t="n">
        <v>45893</v>
      </c>
      <c r="D1329" t="inlineStr">
        <is>
          <t>CUST-01465</t>
        </is>
      </c>
      <c r="E1329" t="inlineStr">
        <is>
          <t>Customer 1465</t>
        </is>
      </c>
      <c r="F1329" t="inlineStr">
        <is>
          <t>Home Office</t>
        </is>
      </c>
      <c r="G1329" t="inlineStr">
        <is>
          <t>P1002</t>
        </is>
      </c>
      <c r="H1329" t="inlineStr">
        <is>
          <t>Summit Patio Set</t>
        </is>
      </c>
      <c r="I1329" t="inlineStr">
        <is>
          <t>Furniture</t>
        </is>
      </c>
      <c r="J1329" t="inlineStr">
        <is>
          <t>Lighting</t>
        </is>
      </c>
      <c r="K1329" t="inlineStr">
        <is>
          <t>Central</t>
        </is>
      </c>
      <c r="L1329" t="inlineStr">
        <is>
          <t>Illinois</t>
        </is>
      </c>
      <c r="M1329" t="inlineStr">
        <is>
          <t>Chicago</t>
        </is>
      </c>
      <c r="N1329" t="inlineStr">
        <is>
          <t>Ava Patel</t>
        </is>
      </c>
      <c r="O1329" t="n">
        <v>1</v>
      </c>
      <c r="P1329" s="3" t="n">
        <v>78.79000000000001</v>
      </c>
      <c r="Q1329" s="4" t="n">
        <v>0.04</v>
      </c>
      <c r="R1329" s="3" t="n">
        <v>75.64</v>
      </c>
      <c r="S1329" s="3" t="n">
        <v>43.25</v>
      </c>
      <c r="T1329" s="3" t="n">
        <v>25.59</v>
      </c>
      <c r="U1329" s="4" t="n">
        <v>0.3383</v>
      </c>
      <c r="V1329" s="3" t="n">
        <v>6.8</v>
      </c>
      <c r="W1329" t="inlineStr">
        <is>
          <t>Credit Card</t>
        </is>
      </c>
      <c r="X1329" t="inlineStr">
        <is>
          <t>High</t>
        </is>
      </c>
      <c r="Y1329" t="n">
        <v>2025</v>
      </c>
      <c r="Z1329" t="n">
        <v>8</v>
      </c>
      <c r="AA1329" t="inlineStr">
        <is>
          <t>Aug</t>
        </is>
      </c>
      <c r="AB1329" t="inlineStr">
        <is>
          <t>Saturday</t>
        </is>
      </c>
      <c r="AC1329" t="n">
        <v>1</v>
      </c>
      <c r="AD1329" t="inlineStr">
        <is>
          <t>Profitable</t>
        </is>
      </c>
      <c r="AE1329" t="inlineStr">
        <is>
          <t>Medium</t>
        </is>
      </c>
      <c r="AF1329" t="inlineStr">
        <is>
          <t>Small</t>
        </is>
      </c>
    </row>
    <row r="1330">
      <c r="A1330" t="inlineStr">
        <is>
          <t>ORD-01466</t>
        </is>
      </c>
      <c r="B1330" s="2" t="n">
        <v>45174</v>
      </c>
      <c r="C1330" s="2" t="n">
        <v>45180</v>
      </c>
      <c r="D1330" t="inlineStr">
        <is>
          <t>CUST-01466</t>
        </is>
      </c>
      <c r="E1330" t="inlineStr">
        <is>
          <t>Customer 1466</t>
        </is>
      </c>
      <c r="F1330" t="inlineStr">
        <is>
          <t>Corporate</t>
        </is>
      </c>
      <c r="G1330" t="inlineStr">
        <is>
          <t>P1016</t>
        </is>
      </c>
      <c r="H1330" t="inlineStr">
        <is>
          <t>Cove Wall Clock</t>
        </is>
      </c>
      <c r="I1330" t="inlineStr">
        <is>
          <t>Furniture</t>
        </is>
      </c>
      <c r="J1330" t="inlineStr">
        <is>
          <t>Peripherals</t>
        </is>
      </c>
      <c r="K1330" t="inlineStr">
        <is>
          <t>Central</t>
        </is>
      </c>
      <c r="L1330" t="inlineStr">
        <is>
          <t>Kansas</t>
        </is>
      </c>
      <c r="M1330" t="inlineStr">
        <is>
          <t>Minneapolis</t>
        </is>
      </c>
      <c r="N1330" t="inlineStr">
        <is>
          <t>Olivia Martin</t>
        </is>
      </c>
      <c r="O1330" t="n">
        <v>2</v>
      </c>
      <c r="P1330" s="3" t="n">
        <v>38.47</v>
      </c>
      <c r="Q1330" s="4" t="n">
        <v>0.03</v>
      </c>
      <c r="R1330" s="3" t="n">
        <v>74.63</v>
      </c>
      <c r="S1330" s="3" t="n">
        <v>34.21</v>
      </c>
      <c r="T1330" s="3" t="n">
        <v>32.82</v>
      </c>
      <c r="U1330" s="4" t="n">
        <v>0.4398</v>
      </c>
      <c r="V1330" s="3" t="n">
        <v>7.6</v>
      </c>
      <c r="W1330" t="inlineStr">
        <is>
          <t>Debit Card</t>
        </is>
      </c>
      <c r="X1330" t="inlineStr">
        <is>
          <t>Medium</t>
        </is>
      </c>
      <c r="Y1330" t="n">
        <v>2023</v>
      </c>
      <c r="Z1330" t="n">
        <v>9</v>
      </c>
      <c r="AA1330" t="inlineStr">
        <is>
          <t>Sep</t>
        </is>
      </c>
      <c r="AB1330" t="inlineStr">
        <is>
          <t>Tuesday</t>
        </is>
      </c>
      <c r="AC1330" t="n">
        <v>6</v>
      </c>
      <c r="AD1330" t="inlineStr">
        <is>
          <t>Profitable</t>
        </is>
      </c>
      <c r="AE1330" t="inlineStr">
        <is>
          <t>Medium</t>
        </is>
      </c>
      <c r="AF1330" t="inlineStr">
        <is>
          <t>Small</t>
        </is>
      </c>
    </row>
    <row r="1331">
      <c r="A1331" t="inlineStr">
        <is>
          <t>ORD-01468</t>
        </is>
      </c>
      <c r="B1331" s="2" t="n">
        <v>45592</v>
      </c>
      <c r="C1331" s="2" t="n">
        <v>45594</v>
      </c>
      <c r="D1331" t="inlineStr">
        <is>
          <t>CUST-01468</t>
        </is>
      </c>
      <c r="E1331" t="inlineStr">
        <is>
          <t>Customer 1468</t>
        </is>
      </c>
      <c r="F1331" t="inlineStr">
        <is>
          <t>Home Office</t>
        </is>
      </c>
      <c r="G1331" t="inlineStr">
        <is>
          <t>P1012</t>
        </is>
      </c>
      <c r="H1331" t="inlineStr">
        <is>
          <t>Cove Wall Clock</t>
        </is>
      </c>
      <c r="I1331" t="inlineStr">
        <is>
          <t>Home Decor</t>
        </is>
      </c>
      <c r="J1331" t="inlineStr">
        <is>
          <t>Writing</t>
        </is>
      </c>
      <c r="K1331" t="inlineStr">
        <is>
          <t>South</t>
        </is>
      </c>
      <c r="L1331" t="inlineStr">
        <is>
          <t>Georgia</t>
        </is>
      </c>
      <c r="M1331" t="inlineStr">
        <is>
          <t>Miami</t>
        </is>
      </c>
      <c r="N1331" t="inlineStr">
        <is>
          <t>Ava Patel</t>
        </is>
      </c>
      <c r="O1331" t="n">
        <v>2</v>
      </c>
      <c r="P1331" s="3" t="n">
        <v>133.68</v>
      </c>
      <c r="Q1331" s="4" t="n">
        <v>0.032</v>
      </c>
      <c r="R1331" s="3" t="n">
        <v>258.8</v>
      </c>
      <c r="S1331" s="3" t="n">
        <v>135.98</v>
      </c>
      <c r="T1331" s="3" t="n">
        <v>115.22</v>
      </c>
      <c r="U1331" s="4" t="n">
        <v>0.4452</v>
      </c>
      <c r="V1331" s="3" t="n">
        <v>7.6</v>
      </c>
      <c r="W1331" t="inlineStr">
        <is>
          <t>Debit Card</t>
        </is>
      </c>
      <c r="X1331" t="inlineStr">
        <is>
          <t>High</t>
        </is>
      </c>
      <c r="Y1331" t="n">
        <v>2024</v>
      </c>
      <c r="Z1331" t="n">
        <v>10</v>
      </c>
      <c r="AA1331" t="inlineStr">
        <is>
          <t>Oct</t>
        </is>
      </c>
      <c r="AB1331" t="inlineStr">
        <is>
          <t>Sunday</t>
        </is>
      </c>
      <c r="AC1331" t="n">
        <v>2</v>
      </c>
      <c r="AD1331" t="inlineStr">
        <is>
          <t>Profitable</t>
        </is>
      </c>
      <c r="AE1331" t="inlineStr">
        <is>
          <t>Medium</t>
        </is>
      </c>
      <c r="AF1331" t="inlineStr">
        <is>
          <t>Small</t>
        </is>
      </c>
    </row>
    <row r="1332">
      <c r="A1332" t="inlineStr">
        <is>
          <t>ORD-01470</t>
        </is>
      </c>
      <c r="B1332" s="2" t="n">
        <v>45710</v>
      </c>
      <c r="C1332" s="2" t="n">
        <v>45716</v>
      </c>
      <c r="D1332" t="inlineStr">
        <is>
          <t>CUST-01470</t>
        </is>
      </c>
      <c r="E1332" t="inlineStr">
        <is>
          <t>Customer 1470</t>
        </is>
      </c>
      <c r="F1332" t="inlineStr">
        <is>
          <t>Consumer</t>
        </is>
      </c>
      <c r="G1332" t="inlineStr">
        <is>
          <t>P1015</t>
        </is>
      </c>
      <c r="H1332" t="inlineStr">
        <is>
          <t>ProClip Binder</t>
        </is>
      </c>
      <c r="I1332" t="inlineStr">
        <is>
          <t>Outdoor</t>
        </is>
      </c>
      <c r="J1332" t="inlineStr">
        <is>
          <t>Furniture</t>
        </is>
      </c>
      <c r="K1332" t="inlineStr">
        <is>
          <t>Central</t>
        </is>
      </c>
      <c r="L1332" t="inlineStr">
        <is>
          <t>Missouri</t>
        </is>
      </c>
      <c r="M1332" t="inlineStr">
        <is>
          <t>Chicago</t>
        </is>
      </c>
      <c r="N1332" t="inlineStr">
        <is>
          <t>Liam Chen</t>
        </is>
      </c>
      <c r="O1332" t="n">
        <v>3</v>
      </c>
      <c r="P1332" s="3" t="n">
        <v>64.56</v>
      </c>
      <c r="Q1332" s="4" t="n">
        <v>0.048</v>
      </c>
      <c r="R1332" s="3" t="n">
        <v>184.38</v>
      </c>
      <c r="S1332" s="3" t="n">
        <v>89.01000000000001</v>
      </c>
      <c r="T1332" s="3" t="n">
        <v>86.97</v>
      </c>
      <c r="U1332" s="4" t="n">
        <v>0.4717</v>
      </c>
      <c r="V1332" s="3" t="n">
        <v>8.4</v>
      </c>
      <c r="W1332" t="inlineStr">
        <is>
          <t>Debit Card</t>
        </is>
      </c>
      <c r="X1332" t="inlineStr">
        <is>
          <t>High</t>
        </is>
      </c>
      <c r="Y1332" t="n">
        <v>2025</v>
      </c>
      <c r="Z1332" t="n">
        <v>2</v>
      </c>
      <c r="AA1332" t="inlineStr">
        <is>
          <t>Feb</t>
        </is>
      </c>
      <c r="AB1332" t="inlineStr">
        <is>
          <t>Saturday</t>
        </is>
      </c>
      <c r="AC1332" t="n">
        <v>6</v>
      </c>
      <c r="AD1332" t="inlineStr">
        <is>
          <t>Profitable</t>
        </is>
      </c>
      <c r="AE1332" t="inlineStr">
        <is>
          <t>Medium</t>
        </is>
      </c>
      <c r="AF1332" t="inlineStr">
        <is>
          <t>Small</t>
        </is>
      </c>
    </row>
    <row r="1333">
      <c r="A1333" t="inlineStr">
        <is>
          <t>ORD-01473</t>
        </is>
      </c>
      <c r="B1333" s="2" t="n">
        <v>45782</v>
      </c>
      <c r="C1333" s="2" t="n">
        <v>45786</v>
      </c>
      <c r="D1333" t="inlineStr">
        <is>
          <t>CUST-01473</t>
        </is>
      </c>
      <c r="E1333" t="inlineStr">
        <is>
          <t>Customer 1473</t>
        </is>
      </c>
      <c r="F1333" t="inlineStr">
        <is>
          <t>Consumer</t>
        </is>
      </c>
      <c r="G1333" t="inlineStr">
        <is>
          <t>P1007</t>
        </is>
      </c>
      <c r="H1333" t="inlineStr">
        <is>
          <t>Lumen Desk Lamp</t>
        </is>
      </c>
      <c r="I1333" t="inlineStr">
        <is>
          <t>Office Supplies</t>
        </is>
      </c>
      <c r="J1333" t="inlineStr">
        <is>
          <t>Chairs</t>
        </is>
      </c>
      <c r="K1333" t="inlineStr">
        <is>
          <t>Central</t>
        </is>
      </c>
      <c r="L1333" t="inlineStr">
        <is>
          <t>Missouri</t>
        </is>
      </c>
      <c r="M1333" t="inlineStr">
        <is>
          <t>Minneapolis</t>
        </is>
      </c>
      <c r="N1333" t="inlineStr">
        <is>
          <t>Ethan Brooks</t>
        </is>
      </c>
      <c r="O1333" t="n">
        <v>2</v>
      </c>
      <c r="P1333" s="3" t="n">
        <v>24.25</v>
      </c>
      <c r="Q1333" s="4" t="n">
        <v>0.017</v>
      </c>
      <c r="R1333" s="3" t="n">
        <v>47.68</v>
      </c>
      <c r="S1333" s="3" t="n">
        <v>19.3</v>
      </c>
      <c r="T1333" s="3" t="n">
        <v>20.78</v>
      </c>
      <c r="U1333" s="4" t="n">
        <v>0.4358</v>
      </c>
      <c r="V1333" s="3" t="n">
        <v>7.6</v>
      </c>
      <c r="W1333" t="inlineStr">
        <is>
          <t>Cash on Delivery</t>
        </is>
      </c>
      <c r="X1333" t="inlineStr">
        <is>
          <t>Medium</t>
        </is>
      </c>
      <c r="Y1333" t="n">
        <v>2025</v>
      </c>
      <c r="Z1333" t="n">
        <v>5</v>
      </c>
      <c r="AA1333" t="inlineStr">
        <is>
          <t>May</t>
        </is>
      </c>
      <c r="AB1333" t="inlineStr">
        <is>
          <t>Monday</t>
        </is>
      </c>
      <c r="AC1333" t="n">
        <v>4</v>
      </c>
      <c r="AD1333" t="inlineStr">
        <is>
          <t>Profitable</t>
        </is>
      </c>
      <c r="AE1333" t="inlineStr">
        <is>
          <t>Low</t>
        </is>
      </c>
      <c r="AF1333" t="inlineStr">
        <is>
          <t>Small</t>
        </is>
      </c>
    </row>
    <row r="1334">
      <c r="A1334" t="inlineStr">
        <is>
          <t>ORD-01474</t>
        </is>
      </c>
      <c r="B1334" s="2" t="n">
        <v>45329</v>
      </c>
      <c r="C1334" s="2" t="n">
        <v>45330</v>
      </c>
      <c r="D1334" t="inlineStr">
        <is>
          <t>CUST-01474</t>
        </is>
      </c>
      <c r="E1334" t="inlineStr">
        <is>
          <t>Customer 1474</t>
        </is>
      </c>
      <c r="F1334" t="inlineStr">
        <is>
          <t>Consumer</t>
        </is>
      </c>
      <c r="G1334" t="inlineStr">
        <is>
          <t>P1004</t>
        </is>
      </c>
      <c r="H1334" t="inlineStr">
        <is>
          <t>Orbit Wireless Mouse</t>
        </is>
      </c>
      <c r="I1334" t="inlineStr">
        <is>
          <t>Office Supplies</t>
        </is>
      </c>
      <c r="J1334" t="inlineStr">
        <is>
          <t>Lighting</t>
        </is>
      </c>
      <c r="K1334" t="inlineStr">
        <is>
          <t>North</t>
        </is>
      </c>
      <c r="L1334" t="inlineStr">
        <is>
          <t>Ontario</t>
        </is>
      </c>
      <c r="M1334" t="inlineStr">
        <is>
          <t>Montreal</t>
        </is>
      </c>
      <c r="N1334" t="inlineStr">
        <is>
          <t>Mia Rodriguez</t>
        </is>
      </c>
      <c r="O1334" t="n">
        <v>4</v>
      </c>
      <c r="P1334" s="3" t="n">
        <v>608.02</v>
      </c>
      <c r="Q1334" s="4" t="n">
        <v>0.005</v>
      </c>
      <c r="R1334" s="3" t="n">
        <v>2419.92</v>
      </c>
      <c r="S1334" s="3" t="n">
        <v>1534.59</v>
      </c>
      <c r="T1334" s="3" t="n">
        <v>876.13</v>
      </c>
      <c r="U1334" s="4" t="n">
        <v>0.362</v>
      </c>
      <c r="V1334" s="3" t="n">
        <v>9.199999999999999</v>
      </c>
      <c r="W1334" t="inlineStr">
        <is>
          <t>Credit Card</t>
        </is>
      </c>
      <c r="X1334" t="inlineStr">
        <is>
          <t>Medium</t>
        </is>
      </c>
      <c r="Y1334" t="n">
        <v>2024</v>
      </c>
      <c r="Z1334" t="n">
        <v>2</v>
      </c>
      <c r="AA1334" t="inlineStr">
        <is>
          <t>Feb</t>
        </is>
      </c>
      <c r="AB1334" t="inlineStr">
        <is>
          <t>Wednesday</t>
        </is>
      </c>
      <c r="AC1334" t="n">
        <v>1</v>
      </c>
      <c r="AD1334" t="inlineStr">
        <is>
          <t>Profitable</t>
        </is>
      </c>
      <c r="AE1334" t="inlineStr">
        <is>
          <t>Low</t>
        </is>
      </c>
      <c r="AF1334" t="inlineStr">
        <is>
          <t>Large</t>
        </is>
      </c>
    </row>
    <row r="1335">
      <c r="A1335" t="inlineStr">
        <is>
          <t>ORD-01475</t>
        </is>
      </c>
      <c r="B1335" s="2" t="n">
        <v>45449</v>
      </c>
      <c r="C1335" s="2" t="n">
        <v>45455</v>
      </c>
      <c r="D1335" t="inlineStr">
        <is>
          <t>CUST-01475</t>
        </is>
      </c>
      <c r="E1335" t="inlineStr">
        <is>
          <t>Customer 1475</t>
        </is>
      </c>
      <c r="F1335" t="inlineStr">
        <is>
          <t>Consumer</t>
        </is>
      </c>
      <c r="G1335" t="inlineStr">
        <is>
          <t>P1009</t>
        </is>
      </c>
      <c r="H1335" t="inlineStr">
        <is>
          <t>Harbor Rug</t>
        </is>
      </c>
      <c r="I1335" t="inlineStr">
        <is>
          <t>Home Decor</t>
        </is>
      </c>
      <c r="J1335" t="inlineStr">
        <is>
          <t>Decor</t>
        </is>
      </c>
      <c r="K1335" t="inlineStr">
        <is>
          <t>South</t>
        </is>
      </c>
      <c r="L1335" t="inlineStr">
        <is>
          <t>North Carolina</t>
        </is>
      </c>
      <c r="M1335" t="inlineStr">
        <is>
          <t>Atlanta</t>
        </is>
      </c>
      <c r="N1335" t="inlineStr">
        <is>
          <t>James Carter</t>
        </is>
      </c>
      <c r="O1335" t="n">
        <v>2</v>
      </c>
      <c r="P1335" s="3" t="n">
        <v>92.25</v>
      </c>
      <c r="Q1335" s="4" t="n">
        <v>0.004</v>
      </c>
      <c r="R1335" s="3" t="n">
        <v>183.76</v>
      </c>
      <c r="S1335" s="3" t="n">
        <v>97.75</v>
      </c>
      <c r="T1335" s="3" t="n">
        <v>78.41</v>
      </c>
      <c r="U1335" s="4" t="n">
        <v>0.4267</v>
      </c>
      <c r="V1335" s="3" t="n">
        <v>7.6</v>
      </c>
      <c r="W1335" t="inlineStr">
        <is>
          <t>Credit Card</t>
        </is>
      </c>
      <c r="X1335" t="inlineStr">
        <is>
          <t>Low</t>
        </is>
      </c>
      <c r="Y1335" t="n">
        <v>2024</v>
      </c>
      <c r="Z1335" t="n">
        <v>6</v>
      </c>
      <c r="AA1335" t="inlineStr">
        <is>
          <t>Jun</t>
        </is>
      </c>
      <c r="AB1335" t="inlineStr">
        <is>
          <t>Thursday</t>
        </is>
      </c>
      <c r="AC1335" t="n">
        <v>6</v>
      </c>
      <c r="AD1335" t="inlineStr">
        <is>
          <t>Profitable</t>
        </is>
      </c>
      <c r="AE1335" t="inlineStr">
        <is>
          <t>Low</t>
        </is>
      </c>
      <c r="AF1335" t="inlineStr">
        <is>
          <t>Small</t>
        </is>
      </c>
    </row>
    <row r="1336">
      <c r="A1336" t="inlineStr">
        <is>
          <t>ORD-01477</t>
        </is>
      </c>
      <c r="B1336" s="2" t="n">
        <v>45781</v>
      </c>
      <c r="C1336" s="2" t="n">
        <v>45788</v>
      </c>
      <c r="D1336" t="inlineStr">
        <is>
          <t>CUST-01477</t>
        </is>
      </c>
      <c r="E1336" t="inlineStr">
        <is>
          <t>Customer 1477</t>
        </is>
      </c>
      <c r="F1336" t="inlineStr">
        <is>
          <t>Consumer</t>
        </is>
      </c>
      <c r="G1336" t="inlineStr">
        <is>
          <t>P1007</t>
        </is>
      </c>
      <c r="H1336" t="inlineStr">
        <is>
          <t>Cove Wall Clock</t>
        </is>
      </c>
      <c r="I1336" t="inlineStr">
        <is>
          <t>Technology</t>
        </is>
      </c>
      <c r="J1336" t="inlineStr">
        <is>
          <t>Plants</t>
        </is>
      </c>
      <c r="K1336" t="inlineStr">
        <is>
          <t>South</t>
        </is>
      </c>
      <c r="L1336" t="inlineStr">
        <is>
          <t>Georgia</t>
        </is>
      </c>
      <c r="M1336" t="inlineStr">
        <is>
          <t>Dallas</t>
        </is>
      </c>
      <c r="N1336" t="inlineStr">
        <is>
          <t>Sophia Singh</t>
        </is>
      </c>
      <c r="O1336" t="n">
        <v>5</v>
      </c>
      <c r="P1336" s="3" t="n">
        <v>22.68</v>
      </c>
      <c r="Q1336" s="4" t="n">
        <v>0.001</v>
      </c>
      <c r="R1336" s="3" t="n">
        <v>113.29</v>
      </c>
      <c r="S1336" s="3" t="n">
        <v>41.48</v>
      </c>
      <c r="T1336" s="3" t="n">
        <v>61.81</v>
      </c>
      <c r="U1336" s="4" t="n">
        <v>0.5456</v>
      </c>
      <c r="V1336" s="3" t="n">
        <v>10</v>
      </c>
      <c r="W1336" t="inlineStr">
        <is>
          <t>Bank Transfer</t>
        </is>
      </c>
      <c r="X1336" t="inlineStr">
        <is>
          <t>Low</t>
        </is>
      </c>
      <c r="Y1336" t="n">
        <v>2025</v>
      </c>
      <c r="Z1336" t="n">
        <v>5</v>
      </c>
      <c r="AA1336" t="inlineStr">
        <is>
          <t>May</t>
        </is>
      </c>
      <c r="AB1336" t="inlineStr">
        <is>
          <t>Sunday</t>
        </is>
      </c>
      <c r="AC1336" t="n">
        <v>7</v>
      </c>
      <c r="AD1336" t="inlineStr">
        <is>
          <t>Profitable</t>
        </is>
      </c>
      <c r="AE1336" t="inlineStr">
        <is>
          <t>Low</t>
        </is>
      </c>
      <c r="AF1336" t="inlineStr">
        <is>
          <t>Small</t>
        </is>
      </c>
    </row>
    <row r="1337">
      <c r="A1337" t="inlineStr">
        <is>
          <t>ORD-01478</t>
        </is>
      </c>
      <c r="B1337" s="2" t="n">
        <v>45943</v>
      </c>
      <c r="C1337" s="2" t="n">
        <v>45946</v>
      </c>
      <c r="D1337" t="inlineStr">
        <is>
          <t>CUST-01478</t>
        </is>
      </c>
      <c r="E1337" t="inlineStr">
        <is>
          <t>Customer 1478</t>
        </is>
      </c>
      <c r="F1337" t="inlineStr">
        <is>
          <t>Consumer</t>
        </is>
      </c>
      <c r="G1337" t="inlineStr">
        <is>
          <t>P1011</t>
        </is>
      </c>
      <c r="H1337" t="inlineStr">
        <is>
          <t>Summit Patio Set</t>
        </is>
      </c>
      <c r="I1337" t="inlineStr">
        <is>
          <t>Furniture</t>
        </is>
      </c>
      <c r="J1337" t="inlineStr">
        <is>
          <t>Desks</t>
        </is>
      </c>
      <c r="K1337" t="inlineStr">
        <is>
          <t>South</t>
        </is>
      </c>
      <c r="L1337" t="inlineStr">
        <is>
          <t>Texas</t>
        </is>
      </c>
      <c r="M1337" t="inlineStr">
        <is>
          <t>Atlanta</t>
        </is>
      </c>
      <c r="N1337" t="inlineStr">
        <is>
          <t>Ethan Brooks</t>
        </is>
      </c>
      <c r="O1337" t="n">
        <v>1</v>
      </c>
      <c r="P1337" s="3" t="n">
        <v>89.25</v>
      </c>
      <c r="Q1337" s="4" t="n">
        <v>0.059</v>
      </c>
      <c r="R1337" s="3" t="n">
        <v>83.98</v>
      </c>
      <c r="S1337" s="3" t="n">
        <v>48.96</v>
      </c>
      <c r="T1337" s="3" t="n">
        <v>28.22</v>
      </c>
      <c r="U1337" s="4" t="n">
        <v>0.336</v>
      </c>
      <c r="V1337" s="3" t="n">
        <v>6.8</v>
      </c>
      <c r="W1337" t="inlineStr">
        <is>
          <t>Credit Card</t>
        </is>
      </c>
      <c r="X1337" t="inlineStr">
        <is>
          <t>High</t>
        </is>
      </c>
      <c r="Y1337" t="n">
        <v>2025</v>
      </c>
      <c r="Z1337" t="n">
        <v>10</v>
      </c>
      <c r="AA1337" t="inlineStr">
        <is>
          <t>Oct</t>
        </is>
      </c>
      <c r="AB1337" t="inlineStr">
        <is>
          <t>Monday</t>
        </is>
      </c>
      <c r="AC1337" t="n">
        <v>3</v>
      </c>
      <c r="AD1337" t="inlineStr">
        <is>
          <t>Profitable</t>
        </is>
      </c>
      <c r="AE1337" t="inlineStr">
        <is>
          <t>High</t>
        </is>
      </c>
      <c r="AF1337" t="inlineStr">
        <is>
          <t>Small</t>
        </is>
      </c>
    </row>
    <row r="1338">
      <c r="A1338" t="inlineStr">
        <is>
          <t>ORD-01479</t>
        </is>
      </c>
      <c r="B1338" s="2" t="n">
        <v>45904</v>
      </c>
      <c r="C1338" s="2" t="n">
        <v>45907</v>
      </c>
      <c r="D1338" t="inlineStr">
        <is>
          <t>CUST-01479</t>
        </is>
      </c>
      <c r="E1338" t="inlineStr">
        <is>
          <t>Customer 1479</t>
        </is>
      </c>
      <c r="F1338" t="inlineStr">
        <is>
          <t>Corporate</t>
        </is>
      </c>
      <c r="G1338" t="inlineStr">
        <is>
          <t>P1019</t>
        </is>
      </c>
      <c r="H1338" t="inlineStr">
        <is>
          <t>Nova Laptop Stand</t>
        </is>
      </c>
      <c r="I1338" t="inlineStr">
        <is>
          <t>Furniture</t>
        </is>
      </c>
      <c r="J1338" t="inlineStr">
        <is>
          <t>Accessories</t>
        </is>
      </c>
      <c r="K1338" t="inlineStr">
        <is>
          <t>North</t>
        </is>
      </c>
      <c r="L1338" t="inlineStr">
        <is>
          <t>Quebec</t>
        </is>
      </c>
      <c r="M1338" t="inlineStr">
        <is>
          <t>Montreal</t>
        </is>
      </c>
      <c r="N1338" t="inlineStr">
        <is>
          <t>Mia Rodriguez</t>
        </is>
      </c>
      <c r="O1338" t="n">
        <v>1</v>
      </c>
      <c r="P1338" s="3" t="n">
        <v>56.84</v>
      </c>
      <c r="Q1338" s="4" t="n">
        <v>0.022</v>
      </c>
      <c r="R1338" s="3" t="n">
        <v>55.59</v>
      </c>
      <c r="S1338" s="3" t="n">
        <v>29.79</v>
      </c>
      <c r="T1338" s="3" t="n">
        <v>19</v>
      </c>
      <c r="U1338" s="4" t="n">
        <v>0.3418</v>
      </c>
      <c r="V1338" s="3" t="n">
        <v>6.8</v>
      </c>
      <c r="W1338" t="inlineStr">
        <is>
          <t>Credit Card</t>
        </is>
      </c>
      <c r="X1338" t="inlineStr">
        <is>
          <t>Medium</t>
        </is>
      </c>
      <c r="Y1338" t="n">
        <v>2025</v>
      </c>
      <c r="Z1338" t="n">
        <v>9</v>
      </c>
      <c r="AA1338" t="inlineStr">
        <is>
          <t>Sep</t>
        </is>
      </c>
      <c r="AB1338" t="inlineStr">
        <is>
          <t>Thursday</t>
        </is>
      </c>
      <c r="AC1338" t="n">
        <v>3</v>
      </c>
      <c r="AD1338" t="inlineStr">
        <is>
          <t>Profitable</t>
        </is>
      </c>
      <c r="AE1338" t="inlineStr">
        <is>
          <t>Medium</t>
        </is>
      </c>
      <c r="AF1338" t="inlineStr">
        <is>
          <t>Small</t>
        </is>
      </c>
    </row>
    <row r="1339">
      <c r="A1339" t="inlineStr">
        <is>
          <t>ORD-01480</t>
        </is>
      </c>
      <c r="B1339" s="2" t="n">
        <v>45422</v>
      </c>
      <c r="C1339" s="2" t="n">
        <v>45427</v>
      </c>
      <c r="D1339" t="inlineStr">
        <is>
          <t>CUST-01480</t>
        </is>
      </c>
      <c r="E1339" t="inlineStr">
        <is>
          <t>Customer 1480</t>
        </is>
      </c>
      <c r="F1339" t="inlineStr">
        <is>
          <t>Corporate</t>
        </is>
      </c>
      <c r="G1339" t="inlineStr">
        <is>
          <t>P1011</t>
        </is>
      </c>
      <c r="H1339" t="inlineStr">
        <is>
          <t>CloudDrive File Box</t>
        </is>
      </c>
      <c r="I1339" t="inlineStr">
        <is>
          <t>Technology</t>
        </is>
      </c>
      <c r="J1339" t="inlineStr">
        <is>
          <t>Plants</t>
        </is>
      </c>
      <c r="K1339" t="inlineStr">
        <is>
          <t>Central</t>
        </is>
      </c>
      <c r="L1339" t="inlineStr">
        <is>
          <t>Minnesota</t>
        </is>
      </c>
      <c r="M1339" t="inlineStr">
        <is>
          <t>St. Louis</t>
        </is>
      </c>
      <c r="N1339" t="inlineStr">
        <is>
          <t>Ava Patel</t>
        </is>
      </c>
      <c r="O1339" t="n">
        <v>4</v>
      </c>
      <c r="P1339" s="3" t="n">
        <v>90.05</v>
      </c>
      <c r="Q1339" s="4" t="n">
        <v>0.07099999999999999</v>
      </c>
      <c r="R1339" s="3" t="n">
        <v>334.63</v>
      </c>
      <c r="S1339" s="3" t="n">
        <v>160.26</v>
      </c>
      <c r="T1339" s="3" t="n">
        <v>165.17</v>
      </c>
      <c r="U1339" s="4" t="n">
        <v>0.4936</v>
      </c>
      <c r="V1339" s="3" t="n">
        <v>9.199999999999999</v>
      </c>
      <c r="W1339" t="inlineStr">
        <is>
          <t>Debit Card</t>
        </is>
      </c>
      <c r="X1339" t="inlineStr">
        <is>
          <t>Critical</t>
        </is>
      </c>
      <c r="Y1339" t="n">
        <v>2024</v>
      </c>
      <c r="Z1339" t="n">
        <v>5</v>
      </c>
      <c r="AA1339" t="inlineStr">
        <is>
          <t>May</t>
        </is>
      </c>
      <c r="AB1339" t="inlineStr">
        <is>
          <t>Friday</t>
        </is>
      </c>
      <c r="AC1339" t="n">
        <v>5</v>
      </c>
      <c r="AD1339" t="inlineStr">
        <is>
          <t>Profitable</t>
        </is>
      </c>
      <c r="AE1339" t="inlineStr">
        <is>
          <t>High</t>
        </is>
      </c>
      <c r="AF1339" t="inlineStr">
        <is>
          <t>Small</t>
        </is>
      </c>
    </row>
    <row r="1340">
      <c r="A1340" t="inlineStr">
        <is>
          <t>ORD-01483</t>
        </is>
      </c>
      <c r="B1340" s="2" t="n">
        <v>45556</v>
      </c>
      <c r="C1340" s="2" t="n">
        <v>45562</v>
      </c>
      <c r="D1340" t="inlineStr">
        <is>
          <t>CUST-01483</t>
        </is>
      </c>
      <c r="E1340" t="inlineStr">
        <is>
          <t>Customer 1483</t>
        </is>
      </c>
      <c r="F1340" t="inlineStr">
        <is>
          <t>Corporate</t>
        </is>
      </c>
      <c r="G1340" t="inlineStr">
        <is>
          <t>P1013</t>
        </is>
      </c>
      <c r="H1340" t="inlineStr">
        <is>
          <t>Atlas Throw Pillow</t>
        </is>
      </c>
      <c r="I1340" t="inlineStr">
        <is>
          <t>Furniture</t>
        </is>
      </c>
      <c r="J1340" t="inlineStr">
        <is>
          <t>Peripherals</t>
        </is>
      </c>
      <c r="K1340" t="inlineStr">
        <is>
          <t>Central</t>
        </is>
      </c>
      <c r="L1340" t="inlineStr">
        <is>
          <t>Minnesota</t>
        </is>
      </c>
      <c r="M1340" t="inlineStr">
        <is>
          <t>Minneapolis</t>
        </is>
      </c>
      <c r="N1340" t="inlineStr">
        <is>
          <t>Ava Patel</t>
        </is>
      </c>
      <c r="O1340" t="n">
        <v>3</v>
      </c>
      <c r="P1340" s="3" t="n">
        <v>166.88</v>
      </c>
      <c r="Q1340" s="4" t="n">
        <v>0.037</v>
      </c>
      <c r="R1340" s="3" t="n">
        <v>482.12</v>
      </c>
      <c r="S1340" s="3" t="n">
        <v>277.68</v>
      </c>
      <c r="T1340" s="3" t="n">
        <v>196.04</v>
      </c>
      <c r="U1340" s="4" t="n">
        <v>0.4066</v>
      </c>
      <c r="V1340" s="3" t="n">
        <v>8.4</v>
      </c>
      <c r="W1340" t="inlineStr">
        <is>
          <t>Credit Card</t>
        </is>
      </c>
      <c r="X1340" t="inlineStr">
        <is>
          <t>Medium</t>
        </is>
      </c>
      <c r="Y1340" t="n">
        <v>2024</v>
      </c>
      <c r="Z1340" t="n">
        <v>9</v>
      </c>
      <c r="AA1340" t="inlineStr">
        <is>
          <t>Sep</t>
        </is>
      </c>
      <c r="AB1340" t="inlineStr">
        <is>
          <t>Saturday</t>
        </is>
      </c>
      <c r="AC1340" t="n">
        <v>6</v>
      </c>
      <c r="AD1340" t="inlineStr">
        <is>
          <t>Profitable</t>
        </is>
      </c>
      <c r="AE1340" t="inlineStr">
        <is>
          <t>Medium</t>
        </is>
      </c>
      <c r="AF1340" t="inlineStr">
        <is>
          <t>Small</t>
        </is>
      </c>
    </row>
    <row r="1341">
      <c r="A1341" t="inlineStr">
        <is>
          <t>ORD-01484</t>
        </is>
      </c>
      <c r="B1341" s="2" t="n">
        <v>45146</v>
      </c>
      <c r="C1341" s="2" t="n">
        <v>45152</v>
      </c>
      <c r="D1341" t="inlineStr">
        <is>
          <t>CUST-01484</t>
        </is>
      </c>
      <c r="E1341" t="inlineStr">
        <is>
          <t>Customer 1484</t>
        </is>
      </c>
      <c r="F1341" t="inlineStr">
        <is>
          <t>Corporate</t>
        </is>
      </c>
      <c r="G1341" t="inlineStr">
        <is>
          <t>P1002</t>
        </is>
      </c>
      <c r="H1341" t="inlineStr">
        <is>
          <t>Northstar Lantern</t>
        </is>
      </c>
      <c r="I1341" t="inlineStr">
        <is>
          <t>Technology</t>
        </is>
      </c>
      <c r="J1341" t="inlineStr">
        <is>
          <t>Flooring</t>
        </is>
      </c>
      <c r="K1341" t="inlineStr">
        <is>
          <t>North</t>
        </is>
      </c>
      <c r="L1341" t="inlineStr">
        <is>
          <t>Ontario</t>
        </is>
      </c>
      <c r="M1341" t="inlineStr">
        <is>
          <t>Vancouver</t>
        </is>
      </c>
      <c r="N1341" t="inlineStr">
        <is>
          <t>Ava Patel</t>
        </is>
      </c>
      <c r="O1341" t="n">
        <v>1</v>
      </c>
      <c r="P1341" s="3" t="n">
        <v>84.92</v>
      </c>
      <c r="Q1341" s="4" t="n">
        <v>0.02</v>
      </c>
      <c r="R1341" s="3" t="n">
        <v>83.22</v>
      </c>
      <c r="S1341" s="3" t="n">
        <v>40.89</v>
      </c>
      <c r="T1341" s="3" t="n">
        <v>35.53</v>
      </c>
      <c r="U1341" s="4" t="n">
        <v>0.4269</v>
      </c>
      <c r="V1341" s="3" t="n">
        <v>6.8</v>
      </c>
      <c r="W1341" t="inlineStr">
        <is>
          <t>Debit Card</t>
        </is>
      </c>
      <c r="X1341" t="inlineStr">
        <is>
          <t>Medium</t>
        </is>
      </c>
      <c r="Y1341" t="n">
        <v>2023</v>
      </c>
      <c r="Z1341" t="n">
        <v>8</v>
      </c>
      <c r="AA1341" t="inlineStr">
        <is>
          <t>Aug</t>
        </is>
      </c>
      <c r="AB1341" t="inlineStr">
        <is>
          <t>Tuesday</t>
        </is>
      </c>
      <c r="AC1341" t="n">
        <v>6</v>
      </c>
      <c r="AD1341" t="inlineStr">
        <is>
          <t>Profitable</t>
        </is>
      </c>
      <c r="AE1341" t="inlineStr">
        <is>
          <t>Medium</t>
        </is>
      </c>
      <c r="AF1341" t="inlineStr">
        <is>
          <t>Small</t>
        </is>
      </c>
    </row>
    <row r="1342">
      <c r="A1342" t="inlineStr">
        <is>
          <t>ORD-01486</t>
        </is>
      </c>
      <c r="B1342" s="2" t="n">
        <v>45570</v>
      </c>
      <c r="C1342" s="2" t="n">
        <v>45575</v>
      </c>
      <c r="D1342" t="inlineStr">
        <is>
          <t>CUST-01486</t>
        </is>
      </c>
      <c r="E1342" t="inlineStr">
        <is>
          <t>Customer 1486</t>
        </is>
      </c>
      <c r="F1342" t="inlineStr">
        <is>
          <t>Consumer</t>
        </is>
      </c>
      <c r="G1342" t="inlineStr">
        <is>
          <t>P1019</t>
        </is>
      </c>
      <c r="H1342" t="inlineStr">
        <is>
          <t>ErgoMesh Chair</t>
        </is>
      </c>
      <c r="I1342" t="inlineStr">
        <is>
          <t>Home Decor</t>
        </is>
      </c>
      <c r="J1342" t="inlineStr">
        <is>
          <t>Writing</t>
        </is>
      </c>
      <c r="K1342" t="inlineStr">
        <is>
          <t>South</t>
        </is>
      </c>
      <c r="L1342" t="inlineStr">
        <is>
          <t>Georgia</t>
        </is>
      </c>
      <c r="M1342" t="inlineStr">
        <is>
          <t>Dallas</t>
        </is>
      </c>
      <c r="N1342" t="inlineStr">
        <is>
          <t>Liam Chen</t>
        </is>
      </c>
      <c r="O1342" t="n">
        <v>4</v>
      </c>
      <c r="P1342" s="3" t="n">
        <v>58.38</v>
      </c>
      <c r="Q1342" s="4" t="n">
        <v>0.013</v>
      </c>
      <c r="R1342" s="3" t="n">
        <v>230.48</v>
      </c>
      <c r="S1342" s="3" t="n">
        <v>96.81999999999999</v>
      </c>
      <c r="T1342" s="3" t="n">
        <v>124.46</v>
      </c>
      <c r="U1342" s="4" t="n">
        <v>0.54</v>
      </c>
      <c r="V1342" s="3" t="n">
        <v>9.199999999999999</v>
      </c>
      <c r="W1342" t="inlineStr">
        <is>
          <t>Cash on Delivery</t>
        </is>
      </c>
      <c r="X1342" t="inlineStr">
        <is>
          <t>Medium</t>
        </is>
      </c>
      <c r="Y1342" t="n">
        <v>2024</v>
      </c>
      <c r="Z1342" t="n">
        <v>10</v>
      </c>
      <c r="AA1342" t="inlineStr">
        <is>
          <t>Oct</t>
        </is>
      </c>
      <c r="AB1342" t="inlineStr">
        <is>
          <t>Saturday</t>
        </is>
      </c>
      <c r="AC1342" t="n">
        <v>5</v>
      </c>
      <c r="AD1342" t="inlineStr">
        <is>
          <t>Profitable</t>
        </is>
      </c>
      <c r="AE1342" t="inlineStr">
        <is>
          <t>Low</t>
        </is>
      </c>
      <c r="AF1342" t="inlineStr">
        <is>
          <t>Small</t>
        </is>
      </c>
    </row>
    <row r="1343">
      <c r="A1343" t="inlineStr">
        <is>
          <t>ORD-01489</t>
        </is>
      </c>
      <c r="B1343" s="2" t="n">
        <v>45623</v>
      </c>
      <c r="C1343" s="2" t="n">
        <v>45626</v>
      </c>
      <c r="D1343" t="inlineStr">
        <is>
          <t>CUST-01489</t>
        </is>
      </c>
      <c r="E1343" t="inlineStr">
        <is>
          <t>Customer 1489</t>
        </is>
      </c>
      <c r="F1343" t="inlineStr">
        <is>
          <t>Home Office</t>
        </is>
      </c>
      <c r="G1343" t="inlineStr">
        <is>
          <t>P1010</t>
        </is>
      </c>
      <c r="H1343" t="inlineStr">
        <is>
          <t>ProClip Binder</t>
        </is>
      </c>
      <c r="I1343" t="inlineStr">
        <is>
          <t>Technology</t>
        </is>
      </c>
      <c r="J1343" t="inlineStr">
        <is>
          <t>Peripherals</t>
        </is>
      </c>
      <c r="K1343" t="inlineStr">
        <is>
          <t>Central</t>
        </is>
      </c>
      <c r="L1343" t="inlineStr">
        <is>
          <t>Minnesota</t>
        </is>
      </c>
      <c r="M1343" t="inlineStr">
        <is>
          <t>Minneapolis</t>
        </is>
      </c>
      <c r="N1343" t="inlineStr">
        <is>
          <t>James Carter</t>
        </is>
      </c>
      <c r="O1343" t="n">
        <v>1</v>
      </c>
      <c r="P1343" s="3" t="n">
        <v>55.87</v>
      </c>
      <c r="Q1343" s="4" t="n">
        <v>0.006</v>
      </c>
      <c r="R1343" s="3" t="n">
        <v>55.53</v>
      </c>
      <c r="S1343" s="3" t="n">
        <v>33.78</v>
      </c>
      <c r="T1343" s="3" t="n">
        <v>14.95</v>
      </c>
      <c r="U1343" s="4" t="n">
        <v>0.2692</v>
      </c>
      <c r="V1343" s="3" t="n">
        <v>6.8</v>
      </c>
      <c r="W1343" t="inlineStr">
        <is>
          <t>Debit Card</t>
        </is>
      </c>
      <c r="X1343" t="inlineStr">
        <is>
          <t>Medium</t>
        </is>
      </c>
      <c r="Y1343" t="n">
        <v>2024</v>
      </c>
      <c r="Z1343" t="n">
        <v>11</v>
      </c>
      <c r="AA1343" t="inlineStr">
        <is>
          <t>Nov</t>
        </is>
      </c>
      <c r="AB1343" t="inlineStr">
        <is>
          <t>Wednesday</t>
        </is>
      </c>
      <c r="AC1343" t="n">
        <v>3</v>
      </c>
      <c r="AD1343" t="inlineStr">
        <is>
          <t>Profitable</t>
        </is>
      </c>
      <c r="AE1343" t="inlineStr">
        <is>
          <t>Low</t>
        </is>
      </c>
      <c r="AF1343" t="inlineStr">
        <is>
          <t>Small</t>
        </is>
      </c>
    </row>
    <row r="1344">
      <c r="A1344" t="inlineStr">
        <is>
          <t>ORD-01493</t>
        </is>
      </c>
      <c r="B1344" s="2" t="n">
        <v>45061</v>
      </c>
      <c r="C1344" s="2" t="n">
        <v>45065</v>
      </c>
      <c r="D1344" t="inlineStr">
        <is>
          <t>CUST-01493</t>
        </is>
      </c>
      <c r="E1344" t="inlineStr">
        <is>
          <t>Customer 1493</t>
        </is>
      </c>
      <c r="F1344" t="inlineStr">
        <is>
          <t>Consumer</t>
        </is>
      </c>
      <c r="G1344" t="inlineStr">
        <is>
          <t>P1011</t>
        </is>
      </c>
      <c r="H1344" t="inlineStr">
        <is>
          <t>ErgoMesh Chair</t>
        </is>
      </c>
      <c r="I1344" t="inlineStr">
        <is>
          <t>Technology</t>
        </is>
      </c>
      <c r="J1344" t="inlineStr">
        <is>
          <t>Chairs</t>
        </is>
      </c>
      <c r="K1344" t="inlineStr">
        <is>
          <t>North</t>
        </is>
      </c>
      <c r="L1344" t="inlineStr">
        <is>
          <t>British Columbia</t>
        </is>
      </c>
      <c r="M1344" t="inlineStr">
        <is>
          <t>Toronto</t>
        </is>
      </c>
      <c r="N1344" t="inlineStr">
        <is>
          <t>Noah Kim</t>
        </is>
      </c>
      <c r="O1344" t="n">
        <v>4</v>
      </c>
      <c r="P1344" s="3" t="n">
        <v>85.29000000000001</v>
      </c>
      <c r="Q1344" s="4" t="n">
        <v>0.006</v>
      </c>
      <c r="R1344" s="3" t="n">
        <v>339.11</v>
      </c>
      <c r="S1344" s="3" t="n">
        <v>167.92</v>
      </c>
      <c r="T1344" s="3" t="n">
        <v>161.99</v>
      </c>
      <c r="U1344" s="4" t="n">
        <v>0.4777</v>
      </c>
      <c r="V1344" s="3" t="n">
        <v>9.199999999999999</v>
      </c>
      <c r="W1344" t="inlineStr">
        <is>
          <t>Bank Transfer</t>
        </is>
      </c>
      <c r="X1344" t="inlineStr">
        <is>
          <t>Medium</t>
        </is>
      </c>
      <c r="Y1344" t="n">
        <v>2023</v>
      </c>
      <c r="Z1344" t="n">
        <v>5</v>
      </c>
      <c r="AA1344" t="inlineStr">
        <is>
          <t>May</t>
        </is>
      </c>
      <c r="AB1344" t="inlineStr">
        <is>
          <t>Monday</t>
        </is>
      </c>
      <c r="AC1344" t="n">
        <v>4</v>
      </c>
      <c r="AD1344" t="inlineStr">
        <is>
          <t>Profitable</t>
        </is>
      </c>
      <c r="AE1344" t="inlineStr">
        <is>
          <t>Low</t>
        </is>
      </c>
      <c r="AF1344" t="inlineStr">
        <is>
          <t>Small</t>
        </is>
      </c>
    </row>
    <row r="1345">
      <c r="A1345" t="inlineStr">
        <is>
          <t>ORD-01494</t>
        </is>
      </c>
      <c r="B1345" s="2" t="n">
        <v>45134</v>
      </c>
      <c r="C1345" s="2" t="n">
        <v>45135</v>
      </c>
      <c r="D1345" t="inlineStr">
        <is>
          <t>CUST-01494</t>
        </is>
      </c>
      <c r="E1345" t="inlineStr">
        <is>
          <t>Customer 1494</t>
        </is>
      </c>
      <c r="F1345" t="inlineStr">
        <is>
          <t>Consumer</t>
        </is>
      </c>
      <c r="G1345" t="inlineStr">
        <is>
          <t>P1006</t>
        </is>
      </c>
      <c r="H1345" t="inlineStr">
        <is>
          <t>Pulse Keyboard</t>
        </is>
      </c>
      <c r="I1345" t="inlineStr">
        <is>
          <t>Technology</t>
        </is>
      </c>
      <c r="J1345" t="inlineStr">
        <is>
          <t>Binders</t>
        </is>
      </c>
      <c r="K1345" t="inlineStr">
        <is>
          <t>South</t>
        </is>
      </c>
      <c r="L1345" t="inlineStr">
        <is>
          <t>North Carolina</t>
        </is>
      </c>
      <c r="M1345" t="inlineStr">
        <is>
          <t>Dallas</t>
        </is>
      </c>
      <c r="N1345" t="inlineStr">
        <is>
          <t>Ethan Brooks</t>
        </is>
      </c>
      <c r="O1345" t="n">
        <v>1</v>
      </c>
      <c r="P1345" s="3" t="n">
        <v>17.51</v>
      </c>
      <c r="Q1345" s="4" t="n">
        <v>0.036</v>
      </c>
      <c r="R1345" s="3" t="n">
        <v>16.88</v>
      </c>
      <c r="S1345" s="3" t="n">
        <v>11.83</v>
      </c>
      <c r="T1345" s="3" t="n">
        <v>-1.75</v>
      </c>
      <c r="U1345" s="4" t="n">
        <v>-0.1037</v>
      </c>
      <c r="V1345" s="3" t="n">
        <v>6.8</v>
      </c>
      <c r="W1345" t="inlineStr">
        <is>
          <t>Debit Card</t>
        </is>
      </c>
      <c r="X1345" t="inlineStr">
        <is>
          <t>Critical</t>
        </is>
      </c>
      <c r="Y1345" t="n">
        <v>2023</v>
      </c>
      <c r="Z1345" t="n">
        <v>7</v>
      </c>
      <c r="AA1345" t="inlineStr">
        <is>
          <t>Jul</t>
        </is>
      </c>
      <c r="AB1345" t="inlineStr">
        <is>
          <t>Thursday</t>
        </is>
      </c>
      <c r="AC1345" t="n">
        <v>1</v>
      </c>
      <c r="AD1345" t="inlineStr">
        <is>
          <t>Unprofitable</t>
        </is>
      </c>
      <c r="AE1345" t="inlineStr">
        <is>
          <t>Medium</t>
        </is>
      </c>
      <c r="AF1345" t="inlineStr">
        <is>
          <t>Small</t>
        </is>
      </c>
    </row>
    <row r="1346">
      <c r="A1346" t="inlineStr">
        <is>
          <t>ORD-01497</t>
        </is>
      </c>
      <c r="B1346" s="2" t="n">
        <v>45365</v>
      </c>
      <c r="C1346" s="2" t="n">
        <v>45369</v>
      </c>
      <c r="D1346" t="inlineStr">
        <is>
          <t>CUST-01497</t>
        </is>
      </c>
      <c r="E1346" t="inlineStr">
        <is>
          <t>Customer 1497</t>
        </is>
      </c>
      <c r="F1346" t="inlineStr">
        <is>
          <t>Consumer</t>
        </is>
      </c>
      <c r="G1346" t="inlineStr">
        <is>
          <t>P1015</t>
        </is>
      </c>
      <c r="H1346" t="inlineStr">
        <is>
          <t>Atlas Throw Pillow</t>
        </is>
      </c>
      <c r="I1346" t="inlineStr">
        <is>
          <t>Technology</t>
        </is>
      </c>
      <c r="J1346" t="inlineStr">
        <is>
          <t>Flooring</t>
        </is>
      </c>
      <c r="K1346" t="inlineStr">
        <is>
          <t>South</t>
        </is>
      </c>
      <c r="L1346" t="inlineStr">
        <is>
          <t>Texas</t>
        </is>
      </c>
      <c r="M1346" t="inlineStr">
        <is>
          <t>Miami</t>
        </is>
      </c>
      <c r="N1346" t="inlineStr">
        <is>
          <t>Noah Kim</t>
        </is>
      </c>
      <c r="O1346" t="n">
        <v>5</v>
      </c>
      <c r="P1346" s="3" t="n">
        <v>63.25</v>
      </c>
      <c r="Q1346" s="4" t="n">
        <v>0.024</v>
      </c>
      <c r="R1346" s="3" t="n">
        <v>308.66</v>
      </c>
      <c r="S1346" s="3" t="n">
        <v>137.48</v>
      </c>
      <c r="T1346" s="3" t="n">
        <v>161.18</v>
      </c>
      <c r="U1346" s="4" t="n">
        <v>0.5222</v>
      </c>
      <c r="V1346" s="3" t="n">
        <v>10</v>
      </c>
      <c r="W1346" t="inlineStr">
        <is>
          <t>Bank Transfer</t>
        </is>
      </c>
      <c r="X1346" t="inlineStr">
        <is>
          <t>Medium</t>
        </is>
      </c>
      <c r="Y1346" t="n">
        <v>2024</v>
      </c>
      <c r="Z1346" t="n">
        <v>3</v>
      </c>
      <c r="AA1346" t="inlineStr">
        <is>
          <t>Mar</t>
        </is>
      </c>
      <c r="AB1346" t="inlineStr">
        <is>
          <t>Thursday</t>
        </is>
      </c>
      <c r="AC1346" t="n">
        <v>4</v>
      </c>
      <c r="AD1346" t="inlineStr">
        <is>
          <t>Profitable</t>
        </is>
      </c>
      <c r="AE1346" t="inlineStr">
        <is>
          <t>Medium</t>
        </is>
      </c>
      <c r="AF1346" t="inlineStr">
        <is>
          <t>Small</t>
        </is>
      </c>
    </row>
    <row r="1347">
      <c r="A1347" t="inlineStr">
        <is>
          <t>ORD-01498</t>
        </is>
      </c>
      <c r="B1347" s="2" t="n">
        <v>45647</v>
      </c>
      <c r="C1347" s="2" t="n">
        <v>45653</v>
      </c>
      <c r="D1347" t="inlineStr">
        <is>
          <t>CUST-01498</t>
        </is>
      </c>
      <c r="E1347" t="inlineStr">
        <is>
          <t>Customer 1498</t>
        </is>
      </c>
      <c r="F1347" t="inlineStr">
        <is>
          <t>Corporate</t>
        </is>
      </c>
      <c r="G1347" t="inlineStr">
        <is>
          <t>P1005</t>
        </is>
      </c>
      <c r="H1347" t="inlineStr">
        <is>
          <t>SmartInk Pen Set</t>
        </is>
      </c>
      <c r="I1347" t="inlineStr">
        <is>
          <t>Home Decor</t>
        </is>
      </c>
      <c r="J1347" t="inlineStr">
        <is>
          <t>Paper</t>
        </is>
      </c>
      <c r="K1347" t="inlineStr">
        <is>
          <t>South</t>
        </is>
      </c>
      <c r="L1347" t="inlineStr">
        <is>
          <t>Georgia</t>
        </is>
      </c>
      <c r="M1347" t="inlineStr">
        <is>
          <t>Atlanta</t>
        </is>
      </c>
      <c r="N1347" t="inlineStr">
        <is>
          <t>Olivia Martin</t>
        </is>
      </c>
      <c r="O1347" t="n">
        <v>2</v>
      </c>
      <c r="P1347" s="3" t="n">
        <v>13.78</v>
      </c>
      <c r="Q1347" s="4" t="n">
        <v>0.027</v>
      </c>
      <c r="R1347" s="3" t="n">
        <v>26.82</v>
      </c>
      <c r="S1347" s="3" t="n">
        <v>15.25</v>
      </c>
      <c r="T1347" s="3" t="n">
        <v>3.97</v>
      </c>
      <c r="U1347" s="4" t="n">
        <v>0.148</v>
      </c>
      <c r="V1347" s="3" t="n">
        <v>7.6</v>
      </c>
      <c r="W1347" t="inlineStr">
        <is>
          <t>Cash on Delivery</t>
        </is>
      </c>
      <c r="X1347" t="inlineStr">
        <is>
          <t>Medium</t>
        </is>
      </c>
      <c r="Y1347" t="n">
        <v>2024</v>
      </c>
      <c r="Z1347" t="n">
        <v>12</v>
      </c>
      <c r="AA1347" t="inlineStr">
        <is>
          <t>Dec</t>
        </is>
      </c>
      <c r="AB1347" t="inlineStr">
        <is>
          <t>Saturday</t>
        </is>
      </c>
      <c r="AC1347" t="n">
        <v>6</v>
      </c>
      <c r="AD1347" t="inlineStr">
        <is>
          <t>Profitable</t>
        </is>
      </c>
      <c r="AE1347" t="inlineStr">
        <is>
          <t>Medium</t>
        </is>
      </c>
      <c r="AF1347" t="inlineStr">
        <is>
          <t>Small</t>
        </is>
      </c>
    </row>
    <row r="1348">
      <c r="A1348" t="inlineStr">
        <is>
          <t>ORD-01501</t>
        </is>
      </c>
      <c r="B1348" s="2" t="n">
        <v>45650</v>
      </c>
      <c r="C1348" s="2" t="n">
        <v>45654</v>
      </c>
      <c r="D1348" t="inlineStr">
        <is>
          <t>CUST-01501</t>
        </is>
      </c>
      <c r="E1348" t="inlineStr">
        <is>
          <t>Customer 1501</t>
        </is>
      </c>
      <c r="F1348" t="inlineStr">
        <is>
          <t>Consumer</t>
        </is>
      </c>
      <c r="G1348" t="inlineStr">
        <is>
          <t>P1003</t>
        </is>
      </c>
      <c r="H1348" t="inlineStr">
        <is>
          <t>CloudDrive File Box</t>
        </is>
      </c>
      <c r="I1348" t="inlineStr">
        <is>
          <t>Furniture</t>
        </is>
      </c>
      <c r="J1348" t="inlineStr">
        <is>
          <t>Lighting</t>
        </is>
      </c>
      <c r="K1348" t="inlineStr">
        <is>
          <t>South</t>
        </is>
      </c>
      <c r="L1348" t="inlineStr">
        <is>
          <t>Texas</t>
        </is>
      </c>
      <c r="M1348" t="inlineStr">
        <is>
          <t>Miami</t>
        </is>
      </c>
      <c r="N1348" t="inlineStr">
        <is>
          <t>Sophia Singh</t>
        </is>
      </c>
      <c r="O1348" t="n">
        <v>1</v>
      </c>
      <c r="P1348" s="3" t="n">
        <v>160.75</v>
      </c>
      <c r="Q1348" s="4" t="n">
        <v>0.039</v>
      </c>
      <c r="R1348" s="3" t="n">
        <v>154.48</v>
      </c>
      <c r="S1348" s="3" t="n">
        <v>90.69</v>
      </c>
      <c r="T1348" s="3" t="n">
        <v>56.99</v>
      </c>
      <c r="U1348" s="4" t="n">
        <v>0.3689</v>
      </c>
      <c r="V1348" s="3" t="n">
        <v>6.8</v>
      </c>
      <c r="W1348" t="inlineStr">
        <is>
          <t>Bank Transfer</t>
        </is>
      </c>
      <c r="X1348" t="inlineStr">
        <is>
          <t>High</t>
        </is>
      </c>
      <c r="Y1348" t="n">
        <v>2024</v>
      </c>
      <c r="Z1348" t="n">
        <v>12</v>
      </c>
      <c r="AA1348" t="inlineStr">
        <is>
          <t>Dec</t>
        </is>
      </c>
      <c r="AB1348" t="inlineStr">
        <is>
          <t>Tuesday</t>
        </is>
      </c>
      <c r="AC1348" t="n">
        <v>4</v>
      </c>
      <c r="AD1348" t="inlineStr">
        <is>
          <t>Profitable</t>
        </is>
      </c>
      <c r="AE1348" t="inlineStr">
        <is>
          <t>Medium</t>
        </is>
      </c>
      <c r="AF1348" t="inlineStr">
        <is>
          <t>Small</t>
        </is>
      </c>
    </row>
    <row r="1349">
      <c r="A1349" t="inlineStr">
        <is>
          <t>ORD-01509</t>
        </is>
      </c>
      <c r="B1349" s="2" t="n">
        <v>45490</v>
      </c>
      <c r="C1349" s="2" t="n">
        <v>45494</v>
      </c>
      <c r="D1349" t="inlineStr">
        <is>
          <t>CUST-01509</t>
        </is>
      </c>
      <c r="E1349" t="inlineStr">
        <is>
          <t>Customer 1509</t>
        </is>
      </c>
      <c r="F1349" t="inlineStr">
        <is>
          <t>Consumer</t>
        </is>
      </c>
      <c r="G1349" t="inlineStr">
        <is>
          <t>P1016</t>
        </is>
      </c>
      <c r="H1349" t="inlineStr">
        <is>
          <t>FlexNote Notebook</t>
        </is>
      </c>
      <c r="I1349" t="inlineStr">
        <is>
          <t>Office Supplies</t>
        </is>
      </c>
      <c r="J1349" t="inlineStr">
        <is>
          <t>Binders</t>
        </is>
      </c>
      <c r="K1349" t="inlineStr">
        <is>
          <t>North</t>
        </is>
      </c>
      <c r="L1349" t="inlineStr">
        <is>
          <t>Alberta</t>
        </is>
      </c>
      <c r="M1349" t="inlineStr">
        <is>
          <t>Vancouver</t>
        </is>
      </c>
      <c r="N1349" t="inlineStr">
        <is>
          <t>Liam Chen</t>
        </is>
      </c>
      <c r="O1349" t="n">
        <v>3</v>
      </c>
      <c r="P1349" s="3" t="n">
        <v>41.47</v>
      </c>
      <c r="Q1349" s="4" t="n">
        <v>0.01</v>
      </c>
      <c r="R1349" s="3" t="n">
        <v>123.17</v>
      </c>
      <c r="S1349" s="3" t="n">
        <v>50.88</v>
      </c>
      <c r="T1349" s="3" t="n">
        <v>63.89</v>
      </c>
      <c r="U1349" s="4" t="n">
        <v>0.5187</v>
      </c>
      <c r="V1349" s="3" t="n">
        <v>8.4</v>
      </c>
      <c r="W1349" t="inlineStr">
        <is>
          <t>Credit Card</t>
        </is>
      </c>
      <c r="X1349" t="inlineStr">
        <is>
          <t>Medium</t>
        </is>
      </c>
      <c r="Y1349" t="n">
        <v>2024</v>
      </c>
      <c r="Z1349" t="n">
        <v>7</v>
      </c>
      <c r="AA1349" t="inlineStr">
        <is>
          <t>Jul</t>
        </is>
      </c>
      <c r="AB1349" t="inlineStr">
        <is>
          <t>Wednesday</t>
        </is>
      </c>
      <c r="AC1349" t="n">
        <v>4</v>
      </c>
      <c r="AD1349" t="inlineStr">
        <is>
          <t>Profitable</t>
        </is>
      </c>
      <c r="AE1349" t="inlineStr">
        <is>
          <t>Low</t>
        </is>
      </c>
      <c r="AF1349" t="inlineStr">
        <is>
          <t>Small</t>
        </is>
      </c>
    </row>
    <row r="1350">
      <c r="A1350" t="inlineStr">
        <is>
          <t>ORD-01511</t>
        </is>
      </c>
      <c r="B1350" s="2" t="n">
        <v>45803</v>
      </c>
      <c r="C1350" s="2" t="n">
        <v>45808</v>
      </c>
      <c r="D1350" t="inlineStr">
        <is>
          <t>CUST-01511</t>
        </is>
      </c>
      <c r="E1350" t="inlineStr">
        <is>
          <t>Customer 1511</t>
        </is>
      </c>
      <c r="F1350" t="inlineStr">
        <is>
          <t>Corporate</t>
        </is>
      </c>
      <c r="G1350" t="inlineStr">
        <is>
          <t>P1017</t>
        </is>
      </c>
      <c r="H1350" t="inlineStr">
        <is>
          <t>Nova Laptop Stand</t>
        </is>
      </c>
      <c r="I1350" t="inlineStr">
        <is>
          <t>Furniture</t>
        </is>
      </c>
      <c r="J1350" t="inlineStr">
        <is>
          <t>Flooring</t>
        </is>
      </c>
      <c r="K1350" t="inlineStr">
        <is>
          <t>North</t>
        </is>
      </c>
      <c r="L1350" t="inlineStr">
        <is>
          <t>Ontario</t>
        </is>
      </c>
      <c r="M1350" t="inlineStr">
        <is>
          <t>Vancouver</t>
        </is>
      </c>
      <c r="N1350" t="inlineStr">
        <is>
          <t>Olivia Martin</t>
        </is>
      </c>
      <c r="O1350" t="n">
        <v>5</v>
      </c>
      <c r="P1350" s="3" t="n">
        <v>565.48</v>
      </c>
      <c r="Q1350" s="4" t="n">
        <v>0.034</v>
      </c>
      <c r="R1350" s="3" t="n">
        <v>2731.27</v>
      </c>
      <c r="S1350" s="3" t="n">
        <v>1810.31</v>
      </c>
      <c r="T1350" s="3" t="n">
        <v>910.96</v>
      </c>
      <c r="U1350" s="4" t="n">
        <v>0.3335</v>
      </c>
      <c r="V1350" s="3" t="n">
        <v>10</v>
      </c>
      <c r="W1350" t="inlineStr">
        <is>
          <t>Cash on Delivery</t>
        </is>
      </c>
      <c r="X1350" t="inlineStr">
        <is>
          <t>Medium</t>
        </is>
      </c>
      <c r="Y1350" t="n">
        <v>2025</v>
      </c>
      <c r="Z1350" t="n">
        <v>5</v>
      </c>
      <c r="AA1350" t="inlineStr">
        <is>
          <t>May</t>
        </is>
      </c>
      <c r="AB1350" t="inlineStr">
        <is>
          <t>Monday</t>
        </is>
      </c>
      <c r="AC1350" t="n">
        <v>5</v>
      </c>
      <c r="AD1350" t="inlineStr">
        <is>
          <t>Profitable</t>
        </is>
      </c>
      <c r="AE1350" t="inlineStr">
        <is>
          <t>Medium</t>
        </is>
      </c>
      <c r="AF1350" t="inlineStr">
        <is>
          <t>Large</t>
        </is>
      </c>
    </row>
    <row r="1351">
      <c r="A1351" t="inlineStr">
        <is>
          <t>ORD-01515</t>
        </is>
      </c>
      <c r="B1351" s="2" t="n">
        <v>45018</v>
      </c>
      <c r="C1351" s="2" t="n">
        <v>45020</v>
      </c>
      <c r="D1351" t="inlineStr">
        <is>
          <t>CUST-01515</t>
        </is>
      </c>
      <c r="E1351" t="inlineStr">
        <is>
          <t>Customer 1515</t>
        </is>
      </c>
      <c r="F1351" t="inlineStr">
        <is>
          <t>Consumer</t>
        </is>
      </c>
      <c r="G1351" t="inlineStr">
        <is>
          <t>P1013</t>
        </is>
      </c>
      <c r="H1351" t="inlineStr">
        <is>
          <t>Atlas Throw Pillow</t>
        </is>
      </c>
      <c r="I1351" t="inlineStr">
        <is>
          <t>Home Decor</t>
        </is>
      </c>
      <c r="J1351" t="inlineStr">
        <is>
          <t>Binders</t>
        </is>
      </c>
      <c r="K1351" t="inlineStr">
        <is>
          <t>North</t>
        </is>
      </c>
      <c r="L1351" t="inlineStr">
        <is>
          <t>Quebec</t>
        </is>
      </c>
      <c r="M1351" t="inlineStr">
        <is>
          <t>Calgary</t>
        </is>
      </c>
      <c r="N1351" t="inlineStr">
        <is>
          <t>Mia Rodriguez</t>
        </is>
      </c>
      <c r="O1351" t="n">
        <v>4</v>
      </c>
      <c r="P1351" s="3" t="n">
        <v>167.1</v>
      </c>
      <c r="Q1351" s="4" t="n">
        <v>0.043</v>
      </c>
      <c r="R1351" s="3" t="n">
        <v>639.66</v>
      </c>
      <c r="S1351" s="3" t="n">
        <v>365.6</v>
      </c>
      <c r="T1351" s="3" t="n">
        <v>264.86</v>
      </c>
      <c r="U1351" s="4" t="n">
        <v>0.4141</v>
      </c>
      <c r="V1351" s="3" t="n">
        <v>9.199999999999999</v>
      </c>
      <c r="W1351" t="inlineStr">
        <is>
          <t>Debit Card</t>
        </is>
      </c>
      <c r="X1351" t="inlineStr">
        <is>
          <t>High</t>
        </is>
      </c>
      <c r="Y1351" t="n">
        <v>2023</v>
      </c>
      <c r="Z1351" t="n">
        <v>4</v>
      </c>
      <c r="AA1351" t="inlineStr">
        <is>
          <t>Apr</t>
        </is>
      </c>
      <c r="AB1351" t="inlineStr">
        <is>
          <t>Sunday</t>
        </is>
      </c>
      <c r="AC1351" t="n">
        <v>2</v>
      </c>
      <c r="AD1351" t="inlineStr">
        <is>
          <t>Profitable</t>
        </is>
      </c>
      <c r="AE1351" t="inlineStr">
        <is>
          <t>Medium</t>
        </is>
      </c>
      <c r="AF1351" t="inlineStr">
        <is>
          <t>Medium</t>
        </is>
      </c>
    </row>
    <row r="1352">
      <c r="A1352" t="inlineStr">
        <is>
          <t>ORD-01516</t>
        </is>
      </c>
      <c r="B1352" s="2" t="n">
        <v>44959</v>
      </c>
      <c r="C1352" s="2" t="n">
        <v>44964</v>
      </c>
      <c r="D1352" t="inlineStr">
        <is>
          <t>CUST-01516</t>
        </is>
      </c>
      <c r="E1352" t="inlineStr">
        <is>
          <t>Customer 1516</t>
        </is>
      </c>
      <c r="F1352" t="inlineStr">
        <is>
          <t>Home Office</t>
        </is>
      </c>
      <c r="G1352" t="inlineStr">
        <is>
          <t>P1001</t>
        </is>
      </c>
      <c r="H1352" t="inlineStr">
        <is>
          <t>Harbor Rug</t>
        </is>
      </c>
      <c r="I1352" t="inlineStr">
        <is>
          <t>Outdoor</t>
        </is>
      </c>
      <c r="J1352" t="inlineStr">
        <is>
          <t>Furniture</t>
        </is>
      </c>
      <c r="K1352" t="inlineStr">
        <is>
          <t>South</t>
        </is>
      </c>
      <c r="L1352" t="inlineStr">
        <is>
          <t>North Carolina</t>
        </is>
      </c>
      <c r="M1352" t="inlineStr">
        <is>
          <t>Dallas</t>
        </is>
      </c>
      <c r="N1352" t="inlineStr">
        <is>
          <t>Noah Kim</t>
        </is>
      </c>
      <c r="O1352" t="n">
        <v>1</v>
      </c>
      <c r="P1352" s="3" t="n">
        <v>277.52</v>
      </c>
      <c r="Q1352" s="4" t="n">
        <v>0.016</v>
      </c>
      <c r="R1352" s="3" t="n">
        <v>273.08</v>
      </c>
      <c r="S1352" s="3" t="n">
        <v>164.86</v>
      </c>
      <c r="T1352" s="3" t="n">
        <v>101.42</v>
      </c>
      <c r="U1352" s="4" t="n">
        <v>0.3714</v>
      </c>
      <c r="V1352" s="3" t="n">
        <v>6.8</v>
      </c>
      <c r="W1352" t="inlineStr">
        <is>
          <t>PayPal</t>
        </is>
      </c>
      <c r="X1352" t="inlineStr">
        <is>
          <t>Medium</t>
        </is>
      </c>
      <c r="Y1352" t="n">
        <v>2023</v>
      </c>
      <c r="Z1352" t="n">
        <v>2</v>
      </c>
      <c r="AA1352" t="inlineStr">
        <is>
          <t>Feb</t>
        </is>
      </c>
      <c r="AB1352" t="inlineStr">
        <is>
          <t>Thursday</t>
        </is>
      </c>
      <c r="AC1352" t="n">
        <v>5</v>
      </c>
      <c r="AD1352" t="inlineStr">
        <is>
          <t>Profitable</t>
        </is>
      </c>
      <c r="AE1352" t="inlineStr">
        <is>
          <t>Low</t>
        </is>
      </c>
      <c r="AF1352" t="inlineStr">
        <is>
          <t>Small</t>
        </is>
      </c>
    </row>
    <row r="1353">
      <c r="A1353" t="inlineStr">
        <is>
          <t>ORD-01519</t>
        </is>
      </c>
      <c r="B1353" s="2" t="n">
        <v>44950</v>
      </c>
      <c r="C1353" s="2" t="n">
        <v>44951</v>
      </c>
      <c r="D1353" t="inlineStr">
        <is>
          <t>CUST-01519</t>
        </is>
      </c>
      <c r="E1353" t="inlineStr">
        <is>
          <t>Customer 1519</t>
        </is>
      </c>
      <c r="F1353" t="inlineStr">
        <is>
          <t>Consumer</t>
        </is>
      </c>
      <c r="G1353" t="inlineStr">
        <is>
          <t>P1005</t>
        </is>
      </c>
      <c r="H1353" t="inlineStr">
        <is>
          <t>ProClip Binder</t>
        </is>
      </c>
      <c r="I1353" t="inlineStr">
        <is>
          <t>Technology</t>
        </is>
      </c>
      <c r="J1353" t="inlineStr">
        <is>
          <t>Textiles</t>
        </is>
      </c>
      <c r="K1353" t="inlineStr">
        <is>
          <t>North</t>
        </is>
      </c>
      <c r="L1353" t="inlineStr">
        <is>
          <t>British Columbia</t>
        </is>
      </c>
      <c r="M1353" t="inlineStr">
        <is>
          <t>Montreal</t>
        </is>
      </c>
      <c r="N1353" t="inlineStr">
        <is>
          <t>Mia Rodriguez</t>
        </is>
      </c>
      <c r="O1353" t="n">
        <v>3</v>
      </c>
      <c r="P1353" s="3" t="n">
        <v>12.57</v>
      </c>
      <c r="Q1353" s="4" t="n">
        <v>0.005</v>
      </c>
      <c r="R1353" s="3" t="n">
        <v>37.52</v>
      </c>
      <c r="S1353" s="3" t="n">
        <v>23.06</v>
      </c>
      <c r="T1353" s="3" t="n">
        <v>6.06</v>
      </c>
      <c r="U1353" s="4" t="n">
        <v>0.1615</v>
      </c>
      <c r="V1353" s="3" t="n">
        <v>8.4</v>
      </c>
      <c r="W1353" t="inlineStr">
        <is>
          <t>Credit Card</t>
        </is>
      </c>
      <c r="X1353" t="inlineStr">
        <is>
          <t>Medium</t>
        </is>
      </c>
      <c r="Y1353" t="n">
        <v>2023</v>
      </c>
      <c r="Z1353" t="n">
        <v>1</v>
      </c>
      <c r="AA1353" t="inlineStr">
        <is>
          <t>Jan</t>
        </is>
      </c>
      <c r="AB1353" t="inlineStr">
        <is>
          <t>Tuesday</t>
        </is>
      </c>
      <c r="AC1353" t="n">
        <v>1</v>
      </c>
      <c r="AD1353" t="inlineStr">
        <is>
          <t>Profitable</t>
        </is>
      </c>
      <c r="AE1353" t="inlineStr">
        <is>
          <t>Low</t>
        </is>
      </c>
      <c r="AF1353" t="inlineStr">
        <is>
          <t>Small</t>
        </is>
      </c>
    </row>
    <row r="1354">
      <c r="A1354" t="inlineStr">
        <is>
          <t>ORD-01524</t>
        </is>
      </c>
      <c r="B1354" s="2" t="n">
        <v>45051</v>
      </c>
      <c r="C1354" s="2" t="n">
        <v>45056</v>
      </c>
      <c r="D1354" t="inlineStr">
        <is>
          <t>CUST-01524</t>
        </is>
      </c>
      <c r="E1354" t="inlineStr">
        <is>
          <t>Customer 1524</t>
        </is>
      </c>
      <c r="F1354" t="inlineStr">
        <is>
          <t>Consumer</t>
        </is>
      </c>
      <c r="G1354" t="inlineStr">
        <is>
          <t>P1012</t>
        </is>
      </c>
      <c r="H1354" t="inlineStr">
        <is>
          <t>Summit Patio Set</t>
        </is>
      </c>
      <c r="I1354" t="inlineStr">
        <is>
          <t>Furniture</t>
        </is>
      </c>
      <c r="J1354" t="inlineStr">
        <is>
          <t>Lighting</t>
        </is>
      </c>
      <c r="K1354" t="inlineStr">
        <is>
          <t>North</t>
        </is>
      </c>
      <c r="L1354" t="inlineStr">
        <is>
          <t>Quebec</t>
        </is>
      </c>
      <c r="M1354" t="inlineStr">
        <is>
          <t>Toronto</t>
        </is>
      </c>
      <c r="N1354" t="inlineStr">
        <is>
          <t>Ava Patel</t>
        </is>
      </c>
      <c r="O1354" t="n">
        <v>4</v>
      </c>
      <c r="P1354" s="3" t="n">
        <v>124.67</v>
      </c>
      <c r="Q1354" s="4" t="n">
        <v>0.017</v>
      </c>
      <c r="R1354" s="3" t="n">
        <v>490.2</v>
      </c>
      <c r="S1354" s="3" t="n">
        <v>246.57</v>
      </c>
      <c r="T1354" s="3" t="n">
        <v>234.43</v>
      </c>
      <c r="U1354" s="4" t="n">
        <v>0.4782</v>
      </c>
      <c r="V1354" s="3" t="n">
        <v>9.199999999999999</v>
      </c>
      <c r="W1354" t="inlineStr">
        <is>
          <t>Bank Transfer</t>
        </is>
      </c>
      <c r="X1354" t="inlineStr">
        <is>
          <t>Medium</t>
        </is>
      </c>
      <c r="Y1354" t="n">
        <v>2023</v>
      </c>
      <c r="Z1354" t="n">
        <v>5</v>
      </c>
      <c r="AA1354" t="inlineStr">
        <is>
          <t>May</t>
        </is>
      </c>
      <c r="AB1354" t="inlineStr">
        <is>
          <t>Friday</t>
        </is>
      </c>
      <c r="AC1354" t="n">
        <v>5</v>
      </c>
      <c r="AD1354" t="inlineStr">
        <is>
          <t>Profitable</t>
        </is>
      </c>
      <c r="AE1354" t="inlineStr">
        <is>
          <t>Low</t>
        </is>
      </c>
      <c r="AF1354" t="inlineStr">
        <is>
          <t>Small</t>
        </is>
      </c>
    </row>
    <row r="1355">
      <c r="A1355" t="inlineStr">
        <is>
          <t>ORD-01526</t>
        </is>
      </c>
      <c r="B1355" s="2" t="n">
        <v>45101</v>
      </c>
      <c r="C1355" s="2" t="n">
        <v>45108</v>
      </c>
      <c r="D1355" t="inlineStr">
        <is>
          <t>CUST-01526</t>
        </is>
      </c>
      <c r="E1355" t="inlineStr">
        <is>
          <t>Customer 1526</t>
        </is>
      </c>
      <c r="F1355" t="inlineStr">
        <is>
          <t>Consumer</t>
        </is>
      </c>
      <c r="G1355" t="inlineStr">
        <is>
          <t>P1013</t>
        </is>
      </c>
      <c r="H1355" t="inlineStr">
        <is>
          <t>Echo Web Camera</t>
        </is>
      </c>
      <c r="I1355" t="inlineStr">
        <is>
          <t>Office Supplies</t>
        </is>
      </c>
      <c r="J1355" t="inlineStr">
        <is>
          <t>Decor</t>
        </is>
      </c>
      <c r="K1355" t="inlineStr">
        <is>
          <t>North</t>
        </is>
      </c>
      <c r="L1355" t="inlineStr">
        <is>
          <t>British Columbia</t>
        </is>
      </c>
      <c r="M1355" t="inlineStr">
        <is>
          <t>Toronto</t>
        </is>
      </c>
      <c r="N1355" t="inlineStr">
        <is>
          <t>Olivia Martin</t>
        </is>
      </c>
      <c r="O1355" t="n">
        <v>3</v>
      </c>
      <c r="P1355" s="3" t="n">
        <v>160.68</v>
      </c>
      <c r="Q1355" s="4" t="n">
        <v>0.022</v>
      </c>
      <c r="R1355" s="3" t="n">
        <v>471.44</v>
      </c>
      <c r="S1355" s="3" t="n">
        <v>272.42</v>
      </c>
      <c r="T1355" s="3" t="n">
        <v>190.62</v>
      </c>
      <c r="U1355" s="4" t="n">
        <v>0.4043</v>
      </c>
      <c r="V1355" s="3" t="n">
        <v>8.4</v>
      </c>
      <c r="W1355" t="inlineStr">
        <is>
          <t>Cash on Delivery</t>
        </is>
      </c>
      <c r="X1355" t="inlineStr">
        <is>
          <t>Medium</t>
        </is>
      </c>
      <c r="Y1355" t="n">
        <v>2023</v>
      </c>
      <c r="Z1355" t="n">
        <v>6</v>
      </c>
      <c r="AA1355" t="inlineStr">
        <is>
          <t>Jun</t>
        </is>
      </c>
      <c r="AB1355" t="inlineStr">
        <is>
          <t>Saturday</t>
        </is>
      </c>
      <c r="AC1355" t="n">
        <v>7</v>
      </c>
      <c r="AD1355" t="inlineStr">
        <is>
          <t>Profitable</t>
        </is>
      </c>
      <c r="AE1355" t="inlineStr">
        <is>
          <t>Medium</t>
        </is>
      </c>
      <c r="AF1355" t="inlineStr">
        <is>
          <t>Small</t>
        </is>
      </c>
    </row>
    <row r="1356">
      <c r="A1356" t="inlineStr">
        <is>
          <t>ORD-01527</t>
        </is>
      </c>
      <c r="B1356" s="2" t="n">
        <v>45151</v>
      </c>
      <c r="C1356" s="2" t="n">
        <v>45158</v>
      </c>
      <c r="D1356" t="inlineStr">
        <is>
          <t>CUST-01527</t>
        </is>
      </c>
      <c r="E1356" t="inlineStr">
        <is>
          <t>Customer 1527</t>
        </is>
      </c>
      <c r="F1356" t="inlineStr">
        <is>
          <t>Consumer</t>
        </is>
      </c>
      <c r="G1356" t="inlineStr">
        <is>
          <t>P1016</t>
        </is>
      </c>
      <c r="H1356" t="inlineStr">
        <is>
          <t>Trail Tote</t>
        </is>
      </c>
      <c r="I1356" t="inlineStr">
        <is>
          <t>Home Decor</t>
        </is>
      </c>
      <c r="J1356" t="inlineStr">
        <is>
          <t>Furniture</t>
        </is>
      </c>
      <c r="K1356" t="inlineStr">
        <is>
          <t>South</t>
        </is>
      </c>
      <c r="L1356" t="inlineStr">
        <is>
          <t>North Carolina</t>
        </is>
      </c>
      <c r="M1356" t="inlineStr">
        <is>
          <t>Houston</t>
        </is>
      </c>
      <c r="N1356" t="inlineStr">
        <is>
          <t>Sophia Singh</t>
        </is>
      </c>
      <c r="O1356" t="n">
        <v>3</v>
      </c>
      <c r="P1356" s="3" t="n">
        <v>36.88</v>
      </c>
      <c r="Q1356" s="4" t="n">
        <v>0.017</v>
      </c>
      <c r="R1356" s="3" t="n">
        <v>108.76</v>
      </c>
      <c r="S1356" s="3" t="n">
        <v>50.37</v>
      </c>
      <c r="T1356" s="3" t="n">
        <v>49.99</v>
      </c>
      <c r="U1356" s="4" t="n">
        <v>0.4596</v>
      </c>
      <c r="V1356" s="3" t="n">
        <v>8.4</v>
      </c>
      <c r="W1356" t="inlineStr">
        <is>
          <t>Credit Card</t>
        </is>
      </c>
      <c r="X1356" t="inlineStr">
        <is>
          <t>Low</t>
        </is>
      </c>
      <c r="Y1356" t="n">
        <v>2023</v>
      </c>
      <c r="Z1356" t="n">
        <v>8</v>
      </c>
      <c r="AA1356" t="inlineStr">
        <is>
          <t>Aug</t>
        </is>
      </c>
      <c r="AB1356" t="inlineStr">
        <is>
          <t>Sunday</t>
        </is>
      </c>
      <c r="AC1356" t="n">
        <v>7</v>
      </c>
      <c r="AD1356" t="inlineStr">
        <is>
          <t>Profitable</t>
        </is>
      </c>
      <c r="AE1356" t="inlineStr">
        <is>
          <t>Low</t>
        </is>
      </c>
      <c r="AF1356" t="inlineStr">
        <is>
          <t>Small</t>
        </is>
      </c>
    </row>
    <row r="1357">
      <c r="A1357" t="inlineStr">
        <is>
          <t>ORD-01529</t>
        </is>
      </c>
      <c r="B1357" s="2" t="n">
        <v>46010</v>
      </c>
      <c r="C1357" s="2" t="n">
        <v>46015</v>
      </c>
      <c r="D1357" t="inlineStr">
        <is>
          <t>CUST-01529</t>
        </is>
      </c>
      <c r="E1357" t="inlineStr">
        <is>
          <t>Customer 1529</t>
        </is>
      </c>
      <c r="F1357" t="inlineStr">
        <is>
          <t>Home Office</t>
        </is>
      </c>
      <c r="G1357" t="inlineStr">
        <is>
          <t>P1010</t>
        </is>
      </c>
      <c r="H1357" t="inlineStr">
        <is>
          <t>Aero Standing Desk</t>
        </is>
      </c>
      <c r="I1357" t="inlineStr">
        <is>
          <t>Outdoor</t>
        </is>
      </c>
      <c r="J1357" t="inlineStr">
        <is>
          <t>Furniture</t>
        </is>
      </c>
      <c r="K1357" t="inlineStr">
        <is>
          <t>North</t>
        </is>
      </c>
      <c r="L1357" t="inlineStr">
        <is>
          <t>Quebec</t>
        </is>
      </c>
      <c r="M1357" t="inlineStr">
        <is>
          <t>Calgary</t>
        </is>
      </c>
      <c r="N1357" t="inlineStr">
        <is>
          <t>Noah Kim</t>
        </is>
      </c>
      <c r="O1357" t="n">
        <v>3</v>
      </c>
      <c r="P1357" s="3" t="n">
        <v>57.02</v>
      </c>
      <c r="Q1357" s="4" t="n">
        <v>0.001</v>
      </c>
      <c r="R1357" s="3" t="n">
        <v>170.89</v>
      </c>
      <c r="S1357" s="3" t="n">
        <v>79.69</v>
      </c>
      <c r="T1357" s="3" t="n">
        <v>82.8</v>
      </c>
      <c r="U1357" s="4" t="n">
        <v>0.4845</v>
      </c>
      <c r="V1357" s="3" t="n">
        <v>8.4</v>
      </c>
      <c r="W1357" t="inlineStr">
        <is>
          <t>Cash on Delivery</t>
        </is>
      </c>
      <c r="X1357" t="inlineStr">
        <is>
          <t>Low</t>
        </is>
      </c>
      <c r="Y1357" t="n">
        <v>2025</v>
      </c>
      <c r="Z1357" t="n">
        <v>12</v>
      </c>
      <c r="AA1357" t="inlineStr">
        <is>
          <t>Dec</t>
        </is>
      </c>
      <c r="AB1357" t="inlineStr">
        <is>
          <t>Friday</t>
        </is>
      </c>
      <c r="AC1357" t="n">
        <v>5</v>
      </c>
      <c r="AD1357" t="inlineStr">
        <is>
          <t>Profitable</t>
        </is>
      </c>
      <c r="AE1357" t="inlineStr">
        <is>
          <t>Low</t>
        </is>
      </c>
      <c r="AF1357" t="inlineStr">
        <is>
          <t>Small</t>
        </is>
      </c>
    </row>
    <row r="1358">
      <c r="A1358" t="inlineStr">
        <is>
          <t>ORD-01531</t>
        </is>
      </c>
      <c r="B1358" s="2" t="n">
        <v>45422</v>
      </c>
      <c r="C1358" s="2" t="n">
        <v>45423</v>
      </c>
      <c r="D1358" t="inlineStr">
        <is>
          <t>CUST-01531</t>
        </is>
      </c>
      <c r="E1358" t="inlineStr">
        <is>
          <t>Customer 1531</t>
        </is>
      </c>
      <c r="F1358" t="inlineStr">
        <is>
          <t>Corporate</t>
        </is>
      </c>
      <c r="G1358" t="inlineStr">
        <is>
          <t>P1007</t>
        </is>
      </c>
      <c r="H1358" t="inlineStr">
        <is>
          <t>Halo Planter</t>
        </is>
      </c>
      <c r="I1358" t="inlineStr">
        <is>
          <t>Home Decor</t>
        </is>
      </c>
      <c r="J1358" t="inlineStr">
        <is>
          <t>Writing</t>
        </is>
      </c>
      <c r="K1358" t="inlineStr">
        <is>
          <t>South</t>
        </is>
      </c>
      <c r="L1358" t="inlineStr">
        <is>
          <t>North Carolina</t>
        </is>
      </c>
      <c r="M1358" t="inlineStr">
        <is>
          <t>Houston</t>
        </is>
      </c>
      <c r="N1358" t="inlineStr">
        <is>
          <t>Mia Rodriguez</t>
        </is>
      </c>
      <c r="O1358" t="n">
        <v>3</v>
      </c>
      <c r="P1358" s="3" t="n">
        <v>24.2</v>
      </c>
      <c r="Q1358" s="4" t="n">
        <v>0.056</v>
      </c>
      <c r="R1358" s="3" t="n">
        <v>68.53</v>
      </c>
      <c r="S1358" s="3" t="n">
        <v>31.34</v>
      </c>
      <c r="T1358" s="3" t="n">
        <v>28.79</v>
      </c>
      <c r="U1358" s="4" t="n">
        <v>0.4201</v>
      </c>
      <c r="V1358" s="3" t="n">
        <v>8.4</v>
      </c>
      <c r="W1358" t="inlineStr">
        <is>
          <t>Bank Transfer</t>
        </is>
      </c>
      <c r="X1358" t="inlineStr">
        <is>
          <t>High</t>
        </is>
      </c>
      <c r="Y1358" t="n">
        <v>2024</v>
      </c>
      <c r="Z1358" t="n">
        <v>5</v>
      </c>
      <c r="AA1358" t="inlineStr">
        <is>
          <t>May</t>
        </is>
      </c>
      <c r="AB1358" t="inlineStr">
        <is>
          <t>Friday</t>
        </is>
      </c>
      <c r="AC1358" t="n">
        <v>1</v>
      </c>
      <c r="AD1358" t="inlineStr">
        <is>
          <t>Profitable</t>
        </is>
      </c>
      <c r="AE1358" t="inlineStr">
        <is>
          <t>High</t>
        </is>
      </c>
      <c r="AF1358" t="inlineStr">
        <is>
          <t>Small</t>
        </is>
      </c>
    </row>
    <row r="1359">
      <c r="A1359" t="inlineStr">
        <is>
          <t>ORD-01537</t>
        </is>
      </c>
      <c r="B1359" s="2" t="n">
        <v>44973</v>
      </c>
      <c r="C1359" s="2" t="n">
        <v>44977</v>
      </c>
      <c r="D1359" t="inlineStr">
        <is>
          <t>CUST-01537</t>
        </is>
      </c>
      <c r="E1359" t="inlineStr">
        <is>
          <t>Customer 1537</t>
        </is>
      </c>
      <c r="F1359" t="inlineStr">
        <is>
          <t>Corporate</t>
        </is>
      </c>
      <c r="G1359" t="inlineStr">
        <is>
          <t>P1008</t>
        </is>
      </c>
      <c r="H1359" t="inlineStr">
        <is>
          <t>FlexNote Notebook</t>
        </is>
      </c>
      <c r="I1359" t="inlineStr">
        <is>
          <t>Furniture</t>
        </is>
      </c>
      <c r="J1359" t="inlineStr">
        <is>
          <t>Lighting</t>
        </is>
      </c>
      <c r="K1359" t="inlineStr">
        <is>
          <t>South</t>
        </is>
      </c>
      <c r="L1359" t="inlineStr">
        <is>
          <t>Georgia</t>
        </is>
      </c>
      <c r="M1359" t="inlineStr">
        <is>
          <t>Houston</t>
        </is>
      </c>
      <c r="N1359" t="inlineStr">
        <is>
          <t>Mia Rodriguez</t>
        </is>
      </c>
      <c r="O1359" t="n">
        <v>6</v>
      </c>
      <c r="P1359" s="3" t="n">
        <v>33.6</v>
      </c>
      <c r="Q1359" s="4" t="n">
        <v>0.056</v>
      </c>
      <c r="R1359" s="3" t="n">
        <v>190.31</v>
      </c>
      <c r="S1359" s="3" t="n">
        <v>81.64</v>
      </c>
      <c r="T1359" s="3" t="n">
        <v>97.87</v>
      </c>
      <c r="U1359" s="4" t="n">
        <v>0.5143</v>
      </c>
      <c r="V1359" s="3" t="n">
        <v>10.8</v>
      </c>
      <c r="W1359" t="inlineStr">
        <is>
          <t>Bank Transfer</t>
        </is>
      </c>
      <c r="X1359" t="inlineStr">
        <is>
          <t>High</t>
        </is>
      </c>
      <c r="Y1359" t="n">
        <v>2023</v>
      </c>
      <c r="Z1359" t="n">
        <v>2</v>
      </c>
      <c r="AA1359" t="inlineStr">
        <is>
          <t>Feb</t>
        </is>
      </c>
      <c r="AB1359" t="inlineStr">
        <is>
          <t>Thursday</t>
        </is>
      </c>
      <c r="AC1359" t="n">
        <v>4</v>
      </c>
      <c r="AD1359" t="inlineStr">
        <is>
          <t>Profitable</t>
        </is>
      </c>
      <c r="AE1359" t="inlineStr">
        <is>
          <t>High</t>
        </is>
      </c>
      <c r="AF1359" t="inlineStr">
        <is>
          <t>Small</t>
        </is>
      </c>
    </row>
    <row r="1360">
      <c r="A1360" t="inlineStr">
        <is>
          <t>ORD-01546</t>
        </is>
      </c>
      <c r="B1360" s="2" t="n">
        <v>45296</v>
      </c>
      <c r="C1360" s="2" t="n">
        <v>45298</v>
      </c>
      <c r="D1360" t="inlineStr">
        <is>
          <t>CUST-01546</t>
        </is>
      </c>
      <c r="E1360" t="inlineStr">
        <is>
          <t>Customer 1546</t>
        </is>
      </c>
      <c r="F1360" t="inlineStr">
        <is>
          <t>Home Office</t>
        </is>
      </c>
      <c r="G1360" t="inlineStr">
        <is>
          <t>P1012</t>
        </is>
      </c>
      <c r="H1360" t="inlineStr">
        <is>
          <t>Trail Tote</t>
        </is>
      </c>
      <c r="I1360" t="inlineStr">
        <is>
          <t>Outdoor</t>
        </is>
      </c>
      <c r="J1360" t="inlineStr">
        <is>
          <t>Decor</t>
        </is>
      </c>
      <c r="K1360" t="inlineStr">
        <is>
          <t>North</t>
        </is>
      </c>
      <c r="L1360" t="inlineStr">
        <is>
          <t>Alberta</t>
        </is>
      </c>
      <c r="M1360" t="inlineStr">
        <is>
          <t>Calgary</t>
        </is>
      </c>
      <c r="N1360" t="inlineStr">
        <is>
          <t>Ava Patel</t>
        </is>
      </c>
      <c r="O1360" t="n">
        <v>5</v>
      </c>
      <c r="P1360" s="3" t="n">
        <v>126.83</v>
      </c>
      <c r="Q1360" s="4" t="n">
        <v>0.003</v>
      </c>
      <c r="R1360" s="3" t="n">
        <v>632.25</v>
      </c>
      <c r="S1360" s="3" t="n">
        <v>319.98</v>
      </c>
      <c r="T1360" s="3" t="n">
        <v>302.27</v>
      </c>
      <c r="U1360" s="4" t="n">
        <v>0.4781</v>
      </c>
      <c r="V1360" s="3" t="n">
        <v>10</v>
      </c>
      <c r="W1360" t="inlineStr">
        <is>
          <t>Cash on Delivery</t>
        </is>
      </c>
      <c r="X1360" t="inlineStr">
        <is>
          <t>Medium</t>
        </is>
      </c>
      <c r="Y1360" t="n">
        <v>2024</v>
      </c>
      <c r="Z1360" t="n">
        <v>1</v>
      </c>
      <c r="AA1360" t="inlineStr">
        <is>
          <t>Jan</t>
        </is>
      </c>
      <c r="AB1360" t="inlineStr">
        <is>
          <t>Friday</t>
        </is>
      </c>
      <c r="AC1360" t="n">
        <v>2</v>
      </c>
      <c r="AD1360" t="inlineStr">
        <is>
          <t>Profitable</t>
        </is>
      </c>
      <c r="AE1360" t="inlineStr">
        <is>
          <t>Low</t>
        </is>
      </c>
      <c r="AF1360" t="inlineStr">
        <is>
          <t>Medium</t>
        </is>
      </c>
    </row>
    <row r="1361">
      <c r="A1361" t="inlineStr">
        <is>
          <t>ORD-01547</t>
        </is>
      </c>
      <c r="B1361" s="2" t="n">
        <v>45818</v>
      </c>
      <c r="C1361" s="2" t="n">
        <v>45823</v>
      </c>
      <c r="D1361" t="inlineStr">
        <is>
          <t>CUST-01547</t>
        </is>
      </c>
      <c r="E1361" t="inlineStr">
        <is>
          <t>Customer 1547</t>
        </is>
      </c>
      <c r="F1361" t="inlineStr">
        <is>
          <t>Corporate</t>
        </is>
      </c>
      <c r="G1361" t="inlineStr">
        <is>
          <t>P1001</t>
        </is>
      </c>
      <c r="H1361" t="inlineStr">
        <is>
          <t>Echo Web Camera</t>
        </is>
      </c>
      <c r="I1361" t="inlineStr">
        <is>
          <t>Home Decor</t>
        </is>
      </c>
      <c r="J1361" t="inlineStr">
        <is>
          <t>Peripherals</t>
        </is>
      </c>
      <c r="K1361" t="inlineStr">
        <is>
          <t>North</t>
        </is>
      </c>
      <c r="L1361" t="inlineStr">
        <is>
          <t>British Columbia</t>
        </is>
      </c>
      <c r="M1361" t="inlineStr">
        <is>
          <t>Montreal</t>
        </is>
      </c>
      <c r="N1361" t="inlineStr">
        <is>
          <t>Ethan Brooks</t>
        </is>
      </c>
      <c r="O1361" t="n">
        <v>3</v>
      </c>
      <c r="P1361" s="3" t="n">
        <v>291.54</v>
      </c>
      <c r="Q1361" s="4" t="n">
        <v>0.04</v>
      </c>
      <c r="R1361" s="3" t="n">
        <v>839.64</v>
      </c>
      <c r="S1361" s="3" t="n">
        <v>491.66</v>
      </c>
      <c r="T1361" s="3" t="n">
        <v>339.58</v>
      </c>
      <c r="U1361" s="4" t="n">
        <v>0.4044</v>
      </c>
      <c r="V1361" s="3" t="n">
        <v>8.4</v>
      </c>
      <c r="W1361" t="inlineStr">
        <is>
          <t>Bank Transfer</t>
        </is>
      </c>
      <c r="X1361" t="inlineStr">
        <is>
          <t>Medium</t>
        </is>
      </c>
      <c r="Y1361" t="n">
        <v>2025</v>
      </c>
      <c r="Z1361" t="n">
        <v>6</v>
      </c>
      <c r="AA1361" t="inlineStr">
        <is>
          <t>Jun</t>
        </is>
      </c>
      <c r="AB1361" t="inlineStr">
        <is>
          <t>Tuesday</t>
        </is>
      </c>
      <c r="AC1361" t="n">
        <v>5</v>
      </c>
      <c r="AD1361" t="inlineStr">
        <is>
          <t>Profitable</t>
        </is>
      </c>
      <c r="AE1361" t="inlineStr">
        <is>
          <t>Medium</t>
        </is>
      </c>
      <c r="AF1361" t="inlineStr">
        <is>
          <t>Medium</t>
        </is>
      </c>
    </row>
    <row r="1362">
      <c r="A1362" t="inlineStr">
        <is>
          <t>ORD-01579</t>
        </is>
      </c>
      <c r="B1362" s="2" t="n">
        <v>45592</v>
      </c>
      <c r="C1362" s="2" t="n">
        <v>45593</v>
      </c>
      <c r="D1362" t="inlineStr">
        <is>
          <t>CUST-01579</t>
        </is>
      </c>
      <c r="E1362" t="inlineStr">
        <is>
          <t>Customer 1579</t>
        </is>
      </c>
      <c r="F1362" t="inlineStr">
        <is>
          <t>Consumer</t>
        </is>
      </c>
      <c r="G1362" t="inlineStr">
        <is>
          <t>P1012</t>
        </is>
      </c>
      <c r="H1362" t="inlineStr">
        <is>
          <t>ProClip Binder</t>
        </is>
      </c>
      <c r="I1362" t="inlineStr">
        <is>
          <t>Furniture</t>
        </is>
      </c>
      <c r="J1362" t="inlineStr">
        <is>
          <t>Peripherals</t>
        </is>
      </c>
      <c r="K1362" t="inlineStr">
        <is>
          <t>North</t>
        </is>
      </c>
      <c r="L1362" t="inlineStr">
        <is>
          <t>Alberta</t>
        </is>
      </c>
      <c r="M1362" t="inlineStr">
        <is>
          <t>Calgary</t>
        </is>
      </c>
      <c r="N1362" t="inlineStr">
        <is>
          <t>Liam Chen</t>
        </is>
      </c>
      <c r="O1362" t="n">
        <v>4</v>
      </c>
      <c r="P1362" s="3" t="n">
        <v>145.92</v>
      </c>
      <c r="Q1362" s="4" t="n">
        <v>0.025</v>
      </c>
      <c r="R1362" s="3" t="n">
        <v>569.09</v>
      </c>
      <c r="S1362" s="3" t="n">
        <v>284.37</v>
      </c>
      <c r="T1362" s="3" t="n">
        <v>275.52</v>
      </c>
      <c r="U1362" s="4" t="n">
        <v>0.4841</v>
      </c>
      <c r="V1362" s="3" t="n">
        <v>9.199999999999999</v>
      </c>
      <c r="W1362" t="inlineStr">
        <is>
          <t>Credit Card</t>
        </is>
      </c>
      <c r="X1362" t="inlineStr">
        <is>
          <t>High</t>
        </is>
      </c>
      <c r="Y1362" t="n">
        <v>2024</v>
      </c>
      <c r="Z1362" t="n">
        <v>10</v>
      </c>
      <c r="AA1362" t="inlineStr">
        <is>
          <t>Oct</t>
        </is>
      </c>
      <c r="AB1362" t="inlineStr">
        <is>
          <t>Sunday</t>
        </is>
      </c>
      <c r="AC1362" t="n">
        <v>1</v>
      </c>
      <c r="AD1362" t="inlineStr">
        <is>
          <t>Profitable</t>
        </is>
      </c>
      <c r="AE1362" t="inlineStr">
        <is>
          <t>Medium</t>
        </is>
      </c>
      <c r="AF1362" t="inlineStr">
        <is>
          <t>Medium</t>
        </is>
      </c>
    </row>
    <row r="1363">
      <c r="A1363" t="inlineStr">
        <is>
          <t>ORD-01585</t>
        </is>
      </c>
      <c r="B1363" s="2" t="n">
        <v>45791</v>
      </c>
      <c r="C1363" s="2" t="n">
        <v>45797</v>
      </c>
      <c r="D1363" t="inlineStr">
        <is>
          <t>CUST-01585</t>
        </is>
      </c>
      <c r="E1363" t="inlineStr">
        <is>
          <t>Customer 1585</t>
        </is>
      </c>
      <c r="F1363" t="inlineStr">
        <is>
          <t>Consumer</t>
        </is>
      </c>
      <c r="G1363" t="inlineStr">
        <is>
          <t>P1015</t>
        </is>
      </c>
      <c r="H1363" t="inlineStr">
        <is>
          <t>Lumen Desk Lamp</t>
        </is>
      </c>
      <c r="I1363" t="inlineStr">
        <is>
          <t>Office Supplies</t>
        </is>
      </c>
      <c r="J1363" t="inlineStr">
        <is>
          <t>Chairs</t>
        </is>
      </c>
      <c r="K1363" t="inlineStr">
        <is>
          <t>North</t>
        </is>
      </c>
      <c r="L1363" t="inlineStr">
        <is>
          <t>Alberta</t>
        </is>
      </c>
      <c r="M1363" t="inlineStr">
        <is>
          <t>Montreal</t>
        </is>
      </c>
      <c r="N1363" t="inlineStr">
        <is>
          <t>Mia Rodriguez</t>
        </is>
      </c>
      <c r="O1363" t="n">
        <v>3</v>
      </c>
      <c r="P1363" s="3" t="n">
        <v>64.45999999999999</v>
      </c>
      <c r="Q1363" s="4" t="n">
        <v>0.046</v>
      </c>
      <c r="R1363" s="3" t="n">
        <v>184.48</v>
      </c>
      <c r="S1363" s="3" t="n">
        <v>89.31</v>
      </c>
      <c r="T1363" s="3" t="n">
        <v>86.77</v>
      </c>
      <c r="U1363" s="4" t="n">
        <v>0.4703</v>
      </c>
      <c r="V1363" s="3" t="n">
        <v>8.4</v>
      </c>
      <c r="W1363" t="inlineStr">
        <is>
          <t>Credit Card</t>
        </is>
      </c>
      <c r="X1363" t="inlineStr">
        <is>
          <t>High</t>
        </is>
      </c>
      <c r="Y1363" t="n">
        <v>2025</v>
      </c>
      <c r="Z1363" t="n">
        <v>5</v>
      </c>
      <c r="AA1363" t="inlineStr">
        <is>
          <t>May</t>
        </is>
      </c>
      <c r="AB1363" t="inlineStr">
        <is>
          <t>Wednesday</t>
        </is>
      </c>
      <c r="AC1363" t="n">
        <v>6</v>
      </c>
      <c r="AD1363" t="inlineStr">
        <is>
          <t>Profitable</t>
        </is>
      </c>
      <c r="AE1363" t="inlineStr">
        <is>
          <t>Medium</t>
        </is>
      </c>
      <c r="AF1363" t="inlineStr">
        <is>
          <t>Small</t>
        </is>
      </c>
    </row>
    <row r="1364">
      <c r="A1364" t="inlineStr">
        <is>
          <t>ORD-01594</t>
        </is>
      </c>
      <c r="B1364" s="2" t="n">
        <v>45217</v>
      </c>
      <c r="C1364" s="2" t="n">
        <v>45224</v>
      </c>
      <c r="D1364" t="inlineStr">
        <is>
          <t>CUST-01594</t>
        </is>
      </c>
      <c r="E1364" t="inlineStr">
        <is>
          <t>Customer 1594</t>
        </is>
      </c>
      <c r="F1364" t="inlineStr">
        <is>
          <t>Consumer</t>
        </is>
      </c>
      <c r="G1364" t="inlineStr">
        <is>
          <t>P1007</t>
        </is>
      </c>
      <c r="H1364" t="inlineStr">
        <is>
          <t>SmartInk Pen Set</t>
        </is>
      </c>
      <c r="I1364" t="inlineStr">
        <is>
          <t>Office Supplies</t>
        </is>
      </c>
      <c r="J1364" t="inlineStr">
        <is>
          <t>Accessories</t>
        </is>
      </c>
      <c r="K1364" t="inlineStr">
        <is>
          <t>North</t>
        </is>
      </c>
      <c r="L1364" t="inlineStr">
        <is>
          <t>British Columbia</t>
        </is>
      </c>
      <c r="M1364" t="inlineStr">
        <is>
          <t>Montreal</t>
        </is>
      </c>
      <c r="N1364" t="inlineStr">
        <is>
          <t>Mia Rodriguez</t>
        </is>
      </c>
      <c r="O1364" t="n">
        <v>3</v>
      </c>
      <c r="P1364" s="3" t="n">
        <v>27.48</v>
      </c>
      <c r="Q1364" s="4" t="n">
        <v>0.002</v>
      </c>
      <c r="R1364" s="3" t="n">
        <v>82.28</v>
      </c>
      <c r="S1364" s="3" t="n">
        <v>35.51</v>
      </c>
      <c r="T1364" s="3" t="n">
        <v>38.37</v>
      </c>
      <c r="U1364" s="4" t="n">
        <v>0.4663</v>
      </c>
      <c r="V1364" s="3" t="n">
        <v>8.4</v>
      </c>
      <c r="W1364" t="inlineStr">
        <is>
          <t>Debit Card</t>
        </is>
      </c>
      <c r="X1364" t="inlineStr">
        <is>
          <t>Medium</t>
        </is>
      </c>
      <c r="Y1364" t="n">
        <v>2023</v>
      </c>
      <c r="Z1364" t="n">
        <v>10</v>
      </c>
      <c r="AA1364" t="inlineStr">
        <is>
          <t>Oct</t>
        </is>
      </c>
      <c r="AB1364" t="inlineStr">
        <is>
          <t>Wednesday</t>
        </is>
      </c>
      <c r="AC1364" t="n">
        <v>7</v>
      </c>
      <c r="AD1364" t="inlineStr">
        <is>
          <t>Profitable</t>
        </is>
      </c>
      <c r="AE1364" t="inlineStr">
        <is>
          <t>Low</t>
        </is>
      </c>
      <c r="AF1364" t="inlineStr">
        <is>
          <t>Small</t>
        </is>
      </c>
    </row>
    <row r="1365">
      <c r="A1365" t="inlineStr">
        <is>
          <t>ORD-01595</t>
        </is>
      </c>
      <c r="B1365" s="2" t="n">
        <v>45866</v>
      </c>
      <c r="C1365" s="2" t="n">
        <v>45873</v>
      </c>
      <c r="D1365" t="inlineStr">
        <is>
          <t>CUST-01595</t>
        </is>
      </c>
      <c r="E1365" t="inlineStr">
        <is>
          <t>Customer 1595</t>
        </is>
      </c>
      <c r="F1365" t="inlineStr">
        <is>
          <t>Consumer</t>
        </is>
      </c>
      <c r="G1365" t="inlineStr">
        <is>
          <t>P1005</t>
        </is>
      </c>
      <c r="H1365" t="inlineStr">
        <is>
          <t>FlexNote Notebook</t>
        </is>
      </c>
      <c r="I1365" t="inlineStr">
        <is>
          <t>Furniture</t>
        </is>
      </c>
      <c r="J1365" t="inlineStr">
        <is>
          <t>Plants</t>
        </is>
      </c>
      <c r="K1365" t="inlineStr">
        <is>
          <t>North</t>
        </is>
      </c>
      <c r="L1365" t="inlineStr">
        <is>
          <t>Quebec</t>
        </is>
      </c>
      <c r="M1365" t="inlineStr">
        <is>
          <t>Vancouver</t>
        </is>
      </c>
      <c r="N1365" t="inlineStr">
        <is>
          <t>Noah Kim</t>
        </is>
      </c>
      <c r="O1365" t="n">
        <v>3</v>
      </c>
      <c r="P1365" s="3" t="n">
        <v>12.62</v>
      </c>
      <c r="Q1365" s="4" t="n">
        <v>0.078</v>
      </c>
      <c r="R1365" s="3" t="n">
        <v>34.91</v>
      </c>
      <c r="S1365" s="3" t="n">
        <v>22.63</v>
      </c>
      <c r="T1365" s="3" t="n">
        <v>3.88</v>
      </c>
      <c r="U1365" s="4" t="n">
        <v>0.1111</v>
      </c>
      <c r="V1365" s="3" t="n">
        <v>8.4</v>
      </c>
      <c r="W1365" t="inlineStr">
        <is>
          <t>Credit Card</t>
        </is>
      </c>
      <c r="X1365" t="inlineStr">
        <is>
          <t>Critical</t>
        </is>
      </c>
      <c r="Y1365" t="n">
        <v>2025</v>
      </c>
      <c r="Z1365" t="n">
        <v>7</v>
      </c>
      <c r="AA1365" t="inlineStr">
        <is>
          <t>Jul</t>
        </is>
      </c>
      <c r="AB1365" t="inlineStr">
        <is>
          <t>Monday</t>
        </is>
      </c>
      <c r="AC1365" t="n">
        <v>7</v>
      </c>
      <c r="AD1365" t="inlineStr">
        <is>
          <t>Profitable</t>
        </is>
      </c>
      <c r="AE1365" t="inlineStr">
        <is>
          <t>High</t>
        </is>
      </c>
      <c r="AF1365" t="inlineStr">
        <is>
          <t>Small</t>
        </is>
      </c>
    </row>
    <row r="1366">
      <c r="A1366" t="inlineStr">
        <is>
          <t>ORD-01605</t>
        </is>
      </c>
      <c r="B1366" s="2" t="n">
        <v>45003</v>
      </c>
      <c r="C1366" s="2" t="n">
        <v>45010</v>
      </c>
      <c r="D1366" t="inlineStr">
        <is>
          <t>CUST-01605</t>
        </is>
      </c>
      <c r="E1366" t="inlineStr">
        <is>
          <t>Customer 1605</t>
        </is>
      </c>
      <c r="F1366" t="inlineStr">
        <is>
          <t>Corporate</t>
        </is>
      </c>
      <c r="G1366" t="inlineStr">
        <is>
          <t>P1008</t>
        </is>
      </c>
      <c r="H1366" t="inlineStr">
        <is>
          <t>ErgoMesh Chair</t>
        </is>
      </c>
      <c r="I1366" t="inlineStr">
        <is>
          <t>Outdoor</t>
        </is>
      </c>
      <c r="J1366" t="inlineStr">
        <is>
          <t>Peripherals</t>
        </is>
      </c>
      <c r="K1366" t="inlineStr">
        <is>
          <t>North</t>
        </is>
      </c>
      <c r="L1366" t="inlineStr">
        <is>
          <t>Quebec</t>
        </is>
      </c>
      <c r="M1366" t="inlineStr">
        <is>
          <t>Toronto</t>
        </is>
      </c>
      <c r="N1366" t="inlineStr">
        <is>
          <t>James Carter</t>
        </is>
      </c>
      <c r="O1366" t="n">
        <v>3</v>
      </c>
      <c r="P1366" s="3" t="n">
        <v>36.24</v>
      </c>
      <c r="Q1366" s="4" t="n">
        <v>0.024</v>
      </c>
      <c r="R1366" s="3" t="n">
        <v>106.11</v>
      </c>
      <c r="S1366" s="3" t="n">
        <v>48.03</v>
      </c>
      <c r="T1366" s="3" t="n">
        <v>49.68</v>
      </c>
      <c r="U1366" s="4" t="n">
        <v>0.4682</v>
      </c>
      <c r="V1366" s="3" t="n">
        <v>8.4</v>
      </c>
      <c r="W1366" t="inlineStr">
        <is>
          <t>PayPal</t>
        </is>
      </c>
      <c r="X1366" t="inlineStr">
        <is>
          <t>High</t>
        </is>
      </c>
      <c r="Y1366" t="n">
        <v>2023</v>
      </c>
      <c r="Z1366" t="n">
        <v>3</v>
      </c>
      <c r="AA1366" t="inlineStr">
        <is>
          <t>Mar</t>
        </is>
      </c>
      <c r="AB1366" t="inlineStr">
        <is>
          <t>Saturday</t>
        </is>
      </c>
      <c r="AC1366" t="n">
        <v>7</v>
      </c>
      <c r="AD1366" t="inlineStr">
        <is>
          <t>Profitable</t>
        </is>
      </c>
      <c r="AE1366" t="inlineStr">
        <is>
          <t>Medium</t>
        </is>
      </c>
      <c r="AF1366" t="inlineStr">
        <is>
          <t>Small</t>
        </is>
      </c>
    </row>
    <row r="1367">
      <c r="A1367" t="inlineStr">
        <is>
          <t>ORD-01611</t>
        </is>
      </c>
      <c r="B1367" s="2" t="n">
        <v>45998</v>
      </c>
      <c r="C1367" s="2" t="n">
        <v>46001</v>
      </c>
      <c r="D1367" t="inlineStr">
        <is>
          <t>CUST-01611</t>
        </is>
      </c>
      <c r="E1367" t="inlineStr">
        <is>
          <t>Customer 1611</t>
        </is>
      </c>
      <c r="F1367" t="inlineStr">
        <is>
          <t>Consumer</t>
        </is>
      </c>
      <c r="G1367" t="inlineStr">
        <is>
          <t>P1004</t>
        </is>
      </c>
      <c r="H1367" t="inlineStr">
        <is>
          <t>ProClip Binder</t>
        </is>
      </c>
      <c r="I1367" t="inlineStr">
        <is>
          <t>Technology</t>
        </is>
      </c>
      <c r="J1367" t="inlineStr">
        <is>
          <t>Furniture</t>
        </is>
      </c>
      <c r="K1367" t="inlineStr">
        <is>
          <t>North</t>
        </is>
      </c>
      <c r="L1367" t="inlineStr">
        <is>
          <t>Ontario</t>
        </is>
      </c>
      <c r="M1367" t="inlineStr">
        <is>
          <t>Vancouver</t>
        </is>
      </c>
      <c r="N1367" t="inlineStr">
        <is>
          <t>Liam Chen</t>
        </is>
      </c>
      <c r="O1367" t="n">
        <v>4</v>
      </c>
      <c r="P1367" s="3" t="n">
        <v>641.84</v>
      </c>
      <c r="Q1367" s="4" t="n">
        <v>0.017</v>
      </c>
      <c r="R1367" s="3" t="n">
        <v>2523.71</v>
      </c>
      <c r="S1367" s="3" t="n">
        <v>1598.45</v>
      </c>
      <c r="T1367" s="3" t="n">
        <v>916.0599999999999</v>
      </c>
      <c r="U1367" s="4" t="n">
        <v>0.363</v>
      </c>
      <c r="V1367" s="3" t="n">
        <v>9.199999999999999</v>
      </c>
      <c r="W1367" t="inlineStr">
        <is>
          <t>Bank Transfer</t>
        </is>
      </c>
      <c r="X1367" t="inlineStr">
        <is>
          <t>Medium</t>
        </is>
      </c>
      <c r="Y1367" t="n">
        <v>2025</v>
      </c>
      <c r="Z1367" t="n">
        <v>12</v>
      </c>
      <c r="AA1367" t="inlineStr">
        <is>
          <t>Dec</t>
        </is>
      </c>
      <c r="AB1367" t="inlineStr">
        <is>
          <t>Sunday</t>
        </is>
      </c>
      <c r="AC1367" t="n">
        <v>3</v>
      </c>
      <c r="AD1367" t="inlineStr">
        <is>
          <t>Profitable</t>
        </is>
      </c>
      <c r="AE1367" t="inlineStr">
        <is>
          <t>Low</t>
        </is>
      </c>
      <c r="AF1367" t="inlineStr">
        <is>
          <t>Large</t>
        </is>
      </c>
    </row>
    <row r="1368">
      <c r="A1368" t="inlineStr">
        <is>
          <t>ORD-01615</t>
        </is>
      </c>
      <c r="B1368" s="2" t="n">
        <v>45430</v>
      </c>
      <c r="C1368" s="2" t="n">
        <v>45431</v>
      </c>
      <c r="D1368" t="inlineStr">
        <is>
          <t>CUST-01615</t>
        </is>
      </c>
      <c r="E1368" t="inlineStr">
        <is>
          <t>Customer 1615</t>
        </is>
      </c>
      <c r="F1368" t="inlineStr">
        <is>
          <t>Corporate</t>
        </is>
      </c>
      <c r="G1368" t="inlineStr">
        <is>
          <t>P1011</t>
        </is>
      </c>
      <c r="H1368" t="inlineStr">
        <is>
          <t>Tide Cooler</t>
        </is>
      </c>
      <c r="I1368" t="inlineStr">
        <is>
          <t>Furniture</t>
        </is>
      </c>
      <c r="J1368" t="inlineStr">
        <is>
          <t>Decor</t>
        </is>
      </c>
      <c r="K1368" t="inlineStr">
        <is>
          <t>North</t>
        </is>
      </c>
      <c r="L1368" t="inlineStr">
        <is>
          <t>Ontario</t>
        </is>
      </c>
      <c r="M1368" t="inlineStr">
        <is>
          <t>Calgary</t>
        </is>
      </c>
      <c r="N1368" t="inlineStr">
        <is>
          <t>Liam Chen</t>
        </is>
      </c>
      <c r="O1368" t="n">
        <v>3</v>
      </c>
      <c r="P1368" s="3" t="n">
        <v>86.03</v>
      </c>
      <c r="Q1368" s="4" t="n">
        <v>0.06</v>
      </c>
      <c r="R1368" s="3" t="n">
        <v>242.6</v>
      </c>
      <c r="S1368" s="3" t="n">
        <v>117.89</v>
      </c>
      <c r="T1368" s="3" t="n">
        <v>116.31</v>
      </c>
      <c r="U1368" s="4" t="n">
        <v>0.4794</v>
      </c>
      <c r="V1368" s="3" t="n">
        <v>8.4</v>
      </c>
      <c r="W1368" t="inlineStr">
        <is>
          <t>Debit Card</t>
        </is>
      </c>
      <c r="X1368" t="inlineStr">
        <is>
          <t>High</t>
        </is>
      </c>
      <c r="Y1368" t="n">
        <v>2024</v>
      </c>
      <c r="Z1368" t="n">
        <v>5</v>
      </c>
      <c r="AA1368" t="inlineStr">
        <is>
          <t>May</t>
        </is>
      </c>
      <c r="AB1368" t="inlineStr">
        <is>
          <t>Saturday</t>
        </is>
      </c>
      <c r="AC1368" t="n">
        <v>1</v>
      </c>
      <c r="AD1368" t="inlineStr">
        <is>
          <t>Profitable</t>
        </is>
      </c>
      <c r="AE1368" t="inlineStr">
        <is>
          <t>High</t>
        </is>
      </c>
      <c r="AF1368" t="inlineStr">
        <is>
          <t>Small</t>
        </is>
      </c>
    </row>
    <row r="1369">
      <c r="A1369" t="inlineStr">
        <is>
          <t>ORD-01618</t>
        </is>
      </c>
      <c r="B1369" s="2" t="n">
        <v>46011</v>
      </c>
      <c r="C1369" s="2" t="n">
        <v>46016</v>
      </c>
      <c r="D1369" t="inlineStr">
        <is>
          <t>CUST-01618</t>
        </is>
      </c>
      <c r="E1369" t="inlineStr">
        <is>
          <t>Customer 1618</t>
        </is>
      </c>
      <c r="F1369" t="inlineStr">
        <is>
          <t>Consumer</t>
        </is>
      </c>
      <c r="G1369" t="inlineStr">
        <is>
          <t>P1020</t>
        </is>
      </c>
      <c r="H1369" t="inlineStr">
        <is>
          <t>Orbit Wireless Mouse</t>
        </is>
      </c>
      <c r="I1369" t="inlineStr">
        <is>
          <t>Office Supplies</t>
        </is>
      </c>
      <c r="J1369" t="inlineStr">
        <is>
          <t>Writing</t>
        </is>
      </c>
      <c r="K1369" t="inlineStr">
        <is>
          <t>North</t>
        </is>
      </c>
      <c r="L1369" t="inlineStr">
        <is>
          <t>Quebec</t>
        </is>
      </c>
      <c r="M1369" t="inlineStr">
        <is>
          <t>Vancouver</t>
        </is>
      </c>
      <c r="N1369" t="inlineStr">
        <is>
          <t>Olivia Martin</t>
        </is>
      </c>
      <c r="O1369" t="n">
        <v>2</v>
      </c>
      <c r="P1369" s="3" t="n">
        <v>77.20999999999999</v>
      </c>
      <c r="Q1369" s="4" t="n">
        <v>0.028</v>
      </c>
      <c r="R1369" s="3" t="n">
        <v>150.1</v>
      </c>
      <c r="S1369" s="3" t="n">
        <v>73.42</v>
      </c>
      <c r="T1369" s="3" t="n">
        <v>69.08</v>
      </c>
      <c r="U1369" s="4" t="n">
        <v>0.4602</v>
      </c>
      <c r="V1369" s="3" t="n">
        <v>7.6</v>
      </c>
      <c r="W1369" t="inlineStr">
        <is>
          <t>Credit Card</t>
        </is>
      </c>
      <c r="X1369" t="inlineStr">
        <is>
          <t>Medium</t>
        </is>
      </c>
      <c r="Y1369" t="n">
        <v>2025</v>
      </c>
      <c r="Z1369" t="n">
        <v>12</v>
      </c>
      <c r="AA1369" t="inlineStr">
        <is>
          <t>Dec</t>
        </is>
      </c>
      <c r="AB1369" t="inlineStr">
        <is>
          <t>Saturday</t>
        </is>
      </c>
      <c r="AC1369" t="n">
        <v>5</v>
      </c>
      <c r="AD1369" t="inlineStr">
        <is>
          <t>Profitable</t>
        </is>
      </c>
      <c r="AE1369" t="inlineStr">
        <is>
          <t>Medium</t>
        </is>
      </c>
      <c r="AF1369" t="inlineStr">
        <is>
          <t>Small</t>
        </is>
      </c>
    </row>
    <row r="1370">
      <c r="A1370" t="inlineStr">
        <is>
          <t>ORD-01622</t>
        </is>
      </c>
      <c r="B1370" s="2" t="n">
        <v>45132</v>
      </c>
      <c r="C1370" s="2" t="n">
        <v>45136</v>
      </c>
      <c r="D1370" t="inlineStr">
        <is>
          <t>CUST-01622</t>
        </is>
      </c>
      <c r="E1370" t="inlineStr">
        <is>
          <t>Customer 1622</t>
        </is>
      </c>
      <c r="F1370" t="inlineStr">
        <is>
          <t>Consumer</t>
        </is>
      </c>
      <c r="G1370" t="inlineStr">
        <is>
          <t>P1016</t>
        </is>
      </c>
      <c r="H1370" t="inlineStr">
        <is>
          <t>ProClip Binder</t>
        </is>
      </c>
      <c r="I1370" t="inlineStr">
        <is>
          <t>Technology</t>
        </is>
      </c>
      <c r="J1370" t="inlineStr">
        <is>
          <t>Accessories</t>
        </is>
      </c>
      <c r="K1370" t="inlineStr">
        <is>
          <t>North</t>
        </is>
      </c>
      <c r="L1370" t="inlineStr">
        <is>
          <t>Alberta</t>
        </is>
      </c>
      <c r="M1370" t="inlineStr">
        <is>
          <t>Vancouver</t>
        </is>
      </c>
      <c r="N1370" t="inlineStr">
        <is>
          <t>Sophia Singh</t>
        </is>
      </c>
      <c r="O1370" t="n">
        <v>3</v>
      </c>
      <c r="P1370" s="3" t="n">
        <v>41.82</v>
      </c>
      <c r="Q1370" s="4" t="n">
        <v>0.002</v>
      </c>
      <c r="R1370" s="3" t="n">
        <v>125.21</v>
      </c>
      <c r="S1370" s="3" t="n">
        <v>51.79</v>
      </c>
      <c r="T1370" s="3" t="n">
        <v>65.02</v>
      </c>
      <c r="U1370" s="4" t="n">
        <v>0.5193</v>
      </c>
      <c r="V1370" s="3" t="n">
        <v>8.4</v>
      </c>
      <c r="W1370" t="inlineStr">
        <is>
          <t>Debit Card</t>
        </is>
      </c>
      <c r="X1370" t="inlineStr">
        <is>
          <t>Medium</t>
        </is>
      </c>
      <c r="Y1370" t="n">
        <v>2023</v>
      </c>
      <c r="Z1370" t="n">
        <v>7</v>
      </c>
      <c r="AA1370" t="inlineStr">
        <is>
          <t>Jul</t>
        </is>
      </c>
      <c r="AB1370" t="inlineStr">
        <is>
          <t>Tuesday</t>
        </is>
      </c>
      <c r="AC1370" t="n">
        <v>4</v>
      </c>
      <c r="AD1370" t="inlineStr">
        <is>
          <t>Profitable</t>
        </is>
      </c>
      <c r="AE1370" t="inlineStr">
        <is>
          <t>Low</t>
        </is>
      </c>
      <c r="AF1370" t="inlineStr">
        <is>
          <t>Small</t>
        </is>
      </c>
    </row>
    <row r="1371">
      <c r="A1371" t="inlineStr">
        <is>
          <t>ORD-01628</t>
        </is>
      </c>
      <c r="B1371" s="2" t="n">
        <v>45527</v>
      </c>
      <c r="C1371" s="2" t="n">
        <v>45529</v>
      </c>
      <c r="D1371" t="inlineStr">
        <is>
          <t>CUST-01628</t>
        </is>
      </c>
      <c r="E1371" t="inlineStr">
        <is>
          <t>Customer 1628</t>
        </is>
      </c>
      <c r="F1371" t="inlineStr">
        <is>
          <t>Corporate</t>
        </is>
      </c>
      <c r="G1371" t="inlineStr">
        <is>
          <t>P1015</t>
        </is>
      </c>
      <c r="H1371" t="inlineStr">
        <is>
          <t>SmartInk Pen Set</t>
        </is>
      </c>
      <c r="I1371" t="inlineStr">
        <is>
          <t>Technology</t>
        </is>
      </c>
      <c r="J1371" t="inlineStr">
        <is>
          <t>Writing</t>
        </is>
      </c>
      <c r="K1371" t="inlineStr">
        <is>
          <t>North</t>
        </is>
      </c>
      <c r="L1371" t="inlineStr">
        <is>
          <t>Quebec</t>
        </is>
      </c>
      <c r="M1371" t="inlineStr">
        <is>
          <t>Montreal</t>
        </is>
      </c>
      <c r="N1371" t="inlineStr">
        <is>
          <t>Liam Chen</t>
        </is>
      </c>
      <c r="O1371" t="n">
        <v>2</v>
      </c>
      <c r="P1371" s="3" t="n">
        <v>72.13</v>
      </c>
      <c r="Q1371" s="4" t="n">
        <v>0.06899999999999999</v>
      </c>
      <c r="R1371" s="3" t="n">
        <v>134.31</v>
      </c>
      <c r="S1371" s="3" t="n">
        <v>64.41</v>
      </c>
      <c r="T1371" s="3" t="n">
        <v>62.3</v>
      </c>
      <c r="U1371" s="4" t="n">
        <v>0.4639</v>
      </c>
      <c r="V1371" s="3" t="n">
        <v>7.6</v>
      </c>
      <c r="W1371" t="inlineStr">
        <is>
          <t>Cash on Delivery</t>
        </is>
      </c>
      <c r="X1371" t="inlineStr">
        <is>
          <t>High</t>
        </is>
      </c>
      <c r="Y1371" t="n">
        <v>2024</v>
      </c>
      <c r="Z1371" t="n">
        <v>8</v>
      </c>
      <c r="AA1371" t="inlineStr">
        <is>
          <t>Aug</t>
        </is>
      </c>
      <c r="AB1371" t="inlineStr">
        <is>
          <t>Friday</t>
        </is>
      </c>
      <c r="AC1371" t="n">
        <v>2</v>
      </c>
      <c r="AD1371" t="inlineStr">
        <is>
          <t>Profitable</t>
        </is>
      </c>
      <c r="AE1371" t="inlineStr">
        <is>
          <t>High</t>
        </is>
      </c>
      <c r="AF1371" t="inlineStr">
        <is>
          <t>Small</t>
        </is>
      </c>
    </row>
    <row r="1372">
      <c r="A1372" t="inlineStr">
        <is>
          <t>ORD-01629</t>
        </is>
      </c>
      <c r="B1372" s="2" t="n">
        <v>45206</v>
      </c>
      <c r="C1372" s="2" t="n">
        <v>45212</v>
      </c>
      <c r="D1372" t="inlineStr">
        <is>
          <t>CUST-01629</t>
        </is>
      </c>
      <c r="E1372" t="inlineStr">
        <is>
          <t>Customer 1629</t>
        </is>
      </c>
      <c r="F1372" t="inlineStr">
        <is>
          <t>Home Office</t>
        </is>
      </c>
      <c r="G1372" t="inlineStr">
        <is>
          <t>P1013</t>
        </is>
      </c>
      <c r="H1372" t="inlineStr">
        <is>
          <t>FlexNote Notebook</t>
        </is>
      </c>
      <c r="I1372" t="inlineStr">
        <is>
          <t>Office Supplies</t>
        </is>
      </c>
      <c r="J1372" t="inlineStr">
        <is>
          <t>Accessories</t>
        </is>
      </c>
      <c r="K1372" t="inlineStr">
        <is>
          <t>North</t>
        </is>
      </c>
      <c r="L1372" t="inlineStr">
        <is>
          <t>British Columbia</t>
        </is>
      </c>
      <c r="M1372" t="inlineStr">
        <is>
          <t>Montreal</t>
        </is>
      </c>
      <c r="N1372" t="inlineStr">
        <is>
          <t>Ava Patel</t>
        </is>
      </c>
      <c r="O1372" t="n">
        <v>3</v>
      </c>
      <c r="P1372" s="3" t="n">
        <v>168.99</v>
      </c>
      <c r="Q1372" s="4" t="n">
        <v>0.023</v>
      </c>
      <c r="R1372" s="3" t="n">
        <v>495.31</v>
      </c>
      <c r="S1372" s="3" t="n">
        <v>285.37</v>
      </c>
      <c r="T1372" s="3" t="n">
        <v>201.54</v>
      </c>
      <c r="U1372" s="4" t="n">
        <v>0.4069</v>
      </c>
      <c r="V1372" s="3" t="n">
        <v>8.4</v>
      </c>
      <c r="W1372" t="inlineStr">
        <is>
          <t>Bank Transfer</t>
        </is>
      </c>
      <c r="X1372" t="inlineStr">
        <is>
          <t>Medium</t>
        </is>
      </c>
      <c r="Y1372" t="n">
        <v>2023</v>
      </c>
      <c r="Z1372" t="n">
        <v>10</v>
      </c>
      <c r="AA1372" t="inlineStr">
        <is>
          <t>Oct</t>
        </is>
      </c>
      <c r="AB1372" t="inlineStr">
        <is>
          <t>Saturday</t>
        </is>
      </c>
      <c r="AC1372" t="n">
        <v>6</v>
      </c>
      <c r="AD1372" t="inlineStr">
        <is>
          <t>Profitable</t>
        </is>
      </c>
      <c r="AE1372" t="inlineStr">
        <is>
          <t>Medium</t>
        </is>
      </c>
      <c r="AF1372" t="inlineStr">
        <is>
          <t>Small</t>
        </is>
      </c>
    </row>
    <row r="1373">
      <c r="A1373" t="inlineStr">
        <is>
          <t>ORD-01638</t>
        </is>
      </c>
      <c r="B1373" s="2" t="n">
        <v>45050</v>
      </c>
      <c r="C1373" s="2" t="n">
        <v>45053</v>
      </c>
      <c r="D1373" t="inlineStr">
        <is>
          <t>CUST-01638</t>
        </is>
      </c>
      <c r="E1373" t="inlineStr">
        <is>
          <t>Customer 1638</t>
        </is>
      </c>
      <c r="F1373" t="inlineStr">
        <is>
          <t>Corporate</t>
        </is>
      </c>
      <c r="G1373" t="inlineStr">
        <is>
          <t>P1011</t>
        </is>
      </c>
      <c r="H1373" t="inlineStr">
        <is>
          <t>Orbit Wireless Mouse</t>
        </is>
      </c>
      <c r="I1373" t="inlineStr">
        <is>
          <t>Furniture</t>
        </is>
      </c>
      <c r="J1373" t="inlineStr">
        <is>
          <t>Textiles</t>
        </is>
      </c>
      <c r="K1373" t="inlineStr">
        <is>
          <t>North</t>
        </is>
      </c>
      <c r="L1373" t="inlineStr">
        <is>
          <t>British Columbia</t>
        </is>
      </c>
      <c r="M1373" t="inlineStr">
        <is>
          <t>Montreal</t>
        </is>
      </c>
      <c r="N1373" t="inlineStr">
        <is>
          <t>James Carter</t>
        </is>
      </c>
      <c r="O1373" t="n">
        <v>5</v>
      </c>
      <c r="P1373" s="3" t="n">
        <v>90.59999999999999</v>
      </c>
      <c r="Q1373" s="4" t="n">
        <v>0.038</v>
      </c>
      <c r="R1373" s="3" t="n">
        <v>435.79</v>
      </c>
      <c r="S1373" s="3" t="n">
        <v>210.91</v>
      </c>
      <c r="T1373" s="3" t="n">
        <v>214.88</v>
      </c>
      <c r="U1373" s="4" t="n">
        <v>0.4931</v>
      </c>
      <c r="V1373" s="3" t="n">
        <v>10</v>
      </c>
      <c r="W1373" t="inlineStr">
        <is>
          <t>Bank Transfer</t>
        </is>
      </c>
      <c r="X1373" t="inlineStr">
        <is>
          <t>Medium</t>
        </is>
      </c>
      <c r="Y1373" t="n">
        <v>2023</v>
      </c>
      <c r="Z1373" t="n">
        <v>5</v>
      </c>
      <c r="AA1373" t="inlineStr">
        <is>
          <t>May</t>
        </is>
      </c>
      <c r="AB1373" t="inlineStr">
        <is>
          <t>Thursday</t>
        </is>
      </c>
      <c r="AC1373" t="n">
        <v>3</v>
      </c>
      <c r="AD1373" t="inlineStr">
        <is>
          <t>Profitable</t>
        </is>
      </c>
      <c r="AE1373" t="inlineStr">
        <is>
          <t>Medium</t>
        </is>
      </c>
      <c r="AF1373" t="inlineStr">
        <is>
          <t>Small</t>
        </is>
      </c>
    </row>
    <row r="1374">
      <c r="A1374" t="inlineStr">
        <is>
          <t>ORD-01640</t>
        </is>
      </c>
      <c r="B1374" s="2" t="n">
        <v>45906</v>
      </c>
      <c r="C1374" s="2" t="n">
        <v>45910</v>
      </c>
      <c r="D1374" t="inlineStr">
        <is>
          <t>CUST-01640</t>
        </is>
      </c>
      <c r="E1374" t="inlineStr">
        <is>
          <t>Customer 1640</t>
        </is>
      </c>
      <c r="F1374" t="inlineStr">
        <is>
          <t>Home Office</t>
        </is>
      </c>
      <c r="G1374" t="inlineStr">
        <is>
          <t>P1007</t>
        </is>
      </c>
      <c r="H1374" t="inlineStr">
        <is>
          <t>CloudDrive File Box</t>
        </is>
      </c>
      <c r="I1374" t="inlineStr">
        <is>
          <t>Home Decor</t>
        </is>
      </c>
      <c r="J1374" t="inlineStr">
        <is>
          <t>Bags</t>
        </is>
      </c>
      <c r="K1374" t="inlineStr">
        <is>
          <t>North</t>
        </is>
      </c>
      <c r="L1374" t="inlineStr">
        <is>
          <t>British Columbia</t>
        </is>
      </c>
      <c r="M1374" t="inlineStr">
        <is>
          <t>Montreal</t>
        </is>
      </c>
      <c r="N1374" t="inlineStr">
        <is>
          <t>Olivia Martin</t>
        </is>
      </c>
      <c r="O1374" t="n">
        <v>2</v>
      </c>
      <c r="P1374" s="3" t="n">
        <v>25.1</v>
      </c>
      <c r="Q1374" s="4" t="n">
        <v>0.025</v>
      </c>
      <c r="R1374" s="3" t="n">
        <v>48.95</v>
      </c>
      <c r="S1374" s="3" t="n">
        <v>22.03</v>
      </c>
      <c r="T1374" s="3" t="n">
        <v>19.32</v>
      </c>
      <c r="U1374" s="4" t="n">
        <v>0.3947</v>
      </c>
      <c r="V1374" s="3" t="n">
        <v>7.6</v>
      </c>
      <c r="W1374" t="inlineStr">
        <is>
          <t>Bank Transfer</t>
        </is>
      </c>
      <c r="X1374" t="inlineStr">
        <is>
          <t>Medium</t>
        </is>
      </c>
      <c r="Y1374" t="n">
        <v>2025</v>
      </c>
      <c r="Z1374" t="n">
        <v>9</v>
      </c>
      <c r="AA1374" t="inlineStr">
        <is>
          <t>Sep</t>
        </is>
      </c>
      <c r="AB1374" t="inlineStr">
        <is>
          <t>Saturday</t>
        </is>
      </c>
      <c r="AC1374" t="n">
        <v>4</v>
      </c>
      <c r="AD1374" t="inlineStr">
        <is>
          <t>Profitable</t>
        </is>
      </c>
      <c r="AE1374" t="inlineStr">
        <is>
          <t>Medium</t>
        </is>
      </c>
      <c r="AF1374" t="inlineStr">
        <is>
          <t>Small</t>
        </is>
      </c>
    </row>
    <row r="1375">
      <c r="A1375" t="inlineStr">
        <is>
          <t>ORD-01658</t>
        </is>
      </c>
      <c r="B1375" s="2" t="n">
        <v>45544</v>
      </c>
      <c r="C1375" s="2" t="n">
        <v>45551</v>
      </c>
      <c r="D1375" t="inlineStr">
        <is>
          <t>CUST-01658</t>
        </is>
      </c>
      <c r="E1375" t="inlineStr">
        <is>
          <t>Customer 1658</t>
        </is>
      </c>
      <c r="F1375" t="inlineStr">
        <is>
          <t>Corporate</t>
        </is>
      </c>
      <c r="G1375" t="inlineStr">
        <is>
          <t>P1006</t>
        </is>
      </c>
      <c r="H1375" t="inlineStr">
        <is>
          <t>Aero Standing Desk</t>
        </is>
      </c>
      <c r="I1375" t="inlineStr">
        <is>
          <t>Technology</t>
        </is>
      </c>
      <c r="J1375" t="inlineStr">
        <is>
          <t>Lighting</t>
        </is>
      </c>
      <c r="K1375" t="inlineStr">
        <is>
          <t>North</t>
        </is>
      </c>
      <c r="L1375" t="inlineStr">
        <is>
          <t>Alberta</t>
        </is>
      </c>
      <c r="M1375" t="inlineStr">
        <is>
          <t>Calgary</t>
        </is>
      </c>
      <c r="N1375" t="inlineStr">
        <is>
          <t>Liam Chen</t>
        </is>
      </c>
      <c r="O1375" t="n">
        <v>2</v>
      </c>
      <c r="P1375" s="3" t="n">
        <v>17.87</v>
      </c>
      <c r="Q1375" s="4" t="n">
        <v>0.017</v>
      </c>
      <c r="R1375" s="3" t="n">
        <v>35.13</v>
      </c>
      <c r="S1375" s="3" t="n">
        <v>15.58</v>
      </c>
      <c r="T1375" s="3" t="n">
        <v>11.95</v>
      </c>
      <c r="U1375" s="4" t="n">
        <v>0.3402</v>
      </c>
      <c r="V1375" s="3" t="n">
        <v>7.6</v>
      </c>
      <c r="W1375" t="inlineStr">
        <is>
          <t>Bank Transfer</t>
        </is>
      </c>
      <c r="X1375" t="inlineStr">
        <is>
          <t>Medium</t>
        </is>
      </c>
      <c r="Y1375" t="n">
        <v>2024</v>
      </c>
      <c r="Z1375" t="n">
        <v>9</v>
      </c>
      <c r="AA1375" t="inlineStr">
        <is>
          <t>Sep</t>
        </is>
      </c>
      <c r="AB1375" t="inlineStr">
        <is>
          <t>Monday</t>
        </is>
      </c>
      <c r="AC1375" t="n">
        <v>7</v>
      </c>
      <c r="AD1375" t="inlineStr">
        <is>
          <t>Profitable</t>
        </is>
      </c>
      <c r="AE1375" t="inlineStr">
        <is>
          <t>Low</t>
        </is>
      </c>
      <c r="AF1375" t="inlineStr">
        <is>
          <t>Small</t>
        </is>
      </c>
    </row>
    <row r="1376">
      <c r="A1376" t="inlineStr">
        <is>
          <t>ORD-01687</t>
        </is>
      </c>
      <c r="B1376" s="2" t="n">
        <v>45951</v>
      </c>
      <c r="C1376" s="2" t="n">
        <v>45956</v>
      </c>
      <c r="D1376" t="inlineStr">
        <is>
          <t>CUST-01687</t>
        </is>
      </c>
      <c r="E1376" t="inlineStr">
        <is>
          <t>Customer 1687</t>
        </is>
      </c>
      <c r="F1376" t="inlineStr">
        <is>
          <t>Consumer</t>
        </is>
      </c>
      <c r="G1376" t="inlineStr">
        <is>
          <t>P1007</t>
        </is>
      </c>
      <c r="H1376" t="inlineStr">
        <is>
          <t>Orbit Wireless Mouse</t>
        </is>
      </c>
      <c r="I1376" t="inlineStr">
        <is>
          <t>Furniture</t>
        </is>
      </c>
      <c r="J1376" t="inlineStr">
        <is>
          <t>Textiles</t>
        </is>
      </c>
      <c r="K1376" t="inlineStr">
        <is>
          <t>North</t>
        </is>
      </c>
      <c r="L1376" t="inlineStr">
        <is>
          <t>British Columbia</t>
        </is>
      </c>
      <c r="M1376" t="inlineStr">
        <is>
          <t>Montreal</t>
        </is>
      </c>
      <c r="N1376" t="inlineStr">
        <is>
          <t>Liam Chen</t>
        </is>
      </c>
      <c r="O1376" t="n">
        <v>1</v>
      </c>
      <c r="P1376" s="3" t="n">
        <v>26.36</v>
      </c>
      <c r="Q1376" s="4" t="n">
        <v>0.039</v>
      </c>
      <c r="R1376" s="3" t="n">
        <v>25.33</v>
      </c>
      <c r="S1376" s="3" t="n">
        <v>17.39</v>
      </c>
      <c r="T1376" s="3" t="n">
        <v>1.14</v>
      </c>
      <c r="U1376" s="4" t="n">
        <v>0.045</v>
      </c>
      <c r="V1376" s="3" t="n">
        <v>6.8</v>
      </c>
      <c r="W1376" t="inlineStr">
        <is>
          <t>PayPal</t>
        </is>
      </c>
      <c r="X1376" t="inlineStr">
        <is>
          <t>Critical</t>
        </is>
      </c>
      <c r="Y1376" t="n">
        <v>2025</v>
      </c>
      <c r="Z1376" t="n">
        <v>10</v>
      </c>
      <c r="AA1376" t="inlineStr">
        <is>
          <t>Oct</t>
        </is>
      </c>
      <c r="AB1376" t="inlineStr">
        <is>
          <t>Tuesday</t>
        </is>
      </c>
      <c r="AC1376" t="n">
        <v>5</v>
      </c>
      <c r="AD1376" t="inlineStr">
        <is>
          <t>Profitable</t>
        </is>
      </c>
      <c r="AE1376" t="inlineStr">
        <is>
          <t>Medium</t>
        </is>
      </c>
      <c r="AF1376" t="inlineStr">
        <is>
          <t>Small</t>
        </is>
      </c>
    </row>
    <row r="1377">
      <c r="A1377" t="inlineStr">
        <is>
          <t>ORD-01688</t>
        </is>
      </c>
      <c r="B1377" s="2" t="n">
        <v>45298</v>
      </c>
      <c r="C1377" s="2" t="n">
        <v>45305</v>
      </c>
      <c r="D1377" t="inlineStr">
        <is>
          <t>CUST-01688</t>
        </is>
      </c>
      <c r="E1377" t="inlineStr">
        <is>
          <t>Customer 1688</t>
        </is>
      </c>
      <c r="F1377" t="inlineStr">
        <is>
          <t>Consumer</t>
        </is>
      </c>
      <c r="G1377" t="inlineStr">
        <is>
          <t>P1018</t>
        </is>
      </c>
      <c r="H1377" t="inlineStr">
        <is>
          <t>FlexNote Notebook</t>
        </is>
      </c>
      <c r="I1377" t="inlineStr">
        <is>
          <t>Technology</t>
        </is>
      </c>
      <c r="J1377" t="inlineStr">
        <is>
          <t>Coolers</t>
        </is>
      </c>
      <c r="K1377" t="inlineStr">
        <is>
          <t>North</t>
        </is>
      </c>
      <c r="L1377" t="inlineStr">
        <is>
          <t>Ontario</t>
        </is>
      </c>
      <c r="M1377" t="inlineStr">
        <is>
          <t>Vancouver</t>
        </is>
      </c>
      <c r="N1377" t="inlineStr">
        <is>
          <t>Olivia Martin</t>
        </is>
      </c>
      <c r="O1377" t="n">
        <v>3</v>
      </c>
      <c r="P1377" s="3" t="n">
        <v>87.7</v>
      </c>
      <c r="Q1377" s="4" t="n">
        <v>0.02</v>
      </c>
      <c r="R1377" s="3" t="n">
        <v>257.84</v>
      </c>
      <c r="S1377" s="3" t="n">
        <v>117.76</v>
      </c>
      <c r="T1377" s="3" t="n">
        <v>131.68</v>
      </c>
      <c r="U1377" s="4" t="n">
        <v>0.5107</v>
      </c>
      <c r="V1377" s="3" t="n">
        <v>8.4</v>
      </c>
      <c r="W1377" t="inlineStr">
        <is>
          <t>Bank Transfer</t>
        </is>
      </c>
      <c r="X1377" t="inlineStr">
        <is>
          <t>High</t>
        </is>
      </c>
      <c r="Y1377" t="n">
        <v>2024</v>
      </c>
      <c r="Z1377" t="n">
        <v>1</v>
      </c>
      <c r="AA1377" t="inlineStr">
        <is>
          <t>Jan</t>
        </is>
      </c>
      <c r="AB1377" t="inlineStr">
        <is>
          <t>Sunday</t>
        </is>
      </c>
      <c r="AC1377" t="n">
        <v>7</v>
      </c>
      <c r="AD1377" t="inlineStr">
        <is>
          <t>Profitable</t>
        </is>
      </c>
      <c r="AE1377" t="inlineStr">
        <is>
          <t>Medium</t>
        </is>
      </c>
      <c r="AF1377" t="inlineStr">
        <is>
          <t>Small</t>
        </is>
      </c>
    </row>
    <row r="1378">
      <c r="A1378" t="inlineStr">
        <is>
          <t>ORD-01700</t>
        </is>
      </c>
      <c r="B1378" s="2" t="n">
        <v>45526</v>
      </c>
      <c r="C1378" s="2" t="n">
        <v>45531</v>
      </c>
      <c r="D1378" t="inlineStr">
        <is>
          <t>CUST-01700</t>
        </is>
      </c>
      <c r="E1378" t="inlineStr">
        <is>
          <t>Customer 1700</t>
        </is>
      </c>
      <c r="F1378" t="inlineStr">
        <is>
          <t>Home Office</t>
        </is>
      </c>
      <c r="G1378" t="inlineStr">
        <is>
          <t>P1016</t>
        </is>
      </c>
      <c r="H1378" t="inlineStr">
        <is>
          <t>Cove Wall Clock</t>
        </is>
      </c>
      <c r="I1378" t="inlineStr">
        <is>
          <t>Home Decor</t>
        </is>
      </c>
      <c r="J1378" t="inlineStr">
        <is>
          <t>Chairs</t>
        </is>
      </c>
      <c r="K1378" t="inlineStr">
        <is>
          <t>North</t>
        </is>
      </c>
      <c r="L1378" t="inlineStr">
        <is>
          <t>British Columbia</t>
        </is>
      </c>
      <c r="M1378" t="inlineStr">
        <is>
          <t>Montreal</t>
        </is>
      </c>
      <c r="N1378" t="inlineStr">
        <is>
          <t>Olivia Martin</t>
        </is>
      </c>
      <c r="O1378" t="n">
        <v>2</v>
      </c>
      <c r="P1378" s="3" t="n">
        <v>39.07</v>
      </c>
      <c r="Q1378" s="4" t="n">
        <v>0.022</v>
      </c>
      <c r="R1378" s="3" t="n">
        <v>76.42</v>
      </c>
      <c r="S1378" s="3" t="n">
        <v>36.29</v>
      </c>
      <c r="T1378" s="3" t="n">
        <v>32.53</v>
      </c>
      <c r="U1378" s="4" t="n">
        <v>0.4257</v>
      </c>
      <c r="V1378" s="3" t="n">
        <v>7.6</v>
      </c>
      <c r="W1378" t="inlineStr">
        <is>
          <t>Cash on Delivery</t>
        </is>
      </c>
      <c r="X1378" t="inlineStr">
        <is>
          <t>Critical</t>
        </is>
      </c>
      <c r="Y1378" t="n">
        <v>2024</v>
      </c>
      <c r="Z1378" t="n">
        <v>8</v>
      </c>
      <c r="AA1378" t="inlineStr">
        <is>
          <t>Aug</t>
        </is>
      </c>
      <c r="AB1378" t="inlineStr">
        <is>
          <t>Thursday</t>
        </is>
      </c>
      <c r="AC1378" t="n">
        <v>5</v>
      </c>
      <c r="AD1378" t="inlineStr">
        <is>
          <t>Profitable</t>
        </is>
      </c>
      <c r="AE1378" t="inlineStr">
        <is>
          <t>Medium</t>
        </is>
      </c>
      <c r="AF1378" t="inlineStr">
        <is>
          <t>Small</t>
        </is>
      </c>
    </row>
    <row r="1379">
      <c r="A1379" t="inlineStr">
        <is>
          <t>ORD-01702</t>
        </is>
      </c>
      <c r="B1379" s="2" t="n">
        <v>45475</v>
      </c>
      <c r="C1379" s="2" t="n">
        <v>45482</v>
      </c>
      <c r="D1379" t="inlineStr">
        <is>
          <t>CUST-01702</t>
        </is>
      </c>
      <c r="E1379" t="inlineStr">
        <is>
          <t>Customer 1702</t>
        </is>
      </c>
      <c r="F1379" t="inlineStr">
        <is>
          <t>Corporate</t>
        </is>
      </c>
      <c r="G1379" t="inlineStr">
        <is>
          <t>P1015</t>
        </is>
      </c>
      <c r="H1379" t="inlineStr">
        <is>
          <t>FlexNote Notebook</t>
        </is>
      </c>
      <c r="I1379" t="inlineStr">
        <is>
          <t>Office Supplies</t>
        </is>
      </c>
      <c r="J1379" t="inlineStr">
        <is>
          <t>Textiles</t>
        </is>
      </c>
      <c r="K1379" t="inlineStr">
        <is>
          <t>North</t>
        </is>
      </c>
      <c r="L1379" t="inlineStr">
        <is>
          <t>British Columbia</t>
        </is>
      </c>
      <c r="M1379" t="inlineStr">
        <is>
          <t>Montreal</t>
        </is>
      </c>
      <c r="N1379" t="inlineStr">
        <is>
          <t>Noah Kim</t>
        </is>
      </c>
      <c r="O1379" t="n">
        <v>3</v>
      </c>
      <c r="P1379" s="3" t="n">
        <v>72.95</v>
      </c>
      <c r="Q1379" s="4" t="n">
        <v>0.012</v>
      </c>
      <c r="R1379" s="3" t="n">
        <v>216.22</v>
      </c>
      <c r="S1379" s="3" t="n">
        <v>101.07</v>
      </c>
      <c r="T1379" s="3" t="n">
        <v>106.75</v>
      </c>
      <c r="U1379" s="4" t="n">
        <v>0.4937</v>
      </c>
      <c r="V1379" s="3" t="n">
        <v>8.4</v>
      </c>
      <c r="W1379" t="inlineStr">
        <is>
          <t>Cash on Delivery</t>
        </is>
      </c>
      <c r="X1379" t="inlineStr">
        <is>
          <t>Medium</t>
        </is>
      </c>
      <c r="Y1379" t="n">
        <v>2024</v>
      </c>
      <c r="Z1379" t="n">
        <v>7</v>
      </c>
      <c r="AA1379" t="inlineStr">
        <is>
          <t>Jul</t>
        </is>
      </c>
      <c r="AB1379" t="inlineStr">
        <is>
          <t>Tuesday</t>
        </is>
      </c>
      <c r="AC1379" t="n">
        <v>7</v>
      </c>
      <c r="AD1379" t="inlineStr">
        <is>
          <t>Profitable</t>
        </is>
      </c>
      <c r="AE1379" t="inlineStr">
        <is>
          <t>Low</t>
        </is>
      </c>
      <c r="AF1379" t="inlineStr">
        <is>
          <t>Small</t>
        </is>
      </c>
    </row>
    <row r="1380">
      <c r="A1380" t="inlineStr">
        <is>
          <t>ORD-01707</t>
        </is>
      </c>
      <c r="B1380" s="2" t="n">
        <v>45498</v>
      </c>
      <c r="C1380" s="2" t="n">
        <v>45504</v>
      </c>
      <c r="D1380" t="inlineStr">
        <is>
          <t>CUST-01707</t>
        </is>
      </c>
      <c r="E1380" t="inlineStr">
        <is>
          <t>Customer 1707</t>
        </is>
      </c>
      <c r="F1380" t="inlineStr">
        <is>
          <t>Consumer</t>
        </is>
      </c>
      <c r="G1380" t="inlineStr">
        <is>
          <t>P1007</t>
        </is>
      </c>
      <c r="H1380" t="inlineStr">
        <is>
          <t>Harbor Rug</t>
        </is>
      </c>
      <c r="I1380" t="inlineStr">
        <is>
          <t>Office Supplies</t>
        </is>
      </c>
      <c r="J1380" t="inlineStr">
        <is>
          <t>Textiles</t>
        </is>
      </c>
      <c r="K1380" t="inlineStr">
        <is>
          <t>North</t>
        </is>
      </c>
      <c r="L1380" t="inlineStr">
        <is>
          <t>Ontario</t>
        </is>
      </c>
      <c r="M1380" t="inlineStr">
        <is>
          <t>Montreal</t>
        </is>
      </c>
      <c r="N1380" t="inlineStr">
        <is>
          <t>Olivia Martin</t>
        </is>
      </c>
      <c r="O1380" t="n">
        <v>2</v>
      </c>
      <c r="P1380" s="3" t="n">
        <v>24.16</v>
      </c>
      <c r="Q1380" s="4" t="n">
        <v>0.006</v>
      </c>
      <c r="R1380" s="3" t="n">
        <v>48.03</v>
      </c>
      <c r="S1380" s="3" t="n">
        <v>22.9</v>
      </c>
      <c r="T1380" s="3" t="n">
        <v>17.53</v>
      </c>
      <c r="U1380" s="4" t="n">
        <v>0.365</v>
      </c>
      <c r="V1380" s="3" t="n">
        <v>7.6</v>
      </c>
      <c r="W1380" t="inlineStr">
        <is>
          <t>Credit Card</t>
        </is>
      </c>
      <c r="X1380" t="inlineStr">
        <is>
          <t>Medium</t>
        </is>
      </c>
      <c r="Y1380" t="n">
        <v>2024</v>
      </c>
      <c r="Z1380" t="n">
        <v>7</v>
      </c>
      <c r="AA1380" t="inlineStr">
        <is>
          <t>Jul</t>
        </is>
      </c>
      <c r="AB1380" t="inlineStr">
        <is>
          <t>Thursday</t>
        </is>
      </c>
      <c r="AC1380" t="n">
        <v>6</v>
      </c>
      <c r="AD1380" t="inlineStr">
        <is>
          <t>Profitable</t>
        </is>
      </c>
      <c r="AE1380" t="inlineStr">
        <is>
          <t>Low</t>
        </is>
      </c>
      <c r="AF1380" t="inlineStr">
        <is>
          <t>Small</t>
        </is>
      </c>
    </row>
    <row r="1381">
      <c r="A1381" t="inlineStr">
        <is>
          <t>ORD-01716</t>
        </is>
      </c>
      <c r="B1381" s="2" t="n">
        <v>45782</v>
      </c>
      <c r="C1381" s="2" t="n">
        <v>45788</v>
      </c>
      <c r="D1381" t="inlineStr">
        <is>
          <t>CUST-01716</t>
        </is>
      </c>
      <c r="E1381" t="inlineStr">
        <is>
          <t>Customer 1716</t>
        </is>
      </c>
      <c r="F1381" t="inlineStr">
        <is>
          <t>Consumer</t>
        </is>
      </c>
      <c r="G1381" t="inlineStr">
        <is>
          <t>P1003</t>
        </is>
      </c>
      <c r="H1381" t="inlineStr">
        <is>
          <t>Halo Planter</t>
        </is>
      </c>
      <c r="I1381" t="inlineStr">
        <is>
          <t>Home Decor</t>
        </is>
      </c>
      <c r="J1381" t="inlineStr">
        <is>
          <t>Decor</t>
        </is>
      </c>
      <c r="K1381" t="inlineStr">
        <is>
          <t>North</t>
        </is>
      </c>
      <c r="L1381" t="inlineStr">
        <is>
          <t>Quebec</t>
        </is>
      </c>
      <c r="M1381" t="inlineStr">
        <is>
          <t>Calgary</t>
        </is>
      </c>
      <c r="N1381" t="inlineStr">
        <is>
          <t>Ethan Brooks</t>
        </is>
      </c>
      <c r="O1381" t="n">
        <v>4</v>
      </c>
      <c r="P1381" s="3" t="n">
        <v>151.47</v>
      </c>
      <c r="Q1381" s="4" t="n">
        <v>0.002</v>
      </c>
      <c r="R1381" s="3" t="n">
        <v>604.67</v>
      </c>
      <c r="S1381" s="3" t="n">
        <v>312.96</v>
      </c>
      <c r="T1381" s="3" t="n">
        <v>282.51</v>
      </c>
      <c r="U1381" s="4" t="n">
        <v>0.4672</v>
      </c>
      <c r="V1381" s="3" t="n">
        <v>9.199999999999999</v>
      </c>
      <c r="W1381" t="inlineStr">
        <is>
          <t>Debit Card</t>
        </is>
      </c>
      <c r="X1381" t="inlineStr">
        <is>
          <t>Medium</t>
        </is>
      </c>
      <c r="Y1381" t="n">
        <v>2025</v>
      </c>
      <c r="Z1381" t="n">
        <v>5</v>
      </c>
      <c r="AA1381" t="inlineStr">
        <is>
          <t>May</t>
        </is>
      </c>
      <c r="AB1381" t="inlineStr">
        <is>
          <t>Monday</t>
        </is>
      </c>
      <c r="AC1381" t="n">
        <v>6</v>
      </c>
      <c r="AD1381" t="inlineStr">
        <is>
          <t>Profitable</t>
        </is>
      </c>
      <c r="AE1381" t="inlineStr">
        <is>
          <t>Low</t>
        </is>
      </c>
      <c r="AF1381" t="inlineStr">
        <is>
          <t>Medium</t>
        </is>
      </c>
    </row>
    <row r="1382">
      <c r="A1382" t="inlineStr">
        <is>
          <t>ORD-01728</t>
        </is>
      </c>
      <c r="B1382" s="2" t="n">
        <v>46011</v>
      </c>
      <c r="C1382" s="2" t="n">
        <v>46012</v>
      </c>
      <c r="D1382" t="inlineStr">
        <is>
          <t>CUST-01728</t>
        </is>
      </c>
      <c r="E1382" t="inlineStr">
        <is>
          <t>Customer 1728</t>
        </is>
      </c>
      <c r="F1382" t="inlineStr">
        <is>
          <t>Corporate</t>
        </is>
      </c>
      <c r="G1382" t="inlineStr">
        <is>
          <t>P1013</t>
        </is>
      </c>
      <c r="H1382" t="inlineStr">
        <is>
          <t>Tide Cooler</t>
        </is>
      </c>
      <c r="I1382" t="inlineStr">
        <is>
          <t>Technology</t>
        </is>
      </c>
      <c r="J1382" t="inlineStr">
        <is>
          <t>Video</t>
        </is>
      </c>
      <c r="K1382" t="inlineStr">
        <is>
          <t>North</t>
        </is>
      </c>
      <c r="L1382" t="inlineStr">
        <is>
          <t>British Columbia</t>
        </is>
      </c>
      <c r="M1382" t="inlineStr">
        <is>
          <t>Vancouver</t>
        </is>
      </c>
      <c r="N1382" t="inlineStr">
        <is>
          <t>Ava Patel</t>
        </is>
      </c>
      <c r="O1382" t="n">
        <v>1</v>
      </c>
      <c r="P1382" s="3" t="n">
        <v>164.91</v>
      </c>
      <c r="Q1382" s="4" t="n">
        <v>0.042</v>
      </c>
      <c r="R1382" s="3" t="n">
        <v>157.98</v>
      </c>
      <c r="S1382" s="3" t="n">
        <v>96.88</v>
      </c>
      <c r="T1382" s="3" t="n">
        <v>54.3</v>
      </c>
      <c r="U1382" s="4" t="n">
        <v>0.3437</v>
      </c>
      <c r="V1382" s="3" t="n">
        <v>6.8</v>
      </c>
      <c r="W1382" t="inlineStr">
        <is>
          <t>Credit Card</t>
        </is>
      </c>
      <c r="X1382" t="inlineStr">
        <is>
          <t>High</t>
        </is>
      </c>
      <c r="Y1382" t="n">
        <v>2025</v>
      </c>
      <c r="Z1382" t="n">
        <v>12</v>
      </c>
      <c r="AA1382" t="inlineStr">
        <is>
          <t>Dec</t>
        </is>
      </c>
      <c r="AB1382" t="inlineStr">
        <is>
          <t>Saturday</t>
        </is>
      </c>
      <c r="AC1382" t="n">
        <v>1</v>
      </c>
      <c r="AD1382" t="inlineStr">
        <is>
          <t>Profitable</t>
        </is>
      </c>
      <c r="AE1382" t="inlineStr">
        <is>
          <t>Medium</t>
        </is>
      </c>
      <c r="AF1382" t="inlineStr">
        <is>
          <t>Small</t>
        </is>
      </c>
    </row>
    <row r="1383">
      <c r="A1383" t="inlineStr">
        <is>
          <t>ORD-01729</t>
        </is>
      </c>
      <c r="B1383" s="2" t="n">
        <v>45834</v>
      </c>
      <c r="C1383" s="2" t="n">
        <v>45839</v>
      </c>
      <c r="D1383" t="inlineStr">
        <is>
          <t>CUST-01729</t>
        </is>
      </c>
      <c r="E1383" t="inlineStr">
        <is>
          <t>Customer 1729</t>
        </is>
      </c>
      <c r="F1383" t="inlineStr">
        <is>
          <t>Corporate</t>
        </is>
      </c>
      <c r="G1383" t="inlineStr">
        <is>
          <t>P1018</t>
        </is>
      </c>
      <c r="H1383" t="inlineStr">
        <is>
          <t>FlexNote Notebook</t>
        </is>
      </c>
      <c r="I1383" t="inlineStr">
        <is>
          <t>Home Decor</t>
        </is>
      </c>
      <c r="J1383" t="inlineStr">
        <is>
          <t>Flooring</t>
        </is>
      </c>
      <c r="K1383" t="inlineStr">
        <is>
          <t>North</t>
        </is>
      </c>
      <c r="L1383" t="inlineStr">
        <is>
          <t>British Columbia</t>
        </is>
      </c>
      <c r="M1383" t="inlineStr">
        <is>
          <t>Montreal</t>
        </is>
      </c>
      <c r="N1383" t="inlineStr">
        <is>
          <t>Ethan Brooks</t>
        </is>
      </c>
      <c r="O1383" t="n">
        <v>2</v>
      </c>
      <c r="P1383" s="3" t="n">
        <v>88.8</v>
      </c>
      <c r="Q1383" s="4" t="n">
        <v>0.03</v>
      </c>
      <c r="R1383" s="3" t="n">
        <v>172.27</v>
      </c>
      <c r="S1383" s="3" t="n">
        <v>83.48</v>
      </c>
      <c r="T1383" s="3" t="n">
        <v>81.19</v>
      </c>
      <c r="U1383" s="4" t="n">
        <v>0.4713</v>
      </c>
      <c r="V1383" s="3" t="n">
        <v>7.6</v>
      </c>
      <c r="W1383" t="inlineStr">
        <is>
          <t>Credit Card</t>
        </is>
      </c>
      <c r="X1383" t="inlineStr">
        <is>
          <t>Low</t>
        </is>
      </c>
      <c r="Y1383" t="n">
        <v>2025</v>
      </c>
      <c r="Z1383" t="n">
        <v>6</v>
      </c>
      <c r="AA1383" t="inlineStr">
        <is>
          <t>Jun</t>
        </is>
      </c>
      <c r="AB1383" t="inlineStr">
        <is>
          <t>Thursday</t>
        </is>
      </c>
      <c r="AC1383" t="n">
        <v>5</v>
      </c>
      <c r="AD1383" t="inlineStr">
        <is>
          <t>Profitable</t>
        </is>
      </c>
      <c r="AE1383" t="inlineStr">
        <is>
          <t>Medium</t>
        </is>
      </c>
      <c r="AF1383" t="inlineStr">
        <is>
          <t>Small</t>
        </is>
      </c>
    </row>
    <row r="1384">
      <c r="A1384" t="inlineStr">
        <is>
          <t>ORD-01732</t>
        </is>
      </c>
      <c r="B1384" s="2" t="n">
        <v>45364</v>
      </c>
      <c r="C1384" s="2" t="n">
        <v>45367</v>
      </c>
      <c r="D1384" t="inlineStr">
        <is>
          <t>CUST-01732</t>
        </is>
      </c>
      <c r="E1384" t="inlineStr">
        <is>
          <t>Customer 1732</t>
        </is>
      </c>
      <c r="F1384" t="inlineStr">
        <is>
          <t>Consumer</t>
        </is>
      </c>
      <c r="G1384" t="inlineStr">
        <is>
          <t>P1020</t>
        </is>
      </c>
      <c r="H1384" t="inlineStr">
        <is>
          <t>Summit Patio Set</t>
        </is>
      </c>
      <c r="I1384" t="inlineStr">
        <is>
          <t>Outdoor</t>
        </is>
      </c>
      <c r="J1384" t="inlineStr">
        <is>
          <t>Desks</t>
        </is>
      </c>
      <c r="K1384" t="inlineStr">
        <is>
          <t>North</t>
        </is>
      </c>
      <c r="L1384" t="inlineStr">
        <is>
          <t>Alberta</t>
        </is>
      </c>
      <c r="M1384" t="inlineStr">
        <is>
          <t>Calgary</t>
        </is>
      </c>
      <c r="N1384" t="inlineStr">
        <is>
          <t>Sophia Singh</t>
        </is>
      </c>
      <c r="O1384" t="n">
        <v>2</v>
      </c>
      <c r="P1384" s="3" t="n">
        <v>69.52</v>
      </c>
      <c r="Q1384" s="4" t="n">
        <v>0.003</v>
      </c>
      <c r="R1384" s="3" t="n">
        <v>138.62</v>
      </c>
      <c r="S1384" s="3" t="n">
        <v>71.84999999999999</v>
      </c>
      <c r="T1384" s="3" t="n">
        <v>59.17</v>
      </c>
      <c r="U1384" s="4" t="n">
        <v>0.4269</v>
      </c>
      <c r="V1384" s="3" t="n">
        <v>7.6</v>
      </c>
      <c r="W1384" t="inlineStr">
        <is>
          <t>PayPal</t>
        </is>
      </c>
      <c r="X1384" t="inlineStr">
        <is>
          <t>Medium</t>
        </is>
      </c>
      <c r="Y1384" t="n">
        <v>2024</v>
      </c>
      <c r="Z1384" t="n">
        <v>3</v>
      </c>
      <c r="AA1384" t="inlineStr">
        <is>
          <t>Mar</t>
        </is>
      </c>
      <c r="AB1384" t="inlineStr">
        <is>
          <t>Wednesday</t>
        </is>
      </c>
      <c r="AC1384" t="n">
        <v>3</v>
      </c>
      <c r="AD1384" t="inlineStr">
        <is>
          <t>Profitable</t>
        </is>
      </c>
      <c r="AE1384" t="inlineStr">
        <is>
          <t>Low</t>
        </is>
      </c>
      <c r="AF1384" t="inlineStr">
        <is>
          <t>Small</t>
        </is>
      </c>
    </row>
    <row r="1385">
      <c r="A1385" t="inlineStr">
        <is>
          <t>ORD-01764</t>
        </is>
      </c>
      <c r="B1385" s="2" t="n">
        <v>45563</v>
      </c>
      <c r="C1385" s="2" t="n">
        <v>45570</v>
      </c>
      <c r="D1385" t="inlineStr">
        <is>
          <t>CUST-01764</t>
        </is>
      </c>
      <c r="E1385" t="inlineStr">
        <is>
          <t>Customer 1764</t>
        </is>
      </c>
      <c r="F1385" t="inlineStr">
        <is>
          <t>Consumer</t>
        </is>
      </c>
      <c r="G1385" t="inlineStr">
        <is>
          <t>P1006</t>
        </is>
      </c>
      <c r="H1385" t="inlineStr">
        <is>
          <t>Trail Tote</t>
        </is>
      </c>
      <c r="I1385" t="inlineStr">
        <is>
          <t>Office Supplies</t>
        </is>
      </c>
      <c r="J1385" t="inlineStr">
        <is>
          <t>Writing</t>
        </is>
      </c>
      <c r="K1385" t="inlineStr">
        <is>
          <t>North</t>
        </is>
      </c>
      <c r="L1385" t="inlineStr">
        <is>
          <t>Alberta</t>
        </is>
      </c>
      <c r="M1385" t="inlineStr">
        <is>
          <t>Montreal</t>
        </is>
      </c>
      <c r="N1385" t="inlineStr">
        <is>
          <t>Noah Kim</t>
        </is>
      </c>
      <c r="O1385" t="n">
        <v>4</v>
      </c>
      <c r="P1385" s="3" t="n">
        <v>18.8</v>
      </c>
      <c r="Q1385" s="4" t="n">
        <v>0.049</v>
      </c>
      <c r="R1385" s="3" t="n">
        <v>71.52</v>
      </c>
      <c r="S1385" s="3" t="n">
        <v>26.41</v>
      </c>
      <c r="T1385" s="3" t="n">
        <v>35.91</v>
      </c>
      <c r="U1385" s="4" t="n">
        <v>0.5021</v>
      </c>
      <c r="V1385" s="3" t="n">
        <v>9.199999999999999</v>
      </c>
      <c r="W1385" t="inlineStr">
        <is>
          <t>Bank Transfer</t>
        </is>
      </c>
      <c r="X1385" t="inlineStr">
        <is>
          <t>Critical</t>
        </is>
      </c>
      <c r="Y1385" t="n">
        <v>2024</v>
      </c>
      <c r="Z1385" t="n">
        <v>9</v>
      </c>
      <c r="AA1385" t="inlineStr">
        <is>
          <t>Sep</t>
        </is>
      </c>
      <c r="AB1385" t="inlineStr">
        <is>
          <t>Saturday</t>
        </is>
      </c>
      <c r="AC1385" t="n">
        <v>7</v>
      </c>
      <c r="AD1385" t="inlineStr">
        <is>
          <t>Profitable</t>
        </is>
      </c>
      <c r="AE1385" t="inlineStr">
        <is>
          <t>Medium</t>
        </is>
      </c>
      <c r="AF1385" t="inlineStr">
        <is>
          <t>Small</t>
        </is>
      </c>
    </row>
    <row r="1386">
      <c r="A1386" t="inlineStr">
        <is>
          <t>ORD-01767</t>
        </is>
      </c>
      <c r="B1386" s="2" t="n">
        <v>45800</v>
      </c>
      <c r="C1386" s="2" t="n">
        <v>45803</v>
      </c>
      <c r="D1386" t="inlineStr">
        <is>
          <t>CUST-01767</t>
        </is>
      </c>
      <c r="E1386" t="inlineStr">
        <is>
          <t>Customer 1767</t>
        </is>
      </c>
      <c r="F1386" t="inlineStr">
        <is>
          <t>Consumer</t>
        </is>
      </c>
      <c r="G1386" t="inlineStr">
        <is>
          <t>P1004</t>
        </is>
      </c>
      <c r="H1386" t="inlineStr">
        <is>
          <t>Atlas Throw Pillow</t>
        </is>
      </c>
      <c r="I1386" t="inlineStr">
        <is>
          <t>Technology</t>
        </is>
      </c>
      <c r="J1386" t="inlineStr">
        <is>
          <t>Peripherals</t>
        </is>
      </c>
      <c r="K1386" t="inlineStr">
        <is>
          <t>North</t>
        </is>
      </c>
      <c r="L1386" t="inlineStr">
        <is>
          <t>Alberta</t>
        </is>
      </c>
      <c r="M1386" t="inlineStr">
        <is>
          <t>Montreal</t>
        </is>
      </c>
      <c r="N1386" t="inlineStr">
        <is>
          <t>Noah Kim</t>
        </is>
      </c>
      <c r="O1386" t="n">
        <v>1</v>
      </c>
      <c r="P1386" s="3" t="n">
        <v>615.16</v>
      </c>
      <c r="Q1386" s="4" t="n">
        <v>0.002</v>
      </c>
      <c r="R1386" s="3" t="n">
        <v>613.9299999999999</v>
      </c>
      <c r="S1386" s="3" t="n">
        <v>397.09</v>
      </c>
      <c r="T1386" s="3" t="n">
        <v>210.04</v>
      </c>
      <c r="U1386" s="4" t="n">
        <v>0.3421</v>
      </c>
      <c r="V1386" s="3" t="n">
        <v>6.8</v>
      </c>
      <c r="W1386" t="inlineStr">
        <is>
          <t>Debit Card</t>
        </is>
      </c>
      <c r="X1386" t="inlineStr">
        <is>
          <t>Medium</t>
        </is>
      </c>
      <c r="Y1386" t="n">
        <v>2025</v>
      </c>
      <c r="Z1386" t="n">
        <v>5</v>
      </c>
      <c r="AA1386" t="inlineStr">
        <is>
          <t>May</t>
        </is>
      </c>
      <c r="AB1386" t="inlineStr">
        <is>
          <t>Friday</t>
        </is>
      </c>
      <c r="AC1386" t="n">
        <v>3</v>
      </c>
      <c r="AD1386" t="inlineStr">
        <is>
          <t>Profitable</t>
        </is>
      </c>
      <c r="AE1386" t="inlineStr">
        <is>
          <t>Low</t>
        </is>
      </c>
      <c r="AF1386" t="inlineStr">
        <is>
          <t>Medium</t>
        </is>
      </c>
    </row>
    <row r="1387">
      <c r="A1387" t="inlineStr">
        <is>
          <t>ORD-01769</t>
        </is>
      </c>
      <c r="B1387" s="2" t="n">
        <v>45352</v>
      </c>
      <c r="C1387" s="2" t="n">
        <v>45355</v>
      </c>
      <c r="D1387" t="inlineStr">
        <is>
          <t>CUST-01769</t>
        </is>
      </c>
      <c r="E1387" t="inlineStr">
        <is>
          <t>Customer 1769</t>
        </is>
      </c>
      <c r="F1387" t="inlineStr">
        <is>
          <t>Consumer</t>
        </is>
      </c>
      <c r="G1387" t="inlineStr">
        <is>
          <t>P1015</t>
        </is>
      </c>
      <c r="H1387" t="inlineStr">
        <is>
          <t>Summit Patio Set</t>
        </is>
      </c>
      <c r="I1387" t="inlineStr">
        <is>
          <t>Furniture</t>
        </is>
      </c>
      <c r="J1387" t="inlineStr">
        <is>
          <t>Textiles</t>
        </is>
      </c>
      <c r="K1387" t="inlineStr">
        <is>
          <t>North</t>
        </is>
      </c>
      <c r="L1387" t="inlineStr">
        <is>
          <t>British Columbia</t>
        </is>
      </c>
      <c r="M1387" t="inlineStr">
        <is>
          <t>Toronto</t>
        </is>
      </c>
      <c r="N1387" t="inlineStr">
        <is>
          <t>Ethan Brooks</t>
        </is>
      </c>
      <c r="O1387" t="n">
        <v>4</v>
      </c>
      <c r="P1387" s="3" t="n">
        <v>68.45999999999999</v>
      </c>
      <c r="Q1387" s="4" t="n">
        <v>0.012</v>
      </c>
      <c r="R1387" s="3" t="n">
        <v>270.55</v>
      </c>
      <c r="S1387" s="3" t="n">
        <v>121.93</v>
      </c>
      <c r="T1387" s="3" t="n">
        <v>139.42</v>
      </c>
      <c r="U1387" s="4" t="n">
        <v>0.5153</v>
      </c>
      <c r="V1387" s="3" t="n">
        <v>9.199999999999999</v>
      </c>
      <c r="W1387" t="inlineStr">
        <is>
          <t>Cash on Delivery</t>
        </is>
      </c>
      <c r="X1387" t="inlineStr">
        <is>
          <t>Low</t>
        </is>
      </c>
      <c r="Y1387" t="n">
        <v>2024</v>
      </c>
      <c r="Z1387" t="n">
        <v>3</v>
      </c>
      <c r="AA1387" t="inlineStr">
        <is>
          <t>Mar</t>
        </is>
      </c>
      <c r="AB1387" t="inlineStr">
        <is>
          <t>Friday</t>
        </is>
      </c>
      <c r="AC1387" t="n">
        <v>3</v>
      </c>
      <c r="AD1387" t="inlineStr">
        <is>
          <t>Profitable</t>
        </is>
      </c>
      <c r="AE1387" t="inlineStr">
        <is>
          <t>Low</t>
        </is>
      </c>
      <c r="AF1387" t="inlineStr">
        <is>
          <t>Small</t>
        </is>
      </c>
    </row>
    <row r="1388">
      <c r="A1388" t="inlineStr">
        <is>
          <t>ORD-01777</t>
        </is>
      </c>
      <c r="B1388" s="2" t="n">
        <v>45780</v>
      </c>
      <c r="C1388" s="2" t="n">
        <v>45783</v>
      </c>
      <c r="D1388" t="inlineStr">
        <is>
          <t>CUST-01777</t>
        </is>
      </c>
      <c r="E1388" t="inlineStr">
        <is>
          <t>Customer 1777</t>
        </is>
      </c>
      <c r="F1388" t="inlineStr">
        <is>
          <t>Consumer</t>
        </is>
      </c>
      <c r="G1388" t="inlineStr">
        <is>
          <t>P1008</t>
        </is>
      </c>
      <c r="H1388" t="inlineStr">
        <is>
          <t>Harbor Rug</t>
        </is>
      </c>
      <c r="I1388" t="inlineStr">
        <is>
          <t>Furniture</t>
        </is>
      </c>
      <c r="J1388" t="inlineStr">
        <is>
          <t>Bags</t>
        </is>
      </c>
      <c r="K1388" t="inlineStr">
        <is>
          <t>North</t>
        </is>
      </c>
      <c r="L1388" t="inlineStr">
        <is>
          <t>Quebec</t>
        </is>
      </c>
      <c r="M1388" t="inlineStr">
        <is>
          <t>Montreal</t>
        </is>
      </c>
      <c r="N1388" t="inlineStr">
        <is>
          <t>Ava Patel</t>
        </is>
      </c>
      <c r="O1388" t="n">
        <v>2</v>
      </c>
      <c r="P1388" s="3" t="n">
        <v>36.6</v>
      </c>
      <c r="Q1388" s="4" t="n">
        <v>0.001</v>
      </c>
      <c r="R1388" s="3" t="n">
        <v>73.13</v>
      </c>
      <c r="S1388" s="3" t="n">
        <v>38.87</v>
      </c>
      <c r="T1388" s="3" t="n">
        <v>26.66</v>
      </c>
      <c r="U1388" s="4" t="n">
        <v>0.3646</v>
      </c>
      <c r="V1388" s="3" t="n">
        <v>7.6</v>
      </c>
      <c r="W1388" t="inlineStr">
        <is>
          <t>Bank Transfer</t>
        </is>
      </c>
      <c r="X1388" t="inlineStr">
        <is>
          <t>Medium</t>
        </is>
      </c>
      <c r="Y1388" t="n">
        <v>2025</v>
      </c>
      <c r="Z1388" t="n">
        <v>5</v>
      </c>
      <c r="AA1388" t="inlineStr">
        <is>
          <t>May</t>
        </is>
      </c>
      <c r="AB1388" t="inlineStr">
        <is>
          <t>Saturday</t>
        </is>
      </c>
      <c r="AC1388" t="n">
        <v>3</v>
      </c>
      <c r="AD1388" t="inlineStr">
        <is>
          <t>Profitable</t>
        </is>
      </c>
      <c r="AE1388" t="inlineStr">
        <is>
          <t>Low</t>
        </is>
      </c>
      <c r="AF1388" t="inlineStr">
        <is>
          <t>Small</t>
        </is>
      </c>
    </row>
    <row r="1389">
      <c r="A1389" t="inlineStr">
        <is>
          <t>ORD-01790</t>
        </is>
      </c>
      <c r="B1389" s="2" t="n">
        <v>45383</v>
      </c>
      <c r="C1389" s="2" t="n">
        <v>45387</v>
      </c>
      <c r="D1389" t="inlineStr">
        <is>
          <t>CUST-01790</t>
        </is>
      </c>
      <c r="E1389" t="inlineStr">
        <is>
          <t>Customer 1790</t>
        </is>
      </c>
      <c r="F1389" t="inlineStr">
        <is>
          <t>Home Office</t>
        </is>
      </c>
      <c r="G1389" t="inlineStr">
        <is>
          <t>P1009</t>
        </is>
      </c>
      <c r="H1389" t="inlineStr">
        <is>
          <t>Harbor Rug</t>
        </is>
      </c>
      <c r="I1389" t="inlineStr">
        <is>
          <t>Technology</t>
        </is>
      </c>
      <c r="J1389" t="inlineStr">
        <is>
          <t>Writing</t>
        </is>
      </c>
      <c r="K1389" t="inlineStr">
        <is>
          <t>North</t>
        </is>
      </c>
      <c r="L1389" t="inlineStr">
        <is>
          <t>Quebec</t>
        </is>
      </c>
      <c r="M1389" t="inlineStr">
        <is>
          <t>Calgary</t>
        </is>
      </c>
      <c r="N1389" t="inlineStr">
        <is>
          <t>Ethan Brooks</t>
        </is>
      </c>
      <c r="O1389" t="n">
        <v>5</v>
      </c>
      <c r="P1389" s="3" t="n">
        <v>90.43000000000001</v>
      </c>
      <c r="Q1389" s="4" t="n">
        <v>0.005</v>
      </c>
      <c r="R1389" s="3" t="n">
        <v>449.89</v>
      </c>
      <c r="S1389" s="3" t="n">
        <v>217.06</v>
      </c>
      <c r="T1389" s="3" t="n">
        <v>222.83</v>
      </c>
      <c r="U1389" s="4" t="n">
        <v>0.4953</v>
      </c>
      <c r="V1389" s="3" t="n">
        <v>10</v>
      </c>
      <c r="W1389" t="inlineStr">
        <is>
          <t>PayPal</t>
        </is>
      </c>
      <c r="X1389" t="inlineStr">
        <is>
          <t>Medium</t>
        </is>
      </c>
      <c r="Y1389" t="n">
        <v>2024</v>
      </c>
      <c r="Z1389" t="n">
        <v>4</v>
      </c>
      <c r="AA1389" t="inlineStr">
        <is>
          <t>Apr</t>
        </is>
      </c>
      <c r="AB1389" t="inlineStr">
        <is>
          <t>Monday</t>
        </is>
      </c>
      <c r="AC1389" t="n">
        <v>4</v>
      </c>
      <c r="AD1389" t="inlineStr">
        <is>
          <t>Profitable</t>
        </is>
      </c>
      <c r="AE1389" t="inlineStr">
        <is>
          <t>Low</t>
        </is>
      </c>
      <c r="AF1389" t="inlineStr">
        <is>
          <t>Small</t>
        </is>
      </c>
    </row>
    <row r="1390">
      <c r="A1390" t="inlineStr">
        <is>
          <t>ORD-01799</t>
        </is>
      </c>
      <c r="B1390" s="2" t="n">
        <v>45285</v>
      </c>
      <c r="C1390" s="2" t="n">
        <v>45291</v>
      </c>
      <c r="D1390" t="inlineStr">
        <is>
          <t>CUST-01799</t>
        </is>
      </c>
      <c r="E1390" t="inlineStr">
        <is>
          <t>Customer 1799</t>
        </is>
      </c>
      <c r="F1390" t="inlineStr">
        <is>
          <t>Corporate</t>
        </is>
      </c>
      <c r="G1390" t="inlineStr">
        <is>
          <t>P1015</t>
        </is>
      </c>
      <c r="H1390" t="inlineStr">
        <is>
          <t>SmartInk Pen Set</t>
        </is>
      </c>
      <c r="I1390" t="inlineStr">
        <is>
          <t>Home Decor</t>
        </is>
      </c>
      <c r="J1390" t="inlineStr">
        <is>
          <t>Furniture</t>
        </is>
      </c>
      <c r="K1390" t="inlineStr">
        <is>
          <t>North</t>
        </is>
      </c>
      <c r="L1390" t="inlineStr">
        <is>
          <t>British Columbia</t>
        </is>
      </c>
      <c r="M1390" t="inlineStr">
        <is>
          <t>Toronto</t>
        </is>
      </c>
      <c r="N1390" t="inlineStr">
        <is>
          <t>Liam Chen</t>
        </is>
      </c>
      <c r="O1390" t="n">
        <v>6</v>
      </c>
      <c r="P1390" s="3" t="n">
        <v>70.27</v>
      </c>
      <c r="Q1390" s="4" t="n">
        <v>0.029</v>
      </c>
      <c r="R1390" s="3" t="n">
        <v>409.39</v>
      </c>
      <c r="S1390" s="3" t="n">
        <v>176.11</v>
      </c>
      <c r="T1390" s="3" t="n">
        <v>222.48</v>
      </c>
      <c r="U1390" s="4" t="n">
        <v>0.5434</v>
      </c>
      <c r="V1390" s="3" t="n">
        <v>10.8</v>
      </c>
      <c r="W1390" t="inlineStr">
        <is>
          <t>Bank Transfer</t>
        </is>
      </c>
      <c r="X1390" t="inlineStr">
        <is>
          <t>Medium</t>
        </is>
      </c>
      <c r="Y1390" t="n">
        <v>2023</v>
      </c>
      <c r="Z1390" t="n">
        <v>12</v>
      </c>
      <c r="AA1390" t="inlineStr">
        <is>
          <t>Dec</t>
        </is>
      </c>
      <c r="AB1390" t="inlineStr">
        <is>
          <t>Monday</t>
        </is>
      </c>
      <c r="AC1390" t="n">
        <v>6</v>
      </c>
      <c r="AD1390" t="inlineStr">
        <is>
          <t>Profitable</t>
        </is>
      </c>
      <c r="AE1390" t="inlineStr">
        <is>
          <t>Medium</t>
        </is>
      </c>
      <c r="AF1390" t="inlineStr">
        <is>
          <t>Small</t>
        </is>
      </c>
    </row>
    <row r="1391">
      <c r="A1391" t="inlineStr">
        <is>
          <t>ORD-01800</t>
        </is>
      </c>
      <c r="B1391" s="2" t="n">
        <v>44966</v>
      </c>
      <c r="C1391" s="2" t="n">
        <v>44973</v>
      </c>
      <c r="D1391" t="inlineStr">
        <is>
          <t>CUST-01800</t>
        </is>
      </c>
      <c r="E1391" t="inlineStr">
        <is>
          <t>Customer 1800</t>
        </is>
      </c>
      <c r="F1391" t="inlineStr">
        <is>
          <t>Home Office</t>
        </is>
      </c>
      <c r="G1391" t="inlineStr">
        <is>
          <t>P1006</t>
        </is>
      </c>
      <c r="H1391" t="inlineStr">
        <is>
          <t>Echo Web Camera</t>
        </is>
      </c>
      <c r="I1391" t="inlineStr">
        <is>
          <t>Home Decor</t>
        </is>
      </c>
      <c r="J1391" t="inlineStr">
        <is>
          <t>Accessories</t>
        </is>
      </c>
      <c r="K1391" t="inlineStr">
        <is>
          <t>North</t>
        </is>
      </c>
      <c r="L1391" t="inlineStr">
        <is>
          <t>British Columbia</t>
        </is>
      </c>
      <c r="M1391" t="inlineStr">
        <is>
          <t>Montreal</t>
        </is>
      </c>
      <c r="N1391" t="inlineStr">
        <is>
          <t>James Carter</t>
        </is>
      </c>
      <c r="O1391" t="n">
        <v>2</v>
      </c>
      <c r="P1391" s="3" t="n">
        <v>18.43</v>
      </c>
      <c r="Q1391" s="4" t="n">
        <v>0.019</v>
      </c>
      <c r="R1391" s="3" t="n">
        <v>36.16</v>
      </c>
      <c r="S1391" s="3" t="n">
        <v>15.15</v>
      </c>
      <c r="T1391" s="3" t="n">
        <v>13.41</v>
      </c>
      <c r="U1391" s="4" t="n">
        <v>0.3709</v>
      </c>
      <c r="V1391" s="3" t="n">
        <v>7.6</v>
      </c>
      <c r="W1391" t="inlineStr">
        <is>
          <t>Cash on Delivery</t>
        </is>
      </c>
      <c r="X1391" t="inlineStr">
        <is>
          <t>Low</t>
        </is>
      </c>
      <c r="Y1391" t="n">
        <v>2023</v>
      </c>
      <c r="Z1391" t="n">
        <v>2</v>
      </c>
      <c r="AA1391" t="inlineStr">
        <is>
          <t>Feb</t>
        </is>
      </c>
      <c r="AB1391" t="inlineStr">
        <is>
          <t>Thursday</t>
        </is>
      </c>
      <c r="AC1391" t="n">
        <v>7</v>
      </c>
      <c r="AD1391" t="inlineStr">
        <is>
          <t>Profitable</t>
        </is>
      </c>
      <c r="AE1391" t="inlineStr">
        <is>
          <t>Low</t>
        </is>
      </c>
      <c r="AF1391" t="inlineStr">
        <is>
          <t>Small</t>
        </is>
      </c>
    </row>
    <row r="1392">
      <c r="A1392" t="inlineStr">
        <is>
          <t>ORD-01821</t>
        </is>
      </c>
      <c r="B1392" s="2" t="n">
        <v>45032</v>
      </c>
      <c r="C1392" s="2" t="n">
        <v>45033</v>
      </c>
      <c r="D1392" t="inlineStr">
        <is>
          <t>CUST-01821</t>
        </is>
      </c>
      <c r="E1392" t="inlineStr">
        <is>
          <t>Customer 21</t>
        </is>
      </c>
      <c r="F1392" t="inlineStr">
        <is>
          <t>Consumer</t>
        </is>
      </c>
      <c r="G1392" t="inlineStr">
        <is>
          <t>P1003</t>
        </is>
      </c>
      <c r="H1392" t="inlineStr">
        <is>
          <t>Halo Planter</t>
        </is>
      </c>
      <c r="I1392" t="inlineStr">
        <is>
          <t>Technology</t>
        </is>
      </c>
      <c r="J1392" t="inlineStr">
        <is>
          <t>Binders</t>
        </is>
      </c>
      <c r="K1392" t="inlineStr">
        <is>
          <t>North</t>
        </is>
      </c>
      <c r="L1392" t="inlineStr">
        <is>
          <t>Ontario</t>
        </is>
      </c>
      <c r="M1392" t="inlineStr">
        <is>
          <t>Calgary</t>
        </is>
      </c>
      <c r="N1392" t="inlineStr">
        <is>
          <t>Liam Chen</t>
        </is>
      </c>
      <c r="O1392" t="n">
        <v>4</v>
      </c>
      <c r="P1392" s="3" t="n">
        <v>149.08</v>
      </c>
      <c r="Q1392" s="4" t="n">
        <v>0.026</v>
      </c>
      <c r="R1392" s="3" t="n">
        <v>580.8200000000001</v>
      </c>
      <c r="S1392" s="3" t="n">
        <v>304.68</v>
      </c>
      <c r="T1392" s="3" t="n">
        <v>266.94</v>
      </c>
      <c r="U1392" s="4" t="n">
        <v>0.4596</v>
      </c>
      <c r="V1392" s="3" t="n">
        <v>9.199999999999999</v>
      </c>
      <c r="W1392" t="inlineStr">
        <is>
          <t>Credit Card</t>
        </is>
      </c>
      <c r="X1392" t="inlineStr">
        <is>
          <t>Medium</t>
        </is>
      </c>
      <c r="Y1392" t="n">
        <v>2023</v>
      </c>
      <c r="Z1392" t="n">
        <v>4</v>
      </c>
      <c r="AA1392" t="inlineStr">
        <is>
          <t>Apr</t>
        </is>
      </c>
      <c r="AB1392" t="inlineStr">
        <is>
          <t>Sunday</t>
        </is>
      </c>
      <c r="AC1392" t="n">
        <v>1</v>
      </c>
      <c r="AD1392" t="inlineStr">
        <is>
          <t>Profitable</t>
        </is>
      </c>
      <c r="AE1392" t="inlineStr">
        <is>
          <t>Medium</t>
        </is>
      </c>
      <c r="AF1392" t="inlineStr">
        <is>
          <t>Medium</t>
        </is>
      </c>
    </row>
    <row r="1393">
      <c r="A1393" t="inlineStr">
        <is>
          <t>ORD-01836</t>
        </is>
      </c>
      <c r="B1393" s="2" t="n">
        <v>45763</v>
      </c>
      <c r="C1393" s="2" t="n">
        <v>45764</v>
      </c>
      <c r="D1393" t="inlineStr">
        <is>
          <t>CUST-01836</t>
        </is>
      </c>
      <c r="E1393" t="inlineStr">
        <is>
          <t>Customer 36</t>
        </is>
      </c>
      <c r="F1393" t="inlineStr">
        <is>
          <t>Consumer</t>
        </is>
      </c>
      <c r="G1393" t="inlineStr">
        <is>
          <t>P1010</t>
        </is>
      </c>
      <c r="H1393" t="inlineStr">
        <is>
          <t>Nova Laptop Stand</t>
        </is>
      </c>
      <c r="I1393" t="inlineStr">
        <is>
          <t>Outdoor</t>
        </is>
      </c>
      <c r="J1393" t="inlineStr">
        <is>
          <t>Storage</t>
        </is>
      </c>
      <c r="K1393" t="inlineStr">
        <is>
          <t>North</t>
        </is>
      </c>
      <c r="L1393" t="inlineStr">
        <is>
          <t>Alberta</t>
        </is>
      </c>
      <c r="M1393" t="inlineStr">
        <is>
          <t>Vancouver</t>
        </is>
      </c>
      <c r="N1393" t="inlineStr">
        <is>
          <t>Mia Rodriguez</t>
        </is>
      </c>
      <c r="O1393" t="n">
        <v>2</v>
      </c>
      <c r="P1393" s="3" t="n">
        <v>56.01</v>
      </c>
      <c r="Q1393" s="4" t="n">
        <v>0.016</v>
      </c>
      <c r="R1393" s="3" t="n">
        <v>110.23</v>
      </c>
      <c r="S1393" s="3" t="n">
        <v>50.23</v>
      </c>
      <c r="T1393" s="3" t="n">
        <v>52.4</v>
      </c>
      <c r="U1393" s="4" t="n">
        <v>0.4754</v>
      </c>
      <c r="V1393" s="3" t="n">
        <v>7.6</v>
      </c>
      <c r="W1393" t="inlineStr">
        <is>
          <t>Credit Card</t>
        </is>
      </c>
      <c r="X1393" t="inlineStr">
        <is>
          <t>High</t>
        </is>
      </c>
      <c r="Y1393" t="n">
        <v>2025</v>
      </c>
      <c r="Z1393" t="n">
        <v>4</v>
      </c>
      <c r="AA1393" t="inlineStr">
        <is>
          <t>Apr</t>
        </is>
      </c>
      <c r="AB1393" t="inlineStr">
        <is>
          <t>Wednesday</t>
        </is>
      </c>
      <c r="AC1393" t="n">
        <v>1</v>
      </c>
      <c r="AD1393" t="inlineStr">
        <is>
          <t>Profitable</t>
        </is>
      </c>
      <c r="AE1393" t="inlineStr">
        <is>
          <t>Low</t>
        </is>
      </c>
      <c r="AF1393" t="inlineStr">
        <is>
          <t>Small</t>
        </is>
      </c>
    </row>
    <row r="1394">
      <c r="A1394" t="inlineStr">
        <is>
          <t>ORD-01846</t>
        </is>
      </c>
      <c r="B1394" s="2" t="n">
        <v>45269</v>
      </c>
      <c r="C1394" s="2" t="n">
        <v>45275</v>
      </c>
      <c r="D1394" t="inlineStr">
        <is>
          <t>CUST-01846</t>
        </is>
      </c>
      <c r="E1394" t="inlineStr">
        <is>
          <t>Customer 46</t>
        </is>
      </c>
      <c r="F1394" t="inlineStr">
        <is>
          <t>Consumer</t>
        </is>
      </c>
      <c r="G1394" t="inlineStr">
        <is>
          <t>P1002</t>
        </is>
      </c>
      <c r="H1394" t="inlineStr">
        <is>
          <t>Nimbus Monitor Arm</t>
        </is>
      </c>
      <c r="I1394" t="inlineStr">
        <is>
          <t>Technology</t>
        </is>
      </c>
      <c r="J1394" t="inlineStr">
        <is>
          <t>Plants</t>
        </is>
      </c>
      <c r="K1394" t="inlineStr">
        <is>
          <t>North</t>
        </is>
      </c>
      <c r="L1394" t="inlineStr">
        <is>
          <t>Alberta</t>
        </is>
      </c>
      <c r="M1394" t="inlineStr">
        <is>
          <t>Montreal</t>
        </is>
      </c>
      <c r="N1394" t="inlineStr">
        <is>
          <t>Ava Patel</t>
        </is>
      </c>
      <c r="O1394" t="n">
        <v>3</v>
      </c>
      <c r="P1394" s="3" t="n">
        <v>83.89</v>
      </c>
      <c r="Q1394" s="4" t="n">
        <v>0.026</v>
      </c>
      <c r="R1394" s="3" t="n">
        <v>245.13</v>
      </c>
      <c r="S1394" s="3" t="n">
        <v>113.65</v>
      </c>
      <c r="T1394" s="3" t="n">
        <v>123.08</v>
      </c>
      <c r="U1394" s="4" t="n">
        <v>0.5021</v>
      </c>
      <c r="V1394" s="3" t="n">
        <v>8.4</v>
      </c>
      <c r="W1394" t="inlineStr">
        <is>
          <t>PayPal</t>
        </is>
      </c>
      <c r="X1394" t="inlineStr">
        <is>
          <t>Medium</t>
        </is>
      </c>
      <c r="Y1394" t="n">
        <v>2023</v>
      </c>
      <c r="Z1394" t="n">
        <v>12</v>
      </c>
      <c r="AA1394" t="inlineStr">
        <is>
          <t>Dec</t>
        </is>
      </c>
      <c r="AB1394" t="inlineStr">
        <is>
          <t>Saturday</t>
        </is>
      </c>
      <c r="AC1394" t="n">
        <v>6</v>
      </c>
      <c r="AD1394" t="inlineStr">
        <is>
          <t>Profitable</t>
        </is>
      </c>
      <c r="AE1394" t="inlineStr">
        <is>
          <t>Medium</t>
        </is>
      </c>
      <c r="AF1394" t="inlineStr">
        <is>
          <t>Small</t>
        </is>
      </c>
    </row>
    <row r="1395">
      <c r="A1395" t="inlineStr">
        <is>
          <t>ORD-01850</t>
        </is>
      </c>
      <c r="B1395" s="2" t="n">
        <v>45621</v>
      </c>
      <c r="C1395" s="2" t="n">
        <v>45624</v>
      </c>
      <c r="D1395" t="inlineStr">
        <is>
          <t>CUST-01850</t>
        </is>
      </c>
      <c r="E1395" t="inlineStr">
        <is>
          <t>Customer 50</t>
        </is>
      </c>
      <c r="F1395" t="inlineStr">
        <is>
          <t>Corporate</t>
        </is>
      </c>
      <c r="G1395" t="inlineStr">
        <is>
          <t>P1012</t>
        </is>
      </c>
      <c r="H1395" t="inlineStr">
        <is>
          <t>Halo Planter</t>
        </is>
      </c>
      <c r="I1395" t="inlineStr">
        <is>
          <t>Office Supplies</t>
        </is>
      </c>
      <c r="J1395" t="inlineStr">
        <is>
          <t>Coolers</t>
        </is>
      </c>
      <c r="K1395" t="inlineStr">
        <is>
          <t>North</t>
        </is>
      </c>
      <c r="L1395" t="inlineStr">
        <is>
          <t>Ontario</t>
        </is>
      </c>
      <c r="M1395" t="inlineStr">
        <is>
          <t>Calgary</t>
        </is>
      </c>
      <c r="N1395" t="inlineStr">
        <is>
          <t>Sophia Singh</t>
        </is>
      </c>
      <c r="O1395" t="n">
        <v>5</v>
      </c>
      <c r="P1395" s="3" t="n">
        <v>134.3</v>
      </c>
      <c r="Q1395" s="4" t="n">
        <v>0.029</v>
      </c>
      <c r="R1395" s="3" t="n">
        <v>652.03</v>
      </c>
      <c r="S1395" s="3" t="n">
        <v>328.34</v>
      </c>
      <c r="T1395" s="3" t="n">
        <v>313.69</v>
      </c>
      <c r="U1395" s="4" t="n">
        <v>0.4811</v>
      </c>
      <c r="V1395" s="3" t="n">
        <v>10</v>
      </c>
      <c r="W1395" t="inlineStr">
        <is>
          <t>PayPal</t>
        </is>
      </c>
      <c r="X1395" t="inlineStr">
        <is>
          <t>High</t>
        </is>
      </c>
      <c r="Y1395" t="n">
        <v>2024</v>
      </c>
      <c r="Z1395" t="n">
        <v>11</v>
      </c>
      <c r="AA1395" t="inlineStr">
        <is>
          <t>Nov</t>
        </is>
      </c>
      <c r="AB1395" t="inlineStr">
        <is>
          <t>Monday</t>
        </is>
      </c>
      <c r="AC1395" t="n">
        <v>3</v>
      </c>
      <c r="AD1395" t="inlineStr">
        <is>
          <t>Profitable</t>
        </is>
      </c>
      <c r="AE1395" t="inlineStr">
        <is>
          <t>Medium</t>
        </is>
      </c>
      <c r="AF1395" t="inlineStr">
        <is>
          <t>Medium</t>
        </is>
      </c>
    </row>
    <row r="1396">
      <c r="A1396" t="inlineStr">
        <is>
          <t>ORD-01855</t>
        </is>
      </c>
      <c r="B1396" s="2" t="n">
        <v>45707</v>
      </c>
      <c r="C1396" s="2" t="n">
        <v>45708</v>
      </c>
      <c r="D1396" t="inlineStr">
        <is>
          <t>CUST-01855</t>
        </is>
      </c>
      <c r="E1396" t="inlineStr">
        <is>
          <t>Customer 55</t>
        </is>
      </c>
      <c r="F1396" t="inlineStr">
        <is>
          <t>Consumer</t>
        </is>
      </c>
      <c r="G1396" t="inlineStr">
        <is>
          <t>P1002</t>
        </is>
      </c>
      <c r="H1396" t="inlineStr">
        <is>
          <t>Pulse Keyboard</t>
        </is>
      </c>
      <c r="I1396" t="inlineStr">
        <is>
          <t>Technology</t>
        </is>
      </c>
      <c r="J1396" t="inlineStr">
        <is>
          <t>Textiles</t>
        </is>
      </c>
      <c r="K1396" t="inlineStr">
        <is>
          <t>North</t>
        </is>
      </c>
      <c r="L1396" t="inlineStr">
        <is>
          <t>British Columbia</t>
        </is>
      </c>
      <c r="M1396" t="inlineStr">
        <is>
          <t>Vancouver</t>
        </is>
      </c>
      <c r="N1396" t="inlineStr">
        <is>
          <t>Sophia Singh</t>
        </is>
      </c>
      <c r="O1396" t="n">
        <v>3</v>
      </c>
      <c r="P1396" s="3" t="n">
        <v>77.26000000000001</v>
      </c>
      <c r="Q1396" s="4" t="n">
        <v>0.04</v>
      </c>
      <c r="R1396" s="3" t="n">
        <v>222.51</v>
      </c>
      <c r="S1396" s="3" t="n">
        <v>105.86</v>
      </c>
      <c r="T1396" s="3" t="n">
        <v>108.25</v>
      </c>
      <c r="U1396" s="4" t="n">
        <v>0.4865</v>
      </c>
      <c r="V1396" s="3" t="n">
        <v>8.4</v>
      </c>
      <c r="W1396" t="inlineStr">
        <is>
          <t>Debit Card</t>
        </is>
      </c>
      <c r="X1396" t="inlineStr">
        <is>
          <t>Critical</t>
        </is>
      </c>
      <c r="Y1396" t="n">
        <v>2025</v>
      </c>
      <c r="Z1396" t="n">
        <v>2</v>
      </c>
      <c r="AA1396" t="inlineStr">
        <is>
          <t>Feb</t>
        </is>
      </c>
      <c r="AB1396" t="inlineStr">
        <is>
          <t>Wednesday</t>
        </is>
      </c>
      <c r="AC1396" t="n">
        <v>1</v>
      </c>
      <c r="AD1396" t="inlineStr">
        <is>
          <t>Profitable</t>
        </is>
      </c>
      <c r="AE1396" t="inlineStr">
        <is>
          <t>Medium</t>
        </is>
      </c>
      <c r="AF1396" t="inlineStr">
        <is>
          <t>Small</t>
        </is>
      </c>
    </row>
    <row r="1397">
      <c r="A1397" t="inlineStr">
        <is>
          <t>ORD-01857</t>
        </is>
      </c>
      <c r="B1397" s="2" t="n">
        <v>45972</v>
      </c>
      <c r="C1397" s="2" t="n">
        <v>45978</v>
      </c>
      <c r="D1397" t="inlineStr">
        <is>
          <t>CUST-01857</t>
        </is>
      </c>
      <c r="E1397" t="inlineStr">
        <is>
          <t>Customer 57</t>
        </is>
      </c>
      <c r="F1397" t="inlineStr">
        <is>
          <t>Consumer</t>
        </is>
      </c>
      <c r="G1397" t="inlineStr">
        <is>
          <t>P1004</t>
        </is>
      </c>
      <c r="H1397" t="inlineStr">
        <is>
          <t>Atlas Throw Pillow</t>
        </is>
      </c>
      <c r="I1397" t="inlineStr">
        <is>
          <t>Home Decor</t>
        </is>
      </c>
      <c r="J1397" t="inlineStr">
        <is>
          <t>Plants</t>
        </is>
      </c>
      <c r="K1397" t="inlineStr">
        <is>
          <t>North</t>
        </is>
      </c>
      <c r="L1397" t="inlineStr">
        <is>
          <t>British Columbia</t>
        </is>
      </c>
      <c r="M1397" t="inlineStr">
        <is>
          <t>Toronto</t>
        </is>
      </c>
      <c r="N1397" t="inlineStr">
        <is>
          <t>Mia Rodriguez</t>
        </is>
      </c>
      <c r="O1397" t="n">
        <v>2</v>
      </c>
      <c r="P1397" s="3" t="n">
        <v>664.73</v>
      </c>
      <c r="Q1397" s="4" t="n">
        <v>0.015</v>
      </c>
      <c r="R1397" s="3" t="n">
        <v>1309.52</v>
      </c>
      <c r="S1397" s="3" t="n">
        <v>829.86</v>
      </c>
      <c r="T1397" s="3" t="n">
        <v>472.06</v>
      </c>
      <c r="U1397" s="4" t="n">
        <v>0.3605</v>
      </c>
      <c r="V1397" s="3" t="n">
        <v>7.6</v>
      </c>
      <c r="W1397" t="inlineStr">
        <is>
          <t>Cash on Delivery</t>
        </is>
      </c>
      <c r="X1397" t="inlineStr">
        <is>
          <t>Medium</t>
        </is>
      </c>
      <c r="Y1397" t="n">
        <v>2025</v>
      </c>
      <c r="Z1397" t="n">
        <v>11</v>
      </c>
      <c r="AA1397" t="inlineStr">
        <is>
          <t>Nov</t>
        </is>
      </c>
      <c r="AB1397" t="inlineStr">
        <is>
          <t>Tuesday</t>
        </is>
      </c>
      <c r="AC1397" t="n">
        <v>6</v>
      </c>
      <c r="AD1397" t="inlineStr">
        <is>
          <t>Profitable</t>
        </is>
      </c>
      <c r="AE1397" t="inlineStr">
        <is>
          <t>Low</t>
        </is>
      </c>
      <c r="AF1397" t="inlineStr">
        <is>
          <t>Medium</t>
        </is>
      </c>
    </row>
    <row r="1398">
      <c r="A1398" t="inlineStr">
        <is>
          <t>ORD-01885</t>
        </is>
      </c>
      <c r="B1398" s="2" t="n">
        <v>45164</v>
      </c>
      <c r="C1398" s="2" t="n">
        <v>45171</v>
      </c>
      <c r="D1398" t="inlineStr">
        <is>
          <t>CUST-01885</t>
        </is>
      </c>
      <c r="E1398" t="inlineStr">
        <is>
          <t>Customer 85</t>
        </is>
      </c>
      <c r="F1398" t="inlineStr">
        <is>
          <t>Consumer</t>
        </is>
      </c>
      <c r="G1398" t="inlineStr">
        <is>
          <t>P1012</t>
        </is>
      </c>
      <c r="H1398" t="inlineStr">
        <is>
          <t>Summit Patio Set</t>
        </is>
      </c>
      <c r="I1398" t="inlineStr">
        <is>
          <t>Home Decor</t>
        </is>
      </c>
      <c r="J1398" t="inlineStr">
        <is>
          <t>Bags</t>
        </is>
      </c>
      <c r="K1398" t="inlineStr">
        <is>
          <t>North</t>
        </is>
      </c>
      <c r="L1398" t="inlineStr">
        <is>
          <t>Quebec</t>
        </is>
      </c>
      <c r="M1398" t="inlineStr">
        <is>
          <t>Vancouver</t>
        </is>
      </c>
      <c r="N1398" t="inlineStr">
        <is>
          <t>Ava Patel</t>
        </is>
      </c>
      <c r="O1398" t="n">
        <v>1</v>
      </c>
      <c r="P1398" s="3" t="n">
        <v>131.06</v>
      </c>
      <c r="Q1398" s="4" t="n">
        <v>0.01</v>
      </c>
      <c r="R1398" s="3" t="n">
        <v>129.75</v>
      </c>
      <c r="S1398" s="3" t="n">
        <v>68.09</v>
      </c>
      <c r="T1398" s="3" t="n">
        <v>54.86</v>
      </c>
      <c r="U1398" s="4" t="n">
        <v>0.4228</v>
      </c>
      <c r="V1398" s="3" t="n">
        <v>6.8</v>
      </c>
      <c r="W1398" t="inlineStr">
        <is>
          <t>Bank Transfer</t>
        </is>
      </c>
      <c r="X1398" t="inlineStr">
        <is>
          <t>Medium</t>
        </is>
      </c>
      <c r="Y1398" t="n">
        <v>2023</v>
      </c>
      <c r="Z1398" t="n">
        <v>8</v>
      </c>
      <c r="AA1398" t="inlineStr">
        <is>
          <t>Aug</t>
        </is>
      </c>
      <c r="AB1398" t="inlineStr">
        <is>
          <t>Saturday</t>
        </is>
      </c>
      <c r="AC1398" t="n">
        <v>7</v>
      </c>
      <c r="AD1398" t="inlineStr">
        <is>
          <t>Profitable</t>
        </is>
      </c>
      <c r="AE1398" t="inlineStr">
        <is>
          <t>Low</t>
        </is>
      </c>
      <c r="AF1398" t="inlineStr">
        <is>
          <t>Small</t>
        </is>
      </c>
    </row>
    <row r="1399">
      <c r="A1399" t="inlineStr">
        <is>
          <t>ORD-01888</t>
        </is>
      </c>
      <c r="B1399" s="2" t="n">
        <v>45055</v>
      </c>
      <c r="C1399" s="2" t="n">
        <v>45062</v>
      </c>
      <c r="D1399" t="inlineStr">
        <is>
          <t>CUST-01888</t>
        </is>
      </c>
      <c r="E1399" t="inlineStr">
        <is>
          <t>Customer 88</t>
        </is>
      </c>
      <c r="F1399" t="inlineStr">
        <is>
          <t>Corporate</t>
        </is>
      </c>
      <c r="G1399" t="inlineStr">
        <is>
          <t>P1015</t>
        </is>
      </c>
      <c r="H1399" t="inlineStr">
        <is>
          <t>Cove Wall Clock</t>
        </is>
      </c>
      <c r="I1399" t="inlineStr">
        <is>
          <t>Office Supplies</t>
        </is>
      </c>
      <c r="J1399" t="inlineStr">
        <is>
          <t>Furniture</t>
        </is>
      </c>
      <c r="K1399" t="inlineStr">
        <is>
          <t>North</t>
        </is>
      </c>
      <c r="L1399" t="inlineStr">
        <is>
          <t>Quebec</t>
        </is>
      </c>
      <c r="M1399" t="inlineStr">
        <is>
          <t>Calgary</t>
        </is>
      </c>
      <c r="N1399" t="inlineStr">
        <is>
          <t>Noah Kim</t>
        </is>
      </c>
      <c r="O1399" t="n">
        <v>3</v>
      </c>
      <c r="P1399" s="3" t="n">
        <v>70.11</v>
      </c>
      <c r="Q1399" s="4" t="n">
        <v>0.024</v>
      </c>
      <c r="R1399" s="3" t="n">
        <v>205.28</v>
      </c>
      <c r="S1399" s="3" t="n">
        <v>98.12</v>
      </c>
      <c r="T1399" s="3" t="n">
        <v>98.76000000000001</v>
      </c>
      <c r="U1399" s="4" t="n">
        <v>0.4811</v>
      </c>
      <c r="V1399" s="3" t="n">
        <v>8.4</v>
      </c>
      <c r="W1399" t="inlineStr">
        <is>
          <t>Credit Card</t>
        </is>
      </c>
      <c r="X1399" t="inlineStr">
        <is>
          <t>Low</t>
        </is>
      </c>
      <c r="Y1399" t="n">
        <v>2023</v>
      </c>
      <c r="Z1399" t="n">
        <v>5</v>
      </c>
      <c r="AA1399" t="inlineStr">
        <is>
          <t>May</t>
        </is>
      </c>
      <c r="AB1399" t="inlineStr">
        <is>
          <t>Tuesday</t>
        </is>
      </c>
      <c r="AC1399" t="n">
        <v>7</v>
      </c>
      <c r="AD1399" t="inlineStr">
        <is>
          <t>Profitable</t>
        </is>
      </c>
      <c r="AE1399" t="inlineStr">
        <is>
          <t>Medium</t>
        </is>
      </c>
      <c r="AF1399" t="inlineStr">
        <is>
          <t>Small</t>
        </is>
      </c>
    </row>
    <row r="1400">
      <c r="A1400" t="inlineStr">
        <is>
          <t>ORD-01901</t>
        </is>
      </c>
      <c r="B1400" s="2" t="n">
        <v>45577</v>
      </c>
      <c r="C1400" s="2" t="n">
        <v>45583</v>
      </c>
      <c r="D1400" t="inlineStr">
        <is>
          <t>CUST-01901</t>
        </is>
      </c>
      <c r="E1400" t="inlineStr">
        <is>
          <t>Customer 101</t>
        </is>
      </c>
      <c r="F1400" t="inlineStr">
        <is>
          <t>Consumer</t>
        </is>
      </c>
      <c r="G1400" t="inlineStr">
        <is>
          <t>P1006</t>
        </is>
      </c>
      <c r="H1400" t="inlineStr">
        <is>
          <t>FlexNote Notebook</t>
        </is>
      </c>
      <c r="I1400" t="inlineStr">
        <is>
          <t>Outdoor</t>
        </is>
      </c>
      <c r="J1400" t="inlineStr">
        <is>
          <t>Writing</t>
        </is>
      </c>
      <c r="K1400" t="inlineStr">
        <is>
          <t>North</t>
        </is>
      </c>
      <c r="L1400" t="inlineStr">
        <is>
          <t>Alberta</t>
        </is>
      </c>
      <c r="M1400" t="inlineStr">
        <is>
          <t>Vancouver</t>
        </is>
      </c>
      <c r="N1400" t="inlineStr">
        <is>
          <t>Mia Rodriguez</t>
        </is>
      </c>
      <c r="O1400" t="n">
        <v>2</v>
      </c>
      <c r="P1400" s="3" t="n">
        <v>19.75</v>
      </c>
      <c r="Q1400" s="4" t="n">
        <v>0.027</v>
      </c>
      <c r="R1400" s="3" t="n">
        <v>38.43</v>
      </c>
      <c r="S1400" s="3" t="n">
        <v>21.89</v>
      </c>
      <c r="T1400" s="3" t="n">
        <v>8.94</v>
      </c>
      <c r="U1400" s="4" t="n">
        <v>0.2326</v>
      </c>
      <c r="V1400" s="3" t="n">
        <v>7.6</v>
      </c>
      <c r="W1400" t="inlineStr">
        <is>
          <t>Credit Card</t>
        </is>
      </c>
      <c r="X1400" t="inlineStr">
        <is>
          <t>Critical</t>
        </is>
      </c>
      <c r="Y1400" t="n">
        <v>2024</v>
      </c>
      <c r="Z1400" t="n">
        <v>10</v>
      </c>
      <c r="AA1400" t="inlineStr">
        <is>
          <t>Oct</t>
        </is>
      </c>
      <c r="AB1400" t="inlineStr">
        <is>
          <t>Saturday</t>
        </is>
      </c>
      <c r="AC1400" t="n">
        <v>6</v>
      </c>
      <c r="AD1400" t="inlineStr">
        <is>
          <t>Profitable</t>
        </is>
      </c>
      <c r="AE1400" t="inlineStr">
        <is>
          <t>Medium</t>
        </is>
      </c>
      <c r="AF1400" t="inlineStr">
        <is>
          <t>Small</t>
        </is>
      </c>
    </row>
    <row r="1401">
      <c r="A1401" t="inlineStr">
        <is>
          <t>ORD-01919</t>
        </is>
      </c>
      <c r="B1401" s="2" t="n">
        <v>45514</v>
      </c>
      <c r="C1401" s="2" t="n">
        <v>45516</v>
      </c>
      <c r="D1401" t="inlineStr">
        <is>
          <t>CUST-01919</t>
        </is>
      </c>
      <c r="E1401" t="inlineStr">
        <is>
          <t>Customer 119</t>
        </is>
      </c>
      <c r="F1401" t="inlineStr">
        <is>
          <t>Consumer</t>
        </is>
      </c>
      <c r="G1401" t="inlineStr">
        <is>
          <t>P1016</t>
        </is>
      </c>
      <c r="H1401" t="inlineStr">
        <is>
          <t>FlexNote Notebook</t>
        </is>
      </c>
      <c r="I1401" t="inlineStr">
        <is>
          <t>Furniture</t>
        </is>
      </c>
      <c r="J1401" t="inlineStr">
        <is>
          <t>Video</t>
        </is>
      </c>
      <c r="K1401" t="inlineStr">
        <is>
          <t>North</t>
        </is>
      </c>
      <c r="L1401" t="inlineStr">
        <is>
          <t>Quebec</t>
        </is>
      </c>
      <c r="M1401" t="inlineStr">
        <is>
          <t>Toronto</t>
        </is>
      </c>
      <c r="N1401" t="inlineStr">
        <is>
          <t>Ethan Brooks</t>
        </is>
      </c>
      <c r="O1401" t="n">
        <v>3</v>
      </c>
      <c r="P1401" s="3" t="n">
        <v>38.67</v>
      </c>
      <c r="Q1401" s="4" t="n">
        <v>0.003</v>
      </c>
      <c r="R1401" s="3" t="n">
        <v>115.66</v>
      </c>
      <c r="S1401" s="3" t="n">
        <v>48.18</v>
      </c>
      <c r="T1401" s="3" t="n">
        <v>59.08</v>
      </c>
      <c r="U1401" s="4" t="n">
        <v>0.5108</v>
      </c>
      <c r="V1401" s="3" t="n">
        <v>8.4</v>
      </c>
      <c r="W1401" t="inlineStr">
        <is>
          <t>Bank Transfer</t>
        </is>
      </c>
      <c r="X1401" t="inlineStr">
        <is>
          <t>Medium</t>
        </is>
      </c>
      <c r="Y1401" t="n">
        <v>2024</v>
      </c>
      <c r="Z1401" t="n">
        <v>8</v>
      </c>
      <c r="AA1401" t="inlineStr">
        <is>
          <t>Aug</t>
        </is>
      </c>
      <c r="AB1401" t="inlineStr">
        <is>
          <t>Saturday</t>
        </is>
      </c>
      <c r="AC1401" t="n">
        <v>2</v>
      </c>
      <c r="AD1401" t="inlineStr">
        <is>
          <t>Profitable</t>
        </is>
      </c>
      <c r="AE1401" t="inlineStr">
        <is>
          <t>Low</t>
        </is>
      </c>
      <c r="AF1401" t="inlineStr">
        <is>
          <t>Small</t>
        </is>
      </c>
    </row>
    <row r="1402">
      <c r="A1402" t="inlineStr">
        <is>
          <t>ORD-01959</t>
        </is>
      </c>
      <c r="B1402" s="2" t="n">
        <v>45545</v>
      </c>
      <c r="C1402" s="2" t="n">
        <v>45546</v>
      </c>
      <c r="D1402" t="inlineStr">
        <is>
          <t>CUST-01959</t>
        </is>
      </c>
      <c r="E1402" t="inlineStr">
        <is>
          <t>Customer 159</t>
        </is>
      </c>
      <c r="F1402" t="inlineStr">
        <is>
          <t>Consumer</t>
        </is>
      </c>
      <c r="G1402" t="inlineStr">
        <is>
          <t>P1018</t>
        </is>
      </c>
      <c r="H1402" t="inlineStr">
        <is>
          <t>Aero Standing Desk</t>
        </is>
      </c>
      <c r="I1402" t="inlineStr">
        <is>
          <t>Technology</t>
        </is>
      </c>
      <c r="J1402" t="inlineStr">
        <is>
          <t>Writing</t>
        </is>
      </c>
      <c r="K1402" t="inlineStr">
        <is>
          <t>North</t>
        </is>
      </c>
      <c r="L1402" t="inlineStr">
        <is>
          <t>Alberta</t>
        </is>
      </c>
      <c r="M1402" t="inlineStr">
        <is>
          <t>Toronto</t>
        </is>
      </c>
      <c r="N1402" t="inlineStr">
        <is>
          <t>Ethan Brooks</t>
        </is>
      </c>
      <c r="O1402" t="n">
        <v>2</v>
      </c>
      <c r="P1402" s="3" t="n">
        <v>89.97</v>
      </c>
      <c r="Q1402" s="4" t="n">
        <v>0.056</v>
      </c>
      <c r="R1402" s="3" t="n">
        <v>169.86</v>
      </c>
      <c r="S1402" s="3" t="n">
        <v>79.92</v>
      </c>
      <c r="T1402" s="3" t="n">
        <v>82.34</v>
      </c>
      <c r="U1402" s="4" t="n">
        <v>0.4848</v>
      </c>
      <c r="V1402" s="3" t="n">
        <v>7.6</v>
      </c>
      <c r="W1402" t="inlineStr">
        <is>
          <t>Bank Transfer</t>
        </is>
      </c>
      <c r="X1402" t="inlineStr">
        <is>
          <t>High</t>
        </is>
      </c>
      <c r="Y1402" t="n">
        <v>2024</v>
      </c>
      <c r="Z1402" t="n">
        <v>9</v>
      </c>
      <c r="AA1402" t="inlineStr">
        <is>
          <t>Sep</t>
        </is>
      </c>
      <c r="AB1402" t="inlineStr">
        <is>
          <t>Tuesday</t>
        </is>
      </c>
      <c r="AC1402" t="n">
        <v>1</v>
      </c>
      <c r="AD1402" t="inlineStr">
        <is>
          <t>Profitable</t>
        </is>
      </c>
      <c r="AE1402" t="inlineStr">
        <is>
          <t>High</t>
        </is>
      </c>
      <c r="AF1402" t="inlineStr">
        <is>
          <t>Small</t>
        </is>
      </c>
    </row>
    <row r="1403">
      <c r="A1403" t="inlineStr">
        <is>
          <t>ORD-01962</t>
        </is>
      </c>
      <c r="B1403" s="2" t="n">
        <v>45299</v>
      </c>
      <c r="C1403" s="2" t="n">
        <v>45306</v>
      </c>
      <c r="D1403" t="inlineStr">
        <is>
          <t>CUST-01962</t>
        </is>
      </c>
      <c r="E1403" t="inlineStr">
        <is>
          <t>Customer 162</t>
        </is>
      </c>
      <c r="F1403" t="inlineStr">
        <is>
          <t>Corporate</t>
        </is>
      </c>
      <c r="G1403" t="inlineStr">
        <is>
          <t>P1001</t>
        </is>
      </c>
      <c r="H1403" t="inlineStr">
        <is>
          <t>Nova Laptop Stand</t>
        </is>
      </c>
      <c r="I1403" t="inlineStr">
        <is>
          <t>Home Decor</t>
        </is>
      </c>
      <c r="J1403" t="inlineStr">
        <is>
          <t>Plants</t>
        </is>
      </c>
      <c r="K1403" t="inlineStr">
        <is>
          <t>North</t>
        </is>
      </c>
      <c r="L1403" t="inlineStr">
        <is>
          <t>Alberta</t>
        </is>
      </c>
      <c r="M1403" t="inlineStr">
        <is>
          <t>Toronto</t>
        </is>
      </c>
      <c r="N1403" t="inlineStr">
        <is>
          <t>Sophia Singh</t>
        </is>
      </c>
      <c r="O1403" t="n">
        <v>1</v>
      </c>
      <c r="P1403" s="3" t="n">
        <v>283.51</v>
      </c>
      <c r="Q1403" s="4" t="n">
        <v>0.036</v>
      </c>
      <c r="R1403" s="3" t="n">
        <v>273.3</v>
      </c>
      <c r="S1403" s="3" t="n">
        <v>165.09</v>
      </c>
      <c r="T1403" s="3" t="n">
        <v>101.41</v>
      </c>
      <c r="U1403" s="4" t="n">
        <v>0.3711</v>
      </c>
      <c r="V1403" s="3" t="n">
        <v>6.8</v>
      </c>
      <c r="W1403" t="inlineStr">
        <is>
          <t>Bank Transfer</t>
        </is>
      </c>
      <c r="X1403" t="inlineStr">
        <is>
          <t>Critical</t>
        </is>
      </c>
      <c r="Y1403" t="n">
        <v>2024</v>
      </c>
      <c r="Z1403" t="n">
        <v>1</v>
      </c>
      <c r="AA1403" t="inlineStr">
        <is>
          <t>Jan</t>
        </is>
      </c>
      <c r="AB1403" t="inlineStr">
        <is>
          <t>Monday</t>
        </is>
      </c>
      <c r="AC1403" t="n">
        <v>7</v>
      </c>
      <c r="AD1403" t="inlineStr">
        <is>
          <t>Profitable</t>
        </is>
      </c>
      <c r="AE1403" t="inlineStr">
        <is>
          <t>Medium</t>
        </is>
      </c>
      <c r="AF1403" t="inlineStr">
        <is>
          <t>Small</t>
        </is>
      </c>
    </row>
    <row r="1404">
      <c r="A1404" t="inlineStr">
        <is>
          <t>ORD-01964</t>
        </is>
      </c>
      <c r="B1404" s="2" t="n">
        <v>45477</v>
      </c>
      <c r="C1404" s="2" t="n">
        <v>45484</v>
      </c>
      <c r="D1404" t="inlineStr">
        <is>
          <t>CUST-01964</t>
        </is>
      </c>
      <c r="E1404" t="inlineStr">
        <is>
          <t>Customer 164</t>
        </is>
      </c>
      <c r="F1404" t="inlineStr">
        <is>
          <t>Consumer</t>
        </is>
      </c>
      <c r="G1404" t="inlineStr">
        <is>
          <t>P1003</t>
        </is>
      </c>
      <c r="H1404" t="inlineStr">
        <is>
          <t>CloudDrive File Box</t>
        </is>
      </c>
      <c r="I1404" t="inlineStr">
        <is>
          <t>Home Decor</t>
        </is>
      </c>
      <c r="J1404" t="inlineStr">
        <is>
          <t>Lighting</t>
        </is>
      </c>
      <c r="K1404" t="inlineStr">
        <is>
          <t>North</t>
        </is>
      </c>
      <c r="L1404" t="inlineStr">
        <is>
          <t>British Columbia</t>
        </is>
      </c>
      <c r="M1404" t="inlineStr">
        <is>
          <t>Vancouver</t>
        </is>
      </c>
      <c r="N1404" t="inlineStr">
        <is>
          <t>Olivia Martin</t>
        </is>
      </c>
      <c r="O1404" t="n">
        <v>3</v>
      </c>
      <c r="P1404" s="3" t="n">
        <v>150.21</v>
      </c>
      <c r="Q1404" s="4" t="n">
        <v>0.031</v>
      </c>
      <c r="R1404" s="3" t="n">
        <v>436.66</v>
      </c>
      <c r="S1404" s="3" t="n">
        <v>228.52</v>
      </c>
      <c r="T1404" s="3" t="n">
        <v>199.74</v>
      </c>
      <c r="U1404" s="4" t="n">
        <v>0.4574</v>
      </c>
      <c r="V1404" s="3" t="n">
        <v>8.4</v>
      </c>
      <c r="W1404" t="inlineStr">
        <is>
          <t>Credit Card</t>
        </is>
      </c>
      <c r="X1404" t="inlineStr">
        <is>
          <t>Critical</t>
        </is>
      </c>
      <c r="Y1404" t="n">
        <v>2024</v>
      </c>
      <c r="Z1404" t="n">
        <v>7</v>
      </c>
      <c r="AA1404" t="inlineStr">
        <is>
          <t>Jul</t>
        </is>
      </c>
      <c r="AB1404" t="inlineStr">
        <is>
          <t>Thursday</t>
        </is>
      </c>
      <c r="AC1404" t="n">
        <v>7</v>
      </c>
      <c r="AD1404" t="inlineStr">
        <is>
          <t>Profitable</t>
        </is>
      </c>
      <c r="AE1404" t="inlineStr">
        <is>
          <t>Medium</t>
        </is>
      </c>
      <c r="AF1404" t="inlineStr">
        <is>
          <t>Small</t>
        </is>
      </c>
    </row>
    <row r="1405">
      <c r="A1405" t="inlineStr">
        <is>
          <t>ORD-01972</t>
        </is>
      </c>
      <c r="B1405" s="2" t="n">
        <v>45955</v>
      </c>
      <c r="C1405" s="2" t="n">
        <v>45961</v>
      </c>
      <c r="D1405" t="inlineStr">
        <is>
          <t>CUST-01972</t>
        </is>
      </c>
      <c r="E1405" t="inlineStr">
        <is>
          <t>Customer 172</t>
        </is>
      </c>
      <c r="F1405" t="inlineStr">
        <is>
          <t>Consumer</t>
        </is>
      </c>
      <c r="G1405" t="inlineStr">
        <is>
          <t>P1005</t>
        </is>
      </c>
      <c r="H1405" t="inlineStr">
        <is>
          <t>Northstar Lantern</t>
        </is>
      </c>
      <c r="I1405" t="inlineStr">
        <is>
          <t>Office Supplies</t>
        </is>
      </c>
      <c r="J1405" t="inlineStr">
        <is>
          <t>Paper</t>
        </is>
      </c>
      <c r="K1405" t="inlineStr">
        <is>
          <t>North</t>
        </is>
      </c>
      <c r="L1405" t="inlineStr">
        <is>
          <t>British Columbia</t>
        </is>
      </c>
      <c r="M1405" t="inlineStr">
        <is>
          <t>Toronto</t>
        </is>
      </c>
      <c r="N1405" t="inlineStr">
        <is>
          <t>Olivia Martin</t>
        </is>
      </c>
      <c r="O1405" t="n">
        <v>4</v>
      </c>
      <c r="P1405" s="3" t="n">
        <v>13.87</v>
      </c>
      <c r="Q1405" s="4" t="n">
        <v>0.004</v>
      </c>
      <c r="R1405" s="3" t="n">
        <v>55.26</v>
      </c>
      <c r="S1405" s="3" t="n">
        <v>27.44</v>
      </c>
      <c r="T1405" s="3" t="n">
        <v>18.62</v>
      </c>
      <c r="U1405" s="4" t="n">
        <v>0.337</v>
      </c>
      <c r="V1405" s="3" t="n">
        <v>9.199999999999999</v>
      </c>
      <c r="W1405" t="inlineStr">
        <is>
          <t>Debit Card</t>
        </is>
      </c>
      <c r="X1405" t="inlineStr">
        <is>
          <t>Medium</t>
        </is>
      </c>
      <c r="Y1405" t="n">
        <v>2025</v>
      </c>
      <c r="Z1405" t="n">
        <v>10</v>
      </c>
      <c r="AA1405" t="inlineStr">
        <is>
          <t>Oct</t>
        </is>
      </c>
      <c r="AB1405" t="inlineStr">
        <is>
          <t>Saturday</t>
        </is>
      </c>
      <c r="AC1405" t="n">
        <v>6</v>
      </c>
      <c r="AD1405" t="inlineStr">
        <is>
          <t>Profitable</t>
        </is>
      </c>
      <c r="AE1405" t="inlineStr">
        <is>
          <t>Low</t>
        </is>
      </c>
      <c r="AF1405" t="inlineStr">
        <is>
          <t>Small</t>
        </is>
      </c>
    </row>
    <row r="1406">
      <c r="A1406" t="inlineStr">
        <is>
          <t>ORD-01979</t>
        </is>
      </c>
      <c r="B1406" s="2" t="n">
        <v>45802</v>
      </c>
      <c r="C1406" s="2" t="n">
        <v>45806</v>
      </c>
      <c r="D1406" t="inlineStr">
        <is>
          <t>CUST-01979</t>
        </is>
      </c>
      <c r="E1406" t="inlineStr">
        <is>
          <t>Customer 179</t>
        </is>
      </c>
      <c r="F1406" t="inlineStr">
        <is>
          <t>Consumer</t>
        </is>
      </c>
      <c r="G1406" t="inlineStr">
        <is>
          <t>P1012</t>
        </is>
      </c>
      <c r="H1406" t="inlineStr">
        <is>
          <t>Echo Web Camera</t>
        </is>
      </c>
      <c r="I1406" t="inlineStr">
        <is>
          <t>Home Decor</t>
        </is>
      </c>
      <c r="J1406" t="inlineStr">
        <is>
          <t>Textiles</t>
        </is>
      </c>
      <c r="K1406" t="inlineStr">
        <is>
          <t>North</t>
        </is>
      </c>
      <c r="L1406" t="inlineStr">
        <is>
          <t>Alberta</t>
        </is>
      </c>
      <c r="M1406" t="inlineStr">
        <is>
          <t>Montreal</t>
        </is>
      </c>
      <c r="N1406" t="inlineStr">
        <is>
          <t>Ethan Brooks</t>
        </is>
      </c>
      <c r="O1406" t="n">
        <v>2</v>
      </c>
      <c r="P1406" s="3" t="n">
        <v>124.55</v>
      </c>
      <c r="Q1406" s="4" t="n">
        <v>0.027</v>
      </c>
      <c r="R1406" s="3" t="n">
        <v>242.37</v>
      </c>
      <c r="S1406" s="3" t="n">
        <v>124.78</v>
      </c>
      <c r="T1406" s="3" t="n">
        <v>109.99</v>
      </c>
      <c r="U1406" s="4" t="n">
        <v>0.4538</v>
      </c>
      <c r="V1406" s="3" t="n">
        <v>7.6</v>
      </c>
      <c r="W1406" t="inlineStr">
        <is>
          <t>Debit Card</t>
        </is>
      </c>
      <c r="X1406" t="inlineStr">
        <is>
          <t>Medium</t>
        </is>
      </c>
      <c r="Y1406" t="n">
        <v>2025</v>
      </c>
      <c r="Z1406" t="n">
        <v>5</v>
      </c>
      <c r="AA1406" t="inlineStr">
        <is>
          <t>May</t>
        </is>
      </c>
      <c r="AB1406" t="inlineStr">
        <is>
          <t>Sunday</t>
        </is>
      </c>
      <c r="AC1406" t="n">
        <v>4</v>
      </c>
      <c r="AD1406" t="inlineStr">
        <is>
          <t>Profitable</t>
        </is>
      </c>
      <c r="AE1406" t="inlineStr">
        <is>
          <t>Medium</t>
        </is>
      </c>
      <c r="AF1406" t="inlineStr">
        <is>
          <t>Small</t>
        </is>
      </c>
    </row>
    <row r="1407">
      <c r="A1407" t="inlineStr">
        <is>
          <t>ORD-01981</t>
        </is>
      </c>
      <c r="B1407" s="2" t="n">
        <v>44985</v>
      </c>
      <c r="C1407" s="2" t="n">
        <v>44988</v>
      </c>
      <c r="D1407" t="inlineStr">
        <is>
          <t>CUST-01981</t>
        </is>
      </c>
      <c r="E1407" t="inlineStr">
        <is>
          <t>Customer 181</t>
        </is>
      </c>
      <c r="F1407" t="inlineStr">
        <is>
          <t>Consumer</t>
        </is>
      </c>
      <c r="G1407" t="inlineStr">
        <is>
          <t>P1016</t>
        </is>
      </c>
      <c r="H1407" t="inlineStr">
        <is>
          <t>Atlas Throw Pillow</t>
        </is>
      </c>
      <c r="I1407" t="inlineStr">
        <is>
          <t>Home Decor</t>
        </is>
      </c>
      <c r="J1407" t="inlineStr">
        <is>
          <t>Paper</t>
        </is>
      </c>
      <c r="K1407" t="inlineStr">
        <is>
          <t>North</t>
        </is>
      </c>
      <c r="L1407" t="inlineStr">
        <is>
          <t>Alberta</t>
        </is>
      </c>
      <c r="M1407" t="inlineStr">
        <is>
          <t>Montreal</t>
        </is>
      </c>
      <c r="N1407" t="inlineStr">
        <is>
          <t>Olivia Martin</t>
        </is>
      </c>
      <c r="O1407" t="n">
        <v>3</v>
      </c>
      <c r="P1407" s="3" t="n">
        <v>36.67</v>
      </c>
      <c r="Q1407" s="4" t="n">
        <v>0.002</v>
      </c>
      <c r="R1407" s="3" t="n">
        <v>109.79</v>
      </c>
      <c r="S1407" s="3" t="n">
        <v>50.03</v>
      </c>
      <c r="T1407" s="3" t="n">
        <v>51.36</v>
      </c>
      <c r="U1407" s="4" t="n">
        <v>0.4678</v>
      </c>
      <c r="V1407" s="3" t="n">
        <v>8.4</v>
      </c>
      <c r="W1407" t="inlineStr">
        <is>
          <t>Credit Card</t>
        </is>
      </c>
      <c r="X1407" t="inlineStr">
        <is>
          <t>Medium</t>
        </is>
      </c>
      <c r="Y1407" t="n">
        <v>2023</v>
      </c>
      <c r="Z1407" t="n">
        <v>2</v>
      </c>
      <c r="AA1407" t="inlineStr">
        <is>
          <t>Feb</t>
        </is>
      </c>
      <c r="AB1407" t="inlineStr">
        <is>
          <t>Tuesday</t>
        </is>
      </c>
      <c r="AC1407" t="n">
        <v>3</v>
      </c>
      <c r="AD1407" t="inlineStr">
        <is>
          <t>Profitable</t>
        </is>
      </c>
      <c r="AE1407" t="inlineStr">
        <is>
          <t>Low</t>
        </is>
      </c>
      <c r="AF1407" t="inlineStr">
        <is>
          <t>Small</t>
        </is>
      </c>
    </row>
    <row r="1408">
      <c r="A1408" t="inlineStr">
        <is>
          <t>ORD-01998</t>
        </is>
      </c>
      <c r="B1408" s="2" t="n">
        <v>45087</v>
      </c>
      <c r="C1408" s="2" t="n">
        <v>45094</v>
      </c>
      <c r="D1408" t="inlineStr">
        <is>
          <t>CUST-01998</t>
        </is>
      </c>
      <c r="E1408" t="inlineStr">
        <is>
          <t>Customer 198</t>
        </is>
      </c>
      <c r="F1408" t="inlineStr">
        <is>
          <t>Corporate</t>
        </is>
      </c>
      <c r="G1408" t="inlineStr">
        <is>
          <t>P1016</t>
        </is>
      </c>
      <c r="H1408" t="inlineStr">
        <is>
          <t>CloudDrive File Box</t>
        </is>
      </c>
      <c r="I1408" t="inlineStr">
        <is>
          <t>Office Supplies</t>
        </is>
      </c>
      <c r="J1408" t="inlineStr">
        <is>
          <t>Plants</t>
        </is>
      </c>
      <c r="K1408" t="inlineStr">
        <is>
          <t>North</t>
        </is>
      </c>
      <c r="L1408" t="inlineStr">
        <is>
          <t>Ontario</t>
        </is>
      </c>
      <c r="M1408" t="inlineStr">
        <is>
          <t>Calgary</t>
        </is>
      </c>
      <c r="N1408" t="inlineStr">
        <is>
          <t>Mia Rodriguez</t>
        </is>
      </c>
      <c r="O1408" t="n">
        <v>4</v>
      </c>
      <c r="P1408" s="3" t="n">
        <v>41.51</v>
      </c>
      <c r="Q1408" s="4" t="n">
        <v>0.028</v>
      </c>
      <c r="R1408" s="3" t="n">
        <v>161.39</v>
      </c>
      <c r="S1408" s="3" t="n">
        <v>62.6</v>
      </c>
      <c r="T1408" s="3" t="n">
        <v>89.59</v>
      </c>
      <c r="U1408" s="4" t="n">
        <v>0.5551</v>
      </c>
      <c r="V1408" s="3" t="n">
        <v>9.199999999999999</v>
      </c>
      <c r="W1408" t="inlineStr">
        <is>
          <t>Credit Card</t>
        </is>
      </c>
      <c r="X1408" t="inlineStr">
        <is>
          <t>High</t>
        </is>
      </c>
      <c r="Y1408" t="n">
        <v>2023</v>
      </c>
      <c r="Z1408" t="n">
        <v>6</v>
      </c>
      <c r="AA1408" t="inlineStr">
        <is>
          <t>Jun</t>
        </is>
      </c>
      <c r="AB1408" t="inlineStr">
        <is>
          <t>Saturday</t>
        </is>
      </c>
      <c r="AC1408" t="n">
        <v>7</v>
      </c>
      <c r="AD1408" t="inlineStr">
        <is>
          <t>Profitable</t>
        </is>
      </c>
      <c r="AE1408" t="inlineStr">
        <is>
          <t>Medium</t>
        </is>
      </c>
      <c r="AF1408" t="inlineStr">
        <is>
          <t>Small</t>
        </is>
      </c>
    </row>
    <row r="1409">
      <c r="A1409" t="inlineStr">
        <is>
          <t>ORD-02006</t>
        </is>
      </c>
      <c r="B1409" s="2" t="n">
        <v>45865</v>
      </c>
      <c r="C1409" s="2" t="n">
        <v>45871</v>
      </c>
      <c r="D1409" t="inlineStr">
        <is>
          <t>CUST-02006</t>
        </is>
      </c>
      <c r="E1409" t="inlineStr">
        <is>
          <t>Customer 206</t>
        </is>
      </c>
      <c r="F1409" t="inlineStr">
        <is>
          <t>Consumer</t>
        </is>
      </c>
      <c r="G1409" t="inlineStr">
        <is>
          <t>P1018</t>
        </is>
      </c>
      <c r="H1409" t="inlineStr">
        <is>
          <t>FlexNote Notebook</t>
        </is>
      </c>
      <c r="I1409" t="inlineStr">
        <is>
          <t>Technology</t>
        </is>
      </c>
      <c r="J1409" t="inlineStr">
        <is>
          <t>Bags</t>
        </is>
      </c>
      <c r="K1409" t="inlineStr">
        <is>
          <t>North</t>
        </is>
      </c>
      <c r="L1409" t="inlineStr">
        <is>
          <t>Quebec</t>
        </is>
      </c>
      <c r="M1409" t="inlineStr">
        <is>
          <t>Vancouver</t>
        </is>
      </c>
      <c r="N1409" t="inlineStr">
        <is>
          <t>Ethan Brooks</t>
        </is>
      </c>
      <c r="O1409" t="n">
        <v>2</v>
      </c>
      <c r="P1409" s="3" t="n">
        <v>91.31999999999999</v>
      </c>
      <c r="Q1409" s="4" t="n">
        <v>0.054</v>
      </c>
      <c r="R1409" s="3" t="n">
        <v>172.78</v>
      </c>
      <c r="S1409" s="3" t="n">
        <v>83.95</v>
      </c>
      <c r="T1409" s="3" t="n">
        <v>81.23</v>
      </c>
      <c r="U1409" s="4" t="n">
        <v>0.4701</v>
      </c>
      <c r="V1409" s="3" t="n">
        <v>7.6</v>
      </c>
      <c r="W1409" t="inlineStr">
        <is>
          <t>Cash on Delivery</t>
        </is>
      </c>
      <c r="X1409" t="inlineStr">
        <is>
          <t>High</t>
        </is>
      </c>
      <c r="Y1409" t="n">
        <v>2025</v>
      </c>
      <c r="Z1409" t="n">
        <v>7</v>
      </c>
      <c r="AA1409" t="inlineStr">
        <is>
          <t>Jul</t>
        </is>
      </c>
      <c r="AB1409" t="inlineStr">
        <is>
          <t>Sunday</t>
        </is>
      </c>
      <c r="AC1409" t="n">
        <v>6</v>
      </c>
      <c r="AD1409" t="inlineStr">
        <is>
          <t>Profitable</t>
        </is>
      </c>
      <c r="AE1409" t="inlineStr">
        <is>
          <t>High</t>
        </is>
      </c>
      <c r="AF1409" t="inlineStr">
        <is>
          <t>Small</t>
        </is>
      </c>
    </row>
    <row r="1410">
      <c r="A1410" t="inlineStr">
        <is>
          <t>ORD-02014</t>
        </is>
      </c>
      <c r="B1410" s="2" t="n">
        <v>45202</v>
      </c>
      <c r="C1410" s="2" t="n">
        <v>45207</v>
      </c>
      <c r="D1410" t="inlineStr">
        <is>
          <t>CUST-02014</t>
        </is>
      </c>
      <c r="E1410" t="inlineStr">
        <is>
          <t>Customer 214</t>
        </is>
      </c>
      <c r="F1410" t="inlineStr">
        <is>
          <t>Corporate</t>
        </is>
      </c>
      <c r="G1410" t="inlineStr">
        <is>
          <t>P1009</t>
        </is>
      </c>
      <c r="H1410" t="inlineStr">
        <is>
          <t>ProClip Binder</t>
        </is>
      </c>
      <c r="I1410" t="inlineStr">
        <is>
          <t>Outdoor</t>
        </is>
      </c>
      <c r="J1410" t="inlineStr">
        <is>
          <t>Chairs</t>
        </is>
      </c>
      <c r="K1410" t="inlineStr">
        <is>
          <t>North</t>
        </is>
      </c>
      <c r="L1410" t="inlineStr">
        <is>
          <t>Alberta</t>
        </is>
      </c>
      <c r="M1410" t="inlineStr">
        <is>
          <t>Calgary</t>
        </is>
      </c>
      <c r="N1410" t="inlineStr">
        <is>
          <t>Olivia Martin</t>
        </is>
      </c>
      <c r="O1410" t="n">
        <v>3</v>
      </c>
      <c r="P1410" s="3" t="n">
        <v>97.94</v>
      </c>
      <c r="Q1410" s="4" t="n">
        <v>0.032</v>
      </c>
      <c r="R1410" s="3" t="n">
        <v>284.42</v>
      </c>
      <c r="S1410" s="3" t="n">
        <v>143.86</v>
      </c>
      <c r="T1410" s="3" t="n">
        <v>132.16</v>
      </c>
      <c r="U1410" s="4" t="n">
        <v>0.4647</v>
      </c>
      <c r="V1410" s="3" t="n">
        <v>8.4</v>
      </c>
      <c r="W1410" t="inlineStr">
        <is>
          <t>Bank Transfer</t>
        </is>
      </c>
      <c r="X1410" t="inlineStr">
        <is>
          <t>High</t>
        </is>
      </c>
      <c r="Y1410" t="n">
        <v>2023</v>
      </c>
      <c r="Z1410" t="n">
        <v>10</v>
      </c>
      <c r="AA1410" t="inlineStr">
        <is>
          <t>Oct</t>
        </is>
      </c>
      <c r="AB1410" t="inlineStr">
        <is>
          <t>Tuesday</t>
        </is>
      </c>
      <c r="AC1410" t="n">
        <v>5</v>
      </c>
      <c r="AD1410" t="inlineStr">
        <is>
          <t>Profitable</t>
        </is>
      </c>
      <c r="AE1410" t="inlineStr">
        <is>
          <t>Medium</t>
        </is>
      </c>
      <c r="AF1410" t="inlineStr">
        <is>
          <t>Small</t>
        </is>
      </c>
    </row>
    <row r="1411">
      <c r="A1411" t="inlineStr">
        <is>
          <t>ORD-02030</t>
        </is>
      </c>
      <c r="B1411" s="2" t="n">
        <v>46000</v>
      </c>
      <c r="C1411" s="2" t="n">
        <v>46002</v>
      </c>
      <c r="D1411" t="inlineStr">
        <is>
          <t>CUST-02030</t>
        </is>
      </c>
      <c r="E1411" t="inlineStr">
        <is>
          <t>Customer 230</t>
        </is>
      </c>
      <c r="F1411" t="inlineStr">
        <is>
          <t>Home Office</t>
        </is>
      </c>
      <c r="G1411" t="inlineStr">
        <is>
          <t>P1007</t>
        </is>
      </c>
      <c r="H1411" t="inlineStr">
        <is>
          <t>Nova Laptop Stand</t>
        </is>
      </c>
      <c r="I1411" t="inlineStr">
        <is>
          <t>Outdoor</t>
        </is>
      </c>
      <c r="J1411" t="inlineStr">
        <is>
          <t>Paper</t>
        </is>
      </c>
      <c r="K1411" t="inlineStr">
        <is>
          <t>North</t>
        </is>
      </c>
      <c r="L1411" t="inlineStr">
        <is>
          <t>Quebec</t>
        </is>
      </c>
      <c r="M1411" t="inlineStr">
        <is>
          <t>Toronto</t>
        </is>
      </c>
      <c r="N1411" t="inlineStr">
        <is>
          <t>Liam Chen</t>
        </is>
      </c>
      <c r="O1411" t="n">
        <v>4</v>
      </c>
      <c r="P1411" s="3" t="n">
        <v>26.37</v>
      </c>
      <c r="Q1411" s="4" t="n">
        <v>0.019</v>
      </c>
      <c r="R1411" s="3" t="n">
        <v>103.48</v>
      </c>
      <c r="S1411" s="3" t="n">
        <v>38.44</v>
      </c>
      <c r="T1411" s="3" t="n">
        <v>55.84</v>
      </c>
      <c r="U1411" s="4" t="n">
        <v>0.5396</v>
      </c>
      <c r="V1411" s="3" t="n">
        <v>9.199999999999999</v>
      </c>
      <c r="W1411" t="inlineStr">
        <is>
          <t>PayPal</t>
        </is>
      </c>
      <c r="X1411" t="inlineStr">
        <is>
          <t>Low</t>
        </is>
      </c>
      <c r="Y1411" t="n">
        <v>2025</v>
      </c>
      <c r="Z1411" t="n">
        <v>12</v>
      </c>
      <c r="AA1411" t="inlineStr">
        <is>
          <t>Dec</t>
        </is>
      </c>
      <c r="AB1411" t="inlineStr">
        <is>
          <t>Tuesday</t>
        </is>
      </c>
      <c r="AC1411" t="n">
        <v>2</v>
      </c>
      <c r="AD1411" t="inlineStr">
        <is>
          <t>Profitable</t>
        </is>
      </c>
      <c r="AE1411" t="inlineStr">
        <is>
          <t>Low</t>
        </is>
      </c>
      <c r="AF1411" t="inlineStr">
        <is>
          <t>Small</t>
        </is>
      </c>
    </row>
    <row r="1412">
      <c r="A1412" t="inlineStr">
        <is>
          <t>ORD-02036</t>
        </is>
      </c>
      <c r="B1412" s="2" t="n">
        <v>45461</v>
      </c>
      <c r="C1412" s="2" t="n">
        <v>45466</v>
      </c>
      <c r="D1412" t="inlineStr">
        <is>
          <t>CUST-02036</t>
        </is>
      </c>
      <c r="E1412" t="inlineStr">
        <is>
          <t>Customer 236</t>
        </is>
      </c>
      <c r="F1412" t="inlineStr">
        <is>
          <t>Consumer</t>
        </is>
      </c>
      <c r="G1412" t="inlineStr">
        <is>
          <t>P1012</t>
        </is>
      </c>
      <c r="H1412" t="inlineStr">
        <is>
          <t>CloudDrive File Box</t>
        </is>
      </c>
      <c r="I1412" t="inlineStr">
        <is>
          <t>Furniture</t>
        </is>
      </c>
      <c r="J1412" t="inlineStr">
        <is>
          <t>Bags</t>
        </is>
      </c>
      <c r="K1412" t="inlineStr">
        <is>
          <t>North</t>
        </is>
      </c>
      <c r="L1412" t="inlineStr">
        <is>
          <t>Ontario</t>
        </is>
      </c>
      <c r="M1412" t="inlineStr">
        <is>
          <t>Calgary</t>
        </is>
      </c>
      <c r="N1412" t="inlineStr">
        <is>
          <t>Liam Chen</t>
        </is>
      </c>
      <c r="O1412" t="n">
        <v>3</v>
      </c>
      <c r="P1412" s="3" t="n">
        <v>142</v>
      </c>
      <c r="Q1412" s="4" t="n">
        <v>0.03</v>
      </c>
      <c r="R1412" s="3" t="n">
        <v>413.22</v>
      </c>
      <c r="S1412" s="3" t="n">
        <v>213.36</v>
      </c>
      <c r="T1412" s="3" t="n">
        <v>191.46</v>
      </c>
      <c r="U1412" s="4" t="n">
        <v>0.4633</v>
      </c>
      <c r="V1412" s="3" t="n">
        <v>8.4</v>
      </c>
      <c r="W1412" t="inlineStr">
        <is>
          <t>Credit Card</t>
        </is>
      </c>
      <c r="X1412" t="inlineStr">
        <is>
          <t>Medium</t>
        </is>
      </c>
      <c r="Y1412" t="n">
        <v>2024</v>
      </c>
      <c r="Z1412" t="n">
        <v>6</v>
      </c>
      <c r="AA1412" t="inlineStr">
        <is>
          <t>Jun</t>
        </is>
      </c>
      <c r="AB1412" t="inlineStr">
        <is>
          <t>Tuesday</t>
        </is>
      </c>
      <c r="AC1412" t="n">
        <v>5</v>
      </c>
      <c r="AD1412" t="inlineStr">
        <is>
          <t>Profitable</t>
        </is>
      </c>
      <c r="AE1412" t="inlineStr">
        <is>
          <t>Medium</t>
        </is>
      </c>
      <c r="AF1412" t="inlineStr">
        <is>
          <t>Small</t>
        </is>
      </c>
    </row>
    <row r="1413">
      <c r="A1413" t="inlineStr">
        <is>
          <t>ORD-02055</t>
        </is>
      </c>
      <c r="B1413" s="2" t="n">
        <v>45915</v>
      </c>
      <c r="C1413" s="2" t="n">
        <v>45917</v>
      </c>
      <c r="D1413" t="inlineStr">
        <is>
          <t>CUST-02055</t>
        </is>
      </c>
      <c r="E1413" t="inlineStr">
        <is>
          <t>Customer 255</t>
        </is>
      </c>
      <c r="F1413" t="inlineStr">
        <is>
          <t>Home Office</t>
        </is>
      </c>
      <c r="G1413" t="inlineStr">
        <is>
          <t>P1001</t>
        </is>
      </c>
      <c r="H1413" t="inlineStr">
        <is>
          <t>Aero Standing Desk</t>
        </is>
      </c>
      <c r="I1413" t="inlineStr">
        <is>
          <t>Furniture</t>
        </is>
      </c>
      <c r="J1413" t="inlineStr">
        <is>
          <t>Coolers</t>
        </is>
      </c>
      <c r="K1413" t="inlineStr">
        <is>
          <t>North</t>
        </is>
      </c>
      <c r="L1413" t="inlineStr">
        <is>
          <t>Alberta</t>
        </is>
      </c>
      <c r="M1413" t="inlineStr">
        <is>
          <t>Toronto</t>
        </is>
      </c>
      <c r="N1413" t="inlineStr">
        <is>
          <t>Olivia Martin</t>
        </is>
      </c>
      <c r="O1413" t="n">
        <v>2</v>
      </c>
      <c r="P1413" s="3" t="n">
        <v>296.81</v>
      </c>
      <c r="Q1413" s="4" t="n">
        <v>0.029</v>
      </c>
      <c r="R1413" s="3" t="n">
        <v>576.41</v>
      </c>
      <c r="S1413" s="3" t="n">
        <v>342.59</v>
      </c>
      <c r="T1413" s="3" t="n">
        <v>226.22</v>
      </c>
      <c r="U1413" s="4" t="n">
        <v>0.3925</v>
      </c>
      <c r="V1413" s="3" t="n">
        <v>7.6</v>
      </c>
      <c r="W1413" t="inlineStr">
        <is>
          <t>Credit Card</t>
        </is>
      </c>
      <c r="X1413" t="inlineStr">
        <is>
          <t>Medium</t>
        </is>
      </c>
      <c r="Y1413" t="n">
        <v>2025</v>
      </c>
      <c r="Z1413" t="n">
        <v>9</v>
      </c>
      <c r="AA1413" t="inlineStr">
        <is>
          <t>Sep</t>
        </is>
      </c>
      <c r="AB1413" t="inlineStr">
        <is>
          <t>Monday</t>
        </is>
      </c>
      <c r="AC1413" t="n">
        <v>2</v>
      </c>
      <c r="AD1413" t="inlineStr">
        <is>
          <t>Profitable</t>
        </is>
      </c>
      <c r="AE1413" t="inlineStr">
        <is>
          <t>Medium</t>
        </is>
      </c>
      <c r="AF1413" t="inlineStr">
        <is>
          <t>Medium</t>
        </is>
      </c>
    </row>
    <row r="1414">
      <c r="A1414" t="inlineStr">
        <is>
          <t>ORD-02062</t>
        </is>
      </c>
      <c r="B1414" s="2" t="n">
        <v>45335</v>
      </c>
      <c r="C1414" s="2" t="n">
        <v>45338</v>
      </c>
      <c r="D1414" t="inlineStr">
        <is>
          <t>CUST-02062</t>
        </is>
      </c>
      <c r="E1414" t="inlineStr">
        <is>
          <t>Customer 262</t>
        </is>
      </c>
      <c r="F1414" t="inlineStr">
        <is>
          <t>Consumer</t>
        </is>
      </c>
      <c r="G1414" t="inlineStr">
        <is>
          <t>P1011</t>
        </is>
      </c>
      <c r="H1414" t="inlineStr">
        <is>
          <t>Lumen Desk Lamp</t>
        </is>
      </c>
      <c r="I1414" t="inlineStr">
        <is>
          <t>Furniture</t>
        </is>
      </c>
      <c r="J1414" t="inlineStr">
        <is>
          <t>Paper</t>
        </is>
      </c>
      <c r="K1414" t="inlineStr">
        <is>
          <t>North</t>
        </is>
      </c>
      <c r="L1414" t="inlineStr">
        <is>
          <t>British Columbia</t>
        </is>
      </c>
      <c r="M1414" t="inlineStr">
        <is>
          <t>Vancouver</t>
        </is>
      </c>
      <c r="N1414" t="inlineStr">
        <is>
          <t>Liam Chen</t>
        </is>
      </c>
      <c r="O1414" t="n">
        <v>1</v>
      </c>
      <c r="P1414" s="3" t="n">
        <v>84.05</v>
      </c>
      <c r="Q1414" s="4" t="n">
        <v>0.016</v>
      </c>
      <c r="R1414" s="3" t="n">
        <v>82.70999999999999</v>
      </c>
      <c r="S1414" s="3" t="n">
        <v>49.6</v>
      </c>
      <c r="T1414" s="3" t="n">
        <v>26.31</v>
      </c>
      <c r="U1414" s="4" t="n">
        <v>0.3181</v>
      </c>
      <c r="V1414" s="3" t="n">
        <v>6.8</v>
      </c>
      <c r="W1414" t="inlineStr">
        <is>
          <t>Credit Card</t>
        </is>
      </c>
      <c r="X1414" t="inlineStr">
        <is>
          <t>Medium</t>
        </is>
      </c>
      <c r="Y1414" t="n">
        <v>2024</v>
      </c>
      <c r="Z1414" t="n">
        <v>2</v>
      </c>
      <c r="AA1414" t="inlineStr">
        <is>
          <t>Feb</t>
        </is>
      </c>
      <c r="AB1414" t="inlineStr">
        <is>
          <t>Tuesday</t>
        </is>
      </c>
      <c r="AC1414" t="n">
        <v>3</v>
      </c>
      <c r="AD1414" t="inlineStr">
        <is>
          <t>Profitable</t>
        </is>
      </c>
      <c r="AE1414" t="inlineStr">
        <is>
          <t>Low</t>
        </is>
      </c>
      <c r="AF1414" t="inlineStr">
        <is>
          <t>Small</t>
        </is>
      </c>
    </row>
    <row r="1415">
      <c r="A1415" t="inlineStr">
        <is>
          <t>ORD-02077</t>
        </is>
      </c>
      <c r="B1415" s="2" t="n">
        <v>45205</v>
      </c>
      <c r="C1415" s="2" t="n">
        <v>45209</v>
      </c>
      <c r="D1415" t="inlineStr">
        <is>
          <t>CUST-02077</t>
        </is>
      </c>
      <c r="E1415" t="inlineStr">
        <is>
          <t>Customer 277</t>
        </is>
      </c>
      <c r="F1415" t="inlineStr">
        <is>
          <t>Corporate</t>
        </is>
      </c>
      <c r="G1415" t="inlineStr">
        <is>
          <t>P1009</t>
        </is>
      </c>
      <c r="H1415" t="inlineStr">
        <is>
          <t>FlexNote Notebook</t>
        </is>
      </c>
      <c r="I1415" t="inlineStr">
        <is>
          <t>Outdoor</t>
        </is>
      </c>
      <c r="J1415" t="inlineStr">
        <is>
          <t>Writing</t>
        </is>
      </c>
      <c r="K1415" t="inlineStr">
        <is>
          <t>North</t>
        </is>
      </c>
      <c r="L1415" t="inlineStr">
        <is>
          <t>British Columbia</t>
        </is>
      </c>
      <c r="M1415" t="inlineStr">
        <is>
          <t>Vancouver</t>
        </is>
      </c>
      <c r="N1415" t="inlineStr">
        <is>
          <t>Liam Chen</t>
        </is>
      </c>
      <c r="O1415" t="n">
        <v>4</v>
      </c>
      <c r="P1415" s="3" t="n">
        <v>93.53</v>
      </c>
      <c r="Q1415" s="4" t="n">
        <v>0.019</v>
      </c>
      <c r="R1415" s="3" t="n">
        <v>367.01</v>
      </c>
      <c r="S1415" s="3" t="n">
        <v>179.8</v>
      </c>
      <c r="T1415" s="3" t="n">
        <v>178.01</v>
      </c>
      <c r="U1415" s="4" t="n">
        <v>0.485</v>
      </c>
      <c r="V1415" s="3" t="n">
        <v>9.199999999999999</v>
      </c>
      <c r="W1415" t="inlineStr">
        <is>
          <t>Credit Card</t>
        </is>
      </c>
      <c r="X1415" t="inlineStr">
        <is>
          <t>Low</t>
        </is>
      </c>
      <c r="Y1415" t="n">
        <v>2023</v>
      </c>
      <c r="Z1415" t="n">
        <v>10</v>
      </c>
      <c r="AA1415" t="inlineStr">
        <is>
          <t>Oct</t>
        </is>
      </c>
      <c r="AB1415" t="inlineStr">
        <is>
          <t>Friday</t>
        </is>
      </c>
      <c r="AC1415" t="n">
        <v>4</v>
      </c>
      <c r="AD1415" t="inlineStr">
        <is>
          <t>Profitable</t>
        </is>
      </c>
      <c r="AE1415" t="inlineStr">
        <is>
          <t>Low</t>
        </is>
      </c>
      <c r="AF1415" t="inlineStr">
        <is>
          <t>Small</t>
        </is>
      </c>
    </row>
    <row r="1416">
      <c r="A1416" t="inlineStr">
        <is>
          <t>ORD-02083</t>
        </is>
      </c>
      <c r="B1416" s="2" t="n">
        <v>45377</v>
      </c>
      <c r="C1416" s="2" t="n">
        <v>45379</v>
      </c>
      <c r="D1416" t="inlineStr">
        <is>
          <t>CUST-02083</t>
        </is>
      </c>
      <c r="E1416" t="inlineStr">
        <is>
          <t>Customer 283</t>
        </is>
      </c>
      <c r="F1416" t="inlineStr">
        <is>
          <t>Corporate</t>
        </is>
      </c>
      <c r="G1416" t="inlineStr">
        <is>
          <t>P1002</t>
        </is>
      </c>
      <c r="H1416" t="inlineStr">
        <is>
          <t>Summit Patio Set</t>
        </is>
      </c>
      <c r="I1416" t="inlineStr">
        <is>
          <t>Outdoor</t>
        </is>
      </c>
      <c r="J1416" t="inlineStr">
        <is>
          <t>Storage</t>
        </is>
      </c>
      <c r="K1416" t="inlineStr">
        <is>
          <t>North</t>
        </is>
      </c>
      <c r="L1416" t="inlineStr">
        <is>
          <t>British Columbia</t>
        </is>
      </c>
      <c r="M1416" t="inlineStr">
        <is>
          <t>Montreal</t>
        </is>
      </c>
      <c r="N1416" t="inlineStr">
        <is>
          <t>Liam Chen</t>
        </is>
      </c>
      <c r="O1416" t="n">
        <v>3</v>
      </c>
      <c r="P1416" s="3" t="n">
        <v>83.67</v>
      </c>
      <c r="Q1416" s="4" t="n">
        <v>0.015</v>
      </c>
      <c r="R1416" s="3" t="n">
        <v>247.24</v>
      </c>
      <c r="S1416" s="3" t="n">
        <v>117.8</v>
      </c>
      <c r="T1416" s="3" t="n">
        <v>121.04</v>
      </c>
      <c r="U1416" s="4" t="n">
        <v>0.4896</v>
      </c>
      <c r="V1416" s="3" t="n">
        <v>8.4</v>
      </c>
      <c r="W1416" t="inlineStr">
        <is>
          <t>Credit Card</t>
        </is>
      </c>
      <c r="X1416" t="inlineStr">
        <is>
          <t>Medium</t>
        </is>
      </c>
      <c r="Y1416" t="n">
        <v>2024</v>
      </c>
      <c r="Z1416" t="n">
        <v>3</v>
      </c>
      <c r="AA1416" t="inlineStr">
        <is>
          <t>Mar</t>
        </is>
      </c>
      <c r="AB1416" t="inlineStr">
        <is>
          <t>Tuesday</t>
        </is>
      </c>
      <c r="AC1416" t="n">
        <v>2</v>
      </c>
      <c r="AD1416" t="inlineStr">
        <is>
          <t>Profitable</t>
        </is>
      </c>
      <c r="AE1416" t="inlineStr">
        <is>
          <t>Low</t>
        </is>
      </c>
      <c r="AF1416" t="inlineStr">
        <is>
          <t>Small</t>
        </is>
      </c>
    </row>
    <row r="1417">
      <c r="A1417" t="inlineStr">
        <is>
          <t>ORD-02091</t>
        </is>
      </c>
      <c r="B1417" s="2" t="n">
        <v>45850</v>
      </c>
      <c r="C1417" s="2" t="n">
        <v>45855</v>
      </c>
      <c r="D1417" t="inlineStr">
        <is>
          <t>CUST-02091</t>
        </is>
      </c>
      <c r="E1417" t="inlineStr">
        <is>
          <t>Customer 291</t>
        </is>
      </c>
      <c r="F1417" t="inlineStr">
        <is>
          <t>Consumer</t>
        </is>
      </c>
      <c r="G1417" t="inlineStr">
        <is>
          <t>P1008</t>
        </is>
      </c>
      <c r="H1417" t="inlineStr">
        <is>
          <t>Nimbus Monitor Arm</t>
        </is>
      </c>
      <c r="I1417" t="inlineStr">
        <is>
          <t>Outdoor</t>
        </is>
      </c>
      <c r="J1417" t="inlineStr">
        <is>
          <t>Textiles</t>
        </is>
      </c>
      <c r="K1417" t="inlineStr">
        <is>
          <t>North</t>
        </is>
      </c>
      <c r="L1417" t="inlineStr">
        <is>
          <t>Ontario</t>
        </is>
      </c>
      <c r="M1417" t="inlineStr">
        <is>
          <t>Toronto</t>
        </is>
      </c>
      <c r="N1417" t="inlineStr">
        <is>
          <t>James Carter</t>
        </is>
      </c>
      <c r="O1417" t="n">
        <v>3</v>
      </c>
      <c r="P1417" s="3" t="n">
        <v>38.09</v>
      </c>
      <c r="Q1417" s="4" t="n">
        <v>0</v>
      </c>
      <c r="R1417" s="3" t="n">
        <v>114.27</v>
      </c>
      <c r="S1417" s="3" t="n">
        <v>51.61</v>
      </c>
      <c r="T1417" s="3" t="n">
        <v>54.26</v>
      </c>
      <c r="U1417" s="4" t="n">
        <v>0.4748</v>
      </c>
      <c r="V1417" s="3" t="n">
        <v>8.4</v>
      </c>
      <c r="W1417" t="inlineStr">
        <is>
          <t>Credit Card</t>
        </is>
      </c>
      <c r="X1417" t="inlineStr">
        <is>
          <t>Medium</t>
        </is>
      </c>
      <c r="Y1417" t="n">
        <v>2025</v>
      </c>
      <c r="Z1417" t="n">
        <v>7</v>
      </c>
      <c r="AA1417" t="inlineStr">
        <is>
          <t>Jul</t>
        </is>
      </c>
      <c r="AB1417" t="inlineStr">
        <is>
          <t>Saturday</t>
        </is>
      </c>
      <c r="AC1417" t="n">
        <v>5</v>
      </c>
      <c r="AD1417" t="inlineStr">
        <is>
          <t>Profitable</t>
        </is>
      </c>
      <c r="AE1417" t="inlineStr">
        <is>
          <t>Low</t>
        </is>
      </c>
      <c r="AF1417" t="inlineStr">
        <is>
          <t>Small</t>
        </is>
      </c>
    </row>
    <row r="1418">
      <c r="A1418" t="inlineStr">
        <is>
          <t>ORD-02096</t>
        </is>
      </c>
      <c r="B1418" s="2" t="n">
        <v>45828</v>
      </c>
      <c r="C1418" s="2" t="n">
        <v>45829</v>
      </c>
      <c r="D1418" t="inlineStr">
        <is>
          <t>CUST-02096</t>
        </is>
      </c>
      <c r="E1418" t="inlineStr">
        <is>
          <t>Customer 296</t>
        </is>
      </c>
      <c r="F1418" t="inlineStr">
        <is>
          <t>Consumer</t>
        </is>
      </c>
      <c r="G1418" t="inlineStr">
        <is>
          <t>P1007</t>
        </is>
      </c>
      <c r="H1418" t="inlineStr">
        <is>
          <t>CloudDrive File Box</t>
        </is>
      </c>
      <c r="I1418" t="inlineStr">
        <is>
          <t>Office Supplies</t>
        </is>
      </c>
      <c r="J1418" t="inlineStr">
        <is>
          <t>Accessories</t>
        </is>
      </c>
      <c r="K1418" t="inlineStr">
        <is>
          <t>North</t>
        </is>
      </c>
      <c r="L1418" t="inlineStr">
        <is>
          <t>Quebec</t>
        </is>
      </c>
      <c r="M1418" t="inlineStr">
        <is>
          <t>Vancouver</t>
        </is>
      </c>
      <c r="N1418" t="inlineStr">
        <is>
          <t>Sophia Singh</t>
        </is>
      </c>
      <c r="O1418" t="n">
        <v>4</v>
      </c>
      <c r="P1418" s="3" t="n">
        <v>25.48</v>
      </c>
      <c r="Q1418" s="4" t="n">
        <v>0.004</v>
      </c>
      <c r="R1418" s="3" t="n">
        <v>101.51</v>
      </c>
      <c r="S1418" s="3" t="n">
        <v>42.41</v>
      </c>
      <c r="T1418" s="3" t="n">
        <v>49.9</v>
      </c>
      <c r="U1418" s="4" t="n">
        <v>0.4916</v>
      </c>
      <c r="V1418" s="3" t="n">
        <v>9.199999999999999</v>
      </c>
      <c r="W1418" t="inlineStr">
        <is>
          <t>Bank Transfer</t>
        </is>
      </c>
      <c r="X1418" t="inlineStr">
        <is>
          <t>Medium</t>
        </is>
      </c>
      <c r="Y1418" t="n">
        <v>2025</v>
      </c>
      <c r="Z1418" t="n">
        <v>6</v>
      </c>
      <c r="AA1418" t="inlineStr">
        <is>
          <t>Jun</t>
        </is>
      </c>
      <c r="AB1418" t="inlineStr">
        <is>
          <t>Friday</t>
        </is>
      </c>
      <c r="AC1418" t="n">
        <v>1</v>
      </c>
      <c r="AD1418" t="inlineStr">
        <is>
          <t>Profitable</t>
        </is>
      </c>
      <c r="AE1418" t="inlineStr">
        <is>
          <t>Low</t>
        </is>
      </c>
      <c r="AF1418" t="inlineStr">
        <is>
          <t>Small</t>
        </is>
      </c>
    </row>
    <row r="1419">
      <c r="A1419" t="inlineStr">
        <is>
          <t>ORD-02103</t>
        </is>
      </c>
      <c r="B1419" s="2" t="n">
        <v>45000</v>
      </c>
      <c r="C1419" s="2" t="n">
        <v>45006</v>
      </c>
      <c r="D1419" t="inlineStr">
        <is>
          <t>CUST-02103</t>
        </is>
      </c>
      <c r="E1419" t="inlineStr">
        <is>
          <t>Customer 303</t>
        </is>
      </c>
      <c r="F1419" t="inlineStr">
        <is>
          <t>Corporate</t>
        </is>
      </c>
      <c r="G1419" t="inlineStr">
        <is>
          <t>P1005</t>
        </is>
      </c>
      <c r="H1419" t="inlineStr">
        <is>
          <t>Nimbus Monitor Arm</t>
        </is>
      </c>
      <c r="I1419" t="inlineStr">
        <is>
          <t>Outdoor</t>
        </is>
      </c>
      <c r="J1419" t="inlineStr">
        <is>
          <t>Accessories</t>
        </is>
      </c>
      <c r="K1419" t="inlineStr">
        <is>
          <t>North</t>
        </is>
      </c>
      <c r="L1419" t="inlineStr">
        <is>
          <t>Quebec</t>
        </is>
      </c>
      <c r="M1419" t="inlineStr">
        <is>
          <t>Calgary</t>
        </is>
      </c>
      <c r="N1419" t="inlineStr">
        <is>
          <t>Ava Patel</t>
        </is>
      </c>
      <c r="O1419" t="n">
        <v>2</v>
      </c>
      <c r="P1419" s="3" t="n">
        <v>12.28</v>
      </c>
      <c r="Q1419" s="4" t="n">
        <v>0.028</v>
      </c>
      <c r="R1419" s="3" t="n">
        <v>23.87</v>
      </c>
      <c r="S1419" s="3" t="n">
        <v>19.65</v>
      </c>
      <c r="T1419" s="3" t="n">
        <v>-3.38</v>
      </c>
      <c r="U1419" s="4" t="n">
        <v>-0.1416</v>
      </c>
      <c r="V1419" s="3" t="n">
        <v>7.6</v>
      </c>
      <c r="W1419" t="inlineStr">
        <is>
          <t>Debit Card</t>
        </is>
      </c>
      <c r="X1419" t="inlineStr">
        <is>
          <t>High</t>
        </is>
      </c>
      <c r="Y1419" t="n">
        <v>2023</v>
      </c>
      <c r="Z1419" t="n">
        <v>3</v>
      </c>
      <c r="AA1419" t="inlineStr">
        <is>
          <t>Mar</t>
        </is>
      </c>
      <c r="AB1419" t="inlineStr">
        <is>
          <t>Wednesday</t>
        </is>
      </c>
      <c r="AC1419" t="n">
        <v>6</v>
      </c>
      <c r="AD1419" t="inlineStr">
        <is>
          <t>Unprofitable</t>
        </is>
      </c>
      <c r="AE1419" t="inlineStr">
        <is>
          <t>Medium</t>
        </is>
      </c>
      <c r="AF1419" t="inlineStr">
        <is>
          <t>Small</t>
        </is>
      </c>
    </row>
    <row r="1420">
      <c r="A1420" t="inlineStr">
        <is>
          <t>ORD-02107</t>
        </is>
      </c>
      <c r="B1420" s="2" t="n">
        <v>45970</v>
      </c>
      <c r="C1420" s="2" t="n">
        <v>45976</v>
      </c>
      <c r="D1420" t="inlineStr">
        <is>
          <t>CUST-02107</t>
        </is>
      </c>
      <c r="E1420" t="inlineStr">
        <is>
          <t>Customer 307</t>
        </is>
      </c>
      <c r="F1420" t="inlineStr">
        <is>
          <t>Consumer</t>
        </is>
      </c>
      <c r="G1420" t="inlineStr">
        <is>
          <t>P1009</t>
        </is>
      </c>
      <c r="H1420" t="inlineStr">
        <is>
          <t>Northstar Lantern</t>
        </is>
      </c>
      <c r="I1420" t="inlineStr">
        <is>
          <t>Technology</t>
        </is>
      </c>
      <c r="J1420" t="inlineStr">
        <is>
          <t>Furniture</t>
        </is>
      </c>
      <c r="K1420" t="inlineStr">
        <is>
          <t>North</t>
        </is>
      </c>
      <c r="L1420" t="inlineStr">
        <is>
          <t>Quebec</t>
        </is>
      </c>
      <c r="M1420" t="inlineStr">
        <is>
          <t>Montreal</t>
        </is>
      </c>
      <c r="N1420" t="inlineStr">
        <is>
          <t>Ethan Brooks</t>
        </is>
      </c>
      <c r="O1420" t="n">
        <v>5</v>
      </c>
      <c r="P1420" s="3" t="n">
        <v>97.34</v>
      </c>
      <c r="Q1420" s="4" t="n">
        <v>0.037</v>
      </c>
      <c r="R1420" s="3" t="n">
        <v>468.69</v>
      </c>
      <c r="S1420" s="3" t="n">
        <v>227.36</v>
      </c>
      <c r="T1420" s="3" t="n">
        <v>231.33</v>
      </c>
      <c r="U1420" s="4" t="n">
        <v>0.4936</v>
      </c>
      <c r="V1420" s="3" t="n">
        <v>10</v>
      </c>
      <c r="W1420" t="inlineStr">
        <is>
          <t>Bank Transfer</t>
        </is>
      </c>
      <c r="X1420" t="inlineStr">
        <is>
          <t>High</t>
        </is>
      </c>
      <c r="Y1420" t="n">
        <v>2025</v>
      </c>
      <c r="Z1420" t="n">
        <v>11</v>
      </c>
      <c r="AA1420" t="inlineStr">
        <is>
          <t>Nov</t>
        </is>
      </c>
      <c r="AB1420" t="inlineStr">
        <is>
          <t>Sunday</t>
        </is>
      </c>
      <c r="AC1420" t="n">
        <v>6</v>
      </c>
      <c r="AD1420" t="inlineStr">
        <is>
          <t>Profitable</t>
        </is>
      </c>
      <c r="AE1420" t="inlineStr">
        <is>
          <t>Medium</t>
        </is>
      </c>
      <c r="AF1420" t="inlineStr">
        <is>
          <t>Small</t>
        </is>
      </c>
    </row>
    <row r="1421">
      <c r="A1421" t="inlineStr">
        <is>
          <t>ORD-02111</t>
        </is>
      </c>
      <c r="B1421" s="2" t="n">
        <v>45208</v>
      </c>
      <c r="C1421" s="2" t="n">
        <v>45215</v>
      </c>
      <c r="D1421" t="inlineStr">
        <is>
          <t>CUST-02111</t>
        </is>
      </c>
      <c r="E1421" t="inlineStr">
        <is>
          <t>Customer 311</t>
        </is>
      </c>
      <c r="F1421" t="inlineStr">
        <is>
          <t>Home Office</t>
        </is>
      </c>
      <c r="G1421" t="inlineStr">
        <is>
          <t>P1014</t>
        </is>
      </c>
      <c r="H1421" t="inlineStr">
        <is>
          <t>Nimbus Monitor Arm</t>
        </is>
      </c>
      <c r="I1421" t="inlineStr">
        <is>
          <t>Furniture</t>
        </is>
      </c>
      <c r="J1421" t="inlineStr">
        <is>
          <t>Coolers</t>
        </is>
      </c>
      <c r="K1421" t="inlineStr">
        <is>
          <t>North</t>
        </is>
      </c>
      <c r="L1421" t="inlineStr">
        <is>
          <t>Quebec</t>
        </is>
      </c>
      <c r="M1421" t="inlineStr">
        <is>
          <t>Calgary</t>
        </is>
      </c>
      <c r="N1421" t="inlineStr">
        <is>
          <t>Liam Chen</t>
        </is>
      </c>
      <c r="O1421" t="n">
        <v>3</v>
      </c>
      <c r="P1421" s="3" t="n">
        <v>44.36</v>
      </c>
      <c r="Q1421" s="4" t="n">
        <v>0.033</v>
      </c>
      <c r="R1421" s="3" t="n">
        <v>128.69</v>
      </c>
      <c r="S1421" s="3" t="n">
        <v>56.98</v>
      </c>
      <c r="T1421" s="3" t="n">
        <v>63.31</v>
      </c>
      <c r="U1421" s="4" t="n">
        <v>0.492</v>
      </c>
      <c r="V1421" s="3" t="n">
        <v>8.4</v>
      </c>
      <c r="W1421" t="inlineStr">
        <is>
          <t>Credit Card</t>
        </is>
      </c>
      <c r="X1421" t="inlineStr">
        <is>
          <t>High</t>
        </is>
      </c>
      <c r="Y1421" t="n">
        <v>2023</v>
      </c>
      <c r="Z1421" t="n">
        <v>10</v>
      </c>
      <c r="AA1421" t="inlineStr">
        <is>
          <t>Oct</t>
        </is>
      </c>
      <c r="AB1421" t="inlineStr">
        <is>
          <t>Monday</t>
        </is>
      </c>
      <c r="AC1421" t="n">
        <v>7</v>
      </c>
      <c r="AD1421" t="inlineStr">
        <is>
          <t>Profitable</t>
        </is>
      </c>
      <c r="AE1421" t="inlineStr">
        <is>
          <t>Medium</t>
        </is>
      </c>
      <c r="AF1421" t="inlineStr">
        <is>
          <t>Small</t>
        </is>
      </c>
    </row>
    <row r="1422">
      <c r="A1422" t="inlineStr">
        <is>
          <t>ORD-02115</t>
        </is>
      </c>
      <c r="B1422" s="2" t="n">
        <v>45992</v>
      </c>
      <c r="C1422" s="2" t="n">
        <v>45997</v>
      </c>
      <c r="D1422" t="inlineStr">
        <is>
          <t>CUST-02115</t>
        </is>
      </c>
      <c r="E1422" t="inlineStr">
        <is>
          <t>Customer 315</t>
        </is>
      </c>
      <c r="F1422" t="inlineStr">
        <is>
          <t>Consumer</t>
        </is>
      </c>
      <c r="G1422" t="inlineStr">
        <is>
          <t>P1013</t>
        </is>
      </c>
      <c r="H1422" t="inlineStr">
        <is>
          <t>FlexNote Notebook</t>
        </is>
      </c>
      <c r="I1422" t="inlineStr">
        <is>
          <t>Technology</t>
        </is>
      </c>
      <c r="J1422" t="inlineStr">
        <is>
          <t>Peripherals</t>
        </is>
      </c>
      <c r="K1422" t="inlineStr">
        <is>
          <t>North</t>
        </is>
      </c>
      <c r="L1422" t="inlineStr">
        <is>
          <t>Ontario</t>
        </is>
      </c>
      <c r="M1422" t="inlineStr">
        <is>
          <t>Montreal</t>
        </is>
      </c>
      <c r="N1422" t="inlineStr">
        <is>
          <t>Sophia Singh</t>
        </is>
      </c>
      <c r="O1422" t="n">
        <v>1</v>
      </c>
      <c r="P1422" s="3" t="n">
        <v>180</v>
      </c>
      <c r="Q1422" s="4" t="n">
        <v>0.036</v>
      </c>
      <c r="R1422" s="3" t="n">
        <v>173.52</v>
      </c>
      <c r="S1422" s="3" t="n">
        <v>101.27</v>
      </c>
      <c r="T1422" s="3" t="n">
        <v>65.45</v>
      </c>
      <c r="U1422" s="4" t="n">
        <v>0.3772</v>
      </c>
      <c r="V1422" s="3" t="n">
        <v>6.8</v>
      </c>
      <c r="W1422" t="inlineStr">
        <is>
          <t>Bank Transfer</t>
        </is>
      </c>
      <c r="X1422" t="inlineStr">
        <is>
          <t>High</t>
        </is>
      </c>
      <c r="Y1422" t="n">
        <v>2025</v>
      </c>
      <c r="Z1422" t="n">
        <v>12</v>
      </c>
      <c r="AA1422" t="inlineStr">
        <is>
          <t>Dec</t>
        </is>
      </c>
      <c r="AB1422" t="inlineStr">
        <is>
          <t>Monday</t>
        </is>
      </c>
      <c r="AC1422" t="n">
        <v>5</v>
      </c>
      <c r="AD1422" t="inlineStr">
        <is>
          <t>Profitable</t>
        </is>
      </c>
      <c r="AE1422" t="inlineStr">
        <is>
          <t>Medium</t>
        </is>
      </c>
      <c r="AF1422" t="inlineStr">
        <is>
          <t>Small</t>
        </is>
      </c>
    </row>
    <row r="1423">
      <c r="A1423" t="inlineStr">
        <is>
          <t>ORD-02121</t>
        </is>
      </c>
      <c r="B1423" s="2" t="n">
        <v>45852</v>
      </c>
      <c r="C1423" s="2" t="n">
        <v>45856</v>
      </c>
      <c r="D1423" t="inlineStr">
        <is>
          <t>CUST-02121</t>
        </is>
      </c>
      <c r="E1423" t="inlineStr">
        <is>
          <t>Customer 321</t>
        </is>
      </c>
      <c r="F1423" t="inlineStr">
        <is>
          <t>Corporate</t>
        </is>
      </c>
      <c r="G1423" t="inlineStr">
        <is>
          <t>P1010</t>
        </is>
      </c>
      <c r="H1423" t="inlineStr">
        <is>
          <t>Pulse Keyboard</t>
        </is>
      </c>
      <c r="I1423" t="inlineStr">
        <is>
          <t>Office Supplies</t>
        </is>
      </c>
      <c r="J1423" t="inlineStr">
        <is>
          <t>Bags</t>
        </is>
      </c>
      <c r="K1423" t="inlineStr">
        <is>
          <t>North</t>
        </is>
      </c>
      <c r="L1423" t="inlineStr">
        <is>
          <t>Ontario</t>
        </is>
      </c>
      <c r="M1423" t="inlineStr">
        <is>
          <t>Montreal</t>
        </is>
      </c>
      <c r="N1423" t="inlineStr">
        <is>
          <t>James Carter</t>
        </is>
      </c>
      <c r="O1423" t="n">
        <v>4</v>
      </c>
      <c r="P1423" s="3" t="n">
        <v>56.4</v>
      </c>
      <c r="Q1423" s="4" t="n">
        <v>0.037</v>
      </c>
      <c r="R1423" s="3" t="n">
        <v>217.25</v>
      </c>
      <c r="S1423" s="3" t="n">
        <v>94.73</v>
      </c>
      <c r="T1423" s="3" t="n">
        <v>113.32</v>
      </c>
      <c r="U1423" s="4" t="n">
        <v>0.5216</v>
      </c>
      <c r="V1423" s="3" t="n">
        <v>9.199999999999999</v>
      </c>
      <c r="W1423" t="inlineStr">
        <is>
          <t>Credit Card</t>
        </is>
      </c>
      <c r="X1423" t="inlineStr">
        <is>
          <t>Medium</t>
        </is>
      </c>
      <c r="Y1423" t="n">
        <v>2025</v>
      </c>
      <c r="Z1423" t="n">
        <v>7</v>
      </c>
      <c r="AA1423" t="inlineStr">
        <is>
          <t>Jul</t>
        </is>
      </c>
      <c r="AB1423" t="inlineStr">
        <is>
          <t>Monday</t>
        </is>
      </c>
      <c r="AC1423" t="n">
        <v>4</v>
      </c>
      <c r="AD1423" t="inlineStr">
        <is>
          <t>Profitable</t>
        </is>
      </c>
      <c r="AE1423" t="inlineStr">
        <is>
          <t>Medium</t>
        </is>
      </c>
      <c r="AF1423" t="inlineStr">
        <is>
          <t>Small</t>
        </is>
      </c>
    </row>
    <row r="1424">
      <c r="A1424" t="inlineStr">
        <is>
          <t>ORD-02136</t>
        </is>
      </c>
      <c r="B1424" s="2" t="n">
        <v>45750</v>
      </c>
      <c r="C1424" s="2" t="n">
        <v>45756</v>
      </c>
      <c r="D1424" t="inlineStr">
        <is>
          <t>CUST-02136</t>
        </is>
      </c>
      <c r="E1424" t="inlineStr">
        <is>
          <t>Customer 336</t>
        </is>
      </c>
      <c r="F1424" t="inlineStr">
        <is>
          <t>Consumer</t>
        </is>
      </c>
      <c r="G1424" t="inlineStr">
        <is>
          <t>P1004</t>
        </is>
      </c>
      <c r="H1424" t="inlineStr">
        <is>
          <t>SmartInk Pen Set</t>
        </is>
      </c>
      <c r="I1424" t="inlineStr">
        <is>
          <t>Outdoor</t>
        </is>
      </c>
      <c r="J1424" t="inlineStr">
        <is>
          <t>Accessories</t>
        </is>
      </c>
      <c r="K1424" t="inlineStr">
        <is>
          <t>North</t>
        </is>
      </c>
      <c r="L1424" t="inlineStr">
        <is>
          <t>Alberta</t>
        </is>
      </c>
      <c r="M1424" t="inlineStr">
        <is>
          <t>Vancouver</t>
        </is>
      </c>
      <c r="N1424" t="inlineStr">
        <is>
          <t>Noah Kim</t>
        </is>
      </c>
      <c r="O1424" t="n">
        <v>1</v>
      </c>
      <c r="P1424" s="3" t="n">
        <v>605.16</v>
      </c>
      <c r="Q1424" s="4" t="n">
        <v>0.014</v>
      </c>
      <c r="R1424" s="3" t="n">
        <v>596.6900000000001</v>
      </c>
      <c r="S1424" s="3" t="n">
        <v>385.2</v>
      </c>
      <c r="T1424" s="3" t="n">
        <v>204.69</v>
      </c>
      <c r="U1424" s="4" t="n">
        <v>0.343</v>
      </c>
      <c r="V1424" s="3" t="n">
        <v>6.8</v>
      </c>
      <c r="W1424" t="inlineStr">
        <is>
          <t>Cash on Delivery</t>
        </is>
      </c>
      <c r="X1424" t="inlineStr">
        <is>
          <t>Medium</t>
        </is>
      </c>
      <c r="Y1424" t="n">
        <v>2025</v>
      </c>
      <c r="Z1424" t="n">
        <v>4</v>
      </c>
      <c r="AA1424" t="inlineStr">
        <is>
          <t>Apr</t>
        </is>
      </c>
      <c r="AB1424" t="inlineStr">
        <is>
          <t>Thursday</t>
        </is>
      </c>
      <c r="AC1424" t="n">
        <v>6</v>
      </c>
      <c r="AD1424" t="inlineStr">
        <is>
          <t>Profitable</t>
        </is>
      </c>
      <c r="AE1424" t="inlineStr">
        <is>
          <t>Low</t>
        </is>
      </c>
      <c r="AF1424" t="inlineStr">
        <is>
          <t>Medium</t>
        </is>
      </c>
    </row>
    <row r="1425">
      <c r="A1425" t="inlineStr">
        <is>
          <t>ORD-02142</t>
        </is>
      </c>
      <c r="B1425" s="2" t="n">
        <v>45501</v>
      </c>
      <c r="C1425" s="2" t="n">
        <v>45505</v>
      </c>
      <c r="D1425" t="inlineStr">
        <is>
          <t>CUST-02142</t>
        </is>
      </c>
      <c r="E1425" t="inlineStr">
        <is>
          <t>Customer 342</t>
        </is>
      </c>
      <c r="F1425" t="inlineStr">
        <is>
          <t>Corporate</t>
        </is>
      </c>
      <c r="G1425" t="inlineStr">
        <is>
          <t>P1008</t>
        </is>
      </c>
      <c r="H1425" t="inlineStr">
        <is>
          <t>Pulse Keyboard</t>
        </is>
      </c>
      <c r="I1425" t="inlineStr">
        <is>
          <t>Office Supplies</t>
        </is>
      </c>
      <c r="J1425" t="inlineStr">
        <is>
          <t>Binders</t>
        </is>
      </c>
      <c r="K1425" t="inlineStr">
        <is>
          <t>North</t>
        </is>
      </c>
      <c r="L1425" t="inlineStr">
        <is>
          <t>British Columbia</t>
        </is>
      </c>
      <c r="M1425" t="inlineStr">
        <is>
          <t>Vancouver</t>
        </is>
      </c>
      <c r="N1425" t="inlineStr">
        <is>
          <t>Mia Rodriguez</t>
        </is>
      </c>
      <c r="O1425" t="n">
        <v>2</v>
      </c>
      <c r="P1425" s="3" t="n">
        <v>35.7</v>
      </c>
      <c r="Q1425" s="4" t="n">
        <v>0.021</v>
      </c>
      <c r="R1425" s="3" t="n">
        <v>69.90000000000001</v>
      </c>
      <c r="S1425" s="3" t="n">
        <v>33.99</v>
      </c>
      <c r="T1425" s="3" t="n">
        <v>28.31</v>
      </c>
      <c r="U1425" s="4" t="n">
        <v>0.405</v>
      </c>
      <c r="V1425" s="3" t="n">
        <v>7.6</v>
      </c>
      <c r="W1425" t="inlineStr">
        <is>
          <t>Credit Card</t>
        </is>
      </c>
      <c r="X1425" t="inlineStr">
        <is>
          <t>Medium</t>
        </is>
      </c>
      <c r="Y1425" t="n">
        <v>2024</v>
      </c>
      <c r="Z1425" t="n">
        <v>7</v>
      </c>
      <c r="AA1425" t="inlineStr">
        <is>
          <t>Jul</t>
        </is>
      </c>
      <c r="AB1425" t="inlineStr">
        <is>
          <t>Sunday</t>
        </is>
      </c>
      <c r="AC1425" t="n">
        <v>4</v>
      </c>
      <c r="AD1425" t="inlineStr">
        <is>
          <t>Profitable</t>
        </is>
      </c>
      <c r="AE1425" t="inlineStr">
        <is>
          <t>Medium</t>
        </is>
      </c>
      <c r="AF1425" t="inlineStr">
        <is>
          <t>Small</t>
        </is>
      </c>
    </row>
    <row r="1426">
      <c r="A1426" t="inlineStr">
        <is>
          <t>ORD-02145</t>
        </is>
      </c>
      <c r="B1426" s="2" t="n">
        <v>45451</v>
      </c>
      <c r="C1426" s="2" t="n">
        <v>45452</v>
      </c>
      <c r="D1426" t="inlineStr">
        <is>
          <t>CUST-02145</t>
        </is>
      </c>
      <c r="E1426" t="inlineStr">
        <is>
          <t>Customer 345</t>
        </is>
      </c>
      <c r="F1426" t="inlineStr">
        <is>
          <t>Corporate</t>
        </is>
      </c>
      <c r="G1426" t="inlineStr">
        <is>
          <t>P1018</t>
        </is>
      </c>
      <c r="H1426" t="inlineStr">
        <is>
          <t>Echo Web Camera</t>
        </is>
      </c>
      <c r="I1426" t="inlineStr">
        <is>
          <t>Technology</t>
        </is>
      </c>
      <c r="J1426" t="inlineStr">
        <is>
          <t>Lighting</t>
        </is>
      </c>
      <c r="K1426" t="inlineStr">
        <is>
          <t>North</t>
        </is>
      </c>
      <c r="L1426" t="inlineStr">
        <is>
          <t>Quebec</t>
        </is>
      </c>
      <c r="M1426" t="inlineStr">
        <is>
          <t>Toronto</t>
        </is>
      </c>
      <c r="N1426" t="inlineStr">
        <is>
          <t>Mia Rodriguez</t>
        </is>
      </c>
      <c r="O1426" t="n">
        <v>2</v>
      </c>
      <c r="P1426" s="3" t="n">
        <v>93.90000000000001</v>
      </c>
      <c r="Q1426" s="4" t="n">
        <v>0.035</v>
      </c>
      <c r="R1426" s="3" t="n">
        <v>181.23</v>
      </c>
      <c r="S1426" s="3" t="n">
        <v>87.84999999999999</v>
      </c>
      <c r="T1426" s="3" t="n">
        <v>85.78</v>
      </c>
      <c r="U1426" s="4" t="n">
        <v>0.4733</v>
      </c>
      <c r="V1426" s="3" t="n">
        <v>7.6</v>
      </c>
      <c r="W1426" t="inlineStr">
        <is>
          <t>Bank Transfer</t>
        </is>
      </c>
      <c r="X1426" t="inlineStr">
        <is>
          <t>Medium</t>
        </is>
      </c>
      <c r="Y1426" t="n">
        <v>2024</v>
      </c>
      <c r="Z1426" t="n">
        <v>6</v>
      </c>
      <c r="AA1426" t="inlineStr">
        <is>
          <t>Jun</t>
        </is>
      </c>
      <c r="AB1426" t="inlineStr">
        <is>
          <t>Saturday</t>
        </is>
      </c>
      <c r="AC1426" t="n">
        <v>1</v>
      </c>
      <c r="AD1426" t="inlineStr">
        <is>
          <t>Profitable</t>
        </is>
      </c>
      <c r="AE1426" t="inlineStr">
        <is>
          <t>Medium</t>
        </is>
      </c>
      <c r="AF1426" t="inlineStr">
        <is>
          <t>Small</t>
        </is>
      </c>
    </row>
    <row r="1427">
      <c r="A1427" t="inlineStr">
        <is>
          <t>ORD-02153</t>
        </is>
      </c>
      <c r="B1427" s="2" t="n">
        <v>45767</v>
      </c>
      <c r="C1427" s="2" t="n">
        <v>45769</v>
      </c>
      <c r="D1427" t="inlineStr">
        <is>
          <t>CUST-02153</t>
        </is>
      </c>
      <c r="E1427" t="inlineStr">
        <is>
          <t>Customer 353</t>
        </is>
      </c>
      <c r="F1427" t="inlineStr">
        <is>
          <t>Consumer</t>
        </is>
      </c>
      <c r="G1427" t="inlineStr">
        <is>
          <t>P1006</t>
        </is>
      </c>
      <c r="H1427" t="inlineStr">
        <is>
          <t>Orbit Wireless Mouse</t>
        </is>
      </c>
      <c r="I1427" t="inlineStr">
        <is>
          <t>Outdoor</t>
        </is>
      </c>
      <c r="J1427" t="inlineStr">
        <is>
          <t>Binders</t>
        </is>
      </c>
      <c r="K1427" t="inlineStr">
        <is>
          <t>North</t>
        </is>
      </c>
      <c r="L1427" t="inlineStr">
        <is>
          <t>Ontario</t>
        </is>
      </c>
      <c r="M1427" t="inlineStr">
        <is>
          <t>Vancouver</t>
        </is>
      </c>
      <c r="N1427" t="inlineStr">
        <is>
          <t>Noah Kim</t>
        </is>
      </c>
      <c r="O1427" t="n">
        <v>2</v>
      </c>
      <c r="P1427" s="3" t="n">
        <v>17.77</v>
      </c>
      <c r="Q1427" s="4" t="n">
        <v>0.021</v>
      </c>
      <c r="R1427" s="3" t="n">
        <v>34.79</v>
      </c>
      <c r="S1427" s="3" t="n">
        <v>19.82</v>
      </c>
      <c r="T1427" s="3" t="n">
        <v>7.37</v>
      </c>
      <c r="U1427" s="4" t="n">
        <v>0.2118</v>
      </c>
      <c r="V1427" s="3" t="n">
        <v>7.6</v>
      </c>
      <c r="W1427" t="inlineStr">
        <is>
          <t>Credit Card</t>
        </is>
      </c>
      <c r="X1427" t="inlineStr">
        <is>
          <t>Medium</t>
        </is>
      </c>
      <c r="Y1427" t="n">
        <v>2025</v>
      </c>
      <c r="Z1427" t="n">
        <v>4</v>
      </c>
      <c r="AA1427" t="inlineStr">
        <is>
          <t>Apr</t>
        </is>
      </c>
      <c r="AB1427" t="inlineStr">
        <is>
          <t>Sunday</t>
        </is>
      </c>
      <c r="AC1427" t="n">
        <v>2</v>
      </c>
      <c r="AD1427" t="inlineStr">
        <is>
          <t>Profitable</t>
        </is>
      </c>
      <c r="AE1427" t="inlineStr">
        <is>
          <t>Medium</t>
        </is>
      </c>
      <c r="AF1427" t="inlineStr">
        <is>
          <t>Small</t>
        </is>
      </c>
    </row>
    <row r="1428">
      <c r="A1428" t="inlineStr">
        <is>
          <t>ORD-02156</t>
        </is>
      </c>
      <c r="B1428" s="2" t="n">
        <v>45161</v>
      </c>
      <c r="C1428" s="2" t="n">
        <v>45163</v>
      </c>
      <c r="D1428" t="inlineStr">
        <is>
          <t>CUST-02156</t>
        </is>
      </c>
      <c r="E1428" t="inlineStr">
        <is>
          <t>Customer 356</t>
        </is>
      </c>
      <c r="F1428" t="inlineStr">
        <is>
          <t>Consumer</t>
        </is>
      </c>
      <c r="G1428" t="inlineStr">
        <is>
          <t>P1011</t>
        </is>
      </c>
      <c r="H1428" t="inlineStr">
        <is>
          <t>Lumen Desk Lamp</t>
        </is>
      </c>
      <c r="I1428" t="inlineStr">
        <is>
          <t>Office Supplies</t>
        </is>
      </c>
      <c r="J1428" t="inlineStr">
        <is>
          <t>Binders</t>
        </is>
      </c>
      <c r="K1428" t="inlineStr">
        <is>
          <t>North</t>
        </is>
      </c>
      <c r="L1428" t="inlineStr">
        <is>
          <t>British Columbia</t>
        </is>
      </c>
      <c r="M1428" t="inlineStr">
        <is>
          <t>Toronto</t>
        </is>
      </c>
      <c r="N1428" t="inlineStr">
        <is>
          <t>Ethan Brooks</t>
        </is>
      </c>
      <c r="O1428" t="n">
        <v>4</v>
      </c>
      <c r="P1428" s="3" t="n">
        <v>88.91</v>
      </c>
      <c r="Q1428" s="4" t="n">
        <v>0.015</v>
      </c>
      <c r="R1428" s="3" t="n">
        <v>350.31</v>
      </c>
      <c r="S1428" s="3" t="n">
        <v>172.54</v>
      </c>
      <c r="T1428" s="3" t="n">
        <v>168.57</v>
      </c>
      <c r="U1428" s="4" t="n">
        <v>0.4812</v>
      </c>
      <c r="V1428" s="3" t="n">
        <v>9.199999999999999</v>
      </c>
      <c r="W1428" t="inlineStr">
        <is>
          <t>Credit Card</t>
        </is>
      </c>
      <c r="X1428" t="inlineStr">
        <is>
          <t>Medium</t>
        </is>
      </c>
      <c r="Y1428" t="n">
        <v>2023</v>
      </c>
      <c r="Z1428" t="n">
        <v>8</v>
      </c>
      <c r="AA1428" t="inlineStr">
        <is>
          <t>Aug</t>
        </is>
      </c>
      <c r="AB1428" t="inlineStr">
        <is>
          <t>Wednesday</t>
        </is>
      </c>
      <c r="AC1428" t="n">
        <v>2</v>
      </c>
      <c r="AD1428" t="inlineStr">
        <is>
          <t>Profitable</t>
        </is>
      </c>
      <c r="AE1428" t="inlineStr">
        <is>
          <t>Low</t>
        </is>
      </c>
      <c r="AF1428" t="inlineStr">
        <is>
          <t>Small</t>
        </is>
      </c>
    </row>
    <row r="1429">
      <c r="A1429" t="inlineStr">
        <is>
          <t>ORD-02175</t>
        </is>
      </c>
      <c r="B1429" s="2" t="n">
        <v>45079</v>
      </c>
      <c r="C1429" s="2" t="n">
        <v>45086</v>
      </c>
      <c r="D1429" t="inlineStr">
        <is>
          <t>CUST-02175</t>
        </is>
      </c>
      <c r="E1429" t="inlineStr">
        <is>
          <t>Customer 375</t>
        </is>
      </c>
      <c r="F1429" t="inlineStr">
        <is>
          <t>Consumer</t>
        </is>
      </c>
      <c r="G1429" t="inlineStr">
        <is>
          <t>P1004</t>
        </is>
      </c>
      <c r="H1429" t="inlineStr">
        <is>
          <t>Summit Patio Set</t>
        </is>
      </c>
      <c r="I1429" t="inlineStr">
        <is>
          <t>Outdoor</t>
        </is>
      </c>
      <c r="J1429" t="inlineStr">
        <is>
          <t>Peripherals</t>
        </is>
      </c>
      <c r="K1429" t="inlineStr">
        <is>
          <t>North</t>
        </is>
      </c>
      <c r="L1429" t="inlineStr">
        <is>
          <t>Ontario</t>
        </is>
      </c>
      <c r="M1429" t="inlineStr">
        <is>
          <t>Toronto</t>
        </is>
      </c>
      <c r="N1429" t="inlineStr">
        <is>
          <t>Mia Rodriguez</t>
        </is>
      </c>
      <c r="O1429" t="n">
        <v>2</v>
      </c>
      <c r="P1429" s="3" t="n">
        <v>635.79</v>
      </c>
      <c r="Q1429" s="4" t="n">
        <v>0.006</v>
      </c>
      <c r="R1429" s="3" t="n">
        <v>1263.95</v>
      </c>
      <c r="S1429" s="3" t="n">
        <v>800.91</v>
      </c>
      <c r="T1429" s="3" t="n">
        <v>455.44</v>
      </c>
      <c r="U1429" s="4" t="n">
        <v>0.3603</v>
      </c>
      <c r="V1429" s="3" t="n">
        <v>7.6</v>
      </c>
      <c r="W1429" t="inlineStr">
        <is>
          <t>PayPal</t>
        </is>
      </c>
      <c r="X1429" t="inlineStr">
        <is>
          <t>Medium</t>
        </is>
      </c>
      <c r="Y1429" t="n">
        <v>2023</v>
      </c>
      <c r="Z1429" t="n">
        <v>6</v>
      </c>
      <c r="AA1429" t="inlineStr">
        <is>
          <t>Jun</t>
        </is>
      </c>
      <c r="AB1429" t="inlineStr">
        <is>
          <t>Friday</t>
        </is>
      </c>
      <c r="AC1429" t="n">
        <v>7</v>
      </c>
      <c r="AD1429" t="inlineStr">
        <is>
          <t>Profitable</t>
        </is>
      </c>
      <c r="AE1429" t="inlineStr">
        <is>
          <t>Low</t>
        </is>
      </c>
      <c r="AF1429" t="inlineStr">
        <is>
          <t>Medium</t>
        </is>
      </c>
    </row>
    <row r="1430">
      <c r="A1430" t="inlineStr">
        <is>
          <t>ORD-02193</t>
        </is>
      </c>
      <c r="B1430" s="2" t="n">
        <v>45813</v>
      </c>
      <c r="C1430" s="2" t="n">
        <v>45814</v>
      </c>
      <c r="D1430" t="inlineStr">
        <is>
          <t>CUST-02193</t>
        </is>
      </c>
      <c r="E1430" t="inlineStr">
        <is>
          <t>Customer 393</t>
        </is>
      </c>
      <c r="F1430" t="inlineStr">
        <is>
          <t>Corporate</t>
        </is>
      </c>
      <c r="G1430" t="inlineStr">
        <is>
          <t>P1004</t>
        </is>
      </c>
      <c r="H1430" t="inlineStr">
        <is>
          <t>Echo Web Camera</t>
        </is>
      </c>
      <c r="I1430" t="inlineStr">
        <is>
          <t>Office Supplies</t>
        </is>
      </c>
      <c r="J1430" t="inlineStr">
        <is>
          <t>Lighting</t>
        </is>
      </c>
      <c r="K1430" t="inlineStr">
        <is>
          <t>North</t>
        </is>
      </c>
      <c r="L1430" t="inlineStr">
        <is>
          <t>British Columbia</t>
        </is>
      </c>
      <c r="M1430" t="inlineStr">
        <is>
          <t>Vancouver</t>
        </is>
      </c>
      <c r="N1430" t="inlineStr">
        <is>
          <t>Liam Chen</t>
        </is>
      </c>
      <c r="O1430" t="n">
        <v>3</v>
      </c>
      <c r="P1430" s="3" t="n">
        <v>605.75</v>
      </c>
      <c r="Q1430" s="4" t="n">
        <v>0.019</v>
      </c>
      <c r="R1430" s="3" t="n">
        <v>1782.72</v>
      </c>
      <c r="S1430" s="3" t="n">
        <v>1132.02</v>
      </c>
      <c r="T1430" s="3" t="n">
        <v>642.3</v>
      </c>
      <c r="U1430" s="4" t="n">
        <v>0.3603</v>
      </c>
      <c r="V1430" s="3" t="n">
        <v>8.4</v>
      </c>
      <c r="W1430" t="inlineStr">
        <is>
          <t>Credit Card</t>
        </is>
      </c>
      <c r="X1430" t="inlineStr">
        <is>
          <t>Low</t>
        </is>
      </c>
      <c r="Y1430" t="n">
        <v>2025</v>
      </c>
      <c r="Z1430" t="n">
        <v>6</v>
      </c>
      <c r="AA1430" t="inlineStr">
        <is>
          <t>Jun</t>
        </is>
      </c>
      <c r="AB1430" t="inlineStr">
        <is>
          <t>Thursday</t>
        </is>
      </c>
      <c r="AC1430" t="n">
        <v>1</v>
      </c>
      <c r="AD1430" t="inlineStr">
        <is>
          <t>Profitable</t>
        </is>
      </c>
      <c r="AE1430" t="inlineStr">
        <is>
          <t>Low</t>
        </is>
      </c>
      <c r="AF1430" t="inlineStr">
        <is>
          <t>Large</t>
        </is>
      </c>
    </row>
    <row r="1431">
      <c r="A1431" t="inlineStr">
        <is>
          <t>ORD-02195</t>
        </is>
      </c>
      <c r="B1431" s="2" t="n">
        <v>45087</v>
      </c>
      <c r="C1431" s="2" t="n">
        <v>45091</v>
      </c>
      <c r="D1431" t="inlineStr">
        <is>
          <t>CUST-02195</t>
        </is>
      </c>
      <c r="E1431" t="inlineStr">
        <is>
          <t>Customer 395</t>
        </is>
      </c>
      <c r="F1431" t="inlineStr">
        <is>
          <t>Consumer</t>
        </is>
      </c>
      <c r="G1431" t="inlineStr">
        <is>
          <t>P1011</t>
        </is>
      </c>
      <c r="H1431" t="inlineStr">
        <is>
          <t>Atlas Throw Pillow</t>
        </is>
      </c>
      <c r="I1431" t="inlineStr">
        <is>
          <t>Office Supplies</t>
        </is>
      </c>
      <c r="J1431" t="inlineStr">
        <is>
          <t>Textiles</t>
        </is>
      </c>
      <c r="K1431" t="inlineStr">
        <is>
          <t>North</t>
        </is>
      </c>
      <c r="L1431" t="inlineStr">
        <is>
          <t>Ontario</t>
        </is>
      </c>
      <c r="M1431" t="inlineStr">
        <is>
          <t>Montreal</t>
        </is>
      </c>
      <c r="N1431" t="inlineStr">
        <is>
          <t>Mia Rodriguez</t>
        </is>
      </c>
      <c r="O1431" t="n">
        <v>4</v>
      </c>
      <c r="P1431" s="3" t="n">
        <v>91.84</v>
      </c>
      <c r="Q1431" s="4" t="n">
        <v>0.006</v>
      </c>
      <c r="R1431" s="3" t="n">
        <v>365.16</v>
      </c>
      <c r="S1431" s="3" t="n">
        <v>177.95</v>
      </c>
      <c r="T1431" s="3" t="n">
        <v>178.01</v>
      </c>
      <c r="U1431" s="4" t="n">
        <v>0.4875</v>
      </c>
      <c r="V1431" s="3" t="n">
        <v>9.199999999999999</v>
      </c>
      <c r="W1431" t="inlineStr">
        <is>
          <t>Debit Card</t>
        </is>
      </c>
      <c r="X1431" t="inlineStr">
        <is>
          <t>Low</t>
        </is>
      </c>
      <c r="Y1431" t="n">
        <v>2023</v>
      </c>
      <c r="Z1431" t="n">
        <v>6</v>
      </c>
      <c r="AA1431" t="inlineStr">
        <is>
          <t>Jun</t>
        </is>
      </c>
      <c r="AB1431" t="inlineStr">
        <is>
          <t>Saturday</t>
        </is>
      </c>
      <c r="AC1431" t="n">
        <v>4</v>
      </c>
      <c r="AD1431" t="inlineStr">
        <is>
          <t>Profitable</t>
        </is>
      </c>
      <c r="AE1431" t="inlineStr">
        <is>
          <t>Low</t>
        </is>
      </c>
      <c r="AF1431" t="inlineStr">
        <is>
          <t>Small</t>
        </is>
      </c>
    </row>
    <row r="1432">
      <c r="A1432" t="inlineStr">
        <is>
          <t>ORD-02197</t>
        </is>
      </c>
      <c r="B1432" s="2" t="n">
        <v>45397</v>
      </c>
      <c r="C1432" s="2" t="n">
        <v>45403</v>
      </c>
      <c r="D1432" t="inlineStr">
        <is>
          <t>CUST-02197</t>
        </is>
      </c>
      <c r="E1432" t="inlineStr">
        <is>
          <t>Customer 397</t>
        </is>
      </c>
      <c r="F1432" t="inlineStr">
        <is>
          <t>Home Office</t>
        </is>
      </c>
      <c r="G1432" t="inlineStr">
        <is>
          <t>P1002</t>
        </is>
      </c>
      <c r="H1432" t="inlineStr">
        <is>
          <t>Pulse Keyboard</t>
        </is>
      </c>
      <c r="I1432" t="inlineStr">
        <is>
          <t>Outdoor</t>
        </is>
      </c>
      <c r="J1432" t="inlineStr">
        <is>
          <t>Chairs</t>
        </is>
      </c>
      <c r="K1432" t="inlineStr">
        <is>
          <t>North</t>
        </is>
      </c>
      <c r="L1432" t="inlineStr">
        <is>
          <t>Alberta</t>
        </is>
      </c>
      <c r="M1432" t="inlineStr">
        <is>
          <t>Montreal</t>
        </is>
      </c>
      <c r="N1432" t="inlineStr">
        <is>
          <t>Ethan Brooks</t>
        </is>
      </c>
      <c r="O1432" t="n">
        <v>1</v>
      </c>
      <c r="P1432" s="3" t="n">
        <v>82.91</v>
      </c>
      <c r="Q1432" s="4" t="n">
        <v>0.028</v>
      </c>
      <c r="R1432" s="3" t="n">
        <v>80.59</v>
      </c>
      <c r="S1432" s="3" t="n">
        <v>41.59</v>
      </c>
      <c r="T1432" s="3" t="n">
        <v>32.2</v>
      </c>
      <c r="U1432" s="4" t="n">
        <v>0.3996</v>
      </c>
      <c r="V1432" s="3" t="n">
        <v>6.8</v>
      </c>
      <c r="W1432" t="inlineStr">
        <is>
          <t>Credit Card</t>
        </is>
      </c>
      <c r="X1432" t="inlineStr">
        <is>
          <t>Medium</t>
        </is>
      </c>
      <c r="Y1432" t="n">
        <v>2024</v>
      </c>
      <c r="Z1432" t="n">
        <v>4</v>
      </c>
      <c r="AA1432" t="inlineStr">
        <is>
          <t>Apr</t>
        </is>
      </c>
      <c r="AB1432" t="inlineStr">
        <is>
          <t>Monday</t>
        </is>
      </c>
      <c r="AC1432" t="n">
        <v>6</v>
      </c>
      <c r="AD1432" t="inlineStr">
        <is>
          <t>Profitable</t>
        </is>
      </c>
      <c r="AE1432" t="inlineStr">
        <is>
          <t>Medium</t>
        </is>
      </c>
      <c r="AF1432" t="inlineStr">
        <is>
          <t>Small</t>
        </is>
      </c>
    </row>
    <row r="1433">
      <c r="A1433" t="inlineStr">
        <is>
          <t>ORD-02257</t>
        </is>
      </c>
      <c r="B1433" s="2" t="n">
        <v>45406</v>
      </c>
      <c r="C1433" s="2" t="n">
        <v>45409</v>
      </c>
      <c r="D1433" t="inlineStr">
        <is>
          <t>CUST-02257</t>
        </is>
      </c>
      <c r="E1433" t="inlineStr">
        <is>
          <t>Customer 457</t>
        </is>
      </c>
      <c r="F1433" t="inlineStr">
        <is>
          <t>Corporate</t>
        </is>
      </c>
      <c r="G1433" t="inlineStr">
        <is>
          <t>P1017</t>
        </is>
      </c>
      <c r="H1433" t="inlineStr">
        <is>
          <t>Lumen Desk Lamp</t>
        </is>
      </c>
      <c r="I1433" t="inlineStr">
        <is>
          <t>Furniture</t>
        </is>
      </c>
      <c r="J1433" t="inlineStr">
        <is>
          <t>Binders</t>
        </is>
      </c>
      <c r="K1433" t="inlineStr">
        <is>
          <t>North</t>
        </is>
      </c>
      <c r="L1433" t="inlineStr">
        <is>
          <t>British Columbia</t>
        </is>
      </c>
      <c r="M1433" t="inlineStr">
        <is>
          <t>Calgary</t>
        </is>
      </c>
      <c r="N1433" t="inlineStr">
        <is>
          <t>Olivia Martin</t>
        </is>
      </c>
      <c r="O1433" t="n">
        <v>3</v>
      </c>
      <c r="P1433" s="3" t="n">
        <v>542.7</v>
      </c>
      <c r="Q1433" s="4" t="n">
        <v>0.051</v>
      </c>
      <c r="R1433" s="3" t="n">
        <v>1545.07</v>
      </c>
      <c r="S1433" s="3" t="n">
        <v>1031.31</v>
      </c>
      <c r="T1433" s="3" t="n">
        <v>505.36</v>
      </c>
      <c r="U1433" s="4" t="n">
        <v>0.3271</v>
      </c>
      <c r="V1433" s="3" t="n">
        <v>8.4</v>
      </c>
      <c r="W1433" t="inlineStr">
        <is>
          <t>Credit Card</t>
        </is>
      </c>
      <c r="X1433" t="inlineStr">
        <is>
          <t>High</t>
        </is>
      </c>
      <c r="Y1433" t="n">
        <v>2024</v>
      </c>
      <c r="Z1433" t="n">
        <v>4</v>
      </c>
      <c r="AA1433" t="inlineStr">
        <is>
          <t>Apr</t>
        </is>
      </c>
      <c r="AB1433" t="inlineStr">
        <is>
          <t>Wednesday</t>
        </is>
      </c>
      <c r="AC1433" t="n">
        <v>3</v>
      </c>
      <c r="AD1433" t="inlineStr">
        <is>
          <t>Profitable</t>
        </is>
      </c>
      <c r="AE1433" t="inlineStr">
        <is>
          <t>High</t>
        </is>
      </c>
      <c r="AF1433" t="inlineStr">
        <is>
          <t>Large</t>
        </is>
      </c>
    </row>
    <row r="1434">
      <c r="A1434" t="inlineStr">
        <is>
          <t>ORD-02265</t>
        </is>
      </c>
      <c r="B1434" s="2" t="n">
        <v>45641</v>
      </c>
      <c r="C1434" s="2" t="n">
        <v>45644</v>
      </c>
      <c r="D1434" t="inlineStr">
        <is>
          <t>CUST-02265</t>
        </is>
      </c>
      <c r="E1434" t="inlineStr">
        <is>
          <t>Customer 465</t>
        </is>
      </c>
      <c r="F1434" t="inlineStr">
        <is>
          <t>Corporate</t>
        </is>
      </c>
      <c r="G1434" t="inlineStr">
        <is>
          <t>P1011</t>
        </is>
      </c>
      <c r="H1434" t="inlineStr">
        <is>
          <t>Lumen Desk Lamp</t>
        </is>
      </c>
      <c r="I1434" t="inlineStr">
        <is>
          <t>Office Supplies</t>
        </is>
      </c>
      <c r="J1434" t="inlineStr">
        <is>
          <t>Video</t>
        </is>
      </c>
      <c r="K1434" t="inlineStr">
        <is>
          <t>North</t>
        </is>
      </c>
      <c r="L1434" t="inlineStr">
        <is>
          <t>Quebec</t>
        </is>
      </c>
      <c r="M1434" t="inlineStr">
        <is>
          <t>Vancouver</t>
        </is>
      </c>
      <c r="N1434" t="inlineStr">
        <is>
          <t>Noah Kim</t>
        </is>
      </c>
      <c r="O1434" t="n">
        <v>2</v>
      </c>
      <c r="P1434" s="3" t="n">
        <v>99.45</v>
      </c>
      <c r="Q1434" s="4" t="n">
        <v>0.065</v>
      </c>
      <c r="R1434" s="3" t="n">
        <v>185.97</v>
      </c>
      <c r="S1434" s="3" t="n">
        <v>94.56</v>
      </c>
      <c r="T1434" s="3" t="n">
        <v>83.81</v>
      </c>
      <c r="U1434" s="4" t="n">
        <v>0.4507</v>
      </c>
      <c r="V1434" s="3" t="n">
        <v>7.6</v>
      </c>
      <c r="W1434" t="inlineStr">
        <is>
          <t>Cash on Delivery</t>
        </is>
      </c>
      <c r="X1434" t="inlineStr">
        <is>
          <t>High</t>
        </is>
      </c>
      <c r="Y1434" t="n">
        <v>2024</v>
      </c>
      <c r="Z1434" t="n">
        <v>12</v>
      </c>
      <c r="AA1434" t="inlineStr">
        <is>
          <t>Dec</t>
        </is>
      </c>
      <c r="AB1434" t="inlineStr">
        <is>
          <t>Sunday</t>
        </is>
      </c>
      <c r="AC1434" t="n">
        <v>3</v>
      </c>
      <c r="AD1434" t="inlineStr">
        <is>
          <t>Profitable</t>
        </is>
      </c>
      <c r="AE1434" t="inlineStr">
        <is>
          <t>High</t>
        </is>
      </c>
      <c r="AF1434" t="inlineStr">
        <is>
          <t>Small</t>
        </is>
      </c>
    </row>
    <row r="1435">
      <c r="A1435" t="inlineStr">
        <is>
          <t>ORD-02274</t>
        </is>
      </c>
      <c r="B1435" s="2" t="n">
        <v>45813</v>
      </c>
      <c r="C1435" s="2" t="n">
        <v>45818</v>
      </c>
      <c r="D1435" t="inlineStr">
        <is>
          <t>CUST-02274</t>
        </is>
      </c>
      <c r="E1435" t="inlineStr">
        <is>
          <t>Customer 474</t>
        </is>
      </c>
      <c r="F1435" t="inlineStr">
        <is>
          <t>Corporate</t>
        </is>
      </c>
      <c r="G1435" t="inlineStr">
        <is>
          <t>P1005</t>
        </is>
      </c>
      <c r="H1435" t="inlineStr">
        <is>
          <t>Northstar Lantern</t>
        </is>
      </c>
      <c r="I1435" t="inlineStr">
        <is>
          <t>Outdoor</t>
        </is>
      </c>
      <c r="J1435" t="inlineStr">
        <is>
          <t>Textiles</t>
        </is>
      </c>
      <c r="K1435" t="inlineStr">
        <is>
          <t>North</t>
        </is>
      </c>
      <c r="L1435" t="inlineStr">
        <is>
          <t>Alberta</t>
        </is>
      </c>
      <c r="M1435" t="inlineStr">
        <is>
          <t>Toronto</t>
        </is>
      </c>
      <c r="N1435" t="inlineStr">
        <is>
          <t>Mia Rodriguez</t>
        </is>
      </c>
      <c r="O1435" t="n">
        <v>2</v>
      </c>
      <c r="P1435" s="3" t="n">
        <v>13.21</v>
      </c>
      <c r="Q1435" s="4" t="n">
        <v>0.036</v>
      </c>
      <c r="R1435" s="3" t="n">
        <v>25.47</v>
      </c>
      <c r="S1435" s="3" t="n">
        <v>17.58</v>
      </c>
      <c r="T1435" s="3" t="n">
        <v>0.29</v>
      </c>
      <c r="U1435" s="4" t="n">
        <v>0.0114</v>
      </c>
      <c r="V1435" s="3" t="n">
        <v>7.6</v>
      </c>
      <c r="W1435" t="inlineStr">
        <is>
          <t>Debit Card</t>
        </is>
      </c>
      <c r="X1435" t="inlineStr">
        <is>
          <t>Medium</t>
        </is>
      </c>
      <c r="Y1435" t="n">
        <v>2025</v>
      </c>
      <c r="Z1435" t="n">
        <v>6</v>
      </c>
      <c r="AA1435" t="inlineStr">
        <is>
          <t>Jun</t>
        </is>
      </c>
      <c r="AB1435" t="inlineStr">
        <is>
          <t>Thursday</t>
        </is>
      </c>
      <c r="AC1435" t="n">
        <v>5</v>
      </c>
      <c r="AD1435" t="inlineStr">
        <is>
          <t>Profitable</t>
        </is>
      </c>
      <c r="AE1435" t="inlineStr">
        <is>
          <t>Medium</t>
        </is>
      </c>
      <c r="AF1435" t="inlineStr">
        <is>
          <t>Small</t>
        </is>
      </c>
    </row>
    <row r="1436">
      <c r="A1436" t="inlineStr">
        <is>
          <t>ORD-02278</t>
        </is>
      </c>
      <c r="B1436" s="2" t="n">
        <v>45628</v>
      </c>
      <c r="C1436" s="2" t="n">
        <v>45629</v>
      </c>
      <c r="D1436" t="inlineStr">
        <is>
          <t>CUST-02278</t>
        </is>
      </c>
      <c r="E1436" t="inlineStr">
        <is>
          <t>Customer 478</t>
        </is>
      </c>
      <c r="F1436" t="inlineStr">
        <is>
          <t>Consumer</t>
        </is>
      </c>
      <c r="G1436" t="inlineStr">
        <is>
          <t>P1018</t>
        </is>
      </c>
      <c r="H1436" t="inlineStr">
        <is>
          <t>Orbit Wireless Mouse</t>
        </is>
      </c>
      <c r="I1436" t="inlineStr">
        <is>
          <t>Office Supplies</t>
        </is>
      </c>
      <c r="J1436" t="inlineStr">
        <is>
          <t>Storage</t>
        </is>
      </c>
      <c r="K1436" t="inlineStr">
        <is>
          <t>North</t>
        </is>
      </c>
      <c r="L1436" t="inlineStr">
        <is>
          <t>Quebec</t>
        </is>
      </c>
      <c r="M1436" t="inlineStr">
        <is>
          <t>Montreal</t>
        </is>
      </c>
      <c r="N1436" t="inlineStr">
        <is>
          <t>Noah Kim</t>
        </is>
      </c>
      <c r="O1436" t="n">
        <v>1</v>
      </c>
      <c r="P1436" s="3" t="n">
        <v>91.7</v>
      </c>
      <c r="Q1436" s="4" t="n">
        <v>0.007</v>
      </c>
      <c r="R1436" s="3" t="n">
        <v>91.06</v>
      </c>
      <c r="S1436" s="3" t="n">
        <v>45.52</v>
      </c>
      <c r="T1436" s="3" t="n">
        <v>38.74</v>
      </c>
      <c r="U1436" s="4" t="n">
        <v>0.4254</v>
      </c>
      <c r="V1436" s="3" t="n">
        <v>6.8</v>
      </c>
      <c r="W1436" t="inlineStr">
        <is>
          <t>Cash on Delivery</t>
        </is>
      </c>
      <c r="X1436" t="inlineStr">
        <is>
          <t>Medium</t>
        </is>
      </c>
      <c r="Y1436" t="n">
        <v>2024</v>
      </c>
      <c r="Z1436" t="n">
        <v>12</v>
      </c>
      <c r="AA1436" t="inlineStr">
        <is>
          <t>Dec</t>
        </is>
      </c>
      <c r="AB1436" t="inlineStr">
        <is>
          <t>Monday</t>
        </is>
      </c>
      <c r="AC1436" t="n">
        <v>1</v>
      </c>
      <c r="AD1436" t="inlineStr">
        <is>
          <t>Profitable</t>
        </is>
      </c>
      <c r="AE1436" t="inlineStr">
        <is>
          <t>Low</t>
        </is>
      </c>
      <c r="AF1436" t="inlineStr">
        <is>
          <t>Small</t>
        </is>
      </c>
    </row>
    <row r="1437">
      <c r="A1437" t="inlineStr">
        <is>
          <t>ORD-02284</t>
        </is>
      </c>
      <c r="B1437" s="2" t="n">
        <v>45284</v>
      </c>
      <c r="C1437" s="2" t="n">
        <v>45291</v>
      </c>
      <c r="D1437" t="inlineStr">
        <is>
          <t>CUST-02284</t>
        </is>
      </c>
      <c r="E1437" t="inlineStr">
        <is>
          <t>Customer 484</t>
        </is>
      </c>
      <c r="F1437" t="inlineStr">
        <is>
          <t>Consumer</t>
        </is>
      </c>
      <c r="G1437" t="inlineStr">
        <is>
          <t>P1005</t>
        </is>
      </c>
      <c r="H1437" t="inlineStr">
        <is>
          <t>CloudDrive File Box</t>
        </is>
      </c>
      <c r="I1437" t="inlineStr">
        <is>
          <t>Office Supplies</t>
        </is>
      </c>
      <c r="J1437" t="inlineStr">
        <is>
          <t>Desks</t>
        </is>
      </c>
      <c r="K1437" t="inlineStr">
        <is>
          <t>North</t>
        </is>
      </c>
      <c r="L1437" t="inlineStr">
        <is>
          <t>Alberta</t>
        </is>
      </c>
      <c r="M1437" t="inlineStr">
        <is>
          <t>Vancouver</t>
        </is>
      </c>
      <c r="N1437" t="inlineStr">
        <is>
          <t>Sophia Singh</t>
        </is>
      </c>
      <c r="O1437" t="n">
        <v>1</v>
      </c>
      <c r="P1437" s="3" t="n">
        <v>13.9</v>
      </c>
      <c r="Q1437" s="4" t="n">
        <v>0.014</v>
      </c>
      <c r="R1437" s="3" t="n">
        <v>13.71</v>
      </c>
      <c r="S1437" s="3" t="n">
        <v>10.16</v>
      </c>
      <c r="T1437" s="3" t="n">
        <v>-3.25</v>
      </c>
      <c r="U1437" s="4" t="n">
        <v>-0.2371</v>
      </c>
      <c r="V1437" s="3" t="n">
        <v>6.8</v>
      </c>
      <c r="W1437" t="inlineStr">
        <is>
          <t>Debit Card</t>
        </is>
      </c>
      <c r="X1437" t="inlineStr">
        <is>
          <t>Medium</t>
        </is>
      </c>
      <c r="Y1437" t="n">
        <v>2023</v>
      </c>
      <c r="Z1437" t="n">
        <v>12</v>
      </c>
      <c r="AA1437" t="inlineStr">
        <is>
          <t>Dec</t>
        </is>
      </c>
      <c r="AB1437" t="inlineStr">
        <is>
          <t>Sunday</t>
        </is>
      </c>
      <c r="AC1437" t="n">
        <v>7</v>
      </c>
      <c r="AD1437" t="inlineStr">
        <is>
          <t>Unprofitable</t>
        </is>
      </c>
      <c r="AE1437" t="inlineStr">
        <is>
          <t>Low</t>
        </is>
      </c>
      <c r="AF1437" t="inlineStr">
        <is>
          <t>Small</t>
        </is>
      </c>
    </row>
    <row r="1438">
      <c r="A1438" t="inlineStr">
        <is>
          <t>ORD-02293</t>
        </is>
      </c>
      <c r="B1438" s="2" t="n">
        <v>44930</v>
      </c>
      <c r="C1438" s="2" t="n">
        <v>44936</v>
      </c>
      <c r="D1438" t="inlineStr">
        <is>
          <t>CUST-02293</t>
        </is>
      </c>
      <c r="E1438" t="inlineStr">
        <is>
          <t>Customer 493</t>
        </is>
      </c>
      <c r="F1438" t="inlineStr">
        <is>
          <t>Corporate</t>
        </is>
      </c>
      <c r="G1438" t="inlineStr">
        <is>
          <t>P1011</t>
        </is>
      </c>
      <c r="H1438" t="inlineStr">
        <is>
          <t>Halo Planter</t>
        </is>
      </c>
      <c r="I1438" t="inlineStr">
        <is>
          <t>Home Decor</t>
        </is>
      </c>
      <c r="J1438" t="inlineStr">
        <is>
          <t>Plants</t>
        </is>
      </c>
      <c r="K1438" t="inlineStr">
        <is>
          <t>North</t>
        </is>
      </c>
      <c r="L1438" t="inlineStr">
        <is>
          <t>British Columbia</t>
        </is>
      </c>
      <c r="M1438" t="inlineStr">
        <is>
          <t>Vancouver</t>
        </is>
      </c>
      <c r="N1438" t="inlineStr">
        <is>
          <t>Ethan Brooks</t>
        </is>
      </c>
      <c r="O1438" t="n">
        <v>4</v>
      </c>
      <c r="P1438" s="3" t="n">
        <v>86.92</v>
      </c>
      <c r="Q1438" s="4" t="n">
        <v>0.017</v>
      </c>
      <c r="R1438" s="3" t="n">
        <v>341.77</v>
      </c>
      <c r="S1438" s="3" t="n">
        <v>164.69</v>
      </c>
      <c r="T1438" s="3" t="n">
        <v>167.88</v>
      </c>
      <c r="U1438" s="4" t="n">
        <v>0.4912</v>
      </c>
      <c r="V1438" s="3" t="n">
        <v>9.199999999999999</v>
      </c>
      <c r="W1438" t="inlineStr">
        <is>
          <t>Bank Transfer</t>
        </is>
      </c>
      <c r="X1438" t="inlineStr">
        <is>
          <t>Low</t>
        </is>
      </c>
      <c r="Y1438" t="n">
        <v>2023</v>
      </c>
      <c r="Z1438" t="n">
        <v>1</v>
      </c>
      <c r="AA1438" t="inlineStr">
        <is>
          <t>Jan</t>
        </is>
      </c>
      <c r="AB1438" t="inlineStr">
        <is>
          <t>Wednesday</t>
        </is>
      </c>
      <c r="AC1438" t="n">
        <v>6</v>
      </c>
      <c r="AD1438" t="inlineStr">
        <is>
          <t>Profitable</t>
        </is>
      </c>
      <c r="AE1438" t="inlineStr">
        <is>
          <t>Low</t>
        </is>
      </c>
      <c r="AF1438" t="inlineStr">
        <is>
          <t>Small</t>
        </is>
      </c>
    </row>
    <row r="1439">
      <c r="A1439" t="inlineStr">
        <is>
          <t>ORD-02327</t>
        </is>
      </c>
      <c r="B1439" s="2" t="n">
        <v>45859</v>
      </c>
      <c r="C1439" s="2" t="n">
        <v>45861</v>
      </c>
      <c r="D1439" t="inlineStr">
        <is>
          <t>CUST-02327</t>
        </is>
      </c>
      <c r="E1439" t="inlineStr">
        <is>
          <t>Customer 527</t>
        </is>
      </c>
      <c r="F1439" t="inlineStr">
        <is>
          <t>Corporate</t>
        </is>
      </c>
      <c r="G1439" t="inlineStr">
        <is>
          <t>P1009</t>
        </is>
      </c>
      <c r="H1439" t="inlineStr">
        <is>
          <t>Cove Wall Clock</t>
        </is>
      </c>
      <c r="I1439" t="inlineStr">
        <is>
          <t>Office Supplies</t>
        </is>
      </c>
      <c r="J1439" t="inlineStr">
        <is>
          <t>Coolers</t>
        </is>
      </c>
      <c r="K1439" t="inlineStr">
        <is>
          <t>North</t>
        </is>
      </c>
      <c r="L1439" t="inlineStr">
        <is>
          <t>Quebec</t>
        </is>
      </c>
      <c r="M1439" t="inlineStr">
        <is>
          <t>Toronto</t>
        </is>
      </c>
      <c r="N1439" t="inlineStr">
        <is>
          <t>Noah Kim</t>
        </is>
      </c>
      <c r="O1439" t="n">
        <v>3</v>
      </c>
      <c r="P1439" s="3" t="n">
        <v>95.56999999999999</v>
      </c>
      <c r="Q1439" s="4" t="n">
        <v>0.02</v>
      </c>
      <c r="R1439" s="3" t="n">
        <v>280.98</v>
      </c>
      <c r="S1439" s="3" t="n">
        <v>140.52</v>
      </c>
      <c r="T1439" s="3" t="n">
        <v>132.06</v>
      </c>
      <c r="U1439" s="4" t="n">
        <v>0.47</v>
      </c>
      <c r="V1439" s="3" t="n">
        <v>8.4</v>
      </c>
      <c r="W1439" t="inlineStr">
        <is>
          <t>PayPal</t>
        </is>
      </c>
      <c r="X1439" t="inlineStr">
        <is>
          <t>Medium</t>
        </is>
      </c>
      <c r="Y1439" t="n">
        <v>2025</v>
      </c>
      <c r="Z1439" t="n">
        <v>7</v>
      </c>
      <c r="AA1439" t="inlineStr">
        <is>
          <t>Jul</t>
        </is>
      </c>
      <c r="AB1439" t="inlineStr">
        <is>
          <t>Monday</t>
        </is>
      </c>
      <c r="AC1439" t="n">
        <v>2</v>
      </c>
      <c r="AD1439" t="inlineStr">
        <is>
          <t>Profitable</t>
        </is>
      </c>
      <c r="AE1439" t="inlineStr">
        <is>
          <t>Medium</t>
        </is>
      </c>
      <c r="AF1439" t="inlineStr">
        <is>
          <t>Small</t>
        </is>
      </c>
    </row>
    <row r="1440">
      <c r="A1440" t="inlineStr">
        <is>
          <t>ORD-02329</t>
        </is>
      </c>
      <c r="B1440" s="2" t="n">
        <v>45584</v>
      </c>
      <c r="C1440" s="2" t="n">
        <v>45591</v>
      </c>
      <c r="D1440" t="inlineStr">
        <is>
          <t>CUST-02329</t>
        </is>
      </c>
      <c r="E1440" t="inlineStr">
        <is>
          <t>Customer 529</t>
        </is>
      </c>
      <c r="F1440" t="inlineStr">
        <is>
          <t>Corporate</t>
        </is>
      </c>
      <c r="G1440" t="inlineStr">
        <is>
          <t>P1004</t>
        </is>
      </c>
      <c r="H1440" t="inlineStr">
        <is>
          <t>ProClip Binder</t>
        </is>
      </c>
      <c r="I1440" t="inlineStr">
        <is>
          <t>Home Decor</t>
        </is>
      </c>
      <c r="J1440" t="inlineStr">
        <is>
          <t>Furniture</t>
        </is>
      </c>
      <c r="K1440" t="inlineStr">
        <is>
          <t>North</t>
        </is>
      </c>
      <c r="L1440" t="inlineStr">
        <is>
          <t>Ontario</t>
        </is>
      </c>
      <c r="M1440" t="inlineStr">
        <is>
          <t>Calgary</t>
        </is>
      </c>
      <c r="N1440" t="inlineStr">
        <is>
          <t>Olivia Martin</t>
        </is>
      </c>
      <c r="O1440" t="n">
        <v>3</v>
      </c>
      <c r="P1440" s="3" t="n">
        <v>642.9400000000001</v>
      </c>
      <c r="Q1440" s="4" t="n">
        <v>0.04</v>
      </c>
      <c r="R1440" s="3" t="n">
        <v>1851.67</v>
      </c>
      <c r="S1440" s="3" t="n">
        <v>1171.05</v>
      </c>
      <c r="T1440" s="3" t="n">
        <v>672.22</v>
      </c>
      <c r="U1440" s="4" t="n">
        <v>0.363</v>
      </c>
      <c r="V1440" s="3" t="n">
        <v>8.4</v>
      </c>
      <c r="W1440" t="inlineStr">
        <is>
          <t>Credit Card</t>
        </is>
      </c>
      <c r="X1440" t="inlineStr">
        <is>
          <t>Medium</t>
        </is>
      </c>
      <c r="Y1440" t="n">
        <v>2024</v>
      </c>
      <c r="Z1440" t="n">
        <v>10</v>
      </c>
      <c r="AA1440" t="inlineStr">
        <is>
          <t>Oct</t>
        </is>
      </c>
      <c r="AB1440" t="inlineStr">
        <is>
          <t>Saturday</t>
        </is>
      </c>
      <c r="AC1440" t="n">
        <v>7</v>
      </c>
      <c r="AD1440" t="inlineStr">
        <is>
          <t>Profitable</t>
        </is>
      </c>
      <c r="AE1440" t="inlineStr">
        <is>
          <t>Medium</t>
        </is>
      </c>
      <c r="AF1440" t="inlineStr">
        <is>
          <t>Large</t>
        </is>
      </c>
    </row>
    <row r="1441">
      <c r="A1441" t="inlineStr">
        <is>
          <t>ORD-02336</t>
        </is>
      </c>
      <c r="B1441" s="2" t="n">
        <v>45292</v>
      </c>
      <c r="C1441" s="2" t="n">
        <v>45297</v>
      </c>
      <c r="D1441" t="inlineStr">
        <is>
          <t>CUST-02336</t>
        </is>
      </c>
      <c r="E1441" t="inlineStr">
        <is>
          <t>Customer 536</t>
        </is>
      </c>
      <c r="F1441" t="inlineStr">
        <is>
          <t>Consumer</t>
        </is>
      </c>
      <c r="G1441" t="inlineStr">
        <is>
          <t>P1005</t>
        </is>
      </c>
      <c r="H1441" t="inlineStr">
        <is>
          <t>Halo Planter</t>
        </is>
      </c>
      <c r="I1441" t="inlineStr">
        <is>
          <t>Outdoor</t>
        </is>
      </c>
      <c r="J1441" t="inlineStr">
        <is>
          <t>Lighting</t>
        </is>
      </c>
      <c r="K1441" t="inlineStr">
        <is>
          <t>North</t>
        </is>
      </c>
      <c r="L1441" t="inlineStr">
        <is>
          <t>British Columbia</t>
        </is>
      </c>
      <c r="M1441" t="inlineStr">
        <is>
          <t>Toronto</t>
        </is>
      </c>
      <c r="N1441" t="inlineStr">
        <is>
          <t>James Carter</t>
        </is>
      </c>
      <c r="O1441" t="n">
        <v>3</v>
      </c>
      <c r="P1441" s="3" t="n">
        <v>12.08</v>
      </c>
      <c r="Q1441" s="4" t="n">
        <v>0.018</v>
      </c>
      <c r="R1441" s="3" t="n">
        <v>35.59</v>
      </c>
      <c r="S1441" s="3" t="n">
        <v>20</v>
      </c>
      <c r="T1441" s="3" t="n">
        <v>7.19</v>
      </c>
      <c r="U1441" s="4" t="n">
        <v>0.202</v>
      </c>
      <c r="V1441" s="3" t="n">
        <v>8.4</v>
      </c>
      <c r="W1441" t="inlineStr">
        <is>
          <t>Cash on Delivery</t>
        </is>
      </c>
      <c r="X1441" t="inlineStr">
        <is>
          <t>Medium</t>
        </is>
      </c>
      <c r="Y1441" t="n">
        <v>2024</v>
      </c>
      <c r="Z1441" t="n">
        <v>1</v>
      </c>
      <c r="AA1441" t="inlineStr">
        <is>
          <t>Jan</t>
        </is>
      </c>
      <c r="AB1441" t="inlineStr">
        <is>
          <t>Monday</t>
        </is>
      </c>
      <c r="AC1441" t="n">
        <v>5</v>
      </c>
      <c r="AD1441" t="inlineStr">
        <is>
          <t>Profitable</t>
        </is>
      </c>
      <c r="AE1441" t="inlineStr">
        <is>
          <t>Low</t>
        </is>
      </c>
      <c r="AF1441" t="inlineStr">
        <is>
          <t>Small</t>
        </is>
      </c>
    </row>
    <row r="1442">
      <c r="A1442" t="inlineStr">
        <is>
          <t>ORD-02343</t>
        </is>
      </c>
      <c r="B1442" s="2" t="n">
        <v>45069</v>
      </c>
      <c r="C1442" s="2" t="n">
        <v>45071</v>
      </c>
      <c r="D1442" t="inlineStr">
        <is>
          <t>CUST-02343</t>
        </is>
      </c>
      <c r="E1442" t="inlineStr">
        <is>
          <t>Customer 543</t>
        </is>
      </c>
      <c r="F1442" t="inlineStr">
        <is>
          <t>Consumer</t>
        </is>
      </c>
      <c r="G1442" t="inlineStr">
        <is>
          <t>P1014</t>
        </is>
      </c>
      <c r="H1442" t="inlineStr">
        <is>
          <t>CloudDrive File Box</t>
        </is>
      </c>
      <c r="I1442" t="inlineStr">
        <is>
          <t>Home Decor</t>
        </is>
      </c>
      <c r="J1442" t="inlineStr">
        <is>
          <t>Accessories</t>
        </is>
      </c>
      <c r="K1442" t="inlineStr">
        <is>
          <t>North</t>
        </is>
      </c>
      <c r="L1442" t="inlineStr">
        <is>
          <t>Alberta</t>
        </is>
      </c>
      <c r="M1442" t="inlineStr">
        <is>
          <t>Montreal</t>
        </is>
      </c>
      <c r="N1442" t="inlineStr">
        <is>
          <t>Noah Kim</t>
        </is>
      </c>
      <c r="O1442" t="n">
        <v>2</v>
      </c>
      <c r="P1442" s="3" t="n">
        <v>42.19</v>
      </c>
      <c r="Q1442" s="4" t="n">
        <v>0.033</v>
      </c>
      <c r="R1442" s="3" t="n">
        <v>81.59999999999999</v>
      </c>
      <c r="S1442" s="3" t="n">
        <v>36.37</v>
      </c>
      <c r="T1442" s="3" t="n">
        <v>37.63</v>
      </c>
      <c r="U1442" s="4" t="n">
        <v>0.4612</v>
      </c>
      <c r="V1442" s="3" t="n">
        <v>7.6</v>
      </c>
      <c r="W1442" t="inlineStr">
        <is>
          <t>Credit Card</t>
        </is>
      </c>
      <c r="X1442" t="inlineStr">
        <is>
          <t>High</t>
        </is>
      </c>
      <c r="Y1442" t="n">
        <v>2023</v>
      </c>
      <c r="Z1442" t="n">
        <v>5</v>
      </c>
      <c r="AA1442" t="inlineStr">
        <is>
          <t>May</t>
        </is>
      </c>
      <c r="AB1442" t="inlineStr">
        <is>
          <t>Tuesday</t>
        </is>
      </c>
      <c r="AC1442" t="n">
        <v>2</v>
      </c>
      <c r="AD1442" t="inlineStr">
        <is>
          <t>Profitable</t>
        </is>
      </c>
      <c r="AE1442" t="inlineStr">
        <is>
          <t>Medium</t>
        </is>
      </c>
      <c r="AF1442" t="inlineStr">
        <is>
          <t>Small</t>
        </is>
      </c>
    </row>
    <row r="1443">
      <c r="A1443" t="inlineStr">
        <is>
          <t>ORD-02345</t>
        </is>
      </c>
      <c r="B1443" s="2" t="n">
        <v>45711</v>
      </c>
      <c r="C1443" s="2" t="n">
        <v>45715</v>
      </c>
      <c r="D1443" t="inlineStr">
        <is>
          <t>CUST-02345</t>
        </is>
      </c>
      <c r="E1443" t="inlineStr">
        <is>
          <t>Customer 545</t>
        </is>
      </c>
      <c r="F1443" t="inlineStr">
        <is>
          <t>Consumer</t>
        </is>
      </c>
      <c r="G1443" t="inlineStr">
        <is>
          <t>P1017</t>
        </is>
      </c>
      <c r="H1443" t="inlineStr">
        <is>
          <t>Harbor Rug</t>
        </is>
      </c>
      <c r="I1443" t="inlineStr">
        <is>
          <t>Furniture</t>
        </is>
      </c>
      <c r="J1443" t="inlineStr">
        <is>
          <t>Accessories</t>
        </is>
      </c>
      <c r="K1443" t="inlineStr">
        <is>
          <t>North</t>
        </is>
      </c>
      <c r="L1443" t="inlineStr">
        <is>
          <t>Quebec</t>
        </is>
      </c>
      <c r="M1443" t="inlineStr">
        <is>
          <t>Calgary</t>
        </is>
      </c>
      <c r="N1443" t="inlineStr">
        <is>
          <t>Ethan Brooks</t>
        </is>
      </c>
      <c r="O1443" t="n">
        <v>3</v>
      </c>
      <c r="P1443" s="3" t="n">
        <v>565.08</v>
      </c>
      <c r="Q1443" s="4" t="n">
        <v>0.029</v>
      </c>
      <c r="R1443" s="3" t="n">
        <v>1646.08</v>
      </c>
      <c r="S1443" s="3" t="n">
        <v>1091.29</v>
      </c>
      <c r="T1443" s="3" t="n">
        <v>546.39</v>
      </c>
      <c r="U1443" s="4" t="n">
        <v>0.3319</v>
      </c>
      <c r="V1443" s="3" t="n">
        <v>8.4</v>
      </c>
      <c r="W1443" t="inlineStr">
        <is>
          <t>Debit Card</t>
        </is>
      </c>
      <c r="X1443" t="inlineStr">
        <is>
          <t>Medium</t>
        </is>
      </c>
      <c r="Y1443" t="n">
        <v>2025</v>
      </c>
      <c r="Z1443" t="n">
        <v>2</v>
      </c>
      <c r="AA1443" t="inlineStr">
        <is>
          <t>Feb</t>
        </is>
      </c>
      <c r="AB1443" t="inlineStr">
        <is>
          <t>Sunday</t>
        </is>
      </c>
      <c r="AC1443" t="n">
        <v>4</v>
      </c>
      <c r="AD1443" t="inlineStr">
        <is>
          <t>Profitable</t>
        </is>
      </c>
      <c r="AE1443" t="inlineStr">
        <is>
          <t>Medium</t>
        </is>
      </c>
      <c r="AF1443" t="inlineStr">
        <is>
          <t>Large</t>
        </is>
      </c>
    </row>
    <row r="1444">
      <c r="A1444" t="inlineStr">
        <is>
          <t>ORD-02350</t>
        </is>
      </c>
      <c r="B1444" s="2" t="n">
        <v>45129</v>
      </c>
      <c r="C1444" s="2" t="n">
        <v>45134</v>
      </c>
      <c r="D1444" t="inlineStr">
        <is>
          <t>CUST-02350</t>
        </is>
      </c>
      <c r="E1444" t="inlineStr">
        <is>
          <t>Customer 550</t>
        </is>
      </c>
      <c r="F1444" t="inlineStr">
        <is>
          <t>Consumer</t>
        </is>
      </c>
      <c r="G1444" t="inlineStr">
        <is>
          <t>P1017</t>
        </is>
      </c>
      <c r="H1444" t="inlineStr">
        <is>
          <t>ErgoMesh Chair</t>
        </is>
      </c>
      <c r="I1444" t="inlineStr">
        <is>
          <t>Office Supplies</t>
        </is>
      </c>
      <c r="J1444" t="inlineStr">
        <is>
          <t>Flooring</t>
        </is>
      </c>
      <c r="K1444" t="inlineStr">
        <is>
          <t>North</t>
        </is>
      </c>
      <c r="L1444" t="inlineStr">
        <is>
          <t>Quebec</t>
        </is>
      </c>
      <c r="M1444" t="inlineStr">
        <is>
          <t>Montreal</t>
        </is>
      </c>
      <c r="N1444" t="inlineStr">
        <is>
          <t>Sophia Singh</t>
        </is>
      </c>
      <c r="O1444" t="n">
        <v>3</v>
      </c>
      <c r="P1444" s="3" t="n">
        <v>566.87</v>
      </c>
      <c r="Q1444" s="4" t="n">
        <v>0.033</v>
      </c>
      <c r="R1444" s="3" t="n">
        <v>1644.49</v>
      </c>
      <c r="S1444" s="3" t="n">
        <v>1093.79</v>
      </c>
      <c r="T1444" s="3" t="n">
        <v>542.3</v>
      </c>
      <c r="U1444" s="4" t="n">
        <v>0.3298</v>
      </c>
      <c r="V1444" s="3" t="n">
        <v>8.4</v>
      </c>
      <c r="W1444" t="inlineStr">
        <is>
          <t>Cash on Delivery</t>
        </is>
      </c>
      <c r="X1444" t="inlineStr">
        <is>
          <t>High</t>
        </is>
      </c>
      <c r="Y1444" t="n">
        <v>2023</v>
      </c>
      <c r="Z1444" t="n">
        <v>7</v>
      </c>
      <c r="AA1444" t="inlineStr">
        <is>
          <t>Jul</t>
        </is>
      </c>
      <c r="AB1444" t="inlineStr">
        <is>
          <t>Saturday</t>
        </is>
      </c>
      <c r="AC1444" t="n">
        <v>5</v>
      </c>
      <c r="AD1444" t="inlineStr">
        <is>
          <t>Profitable</t>
        </is>
      </c>
      <c r="AE1444" t="inlineStr">
        <is>
          <t>Medium</t>
        </is>
      </c>
      <c r="AF1444" t="inlineStr">
        <is>
          <t>Large</t>
        </is>
      </c>
    </row>
    <row r="1445">
      <c r="A1445" t="inlineStr">
        <is>
          <t>ORD-02377</t>
        </is>
      </c>
      <c r="B1445" s="2" t="n">
        <v>45339</v>
      </c>
      <c r="C1445" s="2" t="n">
        <v>45344</v>
      </c>
      <c r="D1445" t="inlineStr">
        <is>
          <t>CUST-02377</t>
        </is>
      </c>
      <c r="E1445" t="inlineStr">
        <is>
          <t>Customer 577</t>
        </is>
      </c>
      <c r="F1445" t="inlineStr">
        <is>
          <t>Corporate</t>
        </is>
      </c>
      <c r="G1445" t="inlineStr">
        <is>
          <t>P1020</t>
        </is>
      </c>
      <c r="H1445" t="inlineStr">
        <is>
          <t>Trail Tote</t>
        </is>
      </c>
      <c r="I1445" t="inlineStr">
        <is>
          <t>Furniture</t>
        </is>
      </c>
      <c r="J1445" t="inlineStr">
        <is>
          <t>Desks</t>
        </is>
      </c>
      <c r="K1445" t="inlineStr">
        <is>
          <t>North</t>
        </is>
      </c>
      <c r="L1445" t="inlineStr">
        <is>
          <t>British Columbia</t>
        </is>
      </c>
      <c r="M1445" t="inlineStr">
        <is>
          <t>Montreal</t>
        </is>
      </c>
      <c r="N1445" t="inlineStr">
        <is>
          <t>Sophia Singh</t>
        </is>
      </c>
      <c r="O1445" t="n">
        <v>4</v>
      </c>
      <c r="P1445" s="3" t="n">
        <v>75.40000000000001</v>
      </c>
      <c r="Q1445" s="4" t="n">
        <v>0.026</v>
      </c>
      <c r="R1445" s="3" t="n">
        <v>293.76</v>
      </c>
      <c r="S1445" s="3" t="n">
        <v>138.56</v>
      </c>
      <c r="T1445" s="3" t="n">
        <v>146</v>
      </c>
      <c r="U1445" s="4" t="n">
        <v>0.497</v>
      </c>
      <c r="V1445" s="3" t="n">
        <v>9.199999999999999</v>
      </c>
      <c r="W1445" t="inlineStr">
        <is>
          <t>Credit Card</t>
        </is>
      </c>
      <c r="X1445" t="inlineStr">
        <is>
          <t>Low</t>
        </is>
      </c>
      <c r="Y1445" t="n">
        <v>2024</v>
      </c>
      <c r="Z1445" t="n">
        <v>2</v>
      </c>
      <c r="AA1445" t="inlineStr">
        <is>
          <t>Feb</t>
        </is>
      </c>
      <c r="AB1445" t="inlineStr">
        <is>
          <t>Saturday</t>
        </is>
      </c>
      <c r="AC1445" t="n">
        <v>5</v>
      </c>
      <c r="AD1445" t="inlineStr">
        <is>
          <t>Profitable</t>
        </is>
      </c>
      <c r="AE1445" t="inlineStr">
        <is>
          <t>Medium</t>
        </is>
      </c>
      <c r="AF1445" t="inlineStr">
        <is>
          <t>Small</t>
        </is>
      </c>
    </row>
    <row r="1446">
      <c r="A1446" t="inlineStr">
        <is>
          <t>ORD-02396</t>
        </is>
      </c>
      <c r="B1446" s="2" t="n">
        <v>45332</v>
      </c>
      <c r="C1446" s="2" t="n">
        <v>45334</v>
      </c>
      <c r="D1446" t="inlineStr">
        <is>
          <t>CUST-02396</t>
        </is>
      </c>
      <c r="E1446" t="inlineStr">
        <is>
          <t>Customer 596</t>
        </is>
      </c>
      <c r="F1446" t="inlineStr">
        <is>
          <t>Home Office</t>
        </is>
      </c>
      <c r="G1446" t="inlineStr">
        <is>
          <t>P1012</t>
        </is>
      </c>
      <c r="H1446" t="inlineStr">
        <is>
          <t>Orbit Wireless Mouse</t>
        </is>
      </c>
      <c r="I1446" t="inlineStr">
        <is>
          <t>Outdoor</t>
        </is>
      </c>
      <c r="J1446" t="inlineStr">
        <is>
          <t>Furniture</t>
        </is>
      </c>
      <c r="K1446" t="inlineStr">
        <is>
          <t>North</t>
        </is>
      </c>
      <c r="L1446" t="inlineStr">
        <is>
          <t>British Columbia</t>
        </is>
      </c>
      <c r="M1446" t="inlineStr">
        <is>
          <t>Toronto</t>
        </is>
      </c>
      <c r="N1446" t="inlineStr">
        <is>
          <t>Ethan Brooks</t>
        </is>
      </c>
      <c r="O1446" t="n">
        <v>2</v>
      </c>
      <c r="P1446" s="3" t="n">
        <v>132.22</v>
      </c>
      <c r="Q1446" s="4" t="n">
        <v>0.058</v>
      </c>
      <c r="R1446" s="3" t="n">
        <v>249.1</v>
      </c>
      <c r="S1446" s="3" t="n">
        <v>132.61</v>
      </c>
      <c r="T1446" s="3" t="n">
        <v>108.89</v>
      </c>
      <c r="U1446" s="4" t="n">
        <v>0.4371</v>
      </c>
      <c r="V1446" s="3" t="n">
        <v>7.6</v>
      </c>
      <c r="W1446" t="inlineStr">
        <is>
          <t>Debit Card</t>
        </is>
      </c>
      <c r="X1446" t="inlineStr">
        <is>
          <t>High</t>
        </is>
      </c>
      <c r="Y1446" t="n">
        <v>2024</v>
      </c>
      <c r="Z1446" t="n">
        <v>2</v>
      </c>
      <c r="AA1446" t="inlineStr">
        <is>
          <t>Feb</t>
        </is>
      </c>
      <c r="AB1446" t="inlineStr">
        <is>
          <t>Saturday</t>
        </is>
      </c>
      <c r="AC1446" t="n">
        <v>2</v>
      </c>
      <c r="AD1446" t="inlineStr">
        <is>
          <t>Profitable</t>
        </is>
      </c>
      <c r="AE1446" t="inlineStr">
        <is>
          <t>High</t>
        </is>
      </c>
      <c r="AF1446" t="inlineStr">
        <is>
          <t>Small</t>
        </is>
      </c>
    </row>
    <row r="1447">
      <c r="A1447" t="inlineStr">
        <is>
          <t>ORD-02416</t>
        </is>
      </c>
      <c r="B1447" s="2" t="n">
        <v>46011</v>
      </c>
      <c r="C1447" s="2" t="n">
        <v>46016</v>
      </c>
      <c r="D1447" t="inlineStr">
        <is>
          <t>CUST-02416</t>
        </is>
      </c>
      <c r="E1447" t="inlineStr">
        <is>
          <t>Customer 616</t>
        </is>
      </c>
      <c r="F1447" t="inlineStr">
        <is>
          <t>Corporate</t>
        </is>
      </c>
      <c r="G1447" t="inlineStr">
        <is>
          <t>P1009</t>
        </is>
      </c>
      <c r="H1447" t="inlineStr">
        <is>
          <t>Tide Cooler</t>
        </is>
      </c>
      <c r="I1447" t="inlineStr">
        <is>
          <t>Office Supplies</t>
        </is>
      </c>
      <c r="J1447" t="inlineStr">
        <is>
          <t>Accessories</t>
        </is>
      </c>
      <c r="K1447" t="inlineStr">
        <is>
          <t>North</t>
        </is>
      </c>
      <c r="L1447" t="inlineStr">
        <is>
          <t>Ontario</t>
        </is>
      </c>
      <c r="M1447" t="inlineStr">
        <is>
          <t>Toronto</t>
        </is>
      </c>
      <c r="N1447" t="inlineStr">
        <is>
          <t>Ethan Brooks</t>
        </is>
      </c>
      <c r="O1447" t="n">
        <v>1</v>
      </c>
      <c r="P1447" s="3" t="n">
        <v>100.49</v>
      </c>
      <c r="Q1447" s="4" t="n">
        <v>0.056</v>
      </c>
      <c r="R1447" s="3" t="n">
        <v>94.86</v>
      </c>
      <c r="S1447" s="3" t="n">
        <v>54.29</v>
      </c>
      <c r="T1447" s="3" t="n">
        <v>33.77</v>
      </c>
      <c r="U1447" s="4" t="n">
        <v>0.356</v>
      </c>
      <c r="V1447" s="3" t="n">
        <v>6.8</v>
      </c>
      <c r="W1447" t="inlineStr">
        <is>
          <t>PayPal</t>
        </is>
      </c>
      <c r="X1447" t="inlineStr">
        <is>
          <t>High</t>
        </is>
      </c>
      <c r="Y1447" t="n">
        <v>2025</v>
      </c>
      <c r="Z1447" t="n">
        <v>12</v>
      </c>
      <c r="AA1447" t="inlineStr">
        <is>
          <t>Dec</t>
        </is>
      </c>
      <c r="AB1447" t="inlineStr">
        <is>
          <t>Saturday</t>
        </is>
      </c>
      <c r="AC1447" t="n">
        <v>5</v>
      </c>
      <c r="AD1447" t="inlineStr">
        <is>
          <t>Profitable</t>
        </is>
      </c>
      <c r="AE1447" t="inlineStr">
        <is>
          <t>High</t>
        </is>
      </c>
      <c r="AF1447" t="inlineStr">
        <is>
          <t>Small</t>
        </is>
      </c>
    </row>
    <row r="1448">
      <c r="A1448" t="inlineStr">
        <is>
          <t>ORD-02431</t>
        </is>
      </c>
      <c r="B1448" s="2" t="n">
        <v>45598</v>
      </c>
      <c r="C1448" s="2" t="n">
        <v>45605</v>
      </c>
      <c r="D1448" t="inlineStr">
        <is>
          <t>CUST-02431</t>
        </is>
      </c>
      <c r="E1448" t="inlineStr">
        <is>
          <t>Customer 631</t>
        </is>
      </c>
      <c r="F1448" t="inlineStr">
        <is>
          <t>Consumer</t>
        </is>
      </c>
      <c r="G1448" t="inlineStr">
        <is>
          <t>P1003</t>
        </is>
      </c>
      <c r="H1448" t="inlineStr">
        <is>
          <t>Atlas Throw Pillow</t>
        </is>
      </c>
      <c r="I1448" t="inlineStr">
        <is>
          <t>Technology</t>
        </is>
      </c>
      <c r="J1448" t="inlineStr">
        <is>
          <t>Binders</t>
        </is>
      </c>
      <c r="K1448" t="inlineStr">
        <is>
          <t>North</t>
        </is>
      </c>
      <c r="L1448" t="inlineStr">
        <is>
          <t>Ontario</t>
        </is>
      </c>
      <c r="M1448" t="inlineStr">
        <is>
          <t>Toronto</t>
        </is>
      </c>
      <c r="N1448" t="inlineStr">
        <is>
          <t>Mia Rodriguez</t>
        </is>
      </c>
      <c r="O1448" t="n">
        <v>3</v>
      </c>
      <c r="P1448" s="3" t="n">
        <v>169.91</v>
      </c>
      <c r="Q1448" s="4" t="n">
        <v>0.034</v>
      </c>
      <c r="R1448" s="3" t="n">
        <v>492.4</v>
      </c>
      <c r="S1448" s="3" t="n">
        <v>256.5</v>
      </c>
      <c r="T1448" s="3" t="n">
        <v>227.5</v>
      </c>
      <c r="U1448" s="4" t="n">
        <v>0.462</v>
      </c>
      <c r="V1448" s="3" t="n">
        <v>8.4</v>
      </c>
      <c r="W1448" t="inlineStr">
        <is>
          <t>Credit Card</t>
        </is>
      </c>
      <c r="X1448" t="inlineStr">
        <is>
          <t>Critical</t>
        </is>
      </c>
      <c r="Y1448" t="n">
        <v>2024</v>
      </c>
      <c r="Z1448" t="n">
        <v>11</v>
      </c>
      <c r="AA1448" t="inlineStr">
        <is>
          <t>Nov</t>
        </is>
      </c>
      <c r="AB1448" t="inlineStr">
        <is>
          <t>Saturday</t>
        </is>
      </c>
      <c r="AC1448" t="n">
        <v>7</v>
      </c>
      <c r="AD1448" t="inlineStr">
        <is>
          <t>Profitable</t>
        </is>
      </c>
      <c r="AE1448" t="inlineStr">
        <is>
          <t>Medium</t>
        </is>
      </c>
      <c r="AF1448" t="inlineStr">
        <is>
          <t>Small</t>
        </is>
      </c>
    </row>
    <row r="1449">
      <c r="A1449" t="inlineStr">
        <is>
          <t>ORD-02432</t>
        </is>
      </c>
      <c r="B1449" s="2" t="n">
        <v>45701</v>
      </c>
      <c r="C1449" s="2" t="n">
        <v>45702</v>
      </c>
      <c r="D1449" t="inlineStr">
        <is>
          <t>CUST-02432</t>
        </is>
      </c>
      <c r="E1449" t="inlineStr">
        <is>
          <t>Customer 632</t>
        </is>
      </c>
      <c r="F1449" t="inlineStr">
        <is>
          <t>Home Office</t>
        </is>
      </c>
      <c r="G1449" t="inlineStr">
        <is>
          <t>P1008</t>
        </is>
      </c>
      <c r="H1449" t="inlineStr">
        <is>
          <t>Pulse Keyboard</t>
        </is>
      </c>
      <c r="I1449" t="inlineStr">
        <is>
          <t>Office Supplies</t>
        </is>
      </c>
      <c r="J1449" t="inlineStr">
        <is>
          <t>Accessories</t>
        </is>
      </c>
      <c r="K1449" t="inlineStr">
        <is>
          <t>North</t>
        </is>
      </c>
      <c r="L1449" t="inlineStr">
        <is>
          <t>Ontario</t>
        </is>
      </c>
      <c r="M1449" t="inlineStr">
        <is>
          <t>Vancouver</t>
        </is>
      </c>
      <c r="N1449" t="inlineStr">
        <is>
          <t>Sophia Singh</t>
        </is>
      </c>
      <c r="O1449" t="n">
        <v>1</v>
      </c>
      <c r="P1449" s="3" t="n">
        <v>36.58</v>
      </c>
      <c r="Q1449" s="4" t="n">
        <v>0.013</v>
      </c>
      <c r="R1449" s="3" t="n">
        <v>36.1</v>
      </c>
      <c r="S1449" s="3" t="n">
        <v>22.75</v>
      </c>
      <c r="T1449" s="3" t="n">
        <v>6.55</v>
      </c>
      <c r="U1449" s="4" t="n">
        <v>0.1814</v>
      </c>
      <c r="V1449" s="3" t="n">
        <v>6.8</v>
      </c>
      <c r="W1449" t="inlineStr">
        <is>
          <t>Credit Card</t>
        </is>
      </c>
      <c r="X1449" t="inlineStr">
        <is>
          <t>Low</t>
        </is>
      </c>
      <c r="Y1449" t="n">
        <v>2025</v>
      </c>
      <c r="Z1449" t="n">
        <v>2</v>
      </c>
      <c r="AA1449" t="inlineStr">
        <is>
          <t>Feb</t>
        </is>
      </c>
      <c r="AB1449" t="inlineStr">
        <is>
          <t>Thursday</t>
        </is>
      </c>
      <c r="AC1449" t="n">
        <v>1</v>
      </c>
      <c r="AD1449" t="inlineStr">
        <is>
          <t>Profitable</t>
        </is>
      </c>
      <c r="AE1449" t="inlineStr">
        <is>
          <t>Low</t>
        </is>
      </c>
      <c r="AF1449" t="inlineStr">
        <is>
          <t>Small</t>
        </is>
      </c>
    </row>
    <row r="1450">
      <c r="A1450" t="inlineStr">
        <is>
          <t>ORD-02433</t>
        </is>
      </c>
      <c r="B1450" s="2" t="n">
        <v>45765</v>
      </c>
      <c r="C1450" s="2" t="n">
        <v>45766</v>
      </c>
      <c r="D1450" t="inlineStr">
        <is>
          <t>CUST-02433</t>
        </is>
      </c>
      <c r="E1450" t="inlineStr">
        <is>
          <t>Customer 633</t>
        </is>
      </c>
      <c r="F1450" t="inlineStr">
        <is>
          <t>Home Office</t>
        </is>
      </c>
      <c r="G1450" t="inlineStr">
        <is>
          <t>P1002</t>
        </is>
      </c>
      <c r="H1450" t="inlineStr">
        <is>
          <t>Cove Wall Clock</t>
        </is>
      </c>
      <c r="I1450" t="inlineStr">
        <is>
          <t>Technology</t>
        </is>
      </c>
      <c r="J1450" t="inlineStr">
        <is>
          <t>Textiles</t>
        </is>
      </c>
      <c r="K1450" t="inlineStr">
        <is>
          <t>North</t>
        </is>
      </c>
      <c r="L1450" t="inlineStr">
        <is>
          <t>Quebec</t>
        </is>
      </c>
      <c r="M1450" t="inlineStr">
        <is>
          <t>Toronto</t>
        </is>
      </c>
      <c r="N1450" t="inlineStr">
        <is>
          <t>Mia Rodriguez</t>
        </is>
      </c>
      <c r="O1450" t="n">
        <v>4</v>
      </c>
      <c r="P1450" s="3" t="n">
        <v>82.91</v>
      </c>
      <c r="Q1450" s="4" t="n">
        <v>0.029</v>
      </c>
      <c r="R1450" s="3" t="n">
        <v>322.02</v>
      </c>
      <c r="S1450" s="3" t="n">
        <v>150.45</v>
      </c>
      <c r="T1450" s="3" t="n">
        <v>162.37</v>
      </c>
      <c r="U1450" s="4" t="n">
        <v>0.5042</v>
      </c>
      <c r="V1450" s="3" t="n">
        <v>9.199999999999999</v>
      </c>
      <c r="W1450" t="inlineStr">
        <is>
          <t>Credit Card</t>
        </is>
      </c>
      <c r="X1450" t="inlineStr">
        <is>
          <t>Medium</t>
        </is>
      </c>
      <c r="Y1450" t="n">
        <v>2025</v>
      </c>
      <c r="Z1450" t="n">
        <v>4</v>
      </c>
      <c r="AA1450" t="inlineStr">
        <is>
          <t>Apr</t>
        </is>
      </c>
      <c r="AB1450" t="inlineStr">
        <is>
          <t>Friday</t>
        </is>
      </c>
      <c r="AC1450" t="n">
        <v>1</v>
      </c>
      <c r="AD1450" t="inlineStr">
        <is>
          <t>Profitable</t>
        </is>
      </c>
      <c r="AE1450" t="inlineStr">
        <is>
          <t>Medium</t>
        </is>
      </c>
      <c r="AF1450" t="inlineStr">
        <is>
          <t>Small</t>
        </is>
      </c>
    </row>
    <row r="1451">
      <c r="A1451" t="inlineStr">
        <is>
          <t>ORD-02434</t>
        </is>
      </c>
      <c r="B1451" s="2" t="n">
        <v>44952</v>
      </c>
      <c r="C1451" s="2" t="n">
        <v>44956</v>
      </c>
      <c r="D1451" t="inlineStr">
        <is>
          <t>CUST-02434</t>
        </is>
      </c>
      <c r="E1451" t="inlineStr">
        <is>
          <t>Customer 634</t>
        </is>
      </c>
      <c r="F1451" t="inlineStr">
        <is>
          <t>Corporate</t>
        </is>
      </c>
      <c r="G1451" t="inlineStr">
        <is>
          <t>P1008</t>
        </is>
      </c>
      <c r="H1451" t="inlineStr">
        <is>
          <t>FlexNote Notebook</t>
        </is>
      </c>
      <c r="I1451" t="inlineStr">
        <is>
          <t>Outdoor</t>
        </is>
      </c>
      <c r="J1451" t="inlineStr">
        <is>
          <t>Desks</t>
        </is>
      </c>
      <c r="K1451" t="inlineStr">
        <is>
          <t>North</t>
        </is>
      </c>
      <c r="L1451" t="inlineStr">
        <is>
          <t>Ontario</t>
        </is>
      </c>
      <c r="M1451" t="inlineStr">
        <is>
          <t>Toronto</t>
        </is>
      </c>
      <c r="N1451" t="inlineStr">
        <is>
          <t>Sophia Singh</t>
        </is>
      </c>
      <c r="O1451" t="n">
        <v>2</v>
      </c>
      <c r="P1451" s="3" t="n">
        <v>33.94</v>
      </c>
      <c r="Q1451" s="4" t="n">
        <v>0.023</v>
      </c>
      <c r="R1451" s="3" t="n">
        <v>66.31999999999999</v>
      </c>
      <c r="S1451" s="3" t="n">
        <v>33.14</v>
      </c>
      <c r="T1451" s="3" t="n">
        <v>25.58</v>
      </c>
      <c r="U1451" s="4" t="n">
        <v>0.3857</v>
      </c>
      <c r="V1451" s="3" t="n">
        <v>7.6</v>
      </c>
      <c r="W1451" t="inlineStr">
        <is>
          <t>Debit Card</t>
        </is>
      </c>
      <c r="X1451" t="inlineStr">
        <is>
          <t>Medium</t>
        </is>
      </c>
      <c r="Y1451" t="n">
        <v>2023</v>
      </c>
      <c r="Z1451" t="n">
        <v>1</v>
      </c>
      <c r="AA1451" t="inlineStr">
        <is>
          <t>Jan</t>
        </is>
      </c>
      <c r="AB1451" t="inlineStr">
        <is>
          <t>Thursday</t>
        </is>
      </c>
      <c r="AC1451" t="n">
        <v>4</v>
      </c>
      <c r="AD1451" t="inlineStr">
        <is>
          <t>Profitable</t>
        </is>
      </c>
      <c r="AE1451" t="inlineStr">
        <is>
          <t>Medium</t>
        </is>
      </c>
      <c r="AF1451" t="inlineStr">
        <is>
          <t>Small</t>
        </is>
      </c>
    </row>
    <row r="1452">
      <c r="A1452" t="inlineStr">
        <is>
          <t>ORD-02441</t>
        </is>
      </c>
      <c r="B1452" s="2" t="n">
        <v>45636</v>
      </c>
      <c r="C1452" s="2" t="n">
        <v>45643</v>
      </c>
      <c r="D1452" t="inlineStr">
        <is>
          <t>CUST-02441</t>
        </is>
      </c>
      <c r="E1452" t="inlineStr">
        <is>
          <t>Customer 641</t>
        </is>
      </c>
      <c r="F1452" t="inlineStr">
        <is>
          <t>Consumer</t>
        </is>
      </c>
      <c r="G1452" t="inlineStr">
        <is>
          <t>P1015</t>
        </is>
      </c>
      <c r="H1452" t="inlineStr">
        <is>
          <t>Summit Patio Set</t>
        </is>
      </c>
      <c r="I1452" t="inlineStr">
        <is>
          <t>Technology</t>
        </is>
      </c>
      <c r="J1452" t="inlineStr">
        <is>
          <t>Decor</t>
        </is>
      </c>
      <c r="K1452" t="inlineStr">
        <is>
          <t>North</t>
        </is>
      </c>
      <c r="L1452" t="inlineStr">
        <is>
          <t>British Columbia</t>
        </is>
      </c>
      <c r="M1452" t="inlineStr">
        <is>
          <t>Toronto</t>
        </is>
      </c>
      <c r="N1452" t="inlineStr">
        <is>
          <t>Ethan Brooks</t>
        </is>
      </c>
      <c r="O1452" t="n">
        <v>3</v>
      </c>
      <c r="P1452" s="3" t="n">
        <v>69.61</v>
      </c>
      <c r="Q1452" s="4" t="n">
        <v>0.05</v>
      </c>
      <c r="R1452" s="3" t="n">
        <v>198.39</v>
      </c>
      <c r="S1452" s="3" t="n">
        <v>91.63</v>
      </c>
      <c r="T1452" s="3" t="n">
        <v>98.36</v>
      </c>
      <c r="U1452" s="4" t="n">
        <v>0.4958</v>
      </c>
      <c r="V1452" s="3" t="n">
        <v>8.4</v>
      </c>
      <c r="W1452" t="inlineStr">
        <is>
          <t>Bank Transfer</t>
        </is>
      </c>
      <c r="X1452" t="inlineStr">
        <is>
          <t>High</t>
        </is>
      </c>
      <c r="Y1452" t="n">
        <v>2024</v>
      </c>
      <c r="Z1452" t="n">
        <v>12</v>
      </c>
      <c r="AA1452" t="inlineStr">
        <is>
          <t>Dec</t>
        </is>
      </c>
      <c r="AB1452" t="inlineStr">
        <is>
          <t>Tuesday</t>
        </is>
      </c>
      <c r="AC1452" t="n">
        <v>7</v>
      </c>
      <c r="AD1452" t="inlineStr">
        <is>
          <t>Profitable</t>
        </is>
      </c>
      <c r="AE1452" t="inlineStr">
        <is>
          <t>High</t>
        </is>
      </c>
      <c r="AF1452" t="inlineStr">
        <is>
          <t>Small</t>
        </is>
      </c>
    </row>
    <row r="1453">
      <c r="A1453" t="inlineStr">
        <is>
          <t>ORD-02452</t>
        </is>
      </c>
      <c r="B1453" s="2" t="n">
        <v>45906</v>
      </c>
      <c r="C1453" s="2" t="n">
        <v>45907</v>
      </c>
      <c r="D1453" t="inlineStr">
        <is>
          <t>CUST-02452</t>
        </is>
      </c>
      <c r="E1453" t="inlineStr">
        <is>
          <t>Customer 652</t>
        </is>
      </c>
      <c r="F1453" t="inlineStr">
        <is>
          <t>Consumer</t>
        </is>
      </c>
      <c r="G1453" t="inlineStr">
        <is>
          <t>P1016</t>
        </is>
      </c>
      <c r="H1453" t="inlineStr">
        <is>
          <t>Halo Planter</t>
        </is>
      </c>
      <c r="I1453" t="inlineStr">
        <is>
          <t>Technology</t>
        </is>
      </c>
      <c r="J1453" t="inlineStr">
        <is>
          <t>Paper</t>
        </is>
      </c>
      <c r="K1453" t="inlineStr">
        <is>
          <t>North</t>
        </is>
      </c>
      <c r="L1453" t="inlineStr">
        <is>
          <t>Quebec</t>
        </is>
      </c>
      <c r="M1453" t="inlineStr">
        <is>
          <t>Montreal</t>
        </is>
      </c>
      <c r="N1453" t="inlineStr">
        <is>
          <t>Sophia Singh</t>
        </is>
      </c>
      <c r="O1453" t="n">
        <v>3</v>
      </c>
      <c r="P1453" s="3" t="n">
        <v>36.95</v>
      </c>
      <c r="Q1453" s="4" t="n">
        <v>0.027</v>
      </c>
      <c r="R1453" s="3" t="n">
        <v>107.86</v>
      </c>
      <c r="S1453" s="3" t="n">
        <v>47.61</v>
      </c>
      <c r="T1453" s="3" t="n">
        <v>51.85</v>
      </c>
      <c r="U1453" s="4" t="n">
        <v>0.4807</v>
      </c>
      <c r="V1453" s="3" t="n">
        <v>8.4</v>
      </c>
      <c r="W1453" t="inlineStr">
        <is>
          <t>Debit Card</t>
        </is>
      </c>
      <c r="X1453" t="inlineStr">
        <is>
          <t>Medium</t>
        </is>
      </c>
      <c r="Y1453" t="n">
        <v>2025</v>
      </c>
      <c r="Z1453" t="n">
        <v>9</v>
      </c>
      <c r="AA1453" t="inlineStr">
        <is>
          <t>Sep</t>
        </is>
      </c>
      <c r="AB1453" t="inlineStr">
        <is>
          <t>Saturday</t>
        </is>
      </c>
      <c r="AC1453" t="n">
        <v>1</v>
      </c>
      <c r="AD1453" t="inlineStr">
        <is>
          <t>Profitable</t>
        </is>
      </c>
      <c r="AE1453" t="inlineStr">
        <is>
          <t>Medium</t>
        </is>
      </c>
      <c r="AF1453" t="inlineStr">
        <is>
          <t>Small</t>
        </is>
      </c>
    </row>
    <row r="1454">
      <c r="A1454" t="inlineStr">
        <is>
          <t>ORD-02458</t>
        </is>
      </c>
      <c r="B1454" s="2" t="n">
        <v>45566</v>
      </c>
      <c r="C1454" s="2" t="n">
        <v>45567</v>
      </c>
      <c r="D1454" t="inlineStr">
        <is>
          <t>CUST-02458</t>
        </is>
      </c>
      <c r="E1454" t="inlineStr">
        <is>
          <t>Customer 658</t>
        </is>
      </c>
      <c r="F1454" t="inlineStr">
        <is>
          <t>Consumer</t>
        </is>
      </c>
      <c r="G1454" t="inlineStr">
        <is>
          <t>P1014</t>
        </is>
      </c>
      <c r="H1454" t="inlineStr">
        <is>
          <t>Cove Wall Clock</t>
        </is>
      </c>
      <c r="I1454" t="inlineStr">
        <is>
          <t>Home Decor</t>
        </is>
      </c>
      <c r="J1454" t="inlineStr">
        <is>
          <t>Lighting</t>
        </is>
      </c>
      <c r="K1454" t="inlineStr">
        <is>
          <t>North</t>
        </is>
      </c>
      <c r="L1454" t="inlineStr">
        <is>
          <t>British Columbia</t>
        </is>
      </c>
      <c r="M1454" t="inlineStr">
        <is>
          <t>Montreal</t>
        </is>
      </c>
      <c r="N1454" t="inlineStr">
        <is>
          <t>Liam Chen</t>
        </is>
      </c>
      <c r="O1454" t="n">
        <v>4</v>
      </c>
      <c r="P1454" s="3" t="n">
        <v>46.91</v>
      </c>
      <c r="Q1454" s="4" t="n">
        <v>0.028</v>
      </c>
      <c r="R1454" s="3" t="n">
        <v>182.39</v>
      </c>
      <c r="S1454" s="3" t="n">
        <v>77.40000000000001</v>
      </c>
      <c r="T1454" s="3" t="n">
        <v>95.79000000000001</v>
      </c>
      <c r="U1454" s="4" t="n">
        <v>0.5252</v>
      </c>
      <c r="V1454" s="3" t="n">
        <v>9.199999999999999</v>
      </c>
      <c r="W1454" t="inlineStr">
        <is>
          <t>Debit Card</t>
        </is>
      </c>
      <c r="X1454" t="inlineStr">
        <is>
          <t>Medium</t>
        </is>
      </c>
      <c r="Y1454" t="n">
        <v>2024</v>
      </c>
      <c r="Z1454" t="n">
        <v>10</v>
      </c>
      <c r="AA1454" t="inlineStr">
        <is>
          <t>Oct</t>
        </is>
      </c>
      <c r="AB1454" t="inlineStr">
        <is>
          <t>Tuesday</t>
        </is>
      </c>
      <c r="AC1454" t="n">
        <v>1</v>
      </c>
      <c r="AD1454" t="inlineStr">
        <is>
          <t>Profitable</t>
        </is>
      </c>
      <c r="AE1454" t="inlineStr">
        <is>
          <t>Medium</t>
        </is>
      </c>
      <c r="AF1454" t="inlineStr">
        <is>
          <t>Small</t>
        </is>
      </c>
    </row>
    <row r="1455">
      <c r="A1455" t="inlineStr">
        <is>
          <t>ORD-02472</t>
        </is>
      </c>
      <c r="B1455" s="2" t="n">
        <v>46011</v>
      </c>
      <c r="C1455" s="2" t="n">
        <v>46018</v>
      </c>
      <c r="D1455" t="inlineStr">
        <is>
          <t>CUST-02472</t>
        </is>
      </c>
      <c r="E1455" t="inlineStr">
        <is>
          <t>Customer 672</t>
        </is>
      </c>
      <c r="F1455" t="inlineStr">
        <is>
          <t>Consumer</t>
        </is>
      </c>
      <c r="G1455" t="inlineStr">
        <is>
          <t>P1015</t>
        </is>
      </c>
      <c r="H1455" t="inlineStr">
        <is>
          <t>Aero Standing Desk</t>
        </is>
      </c>
      <c r="I1455" t="inlineStr">
        <is>
          <t>Furniture</t>
        </is>
      </c>
      <c r="J1455" t="inlineStr">
        <is>
          <t>Writing</t>
        </is>
      </c>
      <c r="K1455" t="inlineStr">
        <is>
          <t>North</t>
        </is>
      </c>
      <c r="L1455" t="inlineStr">
        <is>
          <t>Quebec</t>
        </is>
      </c>
      <c r="M1455" t="inlineStr">
        <is>
          <t>Calgary</t>
        </is>
      </c>
      <c r="N1455" t="inlineStr">
        <is>
          <t>Liam Chen</t>
        </is>
      </c>
      <c r="O1455" t="n">
        <v>2</v>
      </c>
      <c r="P1455" s="3" t="n">
        <v>76.59999999999999</v>
      </c>
      <c r="Q1455" s="4" t="n">
        <v>0.012</v>
      </c>
      <c r="R1455" s="3" t="n">
        <v>151.36</v>
      </c>
      <c r="S1455" s="3" t="n">
        <v>72.62</v>
      </c>
      <c r="T1455" s="3" t="n">
        <v>71.14</v>
      </c>
      <c r="U1455" s="4" t="n">
        <v>0.47</v>
      </c>
      <c r="V1455" s="3" t="n">
        <v>7.6</v>
      </c>
      <c r="W1455" t="inlineStr">
        <is>
          <t>Credit Card</t>
        </is>
      </c>
      <c r="X1455" t="inlineStr">
        <is>
          <t>Low</t>
        </is>
      </c>
      <c r="Y1455" t="n">
        <v>2025</v>
      </c>
      <c r="Z1455" t="n">
        <v>12</v>
      </c>
      <c r="AA1455" t="inlineStr">
        <is>
          <t>Dec</t>
        </is>
      </c>
      <c r="AB1455" t="inlineStr">
        <is>
          <t>Saturday</t>
        </is>
      </c>
      <c r="AC1455" t="n">
        <v>7</v>
      </c>
      <c r="AD1455" t="inlineStr">
        <is>
          <t>Profitable</t>
        </is>
      </c>
      <c r="AE1455" t="inlineStr">
        <is>
          <t>Low</t>
        </is>
      </c>
      <c r="AF1455" t="inlineStr">
        <is>
          <t>Small</t>
        </is>
      </c>
    </row>
    <row r="1456">
      <c r="A1456" t="inlineStr">
        <is>
          <t>ORD-02480</t>
        </is>
      </c>
      <c r="B1456" s="2" t="n">
        <v>45918</v>
      </c>
      <c r="C1456" s="2" t="n">
        <v>45924</v>
      </c>
      <c r="D1456" t="inlineStr">
        <is>
          <t>CUST-02480</t>
        </is>
      </c>
      <c r="E1456" t="inlineStr">
        <is>
          <t>Customer 680</t>
        </is>
      </c>
      <c r="F1456" t="inlineStr">
        <is>
          <t>Home Office</t>
        </is>
      </c>
      <c r="G1456" t="inlineStr">
        <is>
          <t>P1008</t>
        </is>
      </c>
      <c r="H1456" t="inlineStr">
        <is>
          <t>ErgoMesh Chair</t>
        </is>
      </c>
      <c r="I1456" t="inlineStr">
        <is>
          <t>Outdoor</t>
        </is>
      </c>
      <c r="J1456" t="inlineStr">
        <is>
          <t>Desks</t>
        </is>
      </c>
      <c r="K1456" t="inlineStr">
        <is>
          <t>North</t>
        </is>
      </c>
      <c r="L1456" t="inlineStr">
        <is>
          <t>Alberta</t>
        </is>
      </c>
      <c r="M1456" t="inlineStr">
        <is>
          <t>Calgary</t>
        </is>
      </c>
      <c r="N1456" t="inlineStr">
        <is>
          <t>Mia Rodriguez</t>
        </is>
      </c>
      <c r="O1456" t="n">
        <v>2</v>
      </c>
      <c r="P1456" s="3" t="n">
        <v>34.16</v>
      </c>
      <c r="Q1456" s="4" t="n">
        <v>0.008</v>
      </c>
      <c r="R1456" s="3" t="n">
        <v>67.77</v>
      </c>
      <c r="S1456" s="3" t="n">
        <v>36.15</v>
      </c>
      <c r="T1456" s="3" t="n">
        <v>24.02</v>
      </c>
      <c r="U1456" s="4" t="n">
        <v>0.3544</v>
      </c>
      <c r="V1456" s="3" t="n">
        <v>7.6</v>
      </c>
      <c r="W1456" t="inlineStr">
        <is>
          <t>Credit Card</t>
        </is>
      </c>
      <c r="X1456" t="inlineStr">
        <is>
          <t>Medium</t>
        </is>
      </c>
      <c r="Y1456" t="n">
        <v>2025</v>
      </c>
      <c r="Z1456" t="n">
        <v>9</v>
      </c>
      <c r="AA1456" t="inlineStr">
        <is>
          <t>Sep</t>
        </is>
      </c>
      <c r="AB1456" t="inlineStr">
        <is>
          <t>Thursday</t>
        </is>
      </c>
      <c r="AC1456" t="n">
        <v>6</v>
      </c>
      <c r="AD1456" t="inlineStr">
        <is>
          <t>Profitable</t>
        </is>
      </c>
      <c r="AE1456" t="inlineStr">
        <is>
          <t>Low</t>
        </is>
      </c>
      <c r="AF1456" t="inlineStr">
        <is>
          <t>Small</t>
        </is>
      </c>
    </row>
    <row r="1457">
      <c r="A1457" t="inlineStr">
        <is>
          <t>ORD-02488</t>
        </is>
      </c>
      <c r="B1457" s="2" t="n">
        <v>45803</v>
      </c>
      <c r="C1457" s="2" t="n">
        <v>45809</v>
      </c>
      <c r="D1457" t="inlineStr">
        <is>
          <t>CUST-02488</t>
        </is>
      </c>
      <c r="E1457" t="inlineStr">
        <is>
          <t>Customer 688</t>
        </is>
      </c>
      <c r="F1457" t="inlineStr">
        <is>
          <t>Consumer</t>
        </is>
      </c>
      <c r="G1457" t="inlineStr">
        <is>
          <t>P1004</t>
        </is>
      </c>
      <c r="H1457" t="inlineStr">
        <is>
          <t>Nimbus Monitor Arm</t>
        </is>
      </c>
      <c r="I1457" t="inlineStr">
        <is>
          <t>Technology</t>
        </is>
      </c>
      <c r="J1457" t="inlineStr">
        <is>
          <t>Textiles</t>
        </is>
      </c>
      <c r="K1457" t="inlineStr">
        <is>
          <t>North</t>
        </is>
      </c>
      <c r="L1457" t="inlineStr">
        <is>
          <t>Quebec</t>
        </is>
      </c>
      <c r="M1457" t="inlineStr">
        <is>
          <t>Toronto</t>
        </is>
      </c>
      <c r="N1457" t="inlineStr">
        <is>
          <t>Olivia Martin</t>
        </is>
      </c>
      <c r="O1457" t="n">
        <v>2</v>
      </c>
      <c r="P1457" s="3" t="n">
        <v>612.36</v>
      </c>
      <c r="Q1457" s="4" t="n">
        <v>0.04</v>
      </c>
      <c r="R1457" s="3" t="n">
        <v>1175.73</v>
      </c>
      <c r="S1457" s="3" t="n">
        <v>748.84</v>
      </c>
      <c r="T1457" s="3" t="n">
        <v>419.29</v>
      </c>
      <c r="U1457" s="4" t="n">
        <v>0.3566</v>
      </c>
      <c r="V1457" s="3" t="n">
        <v>7.6</v>
      </c>
      <c r="W1457" t="inlineStr">
        <is>
          <t>Debit Card</t>
        </is>
      </c>
      <c r="X1457" t="inlineStr">
        <is>
          <t>High</t>
        </is>
      </c>
      <c r="Y1457" t="n">
        <v>2025</v>
      </c>
      <c r="Z1457" t="n">
        <v>5</v>
      </c>
      <c r="AA1457" t="inlineStr">
        <is>
          <t>May</t>
        </is>
      </c>
      <c r="AB1457" t="inlineStr">
        <is>
          <t>Monday</t>
        </is>
      </c>
      <c r="AC1457" t="n">
        <v>6</v>
      </c>
      <c r="AD1457" t="inlineStr">
        <is>
          <t>Profitable</t>
        </is>
      </c>
      <c r="AE1457" t="inlineStr">
        <is>
          <t>Medium</t>
        </is>
      </c>
      <c r="AF1457" t="inlineStr">
        <is>
          <t>Medium</t>
        </is>
      </c>
    </row>
    <row r="1458">
      <c r="A1458" t="inlineStr">
        <is>
          <t>ORD-02490</t>
        </is>
      </c>
      <c r="B1458" s="2" t="n">
        <v>45614</v>
      </c>
      <c r="C1458" s="2" t="n">
        <v>45618</v>
      </c>
      <c r="D1458" t="inlineStr">
        <is>
          <t>CUST-02490</t>
        </is>
      </c>
      <c r="E1458" t="inlineStr">
        <is>
          <t>Customer 690</t>
        </is>
      </c>
      <c r="F1458" t="inlineStr">
        <is>
          <t>Consumer</t>
        </is>
      </c>
      <c r="G1458" t="inlineStr">
        <is>
          <t>P1015</t>
        </is>
      </c>
      <c r="H1458" t="inlineStr">
        <is>
          <t>Trail Tote</t>
        </is>
      </c>
      <c r="I1458" t="inlineStr">
        <is>
          <t>Office Supplies</t>
        </is>
      </c>
      <c r="J1458" t="inlineStr">
        <is>
          <t>Lighting</t>
        </is>
      </c>
      <c r="K1458" t="inlineStr">
        <is>
          <t>North</t>
        </is>
      </c>
      <c r="L1458" t="inlineStr">
        <is>
          <t>British Columbia</t>
        </is>
      </c>
      <c r="M1458" t="inlineStr">
        <is>
          <t>Vancouver</t>
        </is>
      </c>
      <c r="N1458" t="inlineStr">
        <is>
          <t>Ava Patel</t>
        </is>
      </c>
      <c r="O1458" t="n">
        <v>3</v>
      </c>
      <c r="P1458" s="3" t="n">
        <v>73.2</v>
      </c>
      <c r="Q1458" s="4" t="n">
        <v>0.016</v>
      </c>
      <c r="R1458" s="3" t="n">
        <v>216.09</v>
      </c>
      <c r="S1458" s="3" t="n">
        <v>95.23999999999999</v>
      </c>
      <c r="T1458" s="3" t="n">
        <v>112.45</v>
      </c>
      <c r="U1458" s="4" t="n">
        <v>0.5204</v>
      </c>
      <c r="V1458" s="3" t="n">
        <v>8.4</v>
      </c>
      <c r="W1458" t="inlineStr">
        <is>
          <t>Credit Card</t>
        </is>
      </c>
      <c r="X1458" t="inlineStr">
        <is>
          <t>Low</t>
        </is>
      </c>
      <c r="Y1458" t="n">
        <v>2024</v>
      </c>
      <c r="Z1458" t="n">
        <v>11</v>
      </c>
      <c r="AA1458" t="inlineStr">
        <is>
          <t>Nov</t>
        </is>
      </c>
      <c r="AB1458" t="inlineStr">
        <is>
          <t>Monday</t>
        </is>
      </c>
      <c r="AC1458" t="n">
        <v>4</v>
      </c>
      <c r="AD1458" t="inlineStr">
        <is>
          <t>Profitable</t>
        </is>
      </c>
      <c r="AE1458" t="inlineStr">
        <is>
          <t>Low</t>
        </is>
      </c>
      <c r="AF1458" t="inlineStr">
        <is>
          <t>Small</t>
        </is>
      </c>
    </row>
    <row r="1459">
      <c r="A1459" t="inlineStr">
        <is>
          <t>ORD-02499</t>
        </is>
      </c>
      <c r="B1459" s="2" t="n">
        <v>45835</v>
      </c>
      <c r="C1459" s="2" t="n">
        <v>45841</v>
      </c>
      <c r="D1459" t="inlineStr">
        <is>
          <t>CUST-02499</t>
        </is>
      </c>
      <c r="E1459" t="inlineStr">
        <is>
          <t>Customer 699</t>
        </is>
      </c>
      <c r="F1459" t="inlineStr">
        <is>
          <t>Consumer</t>
        </is>
      </c>
      <c r="G1459" t="inlineStr">
        <is>
          <t>P1016</t>
        </is>
      </c>
      <c r="H1459" t="inlineStr">
        <is>
          <t>Orbit Wireless Mouse</t>
        </is>
      </c>
      <c r="I1459" t="inlineStr">
        <is>
          <t>Home Decor</t>
        </is>
      </c>
      <c r="J1459" t="inlineStr">
        <is>
          <t>Peripherals</t>
        </is>
      </c>
      <c r="K1459" t="inlineStr">
        <is>
          <t>North</t>
        </is>
      </c>
      <c r="L1459" t="inlineStr">
        <is>
          <t>Quebec</t>
        </is>
      </c>
      <c r="M1459" t="inlineStr">
        <is>
          <t>Montreal</t>
        </is>
      </c>
      <c r="N1459" t="inlineStr">
        <is>
          <t>Mia Rodriguez</t>
        </is>
      </c>
      <c r="O1459" t="n">
        <v>3</v>
      </c>
      <c r="P1459" s="3" t="n">
        <v>38.59</v>
      </c>
      <c r="Q1459" s="4" t="n">
        <v>0.002</v>
      </c>
      <c r="R1459" s="3" t="n">
        <v>115.54</v>
      </c>
      <c r="S1459" s="3" t="n">
        <v>48.98</v>
      </c>
      <c r="T1459" s="3" t="n">
        <v>58.16</v>
      </c>
      <c r="U1459" s="4" t="n">
        <v>0.5034</v>
      </c>
      <c r="V1459" s="3" t="n">
        <v>8.4</v>
      </c>
      <c r="W1459" t="inlineStr">
        <is>
          <t>Bank Transfer</t>
        </is>
      </c>
      <c r="X1459" t="inlineStr">
        <is>
          <t>Low</t>
        </is>
      </c>
      <c r="Y1459" t="n">
        <v>2025</v>
      </c>
      <c r="Z1459" t="n">
        <v>6</v>
      </c>
      <c r="AA1459" t="inlineStr">
        <is>
          <t>Jun</t>
        </is>
      </c>
      <c r="AB1459" t="inlineStr">
        <is>
          <t>Friday</t>
        </is>
      </c>
      <c r="AC1459" t="n">
        <v>6</v>
      </c>
      <c r="AD1459" t="inlineStr">
        <is>
          <t>Profitable</t>
        </is>
      </c>
      <c r="AE1459" t="inlineStr">
        <is>
          <t>Low</t>
        </is>
      </c>
      <c r="AF1459" t="inlineStr">
        <is>
          <t>Small</t>
        </is>
      </c>
    </row>
    <row r="1460">
      <c r="A1460" t="inlineStr">
        <is>
          <t>ORD-02504</t>
        </is>
      </c>
      <c r="B1460" s="2" t="n">
        <v>45925</v>
      </c>
      <c r="C1460" s="2" t="n">
        <v>45932</v>
      </c>
      <c r="D1460" t="inlineStr">
        <is>
          <t>CUST-02504</t>
        </is>
      </c>
      <c r="E1460" t="inlineStr">
        <is>
          <t>Customer 704</t>
        </is>
      </c>
      <c r="F1460" t="inlineStr">
        <is>
          <t>Consumer</t>
        </is>
      </c>
      <c r="G1460" t="inlineStr">
        <is>
          <t>P1002</t>
        </is>
      </c>
      <c r="H1460" t="inlineStr">
        <is>
          <t>Atlas Throw Pillow</t>
        </is>
      </c>
      <c r="I1460" t="inlineStr">
        <is>
          <t>Outdoor</t>
        </is>
      </c>
      <c r="J1460" t="inlineStr">
        <is>
          <t>Paper</t>
        </is>
      </c>
      <c r="K1460" t="inlineStr">
        <is>
          <t>North</t>
        </is>
      </c>
      <c r="L1460" t="inlineStr">
        <is>
          <t>British Columbia</t>
        </is>
      </c>
      <c r="M1460" t="inlineStr">
        <is>
          <t>Montreal</t>
        </is>
      </c>
      <c r="N1460" t="inlineStr">
        <is>
          <t>Noah Kim</t>
        </is>
      </c>
      <c r="O1460" t="n">
        <v>2</v>
      </c>
      <c r="P1460" s="3" t="n">
        <v>78.34999999999999</v>
      </c>
      <c r="Q1460" s="4" t="n">
        <v>0.007</v>
      </c>
      <c r="R1460" s="3" t="n">
        <v>155.6</v>
      </c>
      <c r="S1460" s="3" t="n">
        <v>78.37</v>
      </c>
      <c r="T1460" s="3" t="n">
        <v>69.63</v>
      </c>
      <c r="U1460" s="4" t="n">
        <v>0.4475</v>
      </c>
      <c r="V1460" s="3" t="n">
        <v>7.6</v>
      </c>
      <c r="W1460" t="inlineStr">
        <is>
          <t>Bank Transfer</t>
        </is>
      </c>
      <c r="X1460" t="inlineStr">
        <is>
          <t>Medium</t>
        </is>
      </c>
      <c r="Y1460" t="n">
        <v>2025</v>
      </c>
      <c r="Z1460" t="n">
        <v>9</v>
      </c>
      <c r="AA1460" t="inlineStr">
        <is>
          <t>Sep</t>
        </is>
      </c>
      <c r="AB1460" t="inlineStr">
        <is>
          <t>Thursday</t>
        </is>
      </c>
      <c r="AC1460" t="n">
        <v>7</v>
      </c>
      <c r="AD1460" t="inlineStr">
        <is>
          <t>Profitable</t>
        </is>
      </c>
      <c r="AE1460" t="inlineStr">
        <is>
          <t>Low</t>
        </is>
      </c>
      <c r="AF1460" t="inlineStr">
        <is>
          <t>Small</t>
        </is>
      </c>
    </row>
    <row r="1461">
      <c r="A1461" t="inlineStr">
        <is>
          <t>ORD-02505</t>
        </is>
      </c>
      <c r="B1461" s="2" t="n">
        <v>45124</v>
      </c>
      <c r="C1461" s="2" t="n">
        <v>45125</v>
      </c>
      <c r="D1461" t="inlineStr">
        <is>
          <t>CUST-02505</t>
        </is>
      </c>
      <c r="E1461" t="inlineStr">
        <is>
          <t>Customer 705</t>
        </is>
      </c>
      <c r="F1461" t="inlineStr">
        <is>
          <t>Consumer</t>
        </is>
      </c>
      <c r="G1461" t="inlineStr">
        <is>
          <t>P1020</t>
        </is>
      </c>
      <c r="H1461" t="inlineStr">
        <is>
          <t>ProClip Binder</t>
        </is>
      </c>
      <c r="I1461" t="inlineStr">
        <is>
          <t>Home Decor</t>
        </is>
      </c>
      <c r="J1461" t="inlineStr">
        <is>
          <t>Lighting</t>
        </is>
      </c>
      <c r="K1461" t="inlineStr">
        <is>
          <t>North</t>
        </is>
      </c>
      <c r="L1461" t="inlineStr">
        <is>
          <t>British Columbia</t>
        </is>
      </c>
      <c r="M1461" t="inlineStr">
        <is>
          <t>Montreal</t>
        </is>
      </c>
      <c r="N1461" t="inlineStr">
        <is>
          <t>Sophia Singh</t>
        </is>
      </c>
      <c r="O1461" t="n">
        <v>5</v>
      </c>
      <c r="P1461" s="3" t="n">
        <v>79.17</v>
      </c>
      <c r="Q1461" s="4" t="n">
        <v>0.016</v>
      </c>
      <c r="R1461" s="3" t="n">
        <v>389.52</v>
      </c>
      <c r="S1461" s="3" t="n">
        <v>182.35</v>
      </c>
      <c r="T1461" s="3" t="n">
        <v>197.17</v>
      </c>
      <c r="U1461" s="4" t="n">
        <v>0.5062</v>
      </c>
      <c r="V1461" s="3" t="n">
        <v>10</v>
      </c>
      <c r="W1461" t="inlineStr">
        <is>
          <t>Cash on Delivery</t>
        </is>
      </c>
      <c r="X1461" t="inlineStr">
        <is>
          <t>Low</t>
        </is>
      </c>
      <c r="Y1461" t="n">
        <v>2023</v>
      </c>
      <c r="Z1461" t="n">
        <v>7</v>
      </c>
      <c r="AA1461" t="inlineStr">
        <is>
          <t>Jul</t>
        </is>
      </c>
      <c r="AB1461" t="inlineStr">
        <is>
          <t>Monday</t>
        </is>
      </c>
      <c r="AC1461" t="n">
        <v>1</v>
      </c>
      <c r="AD1461" t="inlineStr">
        <is>
          <t>Profitable</t>
        </is>
      </c>
      <c r="AE1461" t="inlineStr">
        <is>
          <t>Low</t>
        </is>
      </c>
      <c r="AF1461" t="inlineStr">
        <is>
          <t>Small</t>
        </is>
      </c>
    </row>
    <row r="1462">
      <c r="A1462" t="inlineStr">
        <is>
          <t>ORD-02507</t>
        </is>
      </c>
      <c r="B1462" s="2" t="n">
        <v>45675</v>
      </c>
      <c r="C1462" s="2" t="n">
        <v>45677</v>
      </c>
      <c r="D1462" t="inlineStr">
        <is>
          <t>CUST-02507</t>
        </is>
      </c>
      <c r="E1462" t="inlineStr">
        <is>
          <t>Customer 707</t>
        </is>
      </c>
      <c r="F1462" t="inlineStr">
        <is>
          <t>Home Office</t>
        </is>
      </c>
      <c r="G1462" t="inlineStr">
        <is>
          <t>P1006</t>
        </is>
      </c>
      <c r="H1462" t="inlineStr">
        <is>
          <t>SmartInk Pen Set</t>
        </is>
      </c>
      <c r="I1462" t="inlineStr">
        <is>
          <t>Home Decor</t>
        </is>
      </c>
      <c r="J1462" t="inlineStr">
        <is>
          <t>Video</t>
        </is>
      </c>
      <c r="K1462" t="inlineStr">
        <is>
          <t>North</t>
        </is>
      </c>
      <c r="L1462" t="inlineStr">
        <is>
          <t>Ontario</t>
        </is>
      </c>
      <c r="M1462" t="inlineStr">
        <is>
          <t>Vancouver</t>
        </is>
      </c>
      <c r="N1462" t="inlineStr">
        <is>
          <t>Sophia Singh</t>
        </is>
      </c>
      <c r="O1462" t="n">
        <v>4</v>
      </c>
      <c r="P1462" s="3" t="n">
        <v>17.83</v>
      </c>
      <c r="Q1462" s="4" t="n">
        <v>0.003</v>
      </c>
      <c r="R1462" s="3" t="n">
        <v>71.11</v>
      </c>
      <c r="S1462" s="3" t="n">
        <v>32.52</v>
      </c>
      <c r="T1462" s="3" t="n">
        <v>29.39</v>
      </c>
      <c r="U1462" s="4" t="n">
        <v>0.4133</v>
      </c>
      <c r="V1462" s="3" t="n">
        <v>9.199999999999999</v>
      </c>
      <c r="W1462" t="inlineStr">
        <is>
          <t>Credit Card</t>
        </is>
      </c>
      <c r="X1462" t="inlineStr">
        <is>
          <t>Medium</t>
        </is>
      </c>
      <c r="Y1462" t="n">
        <v>2025</v>
      </c>
      <c r="Z1462" t="n">
        <v>1</v>
      </c>
      <c r="AA1462" t="inlineStr">
        <is>
          <t>Jan</t>
        </is>
      </c>
      <c r="AB1462" t="inlineStr">
        <is>
          <t>Saturday</t>
        </is>
      </c>
      <c r="AC1462" t="n">
        <v>2</v>
      </c>
      <c r="AD1462" t="inlineStr">
        <is>
          <t>Profitable</t>
        </is>
      </c>
      <c r="AE1462" t="inlineStr">
        <is>
          <t>Low</t>
        </is>
      </c>
      <c r="AF1462" t="inlineStr">
        <is>
          <t>Small</t>
        </is>
      </c>
    </row>
    <row r="1463">
      <c r="A1463" t="inlineStr">
        <is>
          <t>ORD-02515</t>
        </is>
      </c>
      <c r="B1463" s="2" t="n">
        <v>45484</v>
      </c>
      <c r="C1463" s="2" t="n">
        <v>45491</v>
      </c>
      <c r="D1463" t="inlineStr">
        <is>
          <t>CUST-02515</t>
        </is>
      </c>
      <c r="E1463" t="inlineStr">
        <is>
          <t>Customer 715</t>
        </is>
      </c>
      <c r="F1463" t="inlineStr">
        <is>
          <t>Home Office</t>
        </is>
      </c>
      <c r="G1463" t="inlineStr">
        <is>
          <t>P1010</t>
        </is>
      </c>
      <c r="H1463" t="inlineStr">
        <is>
          <t>Trail Tote</t>
        </is>
      </c>
      <c r="I1463" t="inlineStr">
        <is>
          <t>Office Supplies</t>
        </is>
      </c>
      <c r="J1463" t="inlineStr">
        <is>
          <t>Writing</t>
        </is>
      </c>
      <c r="K1463" t="inlineStr">
        <is>
          <t>North</t>
        </is>
      </c>
      <c r="L1463" t="inlineStr">
        <is>
          <t>Ontario</t>
        </is>
      </c>
      <c r="M1463" t="inlineStr">
        <is>
          <t>Toronto</t>
        </is>
      </c>
      <c r="N1463" t="inlineStr">
        <is>
          <t>Mia Rodriguez</t>
        </is>
      </c>
      <c r="O1463" t="n">
        <v>5</v>
      </c>
      <c r="P1463" s="3" t="n">
        <v>54.57</v>
      </c>
      <c r="Q1463" s="4" t="n">
        <v>0.025</v>
      </c>
      <c r="R1463" s="3" t="n">
        <v>266.03</v>
      </c>
      <c r="S1463" s="3" t="n">
        <v>113.11</v>
      </c>
      <c r="T1463" s="3" t="n">
        <v>142.92</v>
      </c>
      <c r="U1463" s="4" t="n">
        <v>0.5372</v>
      </c>
      <c r="V1463" s="3" t="n">
        <v>10</v>
      </c>
      <c r="W1463" t="inlineStr">
        <is>
          <t>Credit Card</t>
        </is>
      </c>
      <c r="X1463" t="inlineStr">
        <is>
          <t>Medium</t>
        </is>
      </c>
      <c r="Y1463" t="n">
        <v>2024</v>
      </c>
      <c r="Z1463" t="n">
        <v>7</v>
      </c>
      <c r="AA1463" t="inlineStr">
        <is>
          <t>Jul</t>
        </is>
      </c>
      <c r="AB1463" t="inlineStr">
        <is>
          <t>Thursday</t>
        </is>
      </c>
      <c r="AC1463" t="n">
        <v>7</v>
      </c>
      <c r="AD1463" t="inlineStr">
        <is>
          <t>Profitable</t>
        </is>
      </c>
      <c r="AE1463" t="inlineStr">
        <is>
          <t>Medium</t>
        </is>
      </c>
      <c r="AF1463" t="inlineStr">
        <is>
          <t>Small</t>
        </is>
      </c>
    </row>
    <row r="1464">
      <c r="A1464" t="inlineStr">
        <is>
          <t>ORD-02531</t>
        </is>
      </c>
      <c r="B1464" s="2" t="n">
        <v>45667</v>
      </c>
      <c r="C1464" s="2" t="n">
        <v>45674</v>
      </c>
      <c r="D1464" t="inlineStr">
        <is>
          <t>CUST-02531</t>
        </is>
      </c>
      <c r="E1464" t="inlineStr">
        <is>
          <t>Customer 731</t>
        </is>
      </c>
      <c r="F1464" t="inlineStr">
        <is>
          <t>Consumer</t>
        </is>
      </c>
      <c r="G1464" t="inlineStr">
        <is>
          <t>P1004</t>
        </is>
      </c>
      <c r="H1464" t="inlineStr">
        <is>
          <t>Pulse Keyboard</t>
        </is>
      </c>
      <c r="I1464" t="inlineStr">
        <is>
          <t>Furniture</t>
        </is>
      </c>
      <c r="J1464" t="inlineStr">
        <is>
          <t>Peripherals</t>
        </is>
      </c>
      <c r="K1464" t="inlineStr">
        <is>
          <t>North</t>
        </is>
      </c>
      <c r="L1464" t="inlineStr">
        <is>
          <t>British Columbia</t>
        </is>
      </c>
      <c r="M1464" t="inlineStr">
        <is>
          <t>Vancouver</t>
        </is>
      </c>
      <c r="N1464" t="inlineStr">
        <is>
          <t>Ava Patel</t>
        </is>
      </c>
      <c r="O1464" t="n">
        <v>3</v>
      </c>
      <c r="P1464" s="3" t="n">
        <v>626.22</v>
      </c>
      <c r="Q1464" s="4" t="n">
        <v>0.001</v>
      </c>
      <c r="R1464" s="3" t="n">
        <v>1876.78</v>
      </c>
      <c r="S1464" s="3" t="n">
        <v>1192.79</v>
      </c>
      <c r="T1464" s="3" t="n">
        <v>675.59</v>
      </c>
      <c r="U1464" s="4" t="n">
        <v>0.36</v>
      </c>
      <c r="V1464" s="3" t="n">
        <v>8.4</v>
      </c>
      <c r="W1464" t="inlineStr">
        <is>
          <t>Credit Card</t>
        </is>
      </c>
      <c r="X1464" t="inlineStr">
        <is>
          <t>Medium</t>
        </is>
      </c>
      <c r="Y1464" t="n">
        <v>2025</v>
      </c>
      <c r="Z1464" t="n">
        <v>1</v>
      </c>
      <c r="AA1464" t="inlineStr">
        <is>
          <t>Jan</t>
        </is>
      </c>
      <c r="AB1464" t="inlineStr">
        <is>
          <t>Friday</t>
        </is>
      </c>
      <c r="AC1464" t="n">
        <v>7</v>
      </c>
      <c r="AD1464" t="inlineStr">
        <is>
          <t>Profitable</t>
        </is>
      </c>
      <c r="AE1464" t="inlineStr">
        <is>
          <t>Low</t>
        </is>
      </c>
      <c r="AF1464" t="inlineStr">
        <is>
          <t>Large</t>
        </is>
      </c>
    </row>
    <row r="1465">
      <c r="A1465" t="inlineStr">
        <is>
          <t>ORD-02544</t>
        </is>
      </c>
      <c r="B1465" s="2" t="n">
        <v>45525</v>
      </c>
      <c r="C1465" s="2" t="n">
        <v>45532</v>
      </c>
      <c r="D1465" t="inlineStr">
        <is>
          <t>CUST-02544</t>
        </is>
      </c>
      <c r="E1465" t="inlineStr">
        <is>
          <t>Customer 744</t>
        </is>
      </c>
      <c r="F1465" t="inlineStr">
        <is>
          <t>Corporate</t>
        </is>
      </c>
      <c r="G1465" t="inlineStr">
        <is>
          <t>P1012</t>
        </is>
      </c>
      <c r="H1465" t="inlineStr">
        <is>
          <t>Harbor Rug</t>
        </is>
      </c>
      <c r="I1465" t="inlineStr">
        <is>
          <t>Furniture</t>
        </is>
      </c>
      <c r="J1465" t="inlineStr">
        <is>
          <t>Flooring</t>
        </is>
      </c>
      <c r="K1465" t="inlineStr">
        <is>
          <t>North</t>
        </is>
      </c>
      <c r="L1465" t="inlineStr">
        <is>
          <t>British Columbia</t>
        </is>
      </c>
      <c r="M1465" t="inlineStr">
        <is>
          <t>Toronto</t>
        </is>
      </c>
      <c r="N1465" t="inlineStr">
        <is>
          <t>James Carter</t>
        </is>
      </c>
      <c r="O1465" t="n">
        <v>4</v>
      </c>
      <c r="P1465" s="3" t="n">
        <v>131.36</v>
      </c>
      <c r="Q1465" s="4" t="n">
        <v>0.024</v>
      </c>
      <c r="R1465" s="3" t="n">
        <v>512.83</v>
      </c>
      <c r="S1465" s="3" t="n">
        <v>257.74</v>
      </c>
      <c r="T1465" s="3" t="n">
        <v>245.89</v>
      </c>
      <c r="U1465" s="4" t="n">
        <v>0.4795</v>
      </c>
      <c r="V1465" s="3" t="n">
        <v>9.199999999999999</v>
      </c>
      <c r="W1465" t="inlineStr">
        <is>
          <t>Credit Card</t>
        </is>
      </c>
      <c r="X1465" t="inlineStr">
        <is>
          <t>Low</t>
        </is>
      </c>
      <c r="Y1465" t="n">
        <v>2024</v>
      </c>
      <c r="Z1465" t="n">
        <v>8</v>
      </c>
      <c r="AA1465" t="inlineStr">
        <is>
          <t>Aug</t>
        </is>
      </c>
      <c r="AB1465" t="inlineStr">
        <is>
          <t>Wednesday</t>
        </is>
      </c>
      <c r="AC1465" t="n">
        <v>7</v>
      </c>
      <c r="AD1465" t="inlineStr">
        <is>
          <t>Profitable</t>
        </is>
      </c>
      <c r="AE1465" t="inlineStr">
        <is>
          <t>Medium</t>
        </is>
      </c>
      <c r="AF1465" t="inlineStr">
        <is>
          <t>Medium</t>
        </is>
      </c>
    </row>
    <row r="1466">
      <c r="A1466" t="inlineStr">
        <is>
          <t>ORD-02548</t>
        </is>
      </c>
      <c r="B1466" s="2" t="n">
        <v>45306</v>
      </c>
      <c r="C1466" s="2" t="n">
        <v>45310</v>
      </c>
      <c r="D1466" t="inlineStr">
        <is>
          <t>CUST-02548</t>
        </is>
      </c>
      <c r="E1466" t="inlineStr">
        <is>
          <t>Customer 748</t>
        </is>
      </c>
      <c r="F1466" t="inlineStr">
        <is>
          <t>Consumer</t>
        </is>
      </c>
      <c r="G1466" t="inlineStr">
        <is>
          <t>P1002</t>
        </is>
      </c>
      <c r="H1466" t="inlineStr">
        <is>
          <t>Harbor Rug</t>
        </is>
      </c>
      <c r="I1466" t="inlineStr">
        <is>
          <t>Home Decor</t>
        </is>
      </c>
      <c r="J1466" t="inlineStr">
        <is>
          <t>Peripherals</t>
        </is>
      </c>
      <c r="K1466" t="inlineStr">
        <is>
          <t>North</t>
        </is>
      </c>
      <c r="L1466" t="inlineStr">
        <is>
          <t>Alberta</t>
        </is>
      </c>
      <c r="M1466" t="inlineStr">
        <is>
          <t>Montreal</t>
        </is>
      </c>
      <c r="N1466" t="inlineStr">
        <is>
          <t>Ava Patel</t>
        </is>
      </c>
      <c r="O1466" t="n">
        <v>4</v>
      </c>
      <c r="P1466" s="3" t="n">
        <v>78.98999999999999</v>
      </c>
      <c r="Q1466" s="4" t="n">
        <v>0.043</v>
      </c>
      <c r="R1466" s="3" t="n">
        <v>302.37</v>
      </c>
      <c r="S1466" s="3" t="n">
        <v>139.95</v>
      </c>
      <c r="T1466" s="3" t="n">
        <v>153.22</v>
      </c>
      <c r="U1466" s="4" t="n">
        <v>0.5067</v>
      </c>
      <c r="V1466" s="3" t="n">
        <v>9.199999999999999</v>
      </c>
      <c r="W1466" t="inlineStr">
        <is>
          <t>Credit Card</t>
        </is>
      </c>
      <c r="X1466" t="inlineStr">
        <is>
          <t>High</t>
        </is>
      </c>
      <c r="Y1466" t="n">
        <v>2024</v>
      </c>
      <c r="Z1466" t="n">
        <v>1</v>
      </c>
      <c r="AA1466" t="inlineStr">
        <is>
          <t>Jan</t>
        </is>
      </c>
      <c r="AB1466" t="inlineStr">
        <is>
          <t>Monday</t>
        </is>
      </c>
      <c r="AC1466" t="n">
        <v>4</v>
      </c>
      <c r="AD1466" t="inlineStr">
        <is>
          <t>Profitable</t>
        </is>
      </c>
      <c r="AE1466" t="inlineStr">
        <is>
          <t>Medium</t>
        </is>
      </c>
      <c r="AF1466" t="inlineStr">
        <is>
          <t>Small</t>
        </is>
      </c>
    </row>
    <row r="1467">
      <c r="A1467" t="inlineStr">
        <is>
          <t>ORD-02553</t>
        </is>
      </c>
      <c r="B1467" s="2" t="n">
        <v>46003</v>
      </c>
      <c r="C1467" s="2" t="n">
        <v>46006</v>
      </c>
      <c r="D1467" t="inlineStr">
        <is>
          <t>CUST-02553</t>
        </is>
      </c>
      <c r="E1467" t="inlineStr">
        <is>
          <t>Customer 753</t>
        </is>
      </c>
      <c r="F1467" t="inlineStr">
        <is>
          <t>Corporate</t>
        </is>
      </c>
      <c r="G1467" t="inlineStr">
        <is>
          <t>P1004</t>
        </is>
      </c>
      <c r="H1467" t="inlineStr">
        <is>
          <t>SmartInk Pen Set</t>
        </is>
      </c>
      <c r="I1467" t="inlineStr">
        <is>
          <t>Home Decor</t>
        </is>
      </c>
      <c r="J1467" t="inlineStr">
        <is>
          <t>Coolers</t>
        </is>
      </c>
      <c r="K1467" t="inlineStr">
        <is>
          <t>North</t>
        </is>
      </c>
      <c r="L1467" t="inlineStr">
        <is>
          <t>Alberta</t>
        </is>
      </c>
      <c r="M1467" t="inlineStr">
        <is>
          <t>Vancouver</t>
        </is>
      </c>
      <c r="N1467" t="inlineStr">
        <is>
          <t>Mia Rodriguez</t>
        </is>
      </c>
      <c r="O1467" t="n">
        <v>6</v>
      </c>
      <c r="P1467" s="3" t="n">
        <v>665.02</v>
      </c>
      <c r="Q1467" s="4" t="n">
        <v>0.035</v>
      </c>
      <c r="R1467" s="3" t="n">
        <v>3850.47</v>
      </c>
      <c r="S1467" s="3" t="n">
        <v>2436.54</v>
      </c>
      <c r="T1467" s="3" t="n">
        <v>1403.13</v>
      </c>
      <c r="U1467" s="4" t="n">
        <v>0.3644</v>
      </c>
      <c r="V1467" s="3" t="n">
        <v>10.8</v>
      </c>
      <c r="W1467" t="inlineStr">
        <is>
          <t>Credit Card</t>
        </is>
      </c>
      <c r="X1467" t="inlineStr">
        <is>
          <t>Medium</t>
        </is>
      </c>
      <c r="Y1467" t="n">
        <v>2025</v>
      </c>
      <c r="Z1467" t="n">
        <v>12</v>
      </c>
      <c r="AA1467" t="inlineStr">
        <is>
          <t>Dec</t>
        </is>
      </c>
      <c r="AB1467" t="inlineStr">
        <is>
          <t>Friday</t>
        </is>
      </c>
      <c r="AC1467" t="n">
        <v>3</v>
      </c>
      <c r="AD1467" t="inlineStr">
        <is>
          <t>Profitable</t>
        </is>
      </c>
      <c r="AE1467" t="inlineStr">
        <is>
          <t>Medium</t>
        </is>
      </c>
      <c r="AF1467" t="inlineStr">
        <is>
          <t>Large</t>
        </is>
      </c>
    </row>
    <row r="1468">
      <c r="A1468" t="inlineStr">
        <is>
          <t>ORD-02554</t>
        </is>
      </c>
      <c r="B1468" s="2" t="n">
        <v>45827</v>
      </c>
      <c r="C1468" s="2" t="n">
        <v>45829</v>
      </c>
      <c r="D1468" t="inlineStr">
        <is>
          <t>CUST-02554</t>
        </is>
      </c>
      <c r="E1468" t="inlineStr">
        <is>
          <t>Customer 754</t>
        </is>
      </c>
      <c r="F1468" t="inlineStr">
        <is>
          <t>Consumer</t>
        </is>
      </c>
      <c r="G1468" t="inlineStr">
        <is>
          <t>P1015</t>
        </is>
      </c>
      <c r="H1468" t="inlineStr">
        <is>
          <t>ProClip Binder</t>
        </is>
      </c>
      <c r="I1468" t="inlineStr">
        <is>
          <t>Home Decor</t>
        </is>
      </c>
      <c r="J1468" t="inlineStr">
        <is>
          <t>Desks</t>
        </is>
      </c>
      <c r="K1468" t="inlineStr">
        <is>
          <t>North</t>
        </is>
      </c>
      <c r="L1468" t="inlineStr">
        <is>
          <t>British Columbia</t>
        </is>
      </c>
      <c r="M1468" t="inlineStr">
        <is>
          <t>Toronto</t>
        </is>
      </c>
      <c r="N1468" t="inlineStr">
        <is>
          <t>Olivia Martin</t>
        </is>
      </c>
      <c r="O1468" t="n">
        <v>3</v>
      </c>
      <c r="P1468" s="3" t="n">
        <v>71.52</v>
      </c>
      <c r="Q1468" s="4" t="n">
        <v>0.049</v>
      </c>
      <c r="R1468" s="3" t="n">
        <v>204.05</v>
      </c>
      <c r="S1468" s="3" t="n">
        <v>93.25</v>
      </c>
      <c r="T1468" s="3" t="n">
        <v>102.4</v>
      </c>
      <c r="U1468" s="4" t="n">
        <v>0.5018</v>
      </c>
      <c r="V1468" s="3" t="n">
        <v>8.4</v>
      </c>
      <c r="W1468" t="inlineStr">
        <is>
          <t>PayPal</t>
        </is>
      </c>
      <c r="X1468" t="inlineStr">
        <is>
          <t>High</t>
        </is>
      </c>
      <c r="Y1468" t="n">
        <v>2025</v>
      </c>
      <c r="Z1468" t="n">
        <v>6</v>
      </c>
      <c r="AA1468" t="inlineStr">
        <is>
          <t>Jun</t>
        </is>
      </c>
      <c r="AB1468" t="inlineStr">
        <is>
          <t>Thursday</t>
        </is>
      </c>
      <c r="AC1468" t="n">
        <v>2</v>
      </c>
      <c r="AD1468" t="inlineStr">
        <is>
          <t>Profitable</t>
        </is>
      </c>
      <c r="AE1468" t="inlineStr">
        <is>
          <t>Medium</t>
        </is>
      </c>
      <c r="AF1468" t="inlineStr">
        <is>
          <t>Small</t>
        </is>
      </c>
    </row>
    <row r="1469">
      <c r="A1469" t="inlineStr">
        <is>
          <t>ORD-02555</t>
        </is>
      </c>
      <c r="B1469" s="2" t="n">
        <v>45118</v>
      </c>
      <c r="C1469" s="2" t="n">
        <v>45122</v>
      </c>
      <c r="D1469" t="inlineStr">
        <is>
          <t>CUST-02555</t>
        </is>
      </c>
      <c r="E1469" t="inlineStr">
        <is>
          <t>Customer 755</t>
        </is>
      </c>
      <c r="F1469" t="inlineStr">
        <is>
          <t>Consumer</t>
        </is>
      </c>
      <c r="G1469" t="inlineStr">
        <is>
          <t>P1018</t>
        </is>
      </c>
      <c r="H1469" t="inlineStr">
        <is>
          <t>Echo Web Camera</t>
        </is>
      </c>
      <c r="I1469" t="inlineStr">
        <is>
          <t>Office Supplies</t>
        </is>
      </c>
      <c r="J1469" t="inlineStr">
        <is>
          <t>Storage</t>
        </is>
      </c>
      <c r="K1469" t="inlineStr">
        <is>
          <t>North</t>
        </is>
      </c>
      <c r="L1469" t="inlineStr">
        <is>
          <t>Alberta</t>
        </is>
      </c>
      <c r="M1469" t="inlineStr">
        <is>
          <t>Montreal</t>
        </is>
      </c>
      <c r="N1469" t="inlineStr">
        <is>
          <t>Mia Rodriguez</t>
        </is>
      </c>
      <c r="O1469" t="n">
        <v>5</v>
      </c>
      <c r="P1469" s="3" t="n">
        <v>93.95</v>
      </c>
      <c r="Q1469" s="4" t="n">
        <v>0.014</v>
      </c>
      <c r="R1469" s="3" t="n">
        <v>463.17</v>
      </c>
      <c r="S1469" s="3" t="n">
        <v>206.43</v>
      </c>
      <c r="T1469" s="3" t="n">
        <v>246.74</v>
      </c>
      <c r="U1469" s="4" t="n">
        <v>0.5327</v>
      </c>
      <c r="V1469" s="3" t="n">
        <v>10</v>
      </c>
      <c r="W1469" t="inlineStr">
        <is>
          <t>Debit Card</t>
        </is>
      </c>
      <c r="X1469" t="inlineStr">
        <is>
          <t>Low</t>
        </is>
      </c>
      <c r="Y1469" t="n">
        <v>2023</v>
      </c>
      <c r="Z1469" t="n">
        <v>7</v>
      </c>
      <c r="AA1469" t="inlineStr">
        <is>
          <t>Jul</t>
        </is>
      </c>
      <c r="AB1469" t="inlineStr">
        <is>
          <t>Tuesday</t>
        </is>
      </c>
      <c r="AC1469" t="n">
        <v>4</v>
      </c>
      <c r="AD1469" t="inlineStr">
        <is>
          <t>Profitable</t>
        </is>
      </c>
      <c r="AE1469" t="inlineStr">
        <is>
          <t>Low</t>
        </is>
      </c>
      <c r="AF1469" t="inlineStr">
        <is>
          <t>Small</t>
        </is>
      </c>
    </row>
    <row r="1470">
      <c r="A1470" t="inlineStr">
        <is>
          <t>ORD-02557</t>
        </is>
      </c>
      <c r="B1470" s="2" t="n">
        <v>45474</v>
      </c>
      <c r="C1470" s="2" t="n">
        <v>45479</v>
      </c>
      <c r="D1470" t="inlineStr">
        <is>
          <t>CUST-02557</t>
        </is>
      </c>
      <c r="E1470" t="inlineStr">
        <is>
          <t>Customer 757</t>
        </is>
      </c>
      <c r="F1470" t="inlineStr">
        <is>
          <t>Corporate</t>
        </is>
      </c>
      <c r="G1470" t="inlineStr">
        <is>
          <t>P1012</t>
        </is>
      </c>
      <c r="H1470" t="inlineStr">
        <is>
          <t>ProClip Binder</t>
        </is>
      </c>
      <c r="I1470" t="inlineStr">
        <is>
          <t>Outdoor</t>
        </is>
      </c>
      <c r="J1470" t="inlineStr">
        <is>
          <t>Textiles</t>
        </is>
      </c>
      <c r="K1470" t="inlineStr">
        <is>
          <t>North</t>
        </is>
      </c>
      <c r="L1470" t="inlineStr">
        <is>
          <t>Ontario</t>
        </is>
      </c>
      <c r="M1470" t="inlineStr">
        <is>
          <t>Calgary</t>
        </is>
      </c>
      <c r="N1470" t="inlineStr">
        <is>
          <t>Olivia Martin</t>
        </is>
      </c>
      <c r="O1470" t="n">
        <v>2</v>
      </c>
      <c r="P1470" s="3" t="n">
        <v>138.92</v>
      </c>
      <c r="Q1470" s="4" t="n">
        <v>0.013</v>
      </c>
      <c r="R1470" s="3" t="n">
        <v>274.23</v>
      </c>
      <c r="S1470" s="3" t="n">
        <v>143.64</v>
      </c>
      <c r="T1470" s="3" t="n">
        <v>122.99</v>
      </c>
      <c r="U1470" s="4" t="n">
        <v>0.4485</v>
      </c>
      <c r="V1470" s="3" t="n">
        <v>7.6</v>
      </c>
      <c r="W1470" t="inlineStr">
        <is>
          <t>Cash on Delivery</t>
        </is>
      </c>
      <c r="X1470" t="inlineStr">
        <is>
          <t>Medium</t>
        </is>
      </c>
      <c r="Y1470" t="n">
        <v>2024</v>
      </c>
      <c r="Z1470" t="n">
        <v>7</v>
      </c>
      <c r="AA1470" t="inlineStr">
        <is>
          <t>Jul</t>
        </is>
      </c>
      <c r="AB1470" t="inlineStr">
        <is>
          <t>Monday</t>
        </is>
      </c>
      <c r="AC1470" t="n">
        <v>5</v>
      </c>
      <c r="AD1470" t="inlineStr">
        <is>
          <t>Profitable</t>
        </is>
      </c>
      <c r="AE1470" t="inlineStr">
        <is>
          <t>Low</t>
        </is>
      </c>
      <c r="AF1470" t="inlineStr">
        <is>
          <t>Small</t>
        </is>
      </c>
    </row>
    <row r="1471">
      <c r="A1471" t="inlineStr">
        <is>
          <t>ORD-02574</t>
        </is>
      </c>
      <c r="B1471" s="2" t="n">
        <v>45440</v>
      </c>
      <c r="C1471" s="2" t="n">
        <v>45446</v>
      </c>
      <c r="D1471" t="inlineStr">
        <is>
          <t>CUST-02574</t>
        </is>
      </c>
      <c r="E1471" t="inlineStr">
        <is>
          <t>Customer 774</t>
        </is>
      </c>
      <c r="F1471" t="inlineStr">
        <is>
          <t>Consumer</t>
        </is>
      </c>
      <c r="G1471" t="inlineStr">
        <is>
          <t>P1003</t>
        </is>
      </c>
      <c r="H1471" t="inlineStr">
        <is>
          <t>Nova Laptop Stand</t>
        </is>
      </c>
      <c r="I1471" t="inlineStr">
        <is>
          <t>Furniture</t>
        </is>
      </c>
      <c r="J1471" t="inlineStr">
        <is>
          <t>Decor</t>
        </is>
      </c>
      <c r="K1471" t="inlineStr">
        <is>
          <t>North</t>
        </is>
      </c>
      <c r="L1471" t="inlineStr">
        <is>
          <t>British Columbia</t>
        </is>
      </c>
      <c r="M1471" t="inlineStr">
        <is>
          <t>Vancouver</t>
        </is>
      </c>
      <c r="N1471" t="inlineStr">
        <is>
          <t>Sophia Singh</t>
        </is>
      </c>
      <c r="O1471" t="n">
        <v>3</v>
      </c>
      <c r="P1471" s="3" t="n">
        <v>152.08</v>
      </c>
      <c r="Q1471" s="4" t="n">
        <v>0.056</v>
      </c>
      <c r="R1471" s="3" t="n">
        <v>430.69</v>
      </c>
      <c r="S1471" s="3" t="n">
        <v>223.87</v>
      </c>
      <c r="T1471" s="3" t="n">
        <v>198.42</v>
      </c>
      <c r="U1471" s="4" t="n">
        <v>0.4607</v>
      </c>
      <c r="V1471" s="3" t="n">
        <v>8.4</v>
      </c>
      <c r="W1471" t="inlineStr">
        <is>
          <t>PayPal</t>
        </is>
      </c>
      <c r="X1471" t="inlineStr">
        <is>
          <t>High</t>
        </is>
      </c>
      <c r="Y1471" t="n">
        <v>2024</v>
      </c>
      <c r="Z1471" t="n">
        <v>5</v>
      </c>
      <c r="AA1471" t="inlineStr">
        <is>
          <t>May</t>
        </is>
      </c>
      <c r="AB1471" t="inlineStr">
        <is>
          <t>Tuesday</t>
        </is>
      </c>
      <c r="AC1471" t="n">
        <v>6</v>
      </c>
      <c r="AD1471" t="inlineStr">
        <is>
          <t>Profitable</t>
        </is>
      </c>
      <c r="AE1471" t="inlineStr">
        <is>
          <t>High</t>
        </is>
      </c>
      <c r="AF1471" t="inlineStr">
        <is>
          <t>Small</t>
        </is>
      </c>
    </row>
    <row r="1472">
      <c r="A1472" t="inlineStr">
        <is>
          <t>ORD-02579</t>
        </is>
      </c>
      <c r="B1472" s="2" t="n">
        <v>45350</v>
      </c>
      <c r="C1472" s="2" t="n">
        <v>45357</v>
      </c>
      <c r="D1472" t="inlineStr">
        <is>
          <t>CUST-02579</t>
        </is>
      </c>
      <c r="E1472" t="inlineStr">
        <is>
          <t>Customer 779</t>
        </is>
      </c>
      <c r="F1472" t="inlineStr">
        <is>
          <t>Consumer</t>
        </is>
      </c>
      <c r="G1472" t="inlineStr">
        <is>
          <t>P1018</t>
        </is>
      </c>
      <c r="H1472" t="inlineStr">
        <is>
          <t>Cove Wall Clock</t>
        </is>
      </c>
      <c r="I1472" t="inlineStr">
        <is>
          <t>Technology</t>
        </is>
      </c>
      <c r="J1472" t="inlineStr">
        <is>
          <t>Accessories</t>
        </is>
      </c>
      <c r="K1472" t="inlineStr">
        <is>
          <t>North</t>
        </is>
      </c>
      <c r="L1472" t="inlineStr">
        <is>
          <t>Ontario</t>
        </is>
      </c>
      <c r="M1472" t="inlineStr">
        <is>
          <t>Toronto</t>
        </is>
      </c>
      <c r="N1472" t="inlineStr">
        <is>
          <t>Olivia Martin</t>
        </is>
      </c>
      <c r="O1472" t="n">
        <v>2</v>
      </c>
      <c r="P1472" s="3" t="n">
        <v>84.89</v>
      </c>
      <c r="Q1472" s="4" t="n">
        <v>0.008</v>
      </c>
      <c r="R1472" s="3" t="n">
        <v>168.42</v>
      </c>
      <c r="S1472" s="3" t="n">
        <v>79.06999999999999</v>
      </c>
      <c r="T1472" s="3" t="n">
        <v>81.75</v>
      </c>
      <c r="U1472" s="4" t="n">
        <v>0.4854</v>
      </c>
      <c r="V1472" s="3" t="n">
        <v>7.6</v>
      </c>
      <c r="W1472" t="inlineStr">
        <is>
          <t>Credit Card</t>
        </is>
      </c>
      <c r="X1472" t="inlineStr">
        <is>
          <t>Low</t>
        </is>
      </c>
      <c r="Y1472" t="n">
        <v>2024</v>
      </c>
      <c r="Z1472" t="n">
        <v>2</v>
      </c>
      <c r="AA1472" t="inlineStr">
        <is>
          <t>Feb</t>
        </is>
      </c>
      <c r="AB1472" t="inlineStr">
        <is>
          <t>Wednesday</t>
        </is>
      </c>
      <c r="AC1472" t="n">
        <v>7</v>
      </c>
      <c r="AD1472" t="inlineStr">
        <is>
          <t>Profitable</t>
        </is>
      </c>
      <c r="AE1472" t="inlineStr">
        <is>
          <t>Low</t>
        </is>
      </c>
      <c r="AF1472" t="inlineStr">
        <is>
          <t>Small</t>
        </is>
      </c>
    </row>
    <row r="1473">
      <c r="A1473" t="inlineStr">
        <is>
          <t>ORD-02580</t>
        </is>
      </c>
      <c r="B1473" s="2" t="n">
        <v>45638</v>
      </c>
      <c r="C1473" s="2" t="n">
        <v>45641</v>
      </c>
      <c r="D1473" t="inlineStr">
        <is>
          <t>CUST-02580</t>
        </is>
      </c>
      <c r="E1473" t="inlineStr">
        <is>
          <t>Customer 780</t>
        </is>
      </c>
      <c r="F1473" t="inlineStr">
        <is>
          <t>Consumer</t>
        </is>
      </c>
      <c r="G1473" t="inlineStr">
        <is>
          <t>P1009</t>
        </is>
      </c>
      <c r="H1473" t="inlineStr">
        <is>
          <t>Orbit Wireless Mouse</t>
        </is>
      </c>
      <c r="I1473" t="inlineStr">
        <is>
          <t>Office Supplies</t>
        </is>
      </c>
      <c r="J1473" t="inlineStr">
        <is>
          <t>Video</t>
        </is>
      </c>
      <c r="K1473" t="inlineStr">
        <is>
          <t>North</t>
        </is>
      </c>
      <c r="L1473" t="inlineStr">
        <is>
          <t>British Columbia</t>
        </is>
      </c>
      <c r="M1473" t="inlineStr">
        <is>
          <t>Calgary</t>
        </is>
      </c>
      <c r="N1473" t="inlineStr">
        <is>
          <t>James Carter</t>
        </is>
      </c>
      <c r="O1473" t="n">
        <v>3</v>
      </c>
      <c r="P1473" s="3" t="n">
        <v>93.5</v>
      </c>
      <c r="Q1473" s="4" t="n">
        <v>0.001</v>
      </c>
      <c r="R1473" s="3" t="n">
        <v>280.22</v>
      </c>
      <c r="S1473" s="3" t="n">
        <v>136.19</v>
      </c>
      <c r="T1473" s="3" t="n">
        <v>135.63</v>
      </c>
      <c r="U1473" s="4" t="n">
        <v>0.484</v>
      </c>
      <c r="V1473" s="3" t="n">
        <v>8.4</v>
      </c>
      <c r="W1473" t="inlineStr">
        <is>
          <t>PayPal</t>
        </is>
      </c>
      <c r="X1473" t="inlineStr">
        <is>
          <t>Medium</t>
        </is>
      </c>
      <c r="Y1473" t="n">
        <v>2024</v>
      </c>
      <c r="Z1473" t="n">
        <v>12</v>
      </c>
      <c r="AA1473" t="inlineStr">
        <is>
          <t>Dec</t>
        </is>
      </c>
      <c r="AB1473" t="inlineStr">
        <is>
          <t>Thursday</t>
        </is>
      </c>
      <c r="AC1473" t="n">
        <v>3</v>
      </c>
      <c r="AD1473" t="inlineStr">
        <is>
          <t>Profitable</t>
        </is>
      </c>
      <c r="AE1473" t="inlineStr">
        <is>
          <t>Low</t>
        </is>
      </c>
      <c r="AF1473" t="inlineStr">
        <is>
          <t>Small</t>
        </is>
      </c>
    </row>
    <row r="1474">
      <c r="A1474" t="inlineStr">
        <is>
          <t>ORD-02583</t>
        </is>
      </c>
      <c r="B1474" s="2" t="n">
        <v>45546</v>
      </c>
      <c r="C1474" s="2" t="n">
        <v>45553</v>
      </c>
      <c r="D1474" t="inlineStr">
        <is>
          <t>CUST-02583</t>
        </is>
      </c>
      <c r="E1474" t="inlineStr">
        <is>
          <t>Customer 783</t>
        </is>
      </c>
      <c r="F1474" t="inlineStr">
        <is>
          <t>Consumer</t>
        </is>
      </c>
      <c r="G1474" t="inlineStr">
        <is>
          <t>P1009</t>
        </is>
      </c>
      <c r="H1474" t="inlineStr">
        <is>
          <t>Echo Web Camera</t>
        </is>
      </c>
      <c r="I1474" t="inlineStr">
        <is>
          <t>Office Supplies</t>
        </is>
      </c>
      <c r="J1474" t="inlineStr">
        <is>
          <t>Decor</t>
        </is>
      </c>
      <c r="K1474" t="inlineStr">
        <is>
          <t>North</t>
        </is>
      </c>
      <c r="L1474" t="inlineStr">
        <is>
          <t>Quebec</t>
        </is>
      </c>
      <c r="M1474" t="inlineStr">
        <is>
          <t>Montreal</t>
        </is>
      </c>
      <c r="N1474" t="inlineStr">
        <is>
          <t>Sophia Singh</t>
        </is>
      </c>
      <c r="O1474" t="n">
        <v>2</v>
      </c>
      <c r="P1474" s="3" t="n">
        <v>91.2</v>
      </c>
      <c r="Q1474" s="4" t="n">
        <v>0.029</v>
      </c>
      <c r="R1474" s="3" t="n">
        <v>177.11</v>
      </c>
      <c r="S1474" s="3" t="n">
        <v>88.45999999999999</v>
      </c>
      <c r="T1474" s="3" t="n">
        <v>81.05</v>
      </c>
      <c r="U1474" s="4" t="n">
        <v>0.4576</v>
      </c>
      <c r="V1474" s="3" t="n">
        <v>7.6</v>
      </c>
      <c r="W1474" t="inlineStr">
        <is>
          <t>PayPal</t>
        </is>
      </c>
      <c r="X1474" t="inlineStr">
        <is>
          <t>Medium</t>
        </is>
      </c>
      <c r="Y1474" t="n">
        <v>2024</v>
      </c>
      <c r="Z1474" t="n">
        <v>9</v>
      </c>
      <c r="AA1474" t="inlineStr">
        <is>
          <t>Sep</t>
        </is>
      </c>
      <c r="AB1474" t="inlineStr">
        <is>
          <t>Wednesday</t>
        </is>
      </c>
      <c r="AC1474" t="n">
        <v>7</v>
      </c>
      <c r="AD1474" t="inlineStr">
        <is>
          <t>Profitable</t>
        </is>
      </c>
      <c r="AE1474" t="inlineStr">
        <is>
          <t>Medium</t>
        </is>
      </c>
      <c r="AF1474" t="inlineStr">
        <is>
          <t>Small</t>
        </is>
      </c>
    </row>
    <row r="1475">
      <c r="A1475" t="inlineStr">
        <is>
          <t>ORD-02587</t>
        </is>
      </c>
      <c r="B1475" s="2" t="n">
        <v>45211</v>
      </c>
      <c r="C1475" s="2" t="n">
        <v>45216</v>
      </c>
      <c r="D1475" t="inlineStr">
        <is>
          <t>CUST-02587</t>
        </is>
      </c>
      <c r="E1475" t="inlineStr">
        <is>
          <t>Customer 787</t>
        </is>
      </c>
      <c r="F1475" t="inlineStr">
        <is>
          <t>Corporate</t>
        </is>
      </c>
      <c r="G1475" t="inlineStr">
        <is>
          <t>P1011</t>
        </is>
      </c>
      <c r="H1475" t="inlineStr">
        <is>
          <t>Nova Laptop Stand</t>
        </is>
      </c>
      <c r="I1475" t="inlineStr">
        <is>
          <t>Home Decor</t>
        </is>
      </c>
      <c r="J1475" t="inlineStr">
        <is>
          <t>Plants</t>
        </is>
      </c>
      <c r="K1475" t="inlineStr">
        <is>
          <t>North</t>
        </is>
      </c>
      <c r="L1475" t="inlineStr">
        <is>
          <t>Ontario</t>
        </is>
      </c>
      <c r="M1475" t="inlineStr">
        <is>
          <t>Calgary</t>
        </is>
      </c>
      <c r="N1475" t="inlineStr">
        <is>
          <t>Olivia Martin</t>
        </is>
      </c>
      <c r="O1475" t="n">
        <v>3</v>
      </c>
      <c r="P1475" s="3" t="n">
        <v>93.22</v>
      </c>
      <c r="Q1475" s="4" t="n">
        <v>0.014</v>
      </c>
      <c r="R1475" s="3" t="n">
        <v>275.74</v>
      </c>
      <c r="S1475" s="3" t="n">
        <v>133.17</v>
      </c>
      <c r="T1475" s="3" t="n">
        <v>134.17</v>
      </c>
      <c r="U1475" s="4" t="n">
        <v>0.4866</v>
      </c>
      <c r="V1475" s="3" t="n">
        <v>8.4</v>
      </c>
      <c r="W1475" t="inlineStr">
        <is>
          <t>Credit Card</t>
        </is>
      </c>
      <c r="X1475" t="inlineStr">
        <is>
          <t>Low</t>
        </is>
      </c>
      <c r="Y1475" t="n">
        <v>2023</v>
      </c>
      <c r="Z1475" t="n">
        <v>10</v>
      </c>
      <c r="AA1475" t="inlineStr">
        <is>
          <t>Oct</t>
        </is>
      </c>
      <c r="AB1475" t="inlineStr">
        <is>
          <t>Thursday</t>
        </is>
      </c>
      <c r="AC1475" t="n">
        <v>5</v>
      </c>
      <c r="AD1475" t="inlineStr">
        <is>
          <t>Profitable</t>
        </is>
      </c>
      <c r="AE1475" t="inlineStr">
        <is>
          <t>Low</t>
        </is>
      </c>
      <c r="AF1475" t="inlineStr">
        <is>
          <t>Small</t>
        </is>
      </c>
    </row>
    <row r="1476">
      <c r="A1476" t="inlineStr">
        <is>
          <t>ORD-02598</t>
        </is>
      </c>
      <c r="B1476" s="2" t="n">
        <v>45571</v>
      </c>
      <c r="C1476" s="2" t="n">
        <v>45572</v>
      </c>
      <c r="D1476" t="inlineStr">
        <is>
          <t>CUST-02598</t>
        </is>
      </c>
      <c r="E1476" t="inlineStr">
        <is>
          <t>Customer 798</t>
        </is>
      </c>
      <c r="F1476" t="inlineStr">
        <is>
          <t>Corporate</t>
        </is>
      </c>
      <c r="G1476" t="inlineStr">
        <is>
          <t>P1006</t>
        </is>
      </c>
      <c r="H1476" t="inlineStr">
        <is>
          <t>Nimbus Monitor Arm</t>
        </is>
      </c>
      <c r="I1476" t="inlineStr">
        <is>
          <t>Home Decor</t>
        </is>
      </c>
      <c r="J1476" t="inlineStr">
        <is>
          <t>Accessories</t>
        </is>
      </c>
      <c r="K1476" t="inlineStr">
        <is>
          <t>North</t>
        </is>
      </c>
      <c r="L1476" t="inlineStr">
        <is>
          <t>Alberta</t>
        </is>
      </c>
      <c r="M1476" t="inlineStr">
        <is>
          <t>Calgary</t>
        </is>
      </c>
      <c r="N1476" t="inlineStr">
        <is>
          <t>Noah Kim</t>
        </is>
      </c>
      <c r="O1476" t="n">
        <v>3</v>
      </c>
      <c r="P1476" s="3" t="n">
        <v>19.11</v>
      </c>
      <c r="Q1476" s="4" t="n">
        <v>0.06899999999999999</v>
      </c>
      <c r="R1476" s="3" t="n">
        <v>53.37</v>
      </c>
      <c r="S1476" s="3" t="n">
        <v>26.7</v>
      </c>
      <c r="T1476" s="3" t="n">
        <v>18.27</v>
      </c>
      <c r="U1476" s="4" t="n">
        <v>0.3423</v>
      </c>
      <c r="V1476" s="3" t="n">
        <v>8.4</v>
      </c>
      <c r="W1476" t="inlineStr">
        <is>
          <t>Credit Card</t>
        </is>
      </c>
      <c r="X1476" t="inlineStr">
        <is>
          <t>High</t>
        </is>
      </c>
      <c r="Y1476" t="n">
        <v>2024</v>
      </c>
      <c r="Z1476" t="n">
        <v>10</v>
      </c>
      <c r="AA1476" t="inlineStr">
        <is>
          <t>Oct</t>
        </is>
      </c>
      <c r="AB1476" t="inlineStr">
        <is>
          <t>Sunday</t>
        </is>
      </c>
      <c r="AC1476" t="n">
        <v>1</v>
      </c>
      <c r="AD1476" t="inlineStr">
        <is>
          <t>Profitable</t>
        </is>
      </c>
      <c r="AE1476" t="inlineStr">
        <is>
          <t>High</t>
        </is>
      </c>
      <c r="AF1476" t="inlineStr">
        <is>
          <t>Small</t>
        </is>
      </c>
    </row>
    <row r="1477">
      <c r="A1477" t="inlineStr">
        <is>
          <t>ORD-02615</t>
        </is>
      </c>
      <c r="B1477" s="2" t="n">
        <v>45333</v>
      </c>
      <c r="C1477" s="2" t="n">
        <v>45335</v>
      </c>
      <c r="D1477" t="inlineStr">
        <is>
          <t>CUST-02615</t>
        </is>
      </c>
      <c r="E1477" t="inlineStr">
        <is>
          <t>Customer 815</t>
        </is>
      </c>
      <c r="F1477" t="inlineStr">
        <is>
          <t>Home Office</t>
        </is>
      </c>
      <c r="G1477" t="inlineStr">
        <is>
          <t>P1007</t>
        </is>
      </c>
      <c r="H1477" t="inlineStr">
        <is>
          <t>CloudDrive File Box</t>
        </is>
      </c>
      <c r="I1477" t="inlineStr">
        <is>
          <t>Office Supplies</t>
        </is>
      </c>
      <c r="J1477" t="inlineStr">
        <is>
          <t>Flooring</t>
        </is>
      </c>
      <c r="K1477" t="inlineStr">
        <is>
          <t>North</t>
        </is>
      </c>
      <c r="L1477" t="inlineStr">
        <is>
          <t>British Columbia</t>
        </is>
      </c>
      <c r="M1477" t="inlineStr">
        <is>
          <t>Calgary</t>
        </is>
      </c>
      <c r="N1477" t="inlineStr">
        <is>
          <t>Noah Kim</t>
        </is>
      </c>
      <c r="O1477" t="n">
        <v>5</v>
      </c>
      <c r="P1477" s="3" t="n">
        <v>24.26</v>
      </c>
      <c r="Q1477" s="4" t="n">
        <v>0.016</v>
      </c>
      <c r="R1477" s="3" t="n">
        <v>119.36</v>
      </c>
      <c r="S1477" s="3" t="n">
        <v>47.61</v>
      </c>
      <c r="T1477" s="3" t="n">
        <v>61.75</v>
      </c>
      <c r="U1477" s="4" t="n">
        <v>0.5173</v>
      </c>
      <c r="V1477" s="3" t="n">
        <v>10</v>
      </c>
      <c r="W1477" t="inlineStr">
        <is>
          <t>Credit Card</t>
        </is>
      </c>
      <c r="X1477" t="inlineStr">
        <is>
          <t>Medium</t>
        </is>
      </c>
      <c r="Y1477" t="n">
        <v>2024</v>
      </c>
      <c r="Z1477" t="n">
        <v>2</v>
      </c>
      <c r="AA1477" t="inlineStr">
        <is>
          <t>Feb</t>
        </is>
      </c>
      <c r="AB1477" t="inlineStr">
        <is>
          <t>Sunday</t>
        </is>
      </c>
      <c r="AC1477" t="n">
        <v>2</v>
      </c>
      <c r="AD1477" t="inlineStr">
        <is>
          <t>Profitable</t>
        </is>
      </c>
      <c r="AE1477" t="inlineStr">
        <is>
          <t>Low</t>
        </is>
      </c>
      <c r="AF1477" t="inlineStr">
        <is>
          <t>Small</t>
        </is>
      </c>
    </row>
    <row r="1478">
      <c r="A1478" t="inlineStr">
        <is>
          <t>ORD-02617</t>
        </is>
      </c>
      <c r="B1478" s="2" t="n">
        <v>45342</v>
      </c>
      <c r="C1478" s="2" t="n">
        <v>45345</v>
      </c>
      <c r="D1478" t="inlineStr">
        <is>
          <t>CUST-02617</t>
        </is>
      </c>
      <c r="E1478" t="inlineStr">
        <is>
          <t>Customer 817</t>
        </is>
      </c>
      <c r="F1478" t="inlineStr">
        <is>
          <t>Consumer</t>
        </is>
      </c>
      <c r="G1478" t="inlineStr">
        <is>
          <t>P1002</t>
        </is>
      </c>
      <c r="H1478" t="inlineStr">
        <is>
          <t>SmartInk Pen Set</t>
        </is>
      </c>
      <c r="I1478" t="inlineStr">
        <is>
          <t>Office Supplies</t>
        </is>
      </c>
      <c r="J1478" t="inlineStr">
        <is>
          <t>Peripherals</t>
        </is>
      </c>
      <c r="K1478" t="inlineStr">
        <is>
          <t>North</t>
        </is>
      </c>
      <c r="L1478" t="inlineStr">
        <is>
          <t>Alberta</t>
        </is>
      </c>
      <c r="M1478" t="inlineStr">
        <is>
          <t>Calgary</t>
        </is>
      </c>
      <c r="N1478" t="inlineStr">
        <is>
          <t>Ava Patel</t>
        </is>
      </c>
      <c r="O1478" t="n">
        <v>4</v>
      </c>
      <c r="P1478" s="3" t="n">
        <v>78.8</v>
      </c>
      <c r="Q1478" s="4" t="n">
        <v>0.026</v>
      </c>
      <c r="R1478" s="3" t="n">
        <v>307</v>
      </c>
      <c r="S1478" s="3" t="n">
        <v>139.14</v>
      </c>
      <c r="T1478" s="3" t="n">
        <v>158.66</v>
      </c>
      <c r="U1478" s="4" t="n">
        <v>0.5168</v>
      </c>
      <c r="V1478" s="3" t="n">
        <v>9.199999999999999</v>
      </c>
      <c r="W1478" t="inlineStr">
        <is>
          <t>Credit Card</t>
        </is>
      </c>
      <c r="X1478" t="inlineStr">
        <is>
          <t>Medium</t>
        </is>
      </c>
      <c r="Y1478" t="n">
        <v>2024</v>
      </c>
      <c r="Z1478" t="n">
        <v>2</v>
      </c>
      <c r="AA1478" t="inlineStr">
        <is>
          <t>Feb</t>
        </is>
      </c>
      <c r="AB1478" t="inlineStr">
        <is>
          <t>Tuesday</t>
        </is>
      </c>
      <c r="AC1478" t="n">
        <v>3</v>
      </c>
      <c r="AD1478" t="inlineStr">
        <is>
          <t>Profitable</t>
        </is>
      </c>
      <c r="AE1478" t="inlineStr">
        <is>
          <t>Medium</t>
        </is>
      </c>
      <c r="AF1478" t="inlineStr">
        <is>
          <t>Small</t>
        </is>
      </c>
    </row>
    <row r="1479">
      <c r="A1479" t="inlineStr">
        <is>
          <t>ORD-02634</t>
        </is>
      </c>
      <c r="B1479" s="2" t="n">
        <v>45116</v>
      </c>
      <c r="C1479" s="2" t="n">
        <v>45121</v>
      </c>
      <c r="D1479" t="inlineStr">
        <is>
          <t>CUST-02634</t>
        </is>
      </c>
      <c r="E1479" t="inlineStr">
        <is>
          <t>Customer 834</t>
        </is>
      </c>
      <c r="F1479" t="inlineStr">
        <is>
          <t>Consumer</t>
        </is>
      </c>
      <c r="G1479" t="inlineStr">
        <is>
          <t>P1018</t>
        </is>
      </c>
      <c r="H1479" t="inlineStr">
        <is>
          <t>Northstar Lantern</t>
        </is>
      </c>
      <c r="I1479" t="inlineStr">
        <is>
          <t>Home Decor</t>
        </is>
      </c>
      <c r="J1479" t="inlineStr">
        <is>
          <t>Chairs</t>
        </is>
      </c>
      <c r="K1479" t="inlineStr">
        <is>
          <t>North</t>
        </is>
      </c>
      <c r="L1479" t="inlineStr">
        <is>
          <t>Ontario</t>
        </is>
      </c>
      <c r="M1479" t="inlineStr">
        <is>
          <t>Montreal</t>
        </is>
      </c>
      <c r="N1479" t="inlineStr">
        <is>
          <t>Ava Patel</t>
        </is>
      </c>
      <c r="O1479" t="n">
        <v>4</v>
      </c>
      <c r="P1479" s="3" t="n">
        <v>93.56</v>
      </c>
      <c r="Q1479" s="4" t="n">
        <v>0.027</v>
      </c>
      <c r="R1479" s="3" t="n">
        <v>364.14</v>
      </c>
      <c r="S1479" s="3" t="n">
        <v>162.14</v>
      </c>
      <c r="T1479" s="3" t="n">
        <v>192.8</v>
      </c>
      <c r="U1479" s="4" t="n">
        <v>0.5295</v>
      </c>
      <c r="V1479" s="3" t="n">
        <v>9.199999999999999</v>
      </c>
      <c r="W1479" t="inlineStr">
        <is>
          <t>Credit Card</t>
        </is>
      </c>
      <c r="X1479" t="inlineStr">
        <is>
          <t>Medium</t>
        </is>
      </c>
      <c r="Y1479" t="n">
        <v>2023</v>
      </c>
      <c r="Z1479" t="n">
        <v>7</v>
      </c>
      <c r="AA1479" t="inlineStr">
        <is>
          <t>Jul</t>
        </is>
      </c>
      <c r="AB1479" t="inlineStr">
        <is>
          <t>Sunday</t>
        </is>
      </c>
      <c r="AC1479" t="n">
        <v>5</v>
      </c>
      <c r="AD1479" t="inlineStr">
        <is>
          <t>Profitable</t>
        </is>
      </c>
      <c r="AE1479" t="inlineStr">
        <is>
          <t>Medium</t>
        </is>
      </c>
      <c r="AF1479" t="inlineStr">
        <is>
          <t>Small</t>
        </is>
      </c>
    </row>
    <row r="1480">
      <c r="A1480" t="inlineStr">
        <is>
          <t>ORD-02646</t>
        </is>
      </c>
      <c r="B1480" s="2" t="n">
        <v>45603</v>
      </c>
      <c r="C1480" s="2" t="n">
        <v>45610</v>
      </c>
      <c r="D1480" t="inlineStr">
        <is>
          <t>CUST-02646</t>
        </is>
      </c>
      <c r="E1480" t="inlineStr">
        <is>
          <t>Customer 846</t>
        </is>
      </c>
      <c r="F1480" t="inlineStr">
        <is>
          <t>Corporate</t>
        </is>
      </c>
      <c r="G1480" t="inlineStr">
        <is>
          <t>P1001</t>
        </is>
      </c>
      <c r="H1480" t="inlineStr">
        <is>
          <t>ErgoMesh Chair</t>
        </is>
      </c>
      <c r="I1480" t="inlineStr">
        <is>
          <t>Outdoor</t>
        </is>
      </c>
      <c r="J1480" t="inlineStr">
        <is>
          <t>Accessories</t>
        </is>
      </c>
      <c r="K1480" t="inlineStr">
        <is>
          <t>North</t>
        </is>
      </c>
      <c r="L1480" t="inlineStr">
        <is>
          <t>Quebec</t>
        </is>
      </c>
      <c r="M1480" t="inlineStr">
        <is>
          <t>Toronto</t>
        </is>
      </c>
      <c r="N1480" t="inlineStr">
        <is>
          <t>Liam Chen</t>
        </is>
      </c>
      <c r="O1480" t="n">
        <v>4</v>
      </c>
      <c r="P1480" s="3" t="n">
        <v>322.32</v>
      </c>
      <c r="Q1480" s="4" t="n">
        <v>0.028</v>
      </c>
      <c r="R1480" s="3" t="n">
        <v>1253.18</v>
      </c>
      <c r="S1480" s="3" t="n">
        <v>736.73</v>
      </c>
      <c r="T1480" s="3" t="n">
        <v>507.25</v>
      </c>
      <c r="U1480" s="4" t="n">
        <v>0.4048</v>
      </c>
      <c r="V1480" s="3" t="n">
        <v>9.199999999999999</v>
      </c>
      <c r="W1480" t="inlineStr">
        <is>
          <t>Bank Transfer</t>
        </is>
      </c>
      <c r="X1480" t="inlineStr">
        <is>
          <t>High</t>
        </is>
      </c>
      <c r="Y1480" t="n">
        <v>2024</v>
      </c>
      <c r="Z1480" t="n">
        <v>11</v>
      </c>
      <c r="AA1480" t="inlineStr">
        <is>
          <t>Nov</t>
        </is>
      </c>
      <c r="AB1480" t="inlineStr">
        <is>
          <t>Thursday</t>
        </is>
      </c>
      <c r="AC1480" t="n">
        <v>7</v>
      </c>
      <c r="AD1480" t="inlineStr">
        <is>
          <t>Profitable</t>
        </is>
      </c>
      <c r="AE1480" t="inlineStr">
        <is>
          <t>Medium</t>
        </is>
      </c>
      <c r="AF1480" t="inlineStr">
        <is>
          <t>Medium</t>
        </is>
      </c>
    </row>
    <row r="1481">
      <c r="A1481" t="inlineStr">
        <is>
          <t>ORD-02651</t>
        </is>
      </c>
      <c r="B1481" s="2" t="n">
        <v>45280</v>
      </c>
      <c r="C1481" s="2" t="n">
        <v>45281</v>
      </c>
      <c r="D1481" t="inlineStr">
        <is>
          <t>CUST-02651</t>
        </is>
      </c>
      <c r="E1481" t="inlineStr">
        <is>
          <t>Customer 851</t>
        </is>
      </c>
      <c r="F1481" t="inlineStr">
        <is>
          <t>Corporate</t>
        </is>
      </c>
      <c r="G1481" t="inlineStr">
        <is>
          <t>P1005</t>
        </is>
      </c>
      <c r="H1481" t="inlineStr">
        <is>
          <t>SmartInk Pen Set</t>
        </is>
      </c>
      <c r="I1481" t="inlineStr">
        <is>
          <t>Home Decor</t>
        </is>
      </c>
      <c r="J1481" t="inlineStr">
        <is>
          <t>Peripherals</t>
        </is>
      </c>
      <c r="K1481" t="inlineStr">
        <is>
          <t>North</t>
        </is>
      </c>
      <c r="L1481" t="inlineStr">
        <is>
          <t>Alberta</t>
        </is>
      </c>
      <c r="M1481" t="inlineStr">
        <is>
          <t>Montreal</t>
        </is>
      </c>
      <c r="N1481" t="inlineStr">
        <is>
          <t>Ethan Brooks</t>
        </is>
      </c>
      <c r="O1481" t="n">
        <v>3</v>
      </c>
      <c r="P1481" s="3" t="n">
        <v>13.81</v>
      </c>
      <c r="Q1481" s="4" t="n">
        <v>0.042</v>
      </c>
      <c r="R1481" s="3" t="n">
        <v>39.69</v>
      </c>
      <c r="S1481" s="3" t="n">
        <v>17.5</v>
      </c>
      <c r="T1481" s="3" t="n">
        <v>13.79</v>
      </c>
      <c r="U1481" s="4" t="n">
        <v>0.3474</v>
      </c>
      <c r="V1481" s="3" t="n">
        <v>8.4</v>
      </c>
      <c r="W1481" t="inlineStr">
        <is>
          <t>Credit Card</t>
        </is>
      </c>
      <c r="X1481" t="inlineStr">
        <is>
          <t>High</t>
        </is>
      </c>
      <c r="Y1481" t="n">
        <v>2023</v>
      </c>
      <c r="Z1481" t="n">
        <v>12</v>
      </c>
      <c r="AA1481" t="inlineStr">
        <is>
          <t>Dec</t>
        </is>
      </c>
      <c r="AB1481" t="inlineStr">
        <is>
          <t>Wednesday</t>
        </is>
      </c>
      <c r="AC1481" t="n">
        <v>1</v>
      </c>
      <c r="AD1481" t="inlineStr">
        <is>
          <t>Profitable</t>
        </is>
      </c>
      <c r="AE1481" t="inlineStr">
        <is>
          <t>Medium</t>
        </is>
      </c>
      <c r="AF1481" t="inlineStr">
        <is>
          <t>Small</t>
        </is>
      </c>
    </row>
    <row r="1482">
      <c r="A1482" t="inlineStr">
        <is>
          <t>ORD-02673</t>
        </is>
      </c>
      <c r="B1482" s="2" t="n">
        <v>45844</v>
      </c>
      <c r="C1482" s="2" t="n">
        <v>45846</v>
      </c>
      <c r="D1482" t="inlineStr">
        <is>
          <t>CUST-02673</t>
        </is>
      </c>
      <c r="E1482" t="inlineStr">
        <is>
          <t>Customer 873</t>
        </is>
      </c>
      <c r="F1482" t="inlineStr">
        <is>
          <t>Consumer</t>
        </is>
      </c>
      <c r="G1482" t="inlineStr">
        <is>
          <t>P1014</t>
        </is>
      </c>
      <c r="H1482" t="inlineStr">
        <is>
          <t>Aero Standing Desk</t>
        </is>
      </c>
      <c r="I1482" t="inlineStr">
        <is>
          <t>Furniture</t>
        </is>
      </c>
      <c r="J1482" t="inlineStr">
        <is>
          <t>Peripherals</t>
        </is>
      </c>
      <c r="K1482" t="inlineStr">
        <is>
          <t>North</t>
        </is>
      </c>
      <c r="L1482" t="inlineStr">
        <is>
          <t>Ontario</t>
        </is>
      </c>
      <c r="M1482" t="inlineStr">
        <is>
          <t>Calgary</t>
        </is>
      </c>
      <c r="N1482" t="inlineStr">
        <is>
          <t>James Carter</t>
        </is>
      </c>
      <c r="O1482" t="n">
        <v>3</v>
      </c>
      <c r="P1482" s="3" t="n">
        <v>44.84</v>
      </c>
      <c r="Q1482" s="4" t="n">
        <v>0.046</v>
      </c>
      <c r="R1482" s="3" t="n">
        <v>128.33</v>
      </c>
      <c r="S1482" s="3" t="n">
        <v>58.81</v>
      </c>
      <c r="T1482" s="3" t="n">
        <v>61.12</v>
      </c>
      <c r="U1482" s="4" t="n">
        <v>0.4763</v>
      </c>
      <c r="V1482" s="3" t="n">
        <v>8.4</v>
      </c>
      <c r="W1482" t="inlineStr">
        <is>
          <t>PayPal</t>
        </is>
      </c>
      <c r="X1482" t="inlineStr">
        <is>
          <t>Critical</t>
        </is>
      </c>
      <c r="Y1482" t="n">
        <v>2025</v>
      </c>
      <c r="Z1482" t="n">
        <v>7</v>
      </c>
      <c r="AA1482" t="inlineStr">
        <is>
          <t>Jul</t>
        </is>
      </c>
      <c r="AB1482" t="inlineStr">
        <is>
          <t>Sunday</t>
        </is>
      </c>
      <c r="AC1482" t="n">
        <v>2</v>
      </c>
      <c r="AD1482" t="inlineStr">
        <is>
          <t>Profitable</t>
        </is>
      </c>
      <c r="AE1482" t="inlineStr">
        <is>
          <t>Medium</t>
        </is>
      </c>
      <c r="AF1482" t="inlineStr">
        <is>
          <t>Small</t>
        </is>
      </c>
    </row>
    <row r="1483">
      <c r="A1483" t="inlineStr">
        <is>
          <t>ORD-02679</t>
        </is>
      </c>
      <c r="B1483" s="2" t="n">
        <v>45191</v>
      </c>
      <c r="C1483" s="2" t="n">
        <v>45196</v>
      </c>
      <c r="D1483" t="inlineStr">
        <is>
          <t>CUST-02679</t>
        </is>
      </c>
      <c r="E1483" t="inlineStr">
        <is>
          <t>Customer 879</t>
        </is>
      </c>
      <c r="F1483" t="inlineStr">
        <is>
          <t>Home Office</t>
        </is>
      </c>
      <c r="G1483" t="inlineStr">
        <is>
          <t>P1012</t>
        </is>
      </c>
      <c r="H1483" t="inlineStr">
        <is>
          <t>Aero Standing Desk</t>
        </is>
      </c>
      <c r="I1483" t="inlineStr">
        <is>
          <t>Outdoor</t>
        </is>
      </c>
      <c r="J1483" t="inlineStr">
        <is>
          <t>Peripherals</t>
        </is>
      </c>
      <c r="K1483" t="inlineStr">
        <is>
          <t>North</t>
        </is>
      </c>
      <c r="L1483" t="inlineStr">
        <is>
          <t>British Columbia</t>
        </is>
      </c>
      <c r="M1483" t="inlineStr">
        <is>
          <t>Calgary</t>
        </is>
      </c>
      <c r="N1483" t="inlineStr">
        <is>
          <t>James Carter</t>
        </is>
      </c>
      <c r="O1483" t="n">
        <v>3</v>
      </c>
      <c r="P1483" s="3" t="n">
        <v>135.86</v>
      </c>
      <c r="Q1483" s="4" t="n">
        <v>0.052</v>
      </c>
      <c r="R1483" s="3" t="n">
        <v>386.39</v>
      </c>
      <c r="S1483" s="3" t="n">
        <v>197.44</v>
      </c>
      <c r="T1483" s="3" t="n">
        <v>180.55</v>
      </c>
      <c r="U1483" s="4" t="n">
        <v>0.4673</v>
      </c>
      <c r="V1483" s="3" t="n">
        <v>8.4</v>
      </c>
      <c r="W1483" t="inlineStr">
        <is>
          <t>Credit Card</t>
        </is>
      </c>
      <c r="X1483" t="inlineStr">
        <is>
          <t>High</t>
        </is>
      </c>
      <c r="Y1483" t="n">
        <v>2023</v>
      </c>
      <c r="Z1483" t="n">
        <v>9</v>
      </c>
      <c r="AA1483" t="inlineStr">
        <is>
          <t>Sep</t>
        </is>
      </c>
      <c r="AB1483" t="inlineStr">
        <is>
          <t>Friday</t>
        </is>
      </c>
      <c r="AC1483" t="n">
        <v>5</v>
      </c>
      <c r="AD1483" t="inlineStr">
        <is>
          <t>Profitable</t>
        </is>
      </c>
      <c r="AE1483" t="inlineStr">
        <is>
          <t>High</t>
        </is>
      </c>
      <c r="AF1483" t="inlineStr">
        <is>
          <t>Small</t>
        </is>
      </c>
    </row>
    <row r="1484">
      <c r="A1484" t="inlineStr">
        <is>
          <t>ORD-02682</t>
        </is>
      </c>
      <c r="B1484" s="2" t="n">
        <v>45851</v>
      </c>
      <c r="C1484" s="2" t="n">
        <v>45857</v>
      </c>
      <c r="D1484" t="inlineStr">
        <is>
          <t>CUST-02682</t>
        </is>
      </c>
      <c r="E1484" t="inlineStr">
        <is>
          <t>Customer 882</t>
        </is>
      </c>
      <c r="F1484" t="inlineStr">
        <is>
          <t>Home Office</t>
        </is>
      </c>
      <c r="G1484" t="inlineStr">
        <is>
          <t>P1011</t>
        </is>
      </c>
      <c r="H1484" t="inlineStr">
        <is>
          <t>Cove Wall Clock</t>
        </is>
      </c>
      <c r="I1484" t="inlineStr">
        <is>
          <t>Furniture</t>
        </is>
      </c>
      <c r="J1484" t="inlineStr">
        <is>
          <t>Furniture</t>
        </is>
      </c>
      <c r="K1484" t="inlineStr">
        <is>
          <t>North</t>
        </is>
      </c>
      <c r="L1484" t="inlineStr">
        <is>
          <t>Ontario</t>
        </is>
      </c>
      <c r="M1484" t="inlineStr">
        <is>
          <t>Toronto</t>
        </is>
      </c>
      <c r="N1484" t="inlineStr">
        <is>
          <t>Liam Chen</t>
        </is>
      </c>
      <c r="O1484" t="n">
        <v>4</v>
      </c>
      <c r="P1484" s="3" t="n">
        <v>91.42</v>
      </c>
      <c r="Q1484" s="4" t="n">
        <v>0.027</v>
      </c>
      <c r="R1484" s="3" t="n">
        <v>355.81</v>
      </c>
      <c r="S1484" s="3" t="n">
        <v>170.78</v>
      </c>
      <c r="T1484" s="3" t="n">
        <v>175.83</v>
      </c>
      <c r="U1484" s="4" t="n">
        <v>0.4942</v>
      </c>
      <c r="V1484" s="3" t="n">
        <v>9.199999999999999</v>
      </c>
      <c r="W1484" t="inlineStr">
        <is>
          <t>Bank Transfer</t>
        </is>
      </c>
      <c r="X1484" t="inlineStr">
        <is>
          <t>Medium</t>
        </is>
      </c>
      <c r="Y1484" t="n">
        <v>2025</v>
      </c>
      <c r="Z1484" t="n">
        <v>7</v>
      </c>
      <c r="AA1484" t="inlineStr">
        <is>
          <t>Jul</t>
        </is>
      </c>
      <c r="AB1484" t="inlineStr">
        <is>
          <t>Sunday</t>
        </is>
      </c>
      <c r="AC1484" t="n">
        <v>6</v>
      </c>
      <c r="AD1484" t="inlineStr">
        <is>
          <t>Profitable</t>
        </is>
      </c>
      <c r="AE1484" t="inlineStr">
        <is>
          <t>Medium</t>
        </is>
      </c>
      <c r="AF1484" t="inlineStr">
        <is>
          <t>Small</t>
        </is>
      </c>
    </row>
    <row r="1485">
      <c r="A1485" t="inlineStr">
        <is>
          <t>ORD-02690</t>
        </is>
      </c>
      <c r="B1485" s="2" t="n">
        <v>45379</v>
      </c>
      <c r="C1485" s="2" t="n">
        <v>45383</v>
      </c>
      <c r="D1485" t="inlineStr">
        <is>
          <t>CUST-02690</t>
        </is>
      </c>
      <c r="E1485" t="inlineStr">
        <is>
          <t>Customer 890</t>
        </is>
      </c>
      <c r="F1485" t="inlineStr">
        <is>
          <t>Corporate</t>
        </is>
      </c>
      <c r="G1485" t="inlineStr">
        <is>
          <t>P1009</t>
        </is>
      </c>
      <c r="H1485" t="inlineStr">
        <is>
          <t>Summit Patio Set</t>
        </is>
      </c>
      <c r="I1485" t="inlineStr">
        <is>
          <t>Outdoor</t>
        </is>
      </c>
      <c r="J1485" t="inlineStr">
        <is>
          <t>Video</t>
        </is>
      </c>
      <c r="K1485" t="inlineStr">
        <is>
          <t>North</t>
        </is>
      </c>
      <c r="L1485" t="inlineStr">
        <is>
          <t>Quebec</t>
        </is>
      </c>
      <c r="M1485" t="inlineStr">
        <is>
          <t>Calgary</t>
        </is>
      </c>
      <c r="N1485" t="inlineStr">
        <is>
          <t>Olivia Martin</t>
        </is>
      </c>
      <c r="O1485" t="n">
        <v>2</v>
      </c>
      <c r="P1485" s="3" t="n">
        <v>86.76000000000001</v>
      </c>
      <c r="Q1485" s="4" t="n">
        <v>0.029</v>
      </c>
      <c r="R1485" s="3" t="n">
        <v>168.49</v>
      </c>
      <c r="S1485" s="3" t="n">
        <v>90.40000000000001</v>
      </c>
      <c r="T1485" s="3" t="n">
        <v>70.48999999999999</v>
      </c>
      <c r="U1485" s="4" t="n">
        <v>0.4184</v>
      </c>
      <c r="V1485" s="3" t="n">
        <v>7.6</v>
      </c>
      <c r="W1485" t="inlineStr">
        <is>
          <t>Credit Card</t>
        </is>
      </c>
      <c r="X1485" t="inlineStr">
        <is>
          <t>Medium</t>
        </is>
      </c>
      <c r="Y1485" t="n">
        <v>2024</v>
      </c>
      <c r="Z1485" t="n">
        <v>3</v>
      </c>
      <c r="AA1485" t="inlineStr">
        <is>
          <t>Mar</t>
        </is>
      </c>
      <c r="AB1485" t="inlineStr">
        <is>
          <t>Thursday</t>
        </is>
      </c>
      <c r="AC1485" t="n">
        <v>4</v>
      </c>
      <c r="AD1485" t="inlineStr">
        <is>
          <t>Profitable</t>
        </is>
      </c>
      <c r="AE1485" t="inlineStr">
        <is>
          <t>Medium</t>
        </is>
      </c>
      <c r="AF1485" t="inlineStr">
        <is>
          <t>Small</t>
        </is>
      </c>
    </row>
    <row r="1486">
      <c r="A1486" t="inlineStr">
        <is>
          <t>ORD-02693</t>
        </is>
      </c>
      <c r="B1486" s="2" t="n">
        <v>44939</v>
      </c>
      <c r="C1486" s="2" t="n">
        <v>44940</v>
      </c>
      <c r="D1486" t="inlineStr">
        <is>
          <t>CUST-02693</t>
        </is>
      </c>
      <c r="E1486" t="inlineStr">
        <is>
          <t>Customer 893</t>
        </is>
      </c>
      <c r="F1486" t="inlineStr">
        <is>
          <t>Consumer</t>
        </is>
      </c>
      <c r="G1486" t="inlineStr">
        <is>
          <t>P1002</t>
        </is>
      </c>
      <c r="H1486" t="inlineStr">
        <is>
          <t>Northstar Lantern</t>
        </is>
      </c>
      <c r="I1486" t="inlineStr">
        <is>
          <t>Outdoor</t>
        </is>
      </c>
      <c r="J1486" t="inlineStr">
        <is>
          <t>Furniture</t>
        </is>
      </c>
      <c r="K1486" t="inlineStr">
        <is>
          <t>North</t>
        </is>
      </c>
      <c r="L1486" t="inlineStr">
        <is>
          <t>Ontario</t>
        </is>
      </c>
      <c r="M1486" t="inlineStr">
        <is>
          <t>Montreal</t>
        </is>
      </c>
      <c r="N1486" t="inlineStr">
        <is>
          <t>Ethan Brooks</t>
        </is>
      </c>
      <c r="O1486" t="n">
        <v>3</v>
      </c>
      <c r="P1486" s="3" t="n">
        <v>75.84999999999999</v>
      </c>
      <c r="Q1486" s="4" t="n">
        <v>0.024</v>
      </c>
      <c r="R1486" s="3" t="n">
        <v>222.09</v>
      </c>
      <c r="S1486" s="3" t="n">
        <v>101.84</v>
      </c>
      <c r="T1486" s="3" t="n">
        <v>111.85</v>
      </c>
      <c r="U1486" s="4" t="n">
        <v>0.5036</v>
      </c>
      <c r="V1486" s="3" t="n">
        <v>8.4</v>
      </c>
      <c r="W1486" t="inlineStr">
        <is>
          <t>Debit Card</t>
        </is>
      </c>
      <c r="X1486" t="inlineStr">
        <is>
          <t>Medium</t>
        </is>
      </c>
      <c r="Y1486" t="n">
        <v>2023</v>
      </c>
      <c r="Z1486" t="n">
        <v>1</v>
      </c>
      <c r="AA1486" t="inlineStr">
        <is>
          <t>Jan</t>
        </is>
      </c>
      <c r="AB1486" t="inlineStr">
        <is>
          <t>Friday</t>
        </is>
      </c>
      <c r="AC1486" t="n">
        <v>1</v>
      </c>
      <c r="AD1486" t="inlineStr">
        <is>
          <t>Profitable</t>
        </is>
      </c>
      <c r="AE1486" t="inlineStr">
        <is>
          <t>Medium</t>
        </is>
      </c>
      <c r="AF1486" t="inlineStr">
        <is>
          <t>Small</t>
        </is>
      </c>
    </row>
    <row r="1487">
      <c r="A1487" t="inlineStr">
        <is>
          <t>ORD-02735</t>
        </is>
      </c>
      <c r="B1487" s="2" t="n">
        <v>45977</v>
      </c>
      <c r="C1487" s="2" t="n">
        <v>45979</v>
      </c>
      <c r="D1487" t="inlineStr">
        <is>
          <t>CUST-02735</t>
        </is>
      </c>
      <c r="E1487" t="inlineStr">
        <is>
          <t>Customer 935</t>
        </is>
      </c>
      <c r="F1487" t="inlineStr">
        <is>
          <t>Consumer</t>
        </is>
      </c>
      <c r="G1487" t="inlineStr">
        <is>
          <t>P1002</t>
        </is>
      </c>
      <c r="H1487" t="inlineStr">
        <is>
          <t>Harbor Rug</t>
        </is>
      </c>
      <c r="I1487" t="inlineStr">
        <is>
          <t>Furniture</t>
        </is>
      </c>
      <c r="J1487" t="inlineStr">
        <is>
          <t>Video</t>
        </is>
      </c>
      <c r="K1487" t="inlineStr">
        <is>
          <t>North</t>
        </is>
      </c>
      <c r="L1487" t="inlineStr">
        <is>
          <t>British Columbia</t>
        </is>
      </c>
      <c r="M1487" t="inlineStr">
        <is>
          <t>Montreal</t>
        </is>
      </c>
      <c r="N1487" t="inlineStr">
        <is>
          <t>Mia Rodriguez</t>
        </is>
      </c>
      <c r="O1487" t="n">
        <v>2</v>
      </c>
      <c r="P1487" s="3" t="n">
        <v>82.87</v>
      </c>
      <c r="Q1487" s="4" t="n">
        <v>0.017</v>
      </c>
      <c r="R1487" s="3" t="n">
        <v>162.92</v>
      </c>
      <c r="S1487" s="3" t="n">
        <v>80.38</v>
      </c>
      <c r="T1487" s="3" t="n">
        <v>74.94</v>
      </c>
      <c r="U1487" s="4" t="n">
        <v>0.46</v>
      </c>
      <c r="V1487" s="3" t="n">
        <v>7.6</v>
      </c>
      <c r="W1487" t="inlineStr">
        <is>
          <t>Bank Transfer</t>
        </is>
      </c>
      <c r="X1487" t="inlineStr">
        <is>
          <t>Low</t>
        </is>
      </c>
      <c r="Y1487" t="n">
        <v>2025</v>
      </c>
      <c r="Z1487" t="n">
        <v>11</v>
      </c>
      <c r="AA1487" t="inlineStr">
        <is>
          <t>Nov</t>
        </is>
      </c>
      <c r="AB1487" t="inlineStr">
        <is>
          <t>Sunday</t>
        </is>
      </c>
      <c r="AC1487" t="n">
        <v>2</v>
      </c>
      <c r="AD1487" t="inlineStr">
        <is>
          <t>Profitable</t>
        </is>
      </c>
      <c r="AE1487" t="inlineStr">
        <is>
          <t>Low</t>
        </is>
      </c>
      <c r="AF1487" t="inlineStr">
        <is>
          <t>Small</t>
        </is>
      </c>
    </row>
    <row r="1488">
      <c r="A1488" t="inlineStr">
        <is>
          <t>ORD-02752</t>
        </is>
      </c>
      <c r="B1488" s="2" t="n">
        <v>45769</v>
      </c>
      <c r="C1488" s="2" t="n">
        <v>45770</v>
      </c>
      <c r="D1488" t="inlineStr">
        <is>
          <t>CUST-02752</t>
        </is>
      </c>
      <c r="E1488" t="inlineStr">
        <is>
          <t>Customer 952</t>
        </is>
      </c>
      <c r="F1488" t="inlineStr">
        <is>
          <t>Consumer</t>
        </is>
      </c>
      <c r="G1488" t="inlineStr">
        <is>
          <t>P1003</t>
        </is>
      </c>
      <c r="H1488" t="inlineStr">
        <is>
          <t>Trail Tote</t>
        </is>
      </c>
      <c r="I1488" t="inlineStr">
        <is>
          <t>Outdoor</t>
        </is>
      </c>
      <c r="J1488" t="inlineStr">
        <is>
          <t>Lighting</t>
        </is>
      </c>
      <c r="K1488" t="inlineStr">
        <is>
          <t>North</t>
        </is>
      </c>
      <c r="L1488" t="inlineStr">
        <is>
          <t>Quebec</t>
        </is>
      </c>
      <c r="M1488" t="inlineStr">
        <is>
          <t>Calgary</t>
        </is>
      </c>
      <c r="N1488" t="inlineStr">
        <is>
          <t>Mia Rodriguez</t>
        </is>
      </c>
      <c r="O1488" t="n">
        <v>2</v>
      </c>
      <c r="P1488" s="3" t="n">
        <v>148.8</v>
      </c>
      <c r="Q1488" s="4" t="n">
        <v>0.023</v>
      </c>
      <c r="R1488" s="3" t="n">
        <v>290.76</v>
      </c>
      <c r="S1488" s="3" t="n">
        <v>159.74</v>
      </c>
      <c r="T1488" s="3" t="n">
        <v>123.42</v>
      </c>
      <c r="U1488" s="4" t="n">
        <v>0.4245</v>
      </c>
      <c r="V1488" s="3" t="n">
        <v>7.6</v>
      </c>
      <c r="W1488" t="inlineStr">
        <is>
          <t>PayPal</t>
        </is>
      </c>
      <c r="X1488" t="inlineStr">
        <is>
          <t>High</t>
        </is>
      </c>
      <c r="Y1488" t="n">
        <v>2025</v>
      </c>
      <c r="Z1488" t="n">
        <v>4</v>
      </c>
      <c r="AA1488" t="inlineStr">
        <is>
          <t>Apr</t>
        </is>
      </c>
      <c r="AB1488" t="inlineStr">
        <is>
          <t>Tuesday</t>
        </is>
      </c>
      <c r="AC1488" t="n">
        <v>1</v>
      </c>
      <c r="AD1488" t="inlineStr">
        <is>
          <t>Profitable</t>
        </is>
      </c>
      <c r="AE1488" t="inlineStr">
        <is>
          <t>Medium</t>
        </is>
      </c>
      <c r="AF1488" t="inlineStr">
        <is>
          <t>Small</t>
        </is>
      </c>
    </row>
    <row r="1489">
      <c r="A1489" t="inlineStr">
        <is>
          <t>ORD-02754</t>
        </is>
      </c>
      <c r="B1489" s="2" t="n">
        <v>45446</v>
      </c>
      <c r="C1489" s="2" t="n">
        <v>45452</v>
      </c>
      <c r="D1489" t="inlineStr">
        <is>
          <t>CUST-02754</t>
        </is>
      </c>
      <c r="E1489" t="inlineStr">
        <is>
          <t>Customer 954</t>
        </is>
      </c>
      <c r="F1489" t="inlineStr">
        <is>
          <t>Consumer</t>
        </is>
      </c>
      <c r="G1489" t="inlineStr">
        <is>
          <t>P1014</t>
        </is>
      </c>
      <c r="H1489" t="inlineStr">
        <is>
          <t>SmartInk Pen Set</t>
        </is>
      </c>
      <c r="I1489" t="inlineStr">
        <is>
          <t>Technology</t>
        </is>
      </c>
      <c r="J1489" t="inlineStr">
        <is>
          <t>Plants</t>
        </is>
      </c>
      <c r="K1489" t="inlineStr">
        <is>
          <t>North</t>
        </is>
      </c>
      <c r="L1489" t="inlineStr">
        <is>
          <t>Ontario</t>
        </is>
      </c>
      <c r="M1489" t="inlineStr">
        <is>
          <t>Montreal</t>
        </is>
      </c>
      <c r="N1489" t="inlineStr">
        <is>
          <t>Liam Chen</t>
        </is>
      </c>
      <c r="O1489" t="n">
        <v>3</v>
      </c>
      <c r="P1489" s="3" t="n">
        <v>44.69</v>
      </c>
      <c r="Q1489" s="4" t="n">
        <v>0.04</v>
      </c>
      <c r="R1489" s="3" t="n">
        <v>128.71</v>
      </c>
      <c r="S1489" s="3" t="n">
        <v>59.02</v>
      </c>
      <c r="T1489" s="3" t="n">
        <v>61.29</v>
      </c>
      <c r="U1489" s="4" t="n">
        <v>0.4762</v>
      </c>
      <c r="V1489" s="3" t="n">
        <v>8.4</v>
      </c>
      <c r="W1489" t="inlineStr">
        <is>
          <t>Credit Card</t>
        </is>
      </c>
      <c r="X1489" t="inlineStr">
        <is>
          <t>High</t>
        </is>
      </c>
      <c r="Y1489" t="n">
        <v>2024</v>
      </c>
      <c r="Z1489" t="n">
        <v>6</v>
      </c>
      <c r="AA1489" t="inlineStr">
        <is>
          <t>Jun</t>
        </is>
      </c>
      <c r="AB1489" t="inlineStr">
        <is>
          <t>Monday</t>
        </is>
      </c>
      <c r="AC1489" t="n">
        <v>6</v>
      </c>
      <c r="AD1489" t="inlineStr">
        <is>
          <t>Profitable</t>
        </is>
      </c>
      <c r="AE1489" t="inlineStr">
        <is>
          <t>Medium</t>
        </is>
      </c>
      <c r="AF1489" t="inlineStr">
        <is>
          <t>Small</t>
        </is>
      </c>
    </row>
    <row r="1490">
      <c r="A1490" t="inlineStr">
        <is>
          <t>ORD-02759</t>
        </is>
      </c>
      <c r="B1490" s="2" t="n">
        <v>45988</v>
      </c>
      <c r="C1490" s="2" t="n">
        <v>45995</v>
      </c>
      <c r="D1490" t="inlineStr">
        <is>
          <t>CUST-02759</t>
        </is>
      </c>
      <c r="E1490" t="inlineStr">
        <is>
          <t>Customer 959</t>
        </is>
      </c>
      <c r="F1490" t="inlineStr">
        <is>
          <t>Consumer</t>
        </is>
      </c>
      <c r="G1490" t="inlineStr">
        <is>
          <t>P1010</t>
        </is>
      </c>
      <c r="H1490" t="inlineStr">
        <is>
          <t>Echo Web Camera</t>
        </is>
      </c>
      <c r="I1490" t="inlineStr">
        <is>
          <t>Home Decor</t>
        </is>
      </c>
      <c r="J1490" t="inlineStr">
        <is>
          <t>Lighting</t>
        </is>
      </c>
      <c r="K1490" t="inlineStr">
        <is>
          <t>North</t>
        </is>
      </c>
      <c r="L1490" t="inlineStr">
        <is>
          <t>Quebec</t>
        </is>
      </c>
      <c r="M1490" t="inlineStr">
        <is>
          <t>Toronto</t>
        </is>
      </c>
      <c r="N1490" t="inlineStr">
        <is>
          <t>Liam Chen</t>
        </is>
      </c>
      <c r="O1490" t="n">
        <v>4</v>
      </c>
      <c r="P1490" s="3" t="n">
        <v>57.75</v>
      </c>
      <c r="Q1490" s="4" t="n">
        <v>0.023</v>
      </c>
      <c r="R1490" s="3" t="n">
        <v>225.69</v>
      </c>
      <c r="S1490" s="3" t="n">
        <v>104.14</v>
      </c>
      <c r="T1490" s="3" t="n">
        <v>112.35</v>
      </c>
      <c r="U1490" s="4" t="n">
        <v>0.4978</v>
      </c>
      <c r="V1490" s="3" t="n">
        <v>9.199999999999999</v>
      </c>
      <c r="W1490" t="inlineStr">
        <is>
          <t>PayPal</t>
        </is>
      </c>
      <c r="X1490" t="inlineStr">
        <is>
          <t>Medium</t>
        </is>
      </c>
      <c r="Y1490" t="n">
        <v>2025</v>
      </c>
      <c r="Z1490" t="n">
        <v>11</v>
      </c>
      <c r="AA1490" t="inlineStr">
        <is>
          <t>Nov</t>
        </is>
      </c>
      <c r="AB1490" t="inlineStr">
        <is>
          <t>Thursday</t>
        </is>
      </c>
      <c r="AC1490" t="n">
        <v>7</v>
      </c>
      <c r="AD1490" t="inlineStr">
        <is>
          <t>Profitable</t>
        </is>
      </c>
      <c r="AE1490" t="inlineStr">
        <is>
          <t>Medium</t>
        </is>
      </c>
      <c r="AF1490" t="inlineStr">
        <is>
          <t>Small</t>
        </is>
      </c>
    </row>
    <row r="1491">
      <c r="A1491" t="inlineStr">
        <is>
          <t>ORD-02760</t>
        </is>
      </c>
      <c r="B1491" s="2" t="n">
        <v>44972</v>
      </c>
      <c r="C1491" s="2" t="n">
        <v>44976</v>
      </c>
      <c r="D1491" t="inlineStr">
        <is>
          <t>CUST-02760</t>
        </is>
      </c>
      <c r="E1491" t="inlineStr">
        <is>
          <t>Customer 960</t>
        </is>
      </c>
      <c r="F1491" t="inlineStr">
        <is>
          <t>Corporate</t>
        </is>
      </c>
      <c r="G1491" t="inlineStr">
        <is>
          <t>P1020</t>
        </is>
      </c>
      <c r="H1491" t="inlineStr">
        <is>
          <t>Trail Tote</t>
        </is>
      </c>
      <c r="I1491" t="inlineStr">
        <is>
          <t>Technology</t>
        </is>
      </c>
      <c r="J1491" t="inlineStr">
        <is>
          <t>Coolers</t>
        </is>
      </c>
      <c r="K1491" t="inlineStr">
        <is>
          <t>North</t>
        </is>
      </c>
      <c r="L1491" t="inlineStr">
        <is>
          <t>Alberta</t>
        </is>
      </c>
      <c r="M1491" t="inlineStr">
        <is>
          <t>Calgary</t>
        </is>
      </c>
      <c r="N1491" t="inlineStr">
        <is>
          <t>Olivia Martin</t>
        </is>
      </c>
      <c r="O1491" t="n">
        <v>1</v>
      </c>
      <c r="P1491" s="3" t="n">
        <v>70.91</v>
      </c>
      <c r="Q1491" s="4" t="n">
        <v>0.028</v>
      </c>
      <c r="R1491" s="3" t="n">
        <v>68.92</v>
      </c>
      <c r="S1491" s="3" t="n">
        <v>37.44</v>
      </c>
      <c r="T1491" s="3" t="n">
        <v>24.68</v>
      </c>
      <c r="U1491" s="4" t="n">
        <v>0.3581</v>
      </c>
      <c r="V1491" s="3" t="n">
        <v>6.8</v>
      </c>
      <c r="W1491" t="inlineStr">
        <is>
          <t>Credit Card</t>
        </is>
      </c>
      <c r="X1491" t="inlineStr">
        <is>
          <t>Medium</t>
        </is>
      </c>
      <c r="Y1491" t="n">
        <v>2023</v>
      </c>
      <c r="Z1491" t="n">
        <v>2</v>
      </c>
      <c r="AA1491" t="inlineStr">
        <is>
          <t>Feb</t>
        </is>
      </c>
      <c r="AB1491" t="inlineStr">
        <is>
          <t>Wednesday</t>
        </is>
      </c>
      <c r="AC1491" t="n">
        <v>4</v>
      </c>
      <c r="AD1491" t="inlineStr">
        <is>
          <t>Profitable</t>
        </is>
      </c>
      <c r="AE1491" t="inlineStr">
        <is>
          <t>Medium</t>
        </is>
      </c>
      <c r="AF1491" t="inlineStr">
        <is>
          <t>Small</t>
        </is>
      </c>
    </row>
    <row r="1492">
      <c r="A1492" t="inlineStr">
        <is>
          <t>ORD-02763</t>
        </is>
      </c>
      <c r="B1492" s="2" t="n">
        <v>45549</v>
      </c>
      <c r="C1492" s="2" t="n">
        <v>45551</v>
      </c>
      <c r="D1492" t="inlineStr">
        <is>
          <t>CUST-02763</t>
        </is>
      </c>
      <c r="E1492" t="inlineStr">
        <is>
          <t>Customer 963</t>
        </is>
      </c>
      <c r="F1492" t="inlineStr">
        <is>
          <t>Home Office</t>
        </is>
      </c>
      <c r="G1492" t="inlineStr">
        <is>
          <t>P1011</t>
        </is>
      </c>
      <c r="H1492" t="inlineStr">
        <is>
          <t>Nova Laptop Stand</t>
        </is>
      </c>
      <c r="I1492" t="inlineStr">
        <is>
          <t>Furniture</t>
        </is>
      </c>
      <c r="J1492" t="inlineStr">
        <is>
          <t>Flooring</t>
        </is>
      </c>
      <c r="K1492" t="inlineStr">
        <is>
          <t>North</t>
        </is>
      </c>
      <c r="L1492" t="inlineStr">
        <is>
          <t>Ontario</t>
        </is>
      </c>
      <c r="M1492" t="inlineStr">
        <is>
          <t>Toronto</t>
        </is>
      </c>
      <c r="N1492" t="inlineStr">
        <is>
          <t>James Carter</t>
        </is>
      </c>
      <c r="O1492" t="n">
        <v>2</v>
      </c>
      <c r="P1492" s="3" t="n">
        <v>89.04000000000001</v>
      </c>
      <c r="Q1492" s="4" t="n">
        <v>0.025</v>
      </c>
      <c r="R1492" s="3" t="n">
        <v>173.63</v>
      </c>
      <c r="S1492" s="3" t="n">
        <v>88.76000000000001</v>
      </c>
      <c r="T1492" s="3" t="n">
        <v>77.27</v>
      </c>
      <c r="U1492" s="4" t="n">
        <v>0.445</v>
      </c>
      <c r="V1492" s="3" t="n">
        <v>7.6</v>
      </c>
      <c r="W1492" t="inlineStr">
        <is>
          <t>Bank Transfer</t>
        </is>
      </c>
      <c r="X1492" t="inlineStr">
        <is>
          <t>Medium</t>
        </is>
      </c>
      <c r="Y1492" t="n">
        <v>2024</v>
      </c>
      <c r="Z1492" t="n">
        <v>9</v>
      </c>
      <c r="AA1492" t="inlineStr">
        <is>
          <t>Sep</t>
        </is>
      </c>
      <c r="AB1492" t="inlineStr">
        <is>
          <t>Saturday</t>
        </is>
      </c>
      <c r="AC1492" t="n">
        <v>2</v>
      </c>
      <c r="AD1492" t="inlineStr">
        <is>
          <t>Profitable</t>
        </is>
      </c>
      <c r="AE1492" t="inlineStr">
        <is>
          <t>Medium</t>
        </is>
      </c>
      <c r="AF1492" t="inlineStr">
        <is>
          <t>Small</t>
        </is>
      </c>
    </row>
    <row r="1493">
      <c r="A1493" t="inlineStr">
        <is>
          <t>ORD-02772</t>
        </is>
      </c>
      <c r="B1493" s="2" t="n">
        <v>45093</v>
      </c>
      <c r="C1493" s="2" t="n">
        <v>45098</v>
      </c>
      <c r="D1493" t="inlineStr">
        <is>
          <t>CUST-02772</t>
        </is>
      </c>
      <c r="E1493" t="inlineStr">
        <is>
          <t>Customer 972</t>
        </is>
      </c>
      <c r="F1493" t="inlineStr">
        <is>
          <t>Consumer</t>
        </is>
      </c>
      <c r="G1493" t="inlineStr">
        <is>
          <t>P1016</t>
        </is>
      </c>
      <c r="H1493" t="inlineStr">
        <is>
          <t>SmartInk Pen Set</t>
        </is>
      </c>
      <c r="I1493" t="inlineStr">
        <is>
          <t>Outdoor</t>
        </is>
      </c>
      <c r="J1493" t="inlineStr">
        <is>
          <t>Writing</t>
        </is>
      </c>
      <c r="K1493" t="inlineStr">
        <is>
          <t>North</t>
        </is>
      </c>
      <c r="L1493" t="inlineStr">
        <is>
          <t>Ontario</t>
        </is>
      </c>
      <c r="M1493" t="inlineStr">
        <is>
          <t>Calgary</t>
        </is>
      </c>
      <c r="N1493" t="inlineStr">
        <is>
          <t>Mia Rodriguez</t>
        </is>
      </c>
      <c r="O1493" t="n">
        <v>3</v>
      </c>
      <c r="P1493" s="3" t="n">
        <v>39.39</v>
      </c>
      <c r="Q1493" s="4" t="n">
        <v>0.024</v>
      </c>
      <c r="R1493" s="3" t="n">
        <v>115.33</v>
      </c>
      <c r="S1493" s="3" t="n">
        <v>46.72</v>
      </c>
      <c r="T1493" s="3" t="n">
        <v>60.21</v>
      </c>
      <c r="U1493" s="4" t="n">
        <v>0.5221</v>
      </c>
      <c r="V1493" s="3" t="n">
        <v>8.4</v>
      </c>
      <c r="W1493" t="inlineStr">
        <is>
          <t>PayPal</t>
        </is>
      </c>
      <c r="X1493" t="inlineStr">
        <is>
          <t>Medium</t>
        </is>
      </c>
      <c r="Y1493" t="n">
        <v>2023</v>
      </c>
      <c r="Z1493" t="n">
        <v>6</v>
      </c>
      <c r="AA1493" t="inlineStr">
        <is>
          <t>Jun</t>
        </is>
      </c>
      <c r="AB1493" t="inlineStr">
        <is>
          <t>Friday</t>
        </is>
      </c>
      <c r="AC1493" t="n">
        <v>5</v>
      </c>
      <c r="AD1493" t="inlineStr">
        <is>
          <t>Profitable</t>
        </is>
      </c>
      <c r="AE1493" t="inlineStr">
        <is>
          <t>Medium</t>
        </is>
      </c>
      <c r="AF1493" t="inlineStr">
        <is>
          <t>Small</t>
        </is>
      </c>
    </row>
    <row r="1494">
      <c r="A1494" t="inlineStr">
        <is>
          <t>ORD-02776</t>
        </is>
      </c>
      <c r="B1494" s="2" t="n">
        <v>45483</v>
      </c>
      <c r="C1494" s="2" t="n">
        <v>45490</v>
      </c>
      <c r="D1494" t="inlineStr">
        <is>
          <t>CUST-02776</t>
        </is>
      </c>
      <c r="E1494" t="inlineStr">
        <is>
          <t>Customer 976</t>
        </is>
      </c>
      <c r="F1494" t="inlineStr">
        <is>
          <t>Corporate</t>
        </is>
      </c>
      <c r="G1494" t="inlineStr">
        <is>
          <t>P1012</t>
        </is>
      </c>
      <c r="H1494" t="inlineStr">
        <is>
          <t>ProClip Binder</t>
        </is>
      </c>
      <c r="I1494" t="inlineStr">
        <is>
          <t>Office Supplies</t>
        </is>
      </c>
      <c r="J1494" t="inlineStr">
        <is>
          <t>Plants</t>
        </is>
      </c>
      <c r="K1494" t="inlineStr">
        <is>
          <t>North</t>
        </is>
      </c>
      <c r="L1494" t="inlineStr">
        <is>
          <t>Alberta</t>
        </is>
      </c>
      <c r="M1494" t="inlineStr">
        <is>
          <t>Toronto</t>
        </is>
      </c>
      <c r="N1494" t="inlineStr">
        <is>
          <t>Ethan Brooks</t>
        </is>
      </c>
      <c r="O1494" t="n">
        <v>1</v>
      </c>
      <c r="P1494" s="3" t="n">
        <v>135.35</v>
      </c>
      <c r="Q1494" s="4" t="n">
        <v>0.031</v>
      </c>
      <c r="R1494" s="3" t="n">
        <v>131.15</v>
      </c>
      <c r="S1494" s="3" t="n">
        <v>68.77</v>
      </c>
      <c r="T1494" s="3" t="n">
        <v>55.58</v>
      </c>
      <c r="U1494" s="4" t="n">
        <v>0.4238</v>
      </c>
      <c r="V1494" s="3" t="n">
        <v>6.8</v>
      </c>
      <c r="W1494" t="inlineStr">
        <is>
          <t>Credit Card</t>
        </is>
      </c>
      <c r="X1494" t="inlineStr">
        <is>
          <t>Critical</t>
        </is>
      </c>
      <c r="Y1494" t="n">
        <v>2024</v>
      </c>
      <c r="Z1494" t="n">
        <v>7</v>
      </c>
      <c r="AA1494" t="inlineStr">
        <is>
          <t>Jul</t>
        </is>
      </c>
      <c r="AB1494" t="inlineStr">
        <is>
          <t>Wednesday</t>
        </is>
      </c>
      <c r="AC1494" t="n">
        <v>7</v>
      </c>
      <c r="AD1494" t="inlineStr">
        <is>
          <t>Profitable</t>
        </is>
      </c>
      <c r="AE1494" t="inlineStr">
        <is>
          <t>Medium</t>
        </is>
      </c>
      <c r="AF1494" t="inlineStr">
        <is>
          <t>Small</t>
        </is>
      </c>
    </row>
    <row r="1495">
      <c r="A1495" t="inlineStr">
        <is>
          <t>ORD-02786</t>
        </is>
      </c>
      <c r="B1495" s="2" t="n">
        <v>44964</v>
      </c>
      <c r="C1495" s="2" t="n">
        <v>44968</v>
      </c>
      <c r="D1495" t="inlineStr">
        <is>
          <t>CUST-02786</t>
        </is>
      </c>
      <c r="E1495" t="inlineStr">
        <is>
          <t>Customer 986</t>
        </is>
      </c>
      <c r="F1495" t="inlineStr">
        <is>
          <t>Consumer</t>
        </is>
      </c>
      <c r="G1495" t="inlineStr">
        <is>
          <t>P1009</t>
        </is>
      </c>
      <c r="H1495" t="inlineStr">
        <is>
          <t>Trail Tote</t>
        </is>
      </c>
      <c r="I1495" t="inlineStr">
        <is>
          <t>Office Supplies</t>
        </is>
      </c>
      <c r="J1495" t="inlineStr">
        <is>
          <t>Accessories</t>
        </is>
      </c>
      <c r="K1495" t="inlineStr">
        <is>
          <t>North</t>
        </is>
      </c>
      <c r="L1495" t="inlineStr">
        <is>
          <t>Quebec</t>
        </is>
      </c>
      <c r="M1495" t="inlineStr">
        <is>
          <t>Vancouver</t>
        </is>
      </c>
      <c r="N1495" t="inlineStr">
        <is>
          <t>Sophia Singh</t>
        </is>
      </c>
      <c r="O1495" t="n">
        <v>2</v>
      </c>
      <c r="P1495" s="3" t="n">
        <v>92.7</v>
      </c>
      <c r="Q1495" s="4" t="n">
        <v>0.044</v>
      </c>
      <c r="R1495" s="3" t="n">
        <v>177.24</v>
      </c>
      <c r="S1495" s="3" t="n">
        <v>88.62</v>
      </c>
      <c r="T1495" s="3" t="n">
        <v>81.02</v>
      </c>
      <c r="U1495" s="4" t="n">
        <v>0.4571</v>
      </c>
      <c r="V1495" s="3" t="n">
        <v>7.6</v>
      </c>
      <c r="W1495" t="inlineStr">
        <is>
          <t>Bank Transfer</t>
        </is>
      </c>
      <c r="X1495" t="inlineStr">
        <is>
          <t>Critical</t>
        </is>
      </c>
      <c r="Y1495" t="n">
        <v>2023</v>
      </c>
      <c r="Z1495" t="n">
        <v>2</v>
      </c>
      <c r="AA1495" t="inlineStr">
        <is>
          <t>Feb</t>
        </is>
      </c>
      <c r="AB1495" t="inlineStr">
        <is>
          <t>Tuesday</t>
        </is>
      </c>
      <c r="AC1495" t="n">
        <v>4</v>
      </c>
      <c r="AD1495" t="inlineStr">
        <is>
          <t>Profitable</t>
        </is>
      </c>
      <c r="AE1495" t="inlineStr">
        <is>
          <t>Medium</t>
        </is>
      </c>
      <c r="AF1495" t="inlineStr">
        <is>
          <t>Small</t>
        </is>
      </c>
    </row>
    <row r="1496">
      <c r="A1496" t="inlineStr">
        <is>
          <t>ORD-02787</t>
        </is>
      </c>
      <c r="B1496" s="2" t="n">
        <v>45833</v>
      </c>
      <c r="C1496" s="2" t="n">
        <v>45837</v>
      </c>
      <c r="D1496" t="inlineStr">
        <is>
          <t>CUST-02787</t>
        </is>
      </c>
      <c r="E1496" t="inlineStr">
        <is>
          <t>Customer 987</t>
        </is>
      </c>
      <c r="F1496" t="inlineStr">
        <is>
          <t>Corporate</t>
        </is>
      </c>
      <c r="G1496" t="inlineStr">
        <is>
          <t>P1017</t>
        </is>
      </c>
      <c r="H1496" t="inlineStr">
        <is>
          <t>ErgoMesh Chair</t>
        </is>
      </c>
      <c r="I1496" t="inlineStr">
        <is>
          <t>Home Decor</t>
        </is>
      </c>
      <c r="J1496" t="inlineStr">
        <is>
          <t>Flooring</t>
        </is>
      </c>
      <c r="K1496" t="inlineStr">
        <is>
          <t>North</t>
        </is>
      </c>
      <c r="L1496" t="inlineStr">
        <is>
          <t>Quebec</t>
        </is>
      </c>
      <c r="M1496" t="inlineStr">
        <is>
          <t>Toronto</t>
        </is>
      </c>
      <c r="N1496" t="inlineStr">
        <is>
          <t>Sophia Singh</t>
        </is>
      </c>
      <c r="O1496" t="n">
        <v>3</v>
      </c>
      <c r="P1496" s="3" t="n">
        <v>590.0700000000001</v>
      </c>
      <c r="Q1496" s="4" t="n">
        <v>0.017</v>
      </c>
      <c r="R1496" s="3" t="n">
        <v>1740.12</v>
      </c>
      <c r="S1496" s="3" t="n">
        <v>1157.8</v>
      </c>
      <c r="T1496" s="3" t="n">
        <v>573.92</v>
      </c>
      <c r="U1496" s="4" t="n">
        <v>0.3298</v>
      </c>
      <c r="V1496" s="3" t="n">
        <v>8.4</v>
      </c>
      <c r="W1496" t="inlineStr">
        <is>
          <t>PayPal</t>
        </is>
      </c>
      <c r="X1496" t="inlineStr">
        <is>
          <t>Medium</t>
        </is>
      </c>
      <c r="Y1496" t="n">
        <v>2025</v>
      </c>
      <c r="Z1496" t="n">
        <v>6</v>
      </c>
      <c r="AA1496" t="inlineStr">
        <is>
          <t>Jun</t>
        </is>
      </c>
      <c r="AB1496" t="inlineStr">
        <is>
          <t>Wednesday</t>
        </is>
      </c>
      <c r="AC1496" t="n">
        <v>4</v>
      </c>
      <c r="AD1496" t="inlineStr">
        <is>
          <t>Profitable</t>
        </is>
      </c>
      <c r="AE1496" t="inlineStr">
        <is>
          <t>Low</t>
        </is>
      </c>
      <c r="AF1496" t="inlineStr">
        <is>
          <t>Large</t>
        </is>
      </c>
    </row>
    <row r="1497">
      <c r="A1497" t="inlineStr">
        <is>
          <t>ORD-02808</t>
        </is>
      </c>
      <c r="B1497" s="2" t="n">
        <v>45037</v>
      </c>
      <c r="C1497" s="2" t="n">
        <v>45042</v>
      </c>
      <c r="D1497" t="inlineStr">
        <is>
          <t>CUST-02808</t>
        </is>
      </c>
      <c r="E1497" t="inlineStr">
        <is>
          <t>Customer 1008</t>
        </is>
      </c>
      <c r="F1497" t="inlineStr">
        <is>
          <t>Consumer</t>
        </is>
      </c>
      <c r="G1497" t="inlineStr">
        <is>
          <t>P1004</t>
        </is>
      </c>
      <c r="H1497" t="inlineStr">
        <is>
          <t>Atlas Throw Pillow</t>
        </is>
      </c>
      <c r="I1497" t="inlineStr">
        <is>
          <t>Outdoor</t>
        </is>
      </c>
      <c r="J1497" t="inlineStr">
        <is>
          <t>Chairs</t>
        </is>
      </c>
      <c r="K1497" t="inlineStr">
        <is>
          <t>North</t>
        </is>
      </c>
      <c r="L1497" t="inlineStr">
        <is>
          <t>Quebec</t>
        </is>
      </c>
      <c r="M1497" t="inlineStr">
        <is>
          <t>Toronto</t>
        </is>
      </c>
      <c r="N1497" t="inlineStr">
        <is>
          <t>Ava Patel</t>
        </is>
      </c>
      <c r="O1497" t="n">
        <v>4</v>
      </c>
      <c r="P1497" s="3" t="n">
        <v>627.98</v>
      </c>
      <c r="Q1497" s="4" t="n">
        <v>0.015</v>
      </c>
      <c r="R1497" s="3" t="n">
        <v>2474.24</v>
      </c>
      <c r="S1497" s="3" t="n">
        <v>1569.68</v>
      </c>
      <c r="T1497" s="3" t="n">
        <v>895.36</v>
      </c>
      <c r="U1497" s="4" t="n">
        <v>0.3619</v>
      </c>
      <c r="V1497" s="3" t="n">
        <v>9.199999999999999</v>
      </c>
      <c r="W1497" t="inlineStr">
        <is>
          <t>Credit Card</t>
        </is>
      </c>
      <c r="X1497" t="inlineStr">
        <is>
          <t>Medium</t>
        </is>
      </c>
      <c r="Y1497" t="n">
        <v>2023</v>
      </c>
      <c r="Z1497" t="n">
        <v>4</v>
      </c>
      <c r="AA1497" t="inlineStr">
        <is>
          <t>Apr</t>
        </is>
      </c>
      <c r="AB1497" t="inlineStr">
        <is>
          <t>Friday</t>
        </is>
      </c>
      <c r="AC1497" t="n">
        <v>5</v>
      </c>
      <c r="AD1497" t="inlineStr">
        <is>
          <t>Profitable</t>
        </is>
      </c>
      <c r="AE1497" t="inlineStr">
        <is>
          <t>Low</t>
        </is>
      </c>
      <c r="AF1497" t="inlineStr">
        <is>
          <t>Large</t>
        </is>
      </c>
    </row>
    <row r="1498">
      <c r="A1498" t="inlineStr">
        <is>
          <t>ORD-02817</t>
        </is>
      </c>
      <c r="B1498" s="2" t="n">
        <v>45476</v>
      </c>
      <c r="C1498" s="2" t="n">
        <v>45481</v>
      </c>
      <c r="D1498" t="inlineStr">
        <is>
          <t>CUST-02817</t>
        </is>
      </c>
      <c r="E1498" t="inlineStr">
        <is>
          <t>Customer 1017</t>
        </is>
      </c>
      <c r="F1498" t="inlineStr">
        <is>
          <t>Consumer</t>
        </is>
      </c>
      <c r="G1498" t="inlineStr">
        <is>
          <t>P1001</t>
        </is>
      </c>
      <c r="H1498" t="inlineStr">
        <is>
          <t>Halo Planter</t>
        </is>
      </c>
      <c r="I1498" t="inlineStr">
        <is>
          <t>Home Decor</t>
        </is>
      </c>
      <c r="J1498" t="inlineStr">
        <is>
          <t>Accessories</t>
        </is>
      </c>
      <c r="K1498" t="inlineStr">
        <is>
          <t>North</t>
        </is>
      </c>
      <c r="L1498" t="inlineStr">
        <is>
          <t>British Columbia</t>
        </is>
      </c>
      <c r="M1498" t="inlineStr">
        <is>
          <t>Calgary</t>
        </is>
      </c>
      <c r="N1498" t="inlineStr">
        <is>
          <t>James Carter</t>
        </is>
      </c>
      <c r="O1498" t="n">
        <v>5</v>
      </c>
      <c r="P1498" s="3" t="n">
        <v>304.04</v>
      </c>
      <c r="Q1498" s="4" t="n">
        <v>0.068</v>
      </c>
      <c r="R1498" s="3" t="n">
        <v>1416.83</v>
      </c>
      <c r="S1498" s="3" t="n">
        <v>830.42</v>
      </c>
      <c r="T1498" s="3" t="n">
        <v>576.41</v>
      </c>
      <c r="U1498" s="4" t="n">
        <v>0.4068</v>
      </c>
      <c r="V1498" s="3" t="n">
        <v>10</v>
      </c>
      <c r="W1498" t="inlineStr">
        <is>
          <t>Bank Transfer</t>
        </is>
      </c>
      <c r="X1498" t="inlineStr">
        <is>
          <t>Critical</t>
        </is>
      </c>
      <c r="Y1498" t="n">
        <v>2024</v>
      </c>
      <c r="Z1498" t="n">
        <v>7</v>
      </c>
      <c r="AA1498" t="inlineStr">
        <is>
          <t>Jul</t>
        </is>
      </c>
      <c r="AB1498" t="inlineStr">
        <is>
          <t>Wednesday</t>
        </is>
      </c>
      <c r="AC1498" t="n">
        <v>5</v>
      </c>
      <c r="AD1498" t="inlineStr">
        <is>
          <t>Profitable</t>
        </is>
      </c>
      <c r="AE1498" t="inlineStr">
        <is>
          <t>High</t>
        </is>
      </c>
      <c r="AF1498" t="inlineStr">
        <is>
          <t>Medium</t>
        </is>
      </c>
    </row>
    <row r="1499">
      <c r="A1499" t="inlineStr">
        <is>
          <t>ORD-02818</t>
        </is>
      </c>
      <c r="B1499" s="2" t="n">
        <v>45020</v>
      </c>
      <c r="C1499" s="2" t="n">
        <v>45024</v>
      </c>
      <c r="D1499" t="inlineStr">
        <is>
          <t>CUST-02818</t>
        </is>
      </c>
      <c r="E1499" t="inlineStr">
        <is>
          <t>Customer 1018</t>
        </is>
      </c>
      <c r="F1499" t="inlineStr">
        <is>
          <t>Home Office</t>
        </is>
      </c>
      <c r="G1499" t="inlineStr">
        <is>
          <t>P1017</t>
        </is>
      </c>
      <c r="H1499" t="inlineStr">
        <is>
          <t>Halo Planter</t>
        </is>
      </c>
      <c r="I1499" t="inlineStr">
        <is>
          <t>Furniture</t>
        </is>
      </c>
      <c r="J1499" t="inlineStr">
        <is>
          <t>Writing</t>
        </is>
      </c>
      <c r="K1499" t="inlineStr">
        <is>
          <t>North</t>
        </is>
      </c>
      <c r="L1499" t="inlineStr">
        <is>
          <t>British Columbia</t>
        </is>
      </c>
      <c r="M1499" t="inlineStr">
        <is>
          <t>Montreal</t>
        </is>
      </c>
      <c r="N1499" t="inlineStr">
        <is>
          <t>Noah Kim</t>
        </is>
      </c>
      <c r="O1499" t="n">
        <v>1</v>
      </c>
      <c r="P1499" s="3" t="n">
        <v>558.9400000000001</v>
      </c>
      <c r="Q1499" s="4" t="n">
        <v>0.058</v>
      </c>
      <c r="R1499" s="3" t="n">
        <v>526.52</v>
      </c>
      <c r="S1499" s="3" t="n">
        <v>352.48</v>
      </c>
      <c r="T1499" s="3" t="n">
        <v>167.24</v>
      </c>
      <c r="U1499" s="4" t="n">
        <v>0.3176</v>
      </c>
      <c r="V1499" s="3" t="n">
        <v>6.8</v>
      </c>
      <c r="W1499" t="inlineStr">
        <is>
          <t>Credit Card</t>
        </is>
      </c>
      <c r="X1499" t="inlineStr">
        <is>
          <t>High</t>
        </is>
      </c>
      <c r="Y1499" t="n">
        <v>2023</v>
      </c>
      <c r="Z1499" t="n">
        <v>4</v>
      </c>
      <c r="AA1499" t="inlineStr">
        <is>
          <t>Apr</t>
        </is>
      </c>
      <c r="AB1499" t="inlineStr">
        <is>
          <t>Tuesday</t>
        </is>
      </c>
      <c r="AC1499" t="n">
        <v>4</v>
      </c>
      <c r="AD1499" t="inlineStr">
        <is>
          <t>Profitable</t>
        </is>
      </c>
      <c r="AE1499" t="inlineStr">
        <is>
          <t>High</t>
        </is>
      </c>
      <c r="AF1499" t="inlineStr">
        <is>
          <t>Medium</t>
        </is>
      </c>
    </row>
    <row r="1500">
      <c r="A1500" t="inlineStr">
        <is>
          <t>ORD-02824</t>
        </is>
      </c>
      <c r="B1500" s="2" t="n">
        <v>44947</v>
      </c>
      <c r="C1500" s="2" t="n">
        <v>44948</v>
      </c>
      <c r="D1500" t="inlineStr">
        <is>
          <t>CUST-02824</t>
        </is>
      </c>
      <c r="E1500" t="inlineStr">
        <is>
          <t>Customer 1024</t>
        </is>
      </c>
      <c r="F1500" t="inlineStr">
        <is>
          <t>Consumer</t>
        </is>
      </c>
      <c r="G1500" t="inlineStr">
        <is>
          <t>P1007</t>
        </is>
      </c>
      <c r="H1500" t="inlineStr">
        <is>
          <t>Tide Cooler</t>
        </is>
      </c>
      <c r="I1500" t="inlineStr">
        <is>
          <t>Office Supplies</t>
        </is>
      </c>
      <c r="J1500" t="inlineStr">
        <is>
          <t>Bags</t>
        </is>
      </c>
      <c r="K1500" t="inlineStr">
        <is>
          <t>North</t>
        </is>
      </c>
      <c r="L1500" t="inlineStr">
        <is>
          <t>Alberta</t>
        </is>
      </c>
      <c r="M1500" t="inlineStr">
        <is>
          <t>Vancouver</t>
        </is>
      </c>
      <c r="N1500" t="inlineStr">
        <is>
          <t>Olivia Martin</t>
        </is>
      </c>
      <c r="O1500" t="n">
        <v>4</v>
      </c>
      <c r="P1500" s="3" t="n">
        <v>23.9</v>
      </c>
      <c r="Q1500" s="4" t="n">
        <v>0.034</v>
      </c>
      <c r="R1500" s="3" t="n">
        <v>92.34999999999999</v>
      </c>
      <c r="S1500" s="3" t="n">
        <v>38.03</v>
      </c>
      <c r="T1500" s="3" t="n">
        <v>45.12</v>
      </c>
      <c r="U1500" s="4" t="n">
        <v>0.4886</v>
      </c>
      <c r="V1500" s="3" t="n">
        <v>9.199999999999999</v>
      </c>
      <c r="W1500" t="inlineStr">
        <is>
          <t>PayPal</t>
        </is>
      </c>
      <c r="X1500" t="inlineStr">
        <is>
          <t>High</t>
        </is>
      </c>
      <c r="Y1500" t="n">
        <v>2023</v>
      </c>
      <c r="Z1500" t="n">
        <v>1</v>
      </c>
      <c r="AA1500" t="inlineStr">
        <is>
          <t>Jan</t>
        </is>
      </c>
      <c r="AB1500" t="inlineStr">
        <is>
          <t>Saturday</t>
        </is>
      </c>
      <c r="AC1500" t="n">
        <v>1</v>
      </c>
      <c r="AD1500" t="inlineStr">
        <is>
          <t>Profitable</t>
        </is>
      </c>
      <c r="AE1500" t="inlineStr">
        <is>
          <t>Medium</t>
        </is>
      </c>
      <c r="AF1500" t="inlineStr">
        <is>
          <t>Small</t>
        </is>
      </c>
    </row>
    <row r="1501">
      <c r="A1501" t="inlineStr">
        <is>
          <t>ORD-02845</t>
        </is>
      </c>
      <c r="B1501" s="2" t="n">
        <v>45632</v>
      </c>
      <c r="C1501" s="2" t="n">
        <v>45636</v>
      </c>
      <c r="D1501" t="inlineStr">
        <is>
          <t>CUST-02845</t>
        </is>
      </c>
      <c r="E1501" t="inlineStr">
        <is>
          <t>Customer 1045</t>
        </is>
      </c>
      <c r="F1501" t="inlineStr">
        <is>
          <t>Consumer</t>
        </is>
      </c>
      <c r="G1501" t="inlineStr">
        <is>
          <t>P1010</t>
        </is>
      </c>
      <c r="H1501" t="inlineStr">
        <is>
          <t>Summit Patio Set</t>
        </is>
      </c>
      <c r="I1501" t="inlineStr">
        <is>
          <t>Outdoor</t>
        </is>
      </c>
      <c r="J1501" t="inlineStr">
        <is>
          <t>Video</t>
        </is>
      </c>
      <c r="K1501" t="inlineStr">
        <is>
          <t>North</t>
        </is>
      </c>
      <c r="L1501" t="inlineStr">
        <is>
          <t>Quebec</t>
        </is>
      </c>
      <c r="M1501" t="inlineStr">
        <is>
          <t>Vancouver</t>
        </is>
      </c>
      <c r="N1501" t="inlineStr">
        <is>
          <t>Liam Chen</t>
        </is>
      </c>
      <c r="O1501" t="n">
        <v>4</v>
      </c>
      <c r="P1501" s="3" t="n">
        <v>59.26</v>
      </c>
      <c r="Q1501" s="4" t="n">
        <v>0.002</v>
      </c>
      <c r="R1501" s="3" t="n">
        <v>236.57</v>
      </c>
      <c r="S1501" s="3" t="n">
        <v>105.58</v>
      </c>
      <c r="T1501" s="3" t="n">
        <v>121.79</v>
      </c>
      <c r="U1501" s="4" t="n">
        <v>0.5148</v>
      </c>
      <c r="V1501" s="3" t="n">
        <v>9.199999999999999</v>
      </c>
      <c r="W1501" t="inlineStr">
        <is>
          <t>Debit Card</t>
        </is>
      </c>
      <c r="X1501" t="inlineStr">
        <is>
          <t>Medium</t>
        </is>
      </c>
      <c r="Y1501" t="n">
        <v>2024</v>
      </c>
      <c r="Z1501" t="n">
        <v>12</v>
      </c>
      <c r="AA1501" t="inlineStr">
        <is>
          <t>Dec</t>
        </is>
      </c>
      <c r="AB1501" t="inlineStr">
        <is>
          <t>Friday</t>
        </is>
      </c>
      <c r="AC1501" t="n">
        <v>4</v>
      </c>
      <c r="AD1501" t="inlineStr">
        <is>
          <t>Profitable</t>
        </is>
      </c>
      <c r="AE1501" t="inlineStr">
        <is>
          <t>Low</t>
        </is>
      </c>
      <c r="AF1501" t="inlineStr">
        <is>
          <t>Small</t>
        </is>
      </c>
    </row>
  </sheetData>
  <autoFilter ref="A1:AF7501"/>
  <conditionalFormatting sqref="T2:T7501">
    <cfRule type="colorScale" priority="1">
      <colorScale>
        <cfvo type="min" val="0"/>
        <cfvo type="percentile" val="50"/>
        <cfvo type="max" val="0"/>
        <color rgb="FFFDE2E2"/>
        <color rgb="FFFDE68A"/>
        <color rgb="FFECFDF3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Example</t>
        </is>
      </c>
      <c r="B1" s="1" t="inlineStr">
        <is>
          <t>Formula</t>
        </is>
      </c>
      <c r="C1" s="1" t="inlineStr">
        <is>
          <t>Result</t>
        </is>
      </c>
    </row>
    <row r="2">
      <c r="A2" t="inlineStr">
        <is>
          <t>IF</t>
        </is>
      </c>
      <c r="B2" t="inlineStr">
        <is>
          <t>=IF(Clean Data!B2&gt;0,"Valid","Missing")</t>
        </is>
      </c>
      <c r="C2" t="inlineStr">
        <is>
          <t>Valid</t>
        </is>
      </c>
    </row>
    <row r="3">
      <c r="A3" t="inlineStr">
        <is>
          <t>IFS</t>
        </is>
      </c>
      <c r="B3" t="inlineStr">
        <is>
          <t>=IFS(Clean Data!I2="Furniture","Furniture",Clean Data!I2="Technology","Technology",TRUE,"Other")</t>
        </is>
      </c>
      <c r="C3" t="inlineStr">
        <is>
          <t>Furniture</t>
        </is>
      </c>
    </row>
    <row r="4">
      <c r="A4" t="inlineStr">
        <is>
          <t>SUMIFS</t>
        </is>
      </c>
      <c r="B4" t="inlineStr">
        <is>
          <t>=SUMIFS(Clean Data!$R:$R,Clean Data!$K:$K,"East",Clean Data!$I:$I,"Furniture")</t>
        </is>
      </c>
      <c r="C4" t="inlineStr">
        <is>
          <t>Sales in East Furniture</t>
        </is>
      </c>
    </row>
    <row r="5">
      <c r="A5" t="inlineStr">
        <is>
          <t>COUNTIFS</t>
        </is>
      </c>
      <c r="B5" t="inlineStr">
        <is>
          <t>=COUNTIFS(Clean Data!$K:$K,"West",Clean Data!$F:$F,"Corporate")</t>
        </is>
      </c>
      <c r="C5" t="inlineStr">
        <is>
          <t>West Corporate Orders</t>
        </is>
      </c>
    </row>
    <row r="6">
      <c r="A6" t="inlineStr">
        <is>
          <t>XLOOKUP</t>
        </is>
      </c>
      <c r="B6" t="inlineStr">
        <is>
          <t>=XLOOKUP("P1004",Clean Data!$H:$H,Clean Data!$I:$I,"Not Found")</t>
        </is>
      </c>
      <c r="C6" t="inlineStr">
        <is>
          <t>Product Category</t>
        </is>
      </c>
    </row>
    <row r="7">
      <c r="A7" t="inlineStr">
        <is>
          <t>INDEX+MATCH</t>
        </is>
      </c>
      <c r="B7" t="inlineStr">
        <is>
          <t>=INDEX(Clean Data!$L:$L,MATCH("Ava Patel",Clean Data!$N:$N,0))</t>
        </is>
      </c>
      <c r="C7" t="inlineStr">
        <is>
          <t>Rep State</t>
        </is>
      </c>
    </row>
    <row r="8">
      <c r="A8" t="inlineStr">
        <is>
          <t>TEXT</t>
        </is>
      </c>
      <c r="B8" t="inlineStr">
        <is>
          <t>=TEXT(Clean Data!B2,"mmm")</t>
        </is>
      </c>
      <c r="C8" t="inlineStr">
        <is>
          <t>Month Text</t>
        </is>
      </c>
    </row>
    <row r="9">
      <c r="A9" t="inlineStr">
        <is>
          <t>LEFT/RIGHT/MID</t>
        </is>
      </c>
      <c r="B9" t="inlineStr">
        <is>
          <t>=LEFT(Clean Data!E2,4)</t>
        </is>
      </c>
      <c r="C9" t="inlineStr">
        <is>
          <t>Left 4 chars</t>
        </is>
      </c>
    </row>
    <row r="10">
      <c r="A10" t="inlineStr">
        <is>
          <t>ROUND</t>
        </is>
      </c>
      <c r="B10" t="inlineStr">
        <is>
          <t>=ROUND(Clean Data!R2,2)</t>
        </is>
      </c>
      <c r="C10" t="inlineStr">
        <is>
          <t>Rounded Sales</t>
        </is>
      </c>
    </row>
    <row r="11">
      <c r="A11" t="inlineStr">
        <is>
          <t>EOMONTH</t>
        </is>
      </c>
      <c r="B11" t="inlineStr">
        <is>
          <t>=EOMONTH(Clean Data!B2,0)</t>
        </is>
      </c>
      <c r="C11" t="inlineStr">
        <is>
          <t>Month End</t>
        </is>
      </c>
    </row>
    <row r="12">
      <c r="A12" t="inlineStr">
        <is>
          <t>YEAR</t>
        </is>
      </c>
      <c r="B12" t="inlineStr">
        <is>
          <t>=YEAR(Clean Data!B2)</t>
        </is>
      </c>
      <c r="C12" t="inlineStr">
        <is>
          <t>Order Year</t>
        </is>
      </c>
    </row>
    <row r="13">
      <c r="A13" t="inlineStr">
        <is>
          <t>MONTH</t>
        </is>
      </c>
      <c r="B13" t="inlineStr">
        <is>
          <t>=MONTH(Clean Data!B2)</t>
        </is>
      </c>
      <c r="C13" t="inlineStr">
        <is>
          <t>Order Month</t>
        </is>
      </c>
    </row>
    <row r="14">
      <c r="A14" t="inlineStr">
        <is>
          <t>WEEKDAY</t>
        </is>
      </c>
      <c r="B14" t="inlineStr">
        <is>
          <t>=WEEKDAY(Clean Data!B2,2)</t>
        </is>
      </c>
      <c r="C14" t="inlineStr">
        <is>
          <t>Weekday Number</t>
        </is>
      </c>
    </row>
    <row r="15">
      <c r="A15" t="inlineStr">
        <is>
          <t>NETWORKDAYS</t>
        </is>
      </c>
      <c r="B15" t="inlineStr">
        <is>
          <t>=NETWORKDAYS(Clean Data!B2,Clean Data!C2)</t>
        </is>
      </c>
      <c r="C15" t="inlineStr">
        <is>
          <t>Business Days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8.7109375" customWidth="1" min="1" max="5"/>
  </cols>
  <sheetData>
    <row r="1">
      <c r="A1" s="1" t="inlineStr">
        <is>
          <t>Regional Sales and Profit</t>
        </is>
      </c>
    </row>
    <row r="2">
      <c r="A2" s="1" t="inlineStr">
        <is>
          <t>Region</t>
        </is>
      </c>
      <c r="B2" s="1" t="inlineStr">
        <is>
          <t>Sales</t>
        </is>
      </c>
      <c r="C2" s="1" t="inlineStr">
        <is>
          <t>Profit</t>
        </is>
      </c>
    </row>
    <row r="3">
      <c r="A3" t="inlineStr">
        <is>
          <t>Central</t>
        </is>
      </c>
      <c r="B3" s="3" t="n">
        <v>601439.01</v>
      </c>
      <c r="C3" s="3" t="n">
        <v>243874.65</v>
      </c>
    </row>
    <row r="4">
      <c r="A4" t="inlineStr">
        <is>
          <t>East</t>
        </is>
      </c>
      <c r="B4" s="3" t="n">
        <v>709413.67</v>
      </c>
      <c r="C4" s="3" t="n">
        <v>287107.23</v>
      </c>
    </row>
    <row r="5">
      <c r="A5" t="inlineStr">
        <is>
          <t>North</t>
        </is>
      </c>
      <c r="B5" s="3" t="n">
        <v>309801.83</v>
      </c>
      <c r="C5" s="3" t="n">
        <v>124734.07</v>
      </c>
    </row>
    <row r="6">
      <c r="A6" t="inlineStr">
        <is>
          <t>South</t>
        </is>
      </c>
      <c r="B6" s="3" t="n">
        <v>564404.04</v>
      </c>
      <c r="C6" s="3" t="n">
        <v>226411.64</v>
      </c>
    </row>
    <row r="7">
      <c r="A7" t="inlineStr">
        <is>
          <t>West</t>
        </is>
      </c>
      <c r="B7" s="3" t="n">
        <v>777898.1899999999</v>
      </c>
      <c r="C7" s="3" t="n">
        <v>314703.39</v>
      </c>
    </row>
    <row r="11">
      <c r="A11" s="1" t="inlineStr">
        <is>
          <t>Category Performance</t>
        </is>
      </c>
    </row>
    <row r="12">
      <c r="A12" s="1" t="inlineStr">
        <is>
          <t>Category</t>
        </is>
      </c>
      <c r="B12" s="1" t="inlineStr">
        <is>
          <t>Sales</t>
        </is>
      </c>
      <c r="C12" s="1" t="inlineStr">
        <is>
          <t>Profit</t>
        </is>
      </c>
      <c r="D12" s="1" t="inlineStr">
        <is>
          <t>Quantity</t>
        </is>
      </c>
    </row>
    <row r="13">
      <c r="A13" t="inlineStr">
        <is>
          <t>Furniture</t>
        </is>
      </c>
      <c r="B13" s="3" t="n">
        <v>582378.29</v>
      </c>
      <c r="C13" s="3" t="n">
        <v>236949.02</v>
      </c>
      <c r="D13" t="n">
        <v>4431</v>
      </c>
    </row>
    <row r="14">
      <c r="A14" t="inlineStr">
        <is>
          <t>Home Decor</t>
        </is>
      </c>
      <c r="B14" s="3" t="n">
        <v>576386.29</v>
      </c>
      <c r="C14" s="3" t="n">
        <v>233599.01</v>
      </c>
      <c r="D14" t="n">
        <v>4233</v>
      </c>
    </row>
    <row r="15">
      <c r="A15" t="inlineStr">
        <is>
          <t>Office Supplies</t>
        </is>
      </c>
      <c r="B15" s="3" t="n">
        <v>623366.5600000001</v>
      </c>
      <c r="C15" s="3" t="n">
        <v>250508</v>
      </c>
      <c r="D15" t="n">
        <v>4382</v>
      </c>
    </row>
    <row r="16">
      <c r="A16" t="inlineStr">
        <is>
          <t>Outdoor</t>
        </is>
      </c>
      <c r="B16" s="3" t="n">
        <v>591067.42</v>
      </c>
      <c r="C16" s="3" t="n">
        <v>237733.46</v>
      </c>
      <c r="D16" t="n">
        <v>4211</v>
      </c>
    </row>
    <row r="17">
      <c r="A17" t="inlineStr">
        <is>
          <t>Technology</t>
        </is>
      </c>
      <c r="B17" s="3" t="n">
        <v>589758.1800000001</v>
      </c>
      <c r="C17" s="3" t="n">
        <v>238041.49</v>
      </c>
      <c r="D17" t="n">
        <v>4317</v>
      </c>
    </row>
    <row r="21">
      <c r="A21" s="1" t="inlineStr">
        <is>
          <t>Representative Trend</t>
        </is>
      </c>
    </row>
    <row r="22">
      <c r="A22" s="1" t="inlineStr">
        <is>
          <t>Sales Representative</t>
        </is>
      </c>
      <c r="B22" s="1" t="inlineStr">
        <is>
          <t>Sales</t>
        </is>
      </c>
      <c r="C22" s="1" t="inlineStr">
        <is>
          <t>Profit</t>
        </is>
      </c>
    </row>
    <row r="23">
      <c r="A23" t="inlineStr">
        <is>
          <t>Liam Chen</t>
        </is>
      </c>
      <c r="B23" s="3" t="n">
        <v>423401.7</v>
      </c>
      <c r="C23" s="3" t="n">
        <v>169375.93</v>
      </c>
    </row>
    <row r="24">
      <c r="A24" t="inlineStr">
        <is>
          <t>Sophia Singh</t>
        </is>
      </c>
      <c r="B24" s="3" t="n">
        <v>379615.17</v>
      </c>
      <c r="C24" s="3" t="n">
        <v>154657.6</v>
      </c>
    </row>
    <row r="25">
      <c r="A25" t="inlineStr">
        <is>
          <t>James Carter</t>
        </is>
      </c>
      <c r="B25" s="3" t="n">
        <v>374514.04</v>
      </c>
      <c r="C25" s="3" t="n">
        <v>149220.04</v>
      </c>
    </row>
    <row r="26">
      <c r="A26" t="inlineStr">
        <is>
          <t>Olivia Martin</t>
        </is>
      </c>
      <c r="B26" s="3" t="n">
        <v>370564.95</v>
      </c>
      <c r="C26" s="3" t="n">
        <v>150250.15</v>
      </c>
    </row>
    <row r="27">
      <c r="A27" t="inlineStr">
        <is>
          <t>Ava Patel</t>
        </is>
      </c>
      <c r="B27" s="3" t="n">
        <v>370128.86</v>
      </c>
      <c r="C27" s="3" t="n">
        <v>150425.68</v>
      </c>
    </row>
    <row r="28">
      <c r="A28" t="inlineStr">
        <is>
          <t>Mia Rodriguez</t>
        </is>
      </c>
      <c r="B28" s="3" t="n">
        <v>364920.31</v>
      </c>
      <c r="C28" s="3" t="n">
        <v>146900.09</v>
      </c>
    </row>
    <row r="29">
      <c r="A29" t="inlineStr">
        <is>
          <t>Noah Kim</t>
        </is>
      </c>
      <c r="B29" s="3" t="n">
        <v>357836.54</v>
      </c>
      <c r="C29" s="3" t="n">
        <v>144560.94</v>
      </c>
    </row>
    <row r="30">
      <c r="A30" t="inlineStr">
        <is>
          <t>Ethan Brooks</t>
        </is>
      </c>
      <c r="B30" s="3" t="n">
        <v>321975.17</v>
      </c>
      <c r="C30" s="3" t="n">
        <v>131440.55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0F766E"/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22.7109375" customWidth="1" min="1" max="1"/>
    <col width="16.7109375" customWidth="1" min="2" max="13"/>
  </cols>
  <sheetData>
    <row r="1">
      <c r="A1" s="5" t="inlineStr">
        <is>
          <t>Executive Sales Dashboard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3" t="n"/>
    </row>
    <row r="3">
      <c r="A3" s="6" t="inlineStr">
        <is>
          <t>Interactive Filters</t>
        </is>
      </c>
    </row>
    <row r="4">
      <c r="A4" s="7" t="inlineStr">
        <is>
          <t>Region</t>
        </is>
      </c>
      <c r="B4" t="inlineStr">
        <is>
          <t>All</t>
        </is>
      </c>
    </row>
    <row r="5">
      <c r="A5" s="7" t="inlineStr">
        <is>
          <t>Category</t>
        </is>
      </c>
      <c r="B5" t="inlineStr">
        <is>
          <t>All</t>
        </is>
      </c>
    </row>
    <row r="6">
      <c r="A6" s="7" t="inlineStr">
        <is>
          <t>Representative</t>
        </is>
      </c>
      <c r="B6" t="inlineStr">
        <is>
          <t>All</t>
        </is>
      </c>
    </row>
    <row r="7">
      <c r="A7" s="7" t="inlineStr">
        <is>
          <t>Segment</t>
        </is>
      </c>
      <c r="B7" t="inlineStr">
        <is>
          <t>All</t>
        </is>
      </c>
    </row>
    <row r="8">
      <c r="A8" s="7" t="inlineStr">
        <is>
          <t>Year</t>
        </is>
      </c>
      <c r="B8" t="inlineStr">
        <is>
          <t>2024</t>
        </is>
      </c>
    </row>
    <row r="9">
      <c r="A9" s="7" t="inlineStr">
        <is>
          <t>Month</t>
        </is>
      </c>
      <c r="B9" t="inlineStr">
        <is>
          <t>All</t>
        </is>
      </c>
    </row>
    <row r="12">
      <c r="A12" s="8" t="inlineStr">
        <is>
          <t>Total Sales</t>
        </is>
      </c>
      <c r="B12" s="13" t="n"/>
      <c r="C12" s="8" t="inlineStr">
        <is>
          <t>Total Profit</t>
        </is>
      </c>
      <c r="D12" s="13" t="n"/>
      <c r="E12" s="8" t="inlineStr">
        <is>
          <t>Profit Margin</t>
        </is>
      </c>
      <c r="F12" s="13" t="n"/>
      <c r="G12" s="8" t="inlineStr">
        <is>
          <t>Total Orders</t>
        </is>
      </c>
      <c r="H12" s="13" t="n"/>
      <c r="I12" s="8" t="inlineStr">
        <is>
          <t>Total Customers</t>
        </is>
      </c>
      <c r="J12" s="13" t="n"/>
    </row>
    <row r="13">
      <c r="A13" s="9" t="n"/>
      <c r="C13" s="9" t="n"/>
      <c r="E13" s="9" t="n"/>
      <c r="G13" s="9" t="n"/>
      <c r="I13" s="9" t="n"/>
    </row>
    <row r="14">
      <c r="A14" s="9">
        <f>SUMIFS(Clean Data!$R:$R,Clean Data!$K:$K,IF($B$3="All","*",$B$3),Clean Data!$I:$I,IF($B$4="All","*",$B$4),Clean Data!$N:$N,IF($B$5="All","*",$B$5),Clean Data!$F:$F,IF($B$6="All","*",$B$6),Clean Data!$Y:$Y,IF($B$7="All","*",$B$7),Clean Data!$Z:$Z,IF($B$8="All","*",$B$8))</f>
        <v/>
      </c>
      <c r="C14" s="9">
        <f>SUMIFS(Clean Data!$T:$T,Clean Data!$K:$K,IF($B$3="All","*",$B$3),Clean Data!$I:$I,IF($B$4="All","*",$B$4),Clean Data!$N:$N,IF($B$5="All","*",$B$5),Clean Data!$F:$F,IF($B$6="All","*",$B$6),Clean Data!$Y:$Y,IF($B$7="All","*",$B$7),Clean Data!$Z:$Z,IF($B$8="All","*",$B$8))</f>
        <v/>
      </c>
      <c r="E14" s="9">
        <f>IF(SUMIFS(Clean Data!$R:$R,Clean Data!$K:$K,IF($B$3="All","*",$B$3),Clean Data!$I:$I,IF($B$4="All","*",$B$4),Clean Data!$N:$N,IF($B$5="All","*",$B$5),Clean Data!$F:$F,IF($B$6="All","*",$B$6),Clean Data!$Y:$Y,IF($B$7="All","*",$B$7),Clean Data!$Z:$Z,IF($B$8="All","*",$B$8))&gt;0,SUMIFS(Clean Data!$T:$T,Clean Data!$K:$K,IF($B$3="All","*",$B$3),Clean Data!$I:$I,IF($B$4="All","*",$B$4),Clean Data!$N:$N,IF($B$5="All","*",$B$5),Clean Data!$F:$F,IF($B$6="All","*",$B$6),Clean Data!$Y:$Y,IF($B$7="All","*",$B$7),Clean Data!$Z:$Z,IF($B$8="All","*",$B$8))/SUMIFS(Clean Data!$R:$R,Clean Data!$K:$K,IF($B$3="All","*",$B$3),Clean Data!$I:$I,IF($B$4="All","*",$B$4),Clean Data!$N:$N,IF($B$5="All","*",$B$5),Clean Data!$F:$F,IF($B$6="All","*",$B$6),Clean Data!$Y:$Y,IF($B$7="All","*",$B$7),Clean Data!$Z:$Z,IF($B$8="All","*",$B$8)),0)</f>
        <v/>
      </c>
      <c r="G14" s="9">
        <f>COUNTIFS(Clean Data!$K:$K,IF($B$3="All","*",$B$3),Clean Data!$I:$I,IF($B$4="All","*",$B$4),Clean Data!$N:$N,IF($B$5="All","*",$B$5),Clean Data!$F:$F,IF($B$6="All","*",$B$6),Clean Data!$Y:$Y,IF($B$7="All","*",$B$7),Clean Data!$Z:$Z,IF($B$8="All","*",$B$8))</f>
        <v/>
      </c>
      <c r="I14" s="9">
        <f t="array" ref="I14">COUNTA(_xlfn.UNIQUE(Clean Data!$D:$D))</f>
        <v/>
      </c>
    </row>
    <row r="16">
      <c r="A16" s="8" t="inlineStr">
        <is>
          <t>Avg Order Value</t>
        </is>
      </c>
      <c r="B16" s="13" t="n"/>
      <c r="C16" s="8" t="inlineStr">
        <is>
          <t>Avg Discount</t>
        </is>
      </c>
      <c r="D16" s="13" t="n"/>
      <c r="E16" s="8" t="inlineStr">
        <is>
          <t>Qty Sold</t>
        </is>
      </c>
      <c r="F16" s="13" t="n"/>
      <c r="G16" s="8" t="inlineStr">
        <is>
          <t>Top Category</t>
        </is>
      </c>
      <c r="H16" s="13" t="n"/>
      <c r="I16" s="8" t="inlineStr">
        <is>
          <t>Best Region</t>
        </is>
      </c>
      <c r="J16" s="13" t="n"/>
    </row>
    <row r="17">
      <c r="A17" s="9" t="n"/>
      <c r="C17" s="9" t="n"/>
      <c r="E17" s="9" t="n"/>
      <c r="G17" s="9" t="n"/>
      <c r="I17" s="9" t="n"/>
    </row>
    <row r="18">
      <c r="A18" s="9">
        <f>IF(COUNTIFS(Clean Data!$K:$K,IF($B$3="All","*",$B$3),Clean Data!$I:$I,IF($B$4="All","*",$B$4),Clean Data!$N:$N,IF($B$5="All","*",$B$5),Clean Data!$F:$F,IF($B$6="All","*",$B$6),Clean Data!$Y:$Y,IF($B$7="All","*",$B$7),Clean Data!$Z:$Z,IF($B$8="All","*",$B$8))&gt;0,SUMIFS(Clean Data!$R:$R,Clean Data!$K:$K,IF($B$3="All","*",$B$3),Clean Data!$I:$I,IF($B$4="All","*",$B$4),Clean Data!$N:$N,IF($B$5="All","*",$B$5),Clean Data!$F:$F,IF($B$6="All","*",$B$6),Clean Data!$Y:$Y,IF($B$7="All","*",$B$7),Clean Data!$Z:$Z,IF($B$8="All","*",$B$8))/COUNTIFS(Clean Data!$K:$K,IF($B$3="All","*",$B$3),Clean Data!$I:$I,IF($B$4="All","*",$B$4),Clean Data!$N:$N,IF($B$5="All","*",$B$5),Clean Data!$F:$F,IF($B$6="All","*",$B$6),Clean Data!$Y:$Y,IF($B$7="All","*",$B$7),Clean Data!$Z:$Z,IF($B$8="All","*",$B$8)),0)</f>
        <v/>
      </c>
      <c r="C18" s="9">
        <f>AVERAGEIFS(Clean Data!$Q:$Q,Clean Data!$K:$K,IF($B$3="All","*",$B$3),Clean Data!$I:$I,IF($B$4="All","*",$B$4),Clean Data!$N:$N,IF($B$5="All","*",$B$5),Clean Data!$F:$F,IF($B$6="All","*",$B$6),Clean Data!$Y:$Y,IF($B$7="All","*",$B$7),Clean Data!$Z:$Z,IF($B$8="All","*",$B$8))</f>
        <v/>
      </c>
      <c r="E18" s="9">
        <f>SUMIFS(Clean Data!$O:$O,Clean Data!$K:$K,IF($B$3="All","*",$B$3),Clean Data!$I:$I,IF($B$4="All","*",$B$4),Clean Data!$N:$N,IF($B$5="All","*",$B$5),Clean Data!$F:$F,IF($B$6="All","*",$B$6),Clean Data!$Y:$Y,IF($B$7="All","*",$B$7),Clean Data!$Z:$Z,IF($B$8="All","*",$B$8))</f>
        <v/>
      </c>
      <c r="G18" s="9">
        <f>INDEX(Clean Data!$I:$I,MATCH(MAXIFS(Clean Data!$R:$R,Clean Data!$K:$K,IF($B$3="All","*",$B$3),Clean Data!$I:$I,IF($B$4="All","*",$B$4),Clean Data!$N:$N,IF($B$5="All","*",$B$5),Clean Data!$F:$F,IF($B$6="All","*",$B$6),Clean Data!$Y:$Y,IF($B$7="All","*",$B$7),Clean Data!$Z:$Z,IF($B$8="All","*",$B$8)),Clean Data!$R:$R,0))</f>
        <v/>
      </c>
      <c r="I18" s="9">
        <f>INDEX(Clean Data!$K:$K,MATCH(MAXIFS(Clean Data!$R:$R,Clean Data!$K:$K,IF($B$3="All","*",$B$3),Clean Data!$I:$I,IF($B$4="All","*",$B$4),Clean Data!$N:$N,IF($B$5="All","*",$B$5),Clean Data!$F:$F,IF($B$6="All","*",$B$6),Clean Data!$Y:$Y,IF($B$7="All","*",$B$7),Clean Data!$Z:$Z,IF($B$8="All","*",$B$8)),Clean Data!$R:$R,0))</f>
        <v/>
      </c>
    </row>
    <row r="25">
      <c r="A25" s="10" t="inlineStr">
        <is>
          <t>Monthly Sales Trend</t>
        </is>
      </c>
    </row>
    <row r="26">
      <c r="A26" s="11" t="inlineStr">
        <is>
          <t>Month</t>
        </is>
      </c>
      <c r="B26" s="11" t="inlineStr">
        <is>
          <t>Sales</t>
        </is>
      </c>
      <c r="C26" s="11" t="inlineStr">
        <is>
          <t>Profit</t>
        </is>
      </c>
    </row>
    <row r="27">
      <c r="A27" t="inlineStr">
        <is>
          <t>Jan</t>
        </is>
      </c>
      <c r="B27">
        <f>SUMIFS(Clean Data!$R:$R,Clean Data!$Z:$Z,1,Clean Data!$Y:$Y,$B$7)</f>
        <v/>
      </c>
      <c r="C27">
        <f>SUMIFS(Clean Data!$T:$T,Clean Data!$Z:$Z,1,Clean Data!$Y:$Y,$B$7)</f>
        <v/>
      </c>
    </row>
    <row r="28">
      <c r="A28" t="inlineStr">
        <is>
          <t>Feb</t>
        </is>
      </c>
      <c r="B28">
        <f>SUMIFS(Clean Data!$R:$R,Clean Data!$Z:$Z,2,Clean Data!$Y:$Y,$B$7)</f>
        <v/>
      </c>
      <c r="C28">
        <f>SUMIFS(Clean Data!$T:$T,Clean Data!$Z:$Z,2,Clean Data!$Y:$Y,$B$7)</f>
        <v/>
      </c>
    </row>
    <row r="29">
      <c r="A29" t="inlineStr">
        <is>
          <t>Mar</t>
        </is>
      </c>
      <c r="B29">
        <f>SUMIFS(Clean Data!$R:$R,Clean Data!$Z:$Z,3,Clean Data!$Y:$Y,$B$7)</f>
        <v/>
      </c>
      <c r="C29">
        <f>SUMIFS(Clean Data!$T:$T,Clean Data!$Z:$Z,3,Clean Data!$Y:$Y,$B$7)</f>
        <v/>
      </c>
    </row>
    <row r="30">
      <c r="A30" t="inlineStr">
        <is>
          <t>Apr</t>
        </is>
      </c>
      <c r="B30">
        <f>SUMIFS(Clean Data!$R:$R,Clean Data!$Z:$Z,4,Clean Data!$Y:$Y,$B$7)</f>
        <v/>
      </c>
      <c r="C30">
        <f>SUMIFS(Clean Data!$T:$T,Clean Data!$Z:$Z,4,Clean Data!$Y:$Y,$B$7)</f>
        <v/>
      </c>
    </row>
    <row r="31">
      <c r="A31" t="inlineStr">
        <is>
          <t>May</t>
        </is>
      </c>
      <c r="B31">
        <f>SUMIFS(Clean Data!$R:$R,Clean Data!$Z:$Z,5,Clean Data!$Y:$Y,$B$7)</f>
        <v/>
      </c>
      <c r="C31">
        <f>SUMIFS(Clean Data!$T:$T,Clean Data!$Z:$Z,5,Clean Data!$Y:$Y,$B$7)</f>
        <v/>
      </c>
    </row>
    <row r="32">
      <c r="A32" t="inlineStr">
        <is>
          <t>Jun</t>
        </is>
      </c>
      <c r="B32">
        <f>SUMIFS(Clean Data!$R:$R,Clean Data!$Z:$Z,6,Clean Data!$Y:$Y,$B$7)</f>
        <v/>
      </c>
      <c r="C32">
        <f>SUMIFS(Clean Data!$T:$T,Clean Data!$Z:$Z,6,Clean Data!$Y:$Y,$B$7)</f>
        <v/>
      </c>
    </row>
    <row r="33">
      <c r="A33" t="inlineStr">
        <is>
          <t>Jul</t>
        </is>
      </c>
      <c r="B33">
        <f>SUMIFS(Clean Data!$R:$R,Clean Data!$Z:$Z,7,Clean Data!$Y:$Y,$B$7)</f>
        <v/>
      </c>
      <c r="C33">
        <f>SUMIFS(Clean Data!$T:$T,Clean Data!$Z:$Z,7,Clean Data!$Y:$Y,$B$7)</f>
        <v/>
      </c>
    </row>
    <row r="34">
      <c r="A34" t="inlineStr">
        <is>
          <t>Aug</t>
        </is>
      </c>
      <c r="B34">
        <f>SUMIFS(Clean Data!$R:$R,Clean Data!$Z:$Z,8,Clean Data!$Y:$Y,$B$7)</f>
        <v/>
      </c>
      <c r="C34">
        <f>SUMIFS(Clean Data!$T:$T,Clean Data!$Z:$Z,8,Clean Data!$Y:$Y,$B$7)</f>
        <v/>
      </c>
    </row>
    <row r="35">
      <c r="A35" t="inlineStr">
        <is>
          <t>Sep</t>
        </is>
      </c>
      <c r="B35">
        <f>SUMIFS(Clean Data!$R:$R,Clean Data!$Z:$Z,9,Clean Data!$Y:$Y,$B$7)</f>
        <v/>
      </c>
      <c r="C35">
        <f>SUMIFS(Clean Data!$T:$T,Clean Data!$Z:$Z,9,Clean Data!$Y:$Y,$B$7)</f>
        <v/>
      </c>
    </row>
    <row r="36">
      <c r="A36" t="inlineStr">
        <is>
          <t>Oct</t>
        </is>
      </c>
      <c r="B36">
        <f>SUMIFS(Clean Data!$R:$R,Clean Data!$Z:$Z,10,Clean Data!$Y:$Y,$B$7)</f>
        <v/>
      </c>
      <c r="C36">
        <f>SUMIFS(Clean Data!$T:$T,Clean Data!$Z:$Z,10,Clean Data!$Y:$Y,$B$7)</f>
        <v/>
      </c>
    </row>
    <row r="37">
      <c r="A37" t="inlineStr">
        <is>
          <t>Nov</t>
        </is>
      </c>
      <c r="B37">
        <f>SUMIFS(Clean Data!$R:$R,Clean Data!$Z:$Z,11,Clean Data!$Y:$Y,$B$7)</f>
        <v/>
      </c>
      <c r="C37">
        <f>SUMIFS(Clean Data!$T:$T,Clean Data!$Z:$Z,11,Clean Data!$Y:$Y,$B$7)</f>
        <v/>
      </c>
    </row>
    <row r="38">
      <c r="A38" t="inlineStr">
        <is>
          <t>Dec</t>
        </is>
      </c>
      <c r="B38">
        <f>SUMIFS(Clean Data!$R:$R,Clean Data!$Z:$Z,12,Clean Data!$Y:$Y,$B$7)</f>
        <v/>
      </c>
      <c r="C38">
        <f>SUMIFS(Clean Data!$T:$T,Clean Data!$Z:$Z,12,Clean Data!$Y:$Y,$B$7)</f>
        <v/>
      </c>
    </row>
    <row r="41">
      <c r="A41" s="10" t="inlineStr">
        <is>
          <t>Category Sales</t>
        </is>
      </c>
    </row>
    <row r="42">
      <c r="A42" s="11" t="inlineStr">
        <is>
          <t>Category</t>
        </is>
      </c>
      <c r="B42" s="11" t="inlineStr">
        <is>
          <t>Sales</t>
        </is>
      </c>
      <c r="C42" s="11" t="inlineStr">
        <is>
          <t>Profit</t>
        </is>
      </c>
    </row>
    <row r="43">
      <c r="A43" t="inlineStr">
        <is>
          <t>Furniture</t>
        </is>
      </c>
      <c r="B43">
        <f>SUMIFS(Clean Data!$R:$R,Clean Data!$I:$I,"Furniture",Clean Data!$Y:$Y,$B$7)</f>
        <v/>
      </c>
      <c r="C43">
        <f>SUMIFS(Clean Data!$T:$T,Clean Data!$I:$I,"Furniture",Clean Data!$Y:$Y,$B$7)</f>
        <v/>
      </c>
    </row>
    <row r="44">
      <c r="A44" t="inlineStr">
        <is>
          <t>Technology</t>
        </is>
      </c>
      <c r="B44">
        <f>SUMIFS(Clean Data!$R:$R,Clean Data!$I:$I,"Technology",Clean Data!$Y:$Y,$B$7)</f>
        <v/>
      </c>
      <c r="C44">
        <f>SUMIFS(Clean Data!$T:$T,Clean Data!$I:$I,"Technology",Clean Data!$Y:$Y,$B$7)</f>
        <v/>
      </c>
    </row>
    <row r="45">
      <c r="A45" t="inlineStr">
        <is>
          <t>Office Supplies</t>
        </is>
      </c>
      <c r="B45">
        <f>SUMIFS(Clean Data!$R:$R,Clean Data!$I:$I,"Office Supplies",Clean Data!$Y:$Y,$B$7)</f>
        <v/>
      </c>
      <c r="C45">
        <f>SUMIFS(Clean Data!$T:$T,Clean Data!$I:$I,"Office Supplies",Clean Data!$Y:$Y,$B$7)</f>
        <v/>
      </c>
    </row>
    <row r="46">
      <c r="A46" t="inlineStr">
        <is>
          <t>Home Decor</t>
        </is>
      </c>
      <c r="B46">
        <f>SUMIFS(Clean Data!$R:$R,Clean Data!$I:$I,"Home Decor",Clean Data!$Y:$Y,$B$7)</f>
        <v/>
      </c>
      <c r="C46">
        <f>SUMIFS(Clean Data!$T:$T,Clean Data!$I:$I,"Home Decor",Clean Data!$Y:$Y,$B$7)</f>
        <v/>
      </c>
    </row>
    <row r="47">
      <c r="A47" t="inlineStr">
        <is>
          <t>Outdoor</t>
        </is>
      </c>
      <c r="B47">
        <f>SUMIFS(Clean Data!$R:$R,Clean Data!$I:$I,"Outdoor",Clean Data!$Y:$Y,$B$7)</f>
        <v/>
      </c>
      <c r="C47">
        <f>SUMIFS(Clean Data!$T:$T,Clean Data!$I:$I,"Outdoor",Clean Data!$Y:$Y,$B$7)</f>
        <v/>
      </c>
    </row>
    <row r="57">
      <c r="A57" s="10" t="inlineStr">
        <is>
          <t>Regional Sales</t>
        </is>
      </c>
    </row>
    <row r="58">
      <c r="A58" s="11" t="inlineStr">
        <is>
          <t>Region</t>
        </is>
      </c>
      <c r="B58" s="11" t="inlineStr">
        <is>
          <t>Sales</t>
        </is>
      </c>
      <c r="C58" s="11" t="inlineStr">
        <is>
          <t>Profit</t>
        </is>
      </c>
    </row>
    <row r="59">
      <c r="A59" t="inlineStr">
        <is>
          <t>East</t>
        </is>
      </c>
      <c r="B59">
        <f>SUMIFS(Clean Data!$R:$R,Clean Data!$K:$K,"East",Clean Data!$Y:$Y,$B$7)</f>
        <v/>
      </c>
      <c r="C59">
        <f>SUMIFS(Clean Data!$T:$T,Clean Data!$K:$K,"East",Clean Data!$Y:$Y,$B$7)</f>
        <v/>
      </c>
    </row>
    <row r="60">
      <c r="A60" t="inlineStr">
        <is>
          <t>West</t>
        </is>
      </c>
      <c r="B60">
        <f>SUMIFS(Clean Data!$R:$R,Clean Data!$K:$K,"West",Clean Data!$Y:$Y,$B$7)</f>
        <v/>
      </c>
      <c r="C60">
        <f>SUMIFS(Clean Data!$T:$T,Clean Data!$K:$K,"West",Clean Data!$Y:$Y,$B$7)</f>
        <v/>
      </c>
    </row>
    <row r="61">
      <c r="A61" t="inlineStr">
        <is>
          <t>South</t>
        </is>
      </c>
      <c r="B61">
        <f>SUMIFS(Clean Data!$R:$R,Clean Data!$K:$K,"South",Clean Data!$Y:$Y,$B$7)</f>
        <v/>
      </c>
      <c r="C61">
        <f>SUMIFS(Clean Data!$T:$T,Clean Data!$K:$K,"South",Clean Data!$Y:$Y,$B$7)</f>
        <v/>
      </c>
    </row>
    <row r="62">
      <c r="A62" t="inlineStr">
        <is>
          <t>Central</t>
        </is>
      </c>
      <c r="B62">
        <f>SUMIFS(Clean Data!$R:$R,Clean Data!$K:$K,"Central",Clean Data!$Y:$Y,$B$7)</f>
        <v/>
      </c>
      <c r="C62">
        <f>SUMIFS(Clean Data!$T:$T,Clean Data!$K:$K,"Central",Clean Data!$Y:$Y,$B$7)</f>
        <v/>
      </c>
    </row>
    <row r="63">
      <c r="A63" t="inlineStr">
        <is>
          <t>North</t>
        </is>
      </c>
      <c r="B63">
        <f>SUMIFS(Clean Data!$R:$R,Clean Data!$K:$K,"North",Clean Data!$Y:$Y,$B$7)</f>
        <v/>
      </c>
      <c r="C63">
        <f>SUMIFS(Clean Data!$T:$T,Clean Data!$K:$K,"North",Clean Data!$Y:$Y,$B$7)</f>
        <v/>
      </c>
    </row>
  </sheetData>
  <mergeCells count="21">
    <mergeCell ref="E12:F12"/>
    <mergeCell ref="G12:H12"/>
    <mergeCell ref="E17:F17"/>
    <mergeCell ref="G17:H17"/>
    <mergeCell ref="A16:B16"/>
    <mergeCell ref="C16:D16"/>
    <mergeCell ref="I16:J16"/>
    <mergeCell ref="E13:F13"/>
    <mergeCell ref="G13:H13"/>
    <mergeCell ref="A12:B12"/>
    <mergeCell ref="A1:J1"/>
    <mergeCell ref="C12:D12"/>
    <mergeCell ref="I12:J12"/>
    <mergeCell ref="A17:B17"/>
    <mergeCell ref="C17:D17"/>
    <mergeCell ref="I17:J17"/>
    <mergeCell ref="E16:F16"/>
    <mergeCell ref="G16:H16"/>
    <mergeCell ref="A13:B13"/>
    <mergeCell ref="C13:D13"/>
    <mergeCell ref="I13:J13"/>
  </mergeCells>
  <dataValidations count="6">
    <dataValidation sqref="B3" showDropDown="0" showInputMessage="1" showErrorMessage="1" allowBlank="1" type="list">
      <formula1>RegionList</formula1>
    </dataValidation>
    <dataValidation sqref="B4" showDropDown="0" showInputMessage="1" showErrorMessage="1" allowBlank="1" type="list">
      <formula1>CategoryList</formula1>
    </dataValidation>
    <dataValidation sqref="B5" showDropDown="0" showInputMessage="1" showErrorMessage="1" allowBlank="1" type="list">
      <formula1>RepList</formula1>
    </dataValidation>
    <dataValidation sqref="B6" showDropDown="0" showInputMessage="1" showErrorMessage="1" allowBlank="1" type="list">
      <formula1>SegmentList</formula1>
    </dataValidation>
    <dataValidation sqref="B7" showDropDown="0" showInputMessage="1" showErrorMessage="1" allowBlank="1" type="list">
      <formula1>YearList</formula1>
    </dataValidation>
    <dataValidation sqref="B8" showDropDown="0" showInputMessage="1" showErrorMessage="1" allowBlank="1" type="list">
      <formula1>MonthList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Description</t>
        </is>
      </c>
      <c r="C1" s="1" t="inlineStr">
        <is>
          <t>Type</t>
        </is>
      </c>
      <c r="D1" s="1" t="inlineStr">
        <is>
          <t>Example</t>
        </is>
      </c>
    </row>
    <row r="2">
      <c r="A2" t="inlineStr">
        <is>
          <t>Order ID</t>
        </is>
      </c>
      <c r="B2" t="inlineStr">
        <is>
          <t>Unique order reference</t>
        </is>
      </c>
      <c r="C2" t="inlineStr">
        <is>
          <t>Text</t>
        </is>
      </c>
      <c r="D2" t="inlineStr">
        <is>
          <t>ORD-00001</t>
        </is>
      </c>
    </row>
    <row r="3">
      <c r="A3" t="inlineStr">
        <is>
          <t>Order Date</t>
        </is>
      </c>
      <c r="B3" t="inlineStr">
        <is>
          <t>Date order was placed</t>
        </is>
      </c>
      <c r="C3" t="inlineStr">
        <is>
          <t>Date</t>
        </is>
      </c>
      <c r="D3" t="inlineStr">
        <is>
          <t>2024-01-03</t>
        </is>
      </c>
    </row>
    <row r="4">
      <c r="A4" t="inlineStr">
        <is>
          <t>Ship Date</t>
        </is>
      </c>
      <c r="B4" t="inlineStr">
        <is>
          <t>Date order shipped</t>
        </is>
      </c>
      <c r="C4" t="inlineStr">
        <is>
          <t>Date</t>
        </is>
      </c>
      <c r="D4" t="inlineStr">
        <is>
          <t>2024-01-06</t>
        </is>
      </c>
    </row>
    <row r="5">
      <c r="A5" t="inlineStr">
        <is>
          <t>Customer ID</t>
        </is>
      </c>
      <c r="B5" t="inlineStr">
        <is>
          <t>Customer reference code</t>
        </is>
      </c>
      <c r="C5" t="inlineStr">
        <is>
          <t>Text</t>
        </is>
      </c>
      <c r="D5" t="inlineStr">
        <is>
          <t>CUST-00001</t>
        </is>
      </c>
    </row>
    <row r="6">
      <c r="A6" t="inlineStr">
        <is>
          <t>Customer Name</t>
        </is>
      </c>
      <c r="B6" t="inlineStr">
        <is>
          <t>Customer or company name</t>
        </is>
      </c>
      <c r="C6" t="inlineStr">
        <is>
          <t>Text</t>
        </is>
      </c>
      <c r="D6" t="inlineStr">
        <is>
          <t>Acme Corp</t>
        </is>
      </c>
    </row>
    <row r="7">
      <c r="A7" t="inlineStr">
        <is>
          <t>Customer Segment</t>
        </is>
      </c>
      <c r="B7" t="inlineStr">
        <is>
          <t>Customer category</t>
        </is>
      </c>
      <c r="C7" t="inlineStr">
        <is>
          <t>Text</t>
        </is>
      </c>
      <c r="D7" t="inlineStr">
        <is>
          <t>Corporate</t>
        </is>
      </c>
    </row>
    <row r="8">
      <c r="A8" t="inlineStr">
        <is>
          <t>Product ID</t>
        </is>
      </c>
      <c r="B8" t="inlineStr">
        <is>
          <t>Reference code for product</t>
        </is>
      </c>
      <c r="C8" t="inlineStr">
        <is>
          <t>Text</t>
        </is>
      </c>
      <c r="D8" t="inlineStr">
        <is>
          <t>P1001</t>
        </is>
      </c>
    </row>
    <row r="9">
      <c r="A9" t="inlineStr">
        <is>
          <t>Product Name</t>
        </is>
      </c>
      <c r="B9" t="inlineStr">
        <is>
          <t>Name of product</t>
        </is>
      </c>
      <c r="C9" t="inlineStr">
        <is>
          <t>Text</t>
        </is>
      </c>
      <c r="D9" t="inlineStr">
        <is>
          <t>ErgoMesh Chair</t>
        </is>
      </c>
    </row>
    <row r="10">
      <c r="A10" t="inlineStr">
        <is>
          <t>Category</t>
        </is>
      </c>
      <c r="B10" t="inlineStr">
        <is>
          <t>High-level product family</t>
        </is>
      </c>
      <c r="C10" t="inlineStr">
        <is>
          <t>Text</t>
        </is>
      </c>
      <c r="D10" t="inlineStr">
        <is>
          <t>Furniture</t>
        </is>
      </c>
    </row>
    <row r="11">
      <c r="A11" t="inlineStr">
        <is>
          <t>Sub-Category</t>
        </is>
      </c>
      <c r="B11" t="inlineStr">
        <is>
          <t>Detailed product group</t>
        </is>
      </c>
      <c r="C11" t="inlineStr">
        <is>
          <t>Text</t>
        </is>
      </c>
      <c r="D11" t="inlineStr">
        <is>
          <t>Chairs</t>
        </is>
      </c>
    </row>
    <row r="12">
      <c r="A12" t="inlineStr">
        <is>
          <t>Region</t>
        </is>
      </c>
      <c r="B12" t="inlineStr">
        <is>
          <t>Sales territory</t>
        </is>
      </c>
      <c r="C12" t="inlineStr">
        <is>
          <t>Text</t>
        </is>
      </c>
      <c r="D12" t="inlineStr">
        <is>
          <t>East</t>
        </is>
      </c>
    </row>
    <row r="13">
      <c r="A13" t="inlineStr">
        <is>
          <t>State</t>
        </is>
      </c>
      <c r="B13" t="inlineStr">
        <is>
          <t>State or province</t>
        </is>
      </c>
      <c r="C13" t="inlineStr">
        <is>
          <t>Text</t>
        </is>
      </c>
      <c r="D13" t="inlineStr">
        <is>
          <t>New York</t>
        </is>
      </c>
    </row>
    <row r="14">
      <c r="A14" t="inlineStr">
        <is>
          <t>City</t>
        </is>
      </c>
      <c r="B14" t="inlineStr">
        <is>
          <t>City</t>
        </is>
      </c>
      <c r="C14" t="inlineStr">
        <is>
          <t>Text</t>
        </is>
      </c>
      <c r="D14" t="inlineStr">
        <is>
          <t>New York</t>
        </is>
      </c>
    </row>
    <row r="15">
      <c r="A15" t="inlineStr">
        <is>
          <t>Sales Representative</t>
        </is>
      </c>
      <c r="B15" t="inlineStr">
        <is>
          <t>Assigned rep</t>
        </is>
      </c>
      <c r="C15" t="inlineStr">
        <is>
          <t>Text</t>
        </is>
      </c>
      <c r="D15" t="inlineStr">
        <is>
          <t>Ava Patel</t>
        </is>
      </c>
    </row>
    <row r="16">
      <c r="A16" t="inlineStr">
        <is>
          <t>Quantity</t>
        </is>
      </c>
      <c r="B16" t="inlineStr">
        <is>
          <t>Units ordered</t>
        </is>
      </c>
      <c r="C16" t="inlineStr">
        <is>
          <t>Number</t>
        </is>
      </c>
      <c r="D16" t="inlineStr">
        <is>
          <t>3</t>
        </is>
      </c>
    </row>
    <row r="17">
      <c r="A17" t="inlineStr">
        <is>
          <t>Unit Price</t>
        </is>
      </c>
      <c r="B17" t="inlineStr">
        <is>
          <t>Selling price per unit</t>
        </is>
      </c>
      <c r="C17" t="inlineStr">
        <is>
          <t>Currency</t>
        </is>
      </c>
      <c r="D17" t="inlineStr">
        <is>
          <t>$289.00</t>
        </is>
      </c>
    </row>
    <row r="18">
      <c r="A18" t="inlineStr">
        <is>
          <t>Discount (%)</t>
        </is>
      </c>
      <c r="B18" t="inlineStr">
        <is>
          <t>Order discount percent</t>
        </is>
      </c>
      <c r="C18" t="inlineStr">
        <is>
          <t>Percent</t>
        </is>
      </c>
      <c r="D18" t="inlineStr">
        <is>
          <t>4.5%</t>
        </is>
      </c>
    </row>
    <row r="19">
      <c r="A19" t="inlineStr">
        <is>
          <t>Sales</t>
        </is>
      </c>
      <c r="B19" t="inlineStr">
        <is>
          <t>Revenue after discount</t>
        </is>
      </c>
      <c r="C19" t="inlineStr">
        <is>
          <t>Currency</t>
        </is>
      </c>
      <c r="D19" t="inlineStr">
        <is>
          <t>$834.60</t>
        </is>
      </c>
    </row>
    <row r="20">
      <c r="A20" t="inlineStr">
        <is>
          <t>Cost</t>
        </is>
      </c>
      <c r="B20" t="inlineStr">
        <is>
          <t>Cost of goods sold</t>
        </is>
      </c>
      <c r="C20" t="inlineStr">
        <is>
          <t>Currency</t>
        </is>
      </c>
      <c r="D20" t="inlineStr">
        <is>
          <t>$486.00</t>
        </is>
      </c>
    </row>
    <row r="21">
      <c r="A21" t="inlineStr">
        <is>
          <t>Profit</t>
        </is>
      </c>
      <c r="B21" t="inlineStr">
        <is>
          <t>Net gain after costs and shipping</t>
        </is>
      </c>
      <c r="C21" t="inlineStr">
        <is>
          <t>Currency</t>
        </is>
      </c>
      <c r="D21" t="inlineStr">
        <is>
          <t>$315.50</t>
        </is>
      </c>
    </row>
    <row r="22">
      <c r="A22" t="inlineStr">
        <is>
          <t>Profit Margin</t>
        </is>
      </c>
      <c r="B22" t="inlineStr">
        <is>
          <t>Profit divided by sales</t>
        </is>
      </c>
      <c r="C22" t="inlineStr">
        <is>
          <t>Percent</t>
        </is>
      </c>
      <c r="D22" t="inlineStr">
        <is>
          <t>35%</t>
        </is>
      </c>
    </row>
    <row r="23">
      <c r="A23" t="inlineStr">
        <is>
          <t>Shipping Cost</t>
        </is>
      </c>
      <c r="B23" t="inlineStr">
        <is>
          <t>Delivery cost</t>
        </is>
      </c>
      <c r="C23" t="inlineStr">
        <is>
          <t>Currency</t>
        </is>
      </c>
      <c r="D23" t="inlineStr">
        <is>
          <t>$8.50</t>
        </is>
      </c>
    </row>
    <row r="24">
      <c r="A24" t="inlineStr">
        <is>
          <t>Payment Method</t>
        </is>
      </c>
      <c r="B24" t="inlineStr">
        <is>
          <t>Preferred payment method</t>
        </is>
      </c>
      <c r="C24" t="inlineStr">
        <is>
          <t>Text</t>
        </is>
      </c>
      <c r="D24" t="inlineStr">
        <is>
          <t>Credit Card</t>
        </is>
      </c>
    </row>
    <row r="25">
      <c r="A25" t="inlineStr">
        <is>
          <t>Order Priority</t>
        </is>
      </c>
      <c r="B25" t="inlineStr">
        <is>
          <t>Service urgency</t>
        </is>
      </c>
      <c r="C25" t="inlineStr">
        <is>
          <t>Text</t>
        </is>
      </c>
      <c r="D25" t="inlineStr">
        <is>
          <t>High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Insight</t>
        </is>
      </c>
    </row>
    <row r="2">
      <c r="A2" t="inlineStr">
        <is>
          <t>Furniture leads sales and profit contribution.</t>
        </is>
      </c>
    </row>
    <row r="3">
      <c r="A3" t="inlineStr">
        <is>
          <t>The West region generates the strongest revenue performance.</t>
        </is>
      </c>
    </row>
    <row r="4">
      <c r="A4" t="inlineStr">
        <is>
          <t>Q4 shows the clearest seasonal demand lift.</t>
        </is>
      </c>
    </row>
    <row r="5">
      <c r="A5" t="inlineStr">
        <is>
          <t>Higher discounting compresses margin and should be monitored.</t>
        </is>
      </c>
    </row>
    <row r="6">
      <c r="A6" t="inlineStr">
        <is>
          <t>Corporate customers have the highest average order values.</t>
        </is>
      </c>
    </row>
    <row r="7">
      <c r="A7" t="inlineStr">
        <is>
          <t>Ava Patel and Liam Chen are the top-performing representatives.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Content</t>
        </is>
      </c>
    </row>
    <row r="2">
      <c r="A2" t="inlineStr">
        <is>
          <t>Purpose</t>
        </is>
      </c>
      <c r="B2" t="inlineStr">
        <is>
          <t>This workbook is designed for a resume-ready sales dashboard project using Excel-only features.</t>
        </is>
      </c>
    </row>
    <row r="3">
      <c r="A3" t="inlineStr">
        <is>
          <t>Sheets</t>
        </is>
      </c>
      <c r="B3" t="inlineStr">
        <is>
          <t>Raw Data, Clean Data, Formula Demo, Pivot Tables, Dashboard, Data Dictionary, Insights, Documentation</t>
        </is>
      </c>
    </row>
    <row r="4">
      <c r="A4" t="inlineStr">
        <is>
          <t>How to use</t>
        </is>
      </c>
      <c r="B4" t="inlineStr">
        <is>
          <t>Use the Dashboard sheet filters to slice the trimmed 1,500-row dataset and review the KPI cards, charts, and pivot table summaries. Open Raw Data and Clean Data for the source transaction details.</t>
        </is>
      </c>
    </row>
    <row r="5">
      <c r="A5" t="inlineStr">
        <is>
          <t>Formulas</t>
        </is>
      </c>
      <c r="B5" t="inlineStr">
        <is>
          <t>SUMIFS, COUNTIFS, XLOOKUP, INDEX/MATCH, IF, IFS, TEXT, ROUND, YEAR, MONTH, WEEKDAY, NETWORKDAYS, EOMONTH.</t>
        </is>
      </c>
    </row>
    <row r="6">
      <c r="A6" t="inlineStr">
        <is>
          <t>Tables</t>
        </is>
      </c>
      <c r="B6" t="inlineStr">
        <is>
          <t>Raw Data and Clean Data are formatted as Excel Tables. The dataset is also split into regional CSV files under data/ for lighter file handling.</t>
        </is>
      </c>
    </row>
    <row r="7">
      <c r="A7" t="inlineStr">
        <is>
          <t>Pivot tables</t>
        </is>
      </c>
      <c r="B7" t="inlineStr">
        <is>
          <t>Use the Pivot Tables sheet to analyze sales by region, category, and sales representative.</t>
        </is>
      </c>
    </row>
    <row r="8">
      <c r="A8" t="inlineStr">
        <is>
          <t>Data source files</t>
        </is>
      </c>
      <c r="B8" t="inlineStr">
        <is>
          <t>data/raw_sales_data.csv, data/cleaned_sales_data.csv, and data/cleaned_sales_data_{central,east,north,south,west}.csv</t>
        </is>
      </c>
    </row>
    <row r="9">
      <c r="A9" t="inlineStr">
        <is>
          <t>Split CSVs</t>
        </is>
      </c>
      <c r="B9" t="inlineStr">
        <is>
          <t>Central, East, North, South, and West region files, each with 300 rows.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2026-07-04T23:22:08Z</dcterms:created>
  <dcterms:modified xmlns:dcterms="http://purl.org/dc/terms/" xmlns:xsi="http://www.w3.org/2001/XMLSchema-instance" xsi:type="dcterms:W3CDTF">2026-07-05T00:31:21Z</dcterms:modified>
</cp:coreProperties>
</file>